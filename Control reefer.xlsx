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I:\CONTROL\DIRECTORIO 2026\06 Control Proovedores\"/>
    </mc:Choice>
  </mc:AlternateContent>
  <xr:revisionPtr revIDLastSave="0" documentId="13_ncr:1_{1B896A70-45B5-4F23-8ECF-BFDF86451AD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SUMEN" sheetId="1" r:id="rId1"/>
    <sheet name="VISTA MES" sheetId="7" r:id="rId2"/>
    <sheet name="CONEXIONES" sheetId="8" r:id="rId3"/>
    <sheet name="FLUJO DIARIO" sheetId="10" r:id="rId4"/>
    <sheet name="BUDGET vs FCST" sheetId="2" r:id="rId5"/>
    <sheet name="NAVES" sheetId="3" r:id="rId6"/>
    <sheet name="PPK" sheetId="4" r:id="rId7"/>
    <sheet name="ACTUALIZAR" sheetId="5" r:id="rId8"/>
    <sheet name="COMBUSTIBLE" sheetId="6" r:id="rId9"/>
    <sheet name="DATOS_CONEX" sheetId="9" r:id="rId10"/>
  </sheets>
  <definedNames>
    <definedName name="_xlnm._FilterDatabase" localSheetId="9" hidden="1">DATOS_CONEX!$A$6:$N$3252</definedName>
    <definedName name="ConxBase" localSheetId="2">OFFSET(CONEXIONES!$C$10,0,0,MAX(1,COUNT(CONEXIONES!$A$10:$A$40)),1)</definedName>
    <definedName name="ConxDesc" localSheetId="2">OFFSET(CONEXIONES!$Y$10,0,0,MAX(1,COUNT(CONEXIONES!$A$10:$A$40)),1)</definedName>
    <definedName name="ConxDia" localSheetId="2">OFFSET(CONEXIONES!$B$10,0,0,MAX(1,COUNT(CONEXIONES!$A$10:$A$40)),1)</definedName>
    <definedName name="ConxMax" localSheetId="2">OFFSET(CONEXIONES!$D$10,0,0,MAX(1,COUNT(CONEXIONES!$A$10:$A$40)),1)</definedName>
    <definedName name="ConxNuevas" localSheetId="2">OFFSET(CONEXIONES!$E$10,0,0,MAX(1,COUNT(CONEXIONES!$A$10:$A$40)),1)</definedName>
    <definedName name="ConxPPK" localSheetId="2">OFFSET(CONEXIONES!$G$10,0,0,MAX(1,COUNT(CONEXIONES!$A$10:$A$40)),1)</definedName>
    <definedName name="ConxTotal" localSheetId="2">OFFSET(CONEXIONES!$H$10,0,0,MAX(1,COUNT(CONEXIONES!$A$10:$A$40)),1)</definedName>
    <definedName name="GrafCosto" localSheetId="1">OFFSET('VISTA MES'!$O$10,0,0,MAX(1,COUNT('VISTA MES'!$A$10:$A$39)),1)</definedName>
    <definedName name="GrafNaves" localSheetId="1">OFFSET('VISTA MES'!$E$10,0,0,MAX(1,COUNT('VISTA MES'!$A$10:$A$39)),1)</definedName>
    <definedName name="GrafVenta" localSheetId="1">OFFSET('VISTA MES'!$J$10,0,0,MAX(1,COUNT('VISTA MES'!$A$10:$A$39)),1)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000" i="9" l="1"/>
  <c r="N4000" i="9" s="1"/>
  <c r="L4000" i="9"/>
  <c r="K4000" i="9"/>
  <c r="M3999" i="9"/>
  <c r="N3999" i="9" s="1"/>
  <c r="L3999" i="9"/>
  <c r="K3999" i="9"/>
  <c r="M3998" i="9"/>
  <c r="N3998" i="9" s="1"/>
  <c r="L3998" i="9"/>
  <c r="K3998" i="9"/>
  <c r="M3997" i="9"/>
  <c r="N3997" i="9" s="1"/>
  <c r="L3997" i="9"/>
  <c r="K3997" i="9"/>
  <c r="M3996" i="9"/>
  <c r="N3996" i="9" s="1"/>
  <c r="L3996" i="9"/>
  <c r="K3996" i="9"/>
  <c r="M3995" i="9"/>
  <c r="N3995" i="9" s="1"/>
  <c r="L3995" i="9"/>
  <c r="K3995" i="9"/>
  <c r="M3994" i="9"/>
  <c r="N3994" i="9" s="1"/>
  <c r="L3994" i="9"/>
  <c r="K3994" i="9"/>
  <c r="M3993" i="9"/>
  <c r="N3993" i="9" s="1"/>
  <c r="L3993" i="9"/>
  <c r="K3993" i="9"/>
  <c r="N3992" i="9"/>
  <c r="M3992" i="9"/>
  <c r="L3992" i="9"/>
  <c r="K3992" i="9"/>
  <c r="M3991" i="9"/>
  <c r="N3991" i="9" s="1"/>
  <c r="L3991" i="9"/>
  <c r="K3991" i="9"/>
  <c r="M3990" i="9"/>
  <c r="N3990" i="9" s="1"/>
  <c r="L3990" i="9"/>
  <c r="K3990" i="9"/>
  <c r="M3989" i="9"/>
  <c r="N3989" i="9" s="1"/>
  <c r="L3989" i="9"/>
  <c r="K3989" i="9"/>
  <c r="N3988" i="9"/>
  <c r="M3988" i="9"/>
  <c r="L3988" i="9"/>
  <c r="K3988" i="9"/>
  <c r="N3987" i="9"/>
  <c r="M3987" i="9"/>
  <c r="L3987" i="9"/>
  <c r="K3987" i="9"/>
  <c r="M3986" i="9"/>
  <c r="N3986" i="9" s="1"/>
  <c r="L3986" i="9"/>
  <c r="K3986" i="9"/>
  <c r="N3985" i="9"/>
  <c r="M3985" i="9"/>
  <c r="L3985" i="9"/>
  <c r="K3985" i="9"/>
  <c r="M3984" i="9"/>
  <c r="N3984" i="9" s="1"/>
  <c r="L3984" i="9"/>
  <c r="K3984" i="9"/>
  <c r="M3983" i="9"/>
  <c r="N3983" i="9" s="1"/>
  <c r="L3983" i="9"/>
  <c r="K3983" i="9"/>
  <c r="M3982" i="9"/>
  <c r="N3982" i="9" s="1"/>
  <c r="L3982" i="9"/>
  <c r="K3982" i="9"/>
  <c r="N3981" i="9"/>
  <c r="M3981" i="9"/>
  <c r="L3981" i="9"/>
  <c r="K3981" i="9"/>
  <c r="N3980" i="9"/>
  <c r="M3980" i="9"/>
  <c r="L3980" i="9"/>
  <c r="K3980" i="9"/>
  <c r="M3979" i="9"/>
  <c r="N3979" i="9" s="1"/>
  <c r="L3979" i="9"/>
  <c r="K3979" i="9"/>
  <c r="N3978" i="9"/>
  <c r="M3978" i="9"/>
  <c r="L3978" i="9"/>
  <c r="K3978" i="9"/>
  <c r="M3977" i="9"/>
  <c r="N3977" i="9" s="1"/>
  <c r="L3977" i="9"/>
  <c r="K3977" i="9"/>
  <c r="M3976" i="9"/>
  <c r="N3976" i="9" s="1"/>
  <c r="L3976" i="9"/>
  <c r="K3976" i="9"/>
  <c r="M3975" i="9"/>
  <c r="N3975" i="9" s="1"/>
  <c r="L3975" i="9"/>
  <c r="K3975" i="9"/>
  <c r="N3974" i="9"/>
  <c r="M3974" i="9"/>
  <c r="L3974" i="9"/>
  <c r="K3974" i="9"/>
  <c r="N3973" i="9"/>
  <c r="M3973" i="9"/>
  <c r="L3973" i="9"/>
  <c r="K3973" i="9"/>
  <c r="M3972" i="9"/>
  <c r="N3972" i="9" s="1"/>
  <c r="L3972" i="9"/>
  <c r="K3972" i="9"/>
  <c r="N3971" i="9"/>
  <c r="M3971" i="9"/>
  <c r="L3971" i="9"/>
  <c r="K3971" i="9"/>
  <c r="M3970" i="9"/>
  <c r="N3970" i="9" s="1"/>
  <c r="L3970" i="9"/>
  <c r="K3970" i="9"/>
  <c r="M3969" i="9"/>
  <c r="N3969" i="9" s="1"/>
  <c r="L3969" i="9"/>
  <c r="K3969" i="9"/>
  <c r="M3968" i="9"/>
  <c r="N3968" i="9" s="1"/>
  <c r="L3968" i="9"/>
  <c r="K3968" i="9"/>
  <c r="N3967" i="9"/>
  <c r="M3967" i="9"/>
  <c r="L3967" i="9"/>
  <c r="K3967" i="9"/>
  <c r="N3966" i="9"/>
  <c r="M3966" i="9"/>
  <c r="L3966" i="9"/>
  <c r="K3966" i="9"/>
  <c r="M3965" i="9"/>
  <c r="N3965" i="9" s="1"/>
  <c r="L3965" i="9"/>
  <c r="K3965" i="9"/>
  <c r="N3964" i="9"/>
  <c r="M3964" i="9"/>
  <c r="L3964" i="9"/>
  <c r="K3964" i="9"/>
  <c r="M3963" i="9"/>
  <c r="N3963" i="9" s="1"/>
  <c r="L3963" i="9"/>
  <c r="K3963" i="9"/>
  <c r="M3962" i="9"/>
  <c r="N3962" i="9" s="1"/>
  <c r="L3962" i="9"/>
  <c r="K3962" i="9"/>
  <c r="M3961" i="9"/>
  <c r="N3961" i="9" s="1"/>
  <c r="L3961" i="9"/>
  <c r="K3961" i="9"/>
  <c r="N3960" i="9"/>
  <c r="M3960" i="9"/>
  <c r="L3960" i="9"/>
  <c r="K3960" i="9"/>
  <c r="N3959" i="9"/>
  <c r="M3959" i="9"/>
  <c r="L3959" i="9"/>
  <c r="K3959" i="9"/>
  <c r="M3958" i="9"/>
  <c r="N3958" i="9" s="1"/>
  <c r="L3958" i="9"/>
  <c r="K3958" i="9"/>
  <c r="N3957" i="9"/>
  <c r="M3957" i="9"/>
  <c r="L3957" i="9"/>
  <c r="K3957" i="9"/>
  <c r="M3956" i="9"/>
  <c r="N3956" i="9" s="1"/>
  <c r="L3956" i="9"/>
  <c r="K3956" i="9"/>
  <c r="M3955" i="9"/>
  <c r="N3955" i="9" s="1"/>
  <c r="L3955" i="9"/>
  <c r="K3955" i="9"/>
  <c r="M3954" i="9"/>
  <c r="N3954" i="9" s="1"/>
  <c r="L3954" i="9"/>
  <c r="K3954" i="9"/>
  <c r="N3953" i="9"/>
  <c r="M3953" i="9"/>
  <c r="L3953" i="9"/>
  <c r="K3953" i="9"/>
  <c r="N3952" i="9"/>
  <c r="M3952" i="9"/>
  <c r="L3952" i="9"/>
  <c r="K3952" i="9"/>
  <c r="M3951" i="9"/>
  <c r="N3951" i="9" s="1"/>
  <c r="L3951" i="9"/>
  <c r="K3951" i="9"/>
  <c r="N3950" i="9"/>
  <c r="M3950" i="9"/>
  <c r="L3950" i="9"/>
  <c r="K3950" i="9"/>
  <c r="M3949" i="9"/>
  <c r="N3949" i="9" s="1"/>
  <c r="L3949" i="9"/>
  <c r="K3949" i="9"/>
  <c r="M3948" i="9"/>
  <c r="N3948" i="9" s="1"/>
  <c r="L3948" i="9"/>
  <c r="K3948" i="9"/>
  <c r="M3947" i="9"/>
  <c r="N3947" i="9" s="1"/>
  <c r="L3947" i="9"/>
  <c r="K3947" i="9"/>
  <c r="N3946" i="9"/>
  <c r="M3946" i="9"/>
  <c r="L3946" i="9"/>
  <c r="K3946" i="9"/>
  <c r="N3945" i="9"/>
  <c r="M3945" i="9"/>
  <c r="L3945" i="9"/>
  <c r="K3945" i="9"/>
  <c r="M3944" i="9"/>
  <c r="N3944" i="9" s="1"/>
  <c r="L3944" i="9"/>
  <c r="K3944" i="9"/>
  <c r="N3943" i="9"/>
  <c r="M3943" i="9"/>
  <c r="L3943" i="9"/>
  <c r="K3943" i="9"/>
  <c r="M3942" i="9"/>
  <c r="N3942" i="9" s="1"/>
  <c r="L3942" i="9"/>
  <c r="K3942" i="9"/>
  <c r="M3941" i="9"/>
  <c r="N3941" i="9" s="1"/>
  <c r="L3941" i="9"/>
  <c r="K3941" i="9"/>
  <c r="M3940" i="9"/>
  <c r="N3940" i="9" s="1"/>
  <c r="L3940" i="9"/>
  <c r="K3940" i="9"/>
  <c r="N3939" i="9"/>
  <c r="M3939" i="9"/>
  <c r="L3939" i="9"/>
  <c r="K3939" i="9"/>
  <c r="N3938" i="9"/>
  <c r="M3938" i="9"/>
  <c r="L3938" i="9"/>
  <c r="K3938" i="9"/>
  <c r="M3937" i="9"/>
  <c r="N3937" i="9" s="1"/>
  <c r="L3937" i="9"/>
  <c r="K3937" i="9"/>
  <c r="N3936" i="9"/>
  <c r="M3936" i="9"/>
  <c r="L3936" i="9"/>
  <c r="K3936" i="9"/>
  <c r="M3935" i="9"/>
  <c r="N3935" i="9" s="1"/>
  <c r="L3935" i="9"/>
  <c r="K3935" i="9"/>
  <c r="M3934" i="9"/>
  <c r="N3934" i="9" s="1"/>
  <c r="L3934" i="9"/>
  <c r="K3934" i="9"/>
  <c r="M3933" i="9"/>
  <c r="N3933" i="9" s="1"/>
  <c r="L3933" i="9"/>
  <c r="K3933" i="9"/>
  <c r="N3932" i="9"/>
  <c r="M3932" i="9"/>
  <c r="L3932" i="9"/>
  <c r="K3932" i="9"/>
  <c r="N3931" i="9"/>
  <c r="M3931" i="9"/>
  <c r="L3931" i="9"/>
  <c r="K3931" i="9"/>
  <c r="M3930" i="9"/>
  <c r="N3930" i="9" s="1"/>
  <c r="L3930" i="9"/>
  <c r="K3930" i="9"/>
  <c r="N3929" i="9"/>
  <c r="M3929" i="9"/>
  <c r="L3929" i="9"/>
  <c r="K3929" i="9"/>
  <c r="M3928" i="9"/>
  <c r="N3928" i="9" s="1"/>
  <c r="L3928" i="9"/>
  <c r="K3928" i="9"/>
  <c r="M3927" i="9"/>
  <c r="N3927" i="9" s="1"/>
  <c r="L3927" i="9"/>
  <c r="K3927" i="9"/>
  <c r="M3926" i="9"/>
  <c r="N3926" i="9" s="1"/>
  <c r="L3926" i="9"/>
  <c r="K3926" i="9"/>
  <c r="N3925" i="9"/>
  <c r="M3925" i="9"/>
  <c r="L3925" i="9"/>
  <c r="K3925" i="9"/>
  <c r="N3924" i="9"/>
  <c r="M3924" i="9"/>
  <c r="L3924" i="9"/>
  <c r="K3924" i="9"/>
  <c r="M3923" i="9"/>
  <c r="N3923" i="9" s="1"/>
  <c r="L3923" i="9"/>
  <c r="K3923" i="9"/>
  <c r="N3922" i="9"/>
  <c r="M3922" i="9"/>
  <c r="L3922" i="9"/>
  <c r="K3922" i="9"/>
  <c r="M3921" i="9"/>
  <c r="N3921" i="9" s="1"/>
  <c r="L3921" i="9"/>
  <c r="K3921" i="9"/>
  <c r="M3920" i="9"/>
  <c r="N3920" i="9" s="1"/>
  <c r="L3920" i="9"/>
  <c r="K3920" i="9"/>
  <c r="M3919" i="9"/>
  <c r="N3919" i="9" s="1"/>
  <c r="L3919" i="9"/>
  <c r="K3919" i="9"/>
  <c r="N3918" i="9"/>
  <c r="M3918" i="9"/>
  <c r="L3918" i="9"/>
  <c r="K3918" i="9"/>
  <c r="N3917" i="9"/>
  <c r="M3917" i="9"/>
  <c r="L3917" i="9"/>
  <c r="K3917" i="9"/>
  <c r="M3916" i="9"/>
  <c r="N3916" i="9" s="1"/>
  <c r="L3916" i="9"/>
  <c r="K3916" i="9"/>
  <c r="N3915" i="9"/>
  <c r="M3915" i="9"/>
  <c r="L3915" i="9"/>
  <c r="K3915" i="9"/>
  <c r="M3914" i="9"/>
  <c r="N3914" i="9" s="1"/>
  <c r="L3914" i="9"/>
  <c r="K3914" i="9"/>
  <c r="M3913" i="9"/>
  <c r="N3913" i="9" s="1"/>
  <c r="L3913" i="9"/>
  <c r="K3913" i="9"/>
  <c r="M3912" i="9"/>
  <c r="N3912" i="9" s="1"/>
  <c r="L3912" i="9"/>
  <c r="K3912" i="9"/>
  <c r="N3911" i="9"/>
  <c r="M3911" i="9"/>
  <c r="L3911" i="9"/>
  <c r="K3911" i="9"/>
  <c r="N3910" i="9"/>
  <c r="M3910" i="9"/>
  <c r="L3910" i="9"/>
  <c r="K3910" i="9"/>
  <c r="M3909" i="9"/>
  <c r="N3909" i="9" s="1"/>
  <c r="L3909" i="9"/>
  <c r="K3909" i="9"/>
  <c r="N3908" i="9"/>
  <c r="M3908" i="9"/>
  <c r="L3908" i="9"/>
  <c r="K3908" i="9"/>
  <c r="M3907" i="9"/>
  <c r="N3907" i="9" s="1"/>
  <c r="L3907" i="9"/>
  <c r="K3907" i="9"/>
  <c r="M3906" i="9"/>
  <c r="N3906" i="9" s="1"/>
  <c r="L3906" i="9"/>
  <c r="K3906" i="9"/>
  <c r="M3905" i="9"/>
  <c r="N3905" i="9" s="1"/>
  <c r="L3905" i="9"/>
  <c r="K3905" i="9"/>
  <c r="N3904" i="9"/>
  <c r="M3904" i="9"/>
  <c r="L3904" i="9"/>
  <c r="K3904" i="9"/>
  <c r="N3903" i="9"/>
  <c r="M3903" i="9"/>
  <c r="L3903" i="9"/>
  <c r="K3903" i="9"/>
  <c r="M3902" i="9"/>
  <c r="N3902" i="9" s="1"/>
  <c r="L3902" i="9"/>
  <c r="K3902" i="9"/>
  <c r="N3901" i="9"/>
  <c r="M3901" i="9"/>
  <c r="L3901" i="9"/>
  <c r="K3901" i="9"/>
  <c r="M3900" i="9"/>
  <c r="N3900" i="9" s="1"/>
  <c r="L3900" i="9"/>
  <c r="K3900" i="9"/>
  <c r="M3899" i="9"/>
  <c r="N3899" i="9" s="1"/>
  <c r="L3899" i="9"/>
  <c r="K3899" i="9"/>
  <c r="M3898" i="9"/>
  <c r="N3898" i="9" s="1"/>
  <c r="L3898" i="9"/>
  <c r="K3898" i="9"/>
  <c r="N3897" i="9"/>
  <c r="M3897" i="9"/>
  <c r="L3897" i="9"/>
  <c r="K3897" i="9"/>
  <c r="N3896" i="9"/>
  <c r="M3896" i="9"/>
  <c r="L3896" i="9"/>
  <c r="K3896" i="9"/>
  <c r="M3895" i="9"/>
  <c r="N3895" i="9" s="1"/>
  <c r="L3895" i="9"/>
  <c r="K3895" i="9"/>
  <c r="N3894" i="9"/>
  <c r="M3894" i="9"/>
  <c r="L3894" i="9"/>
  <c r="K3894" i="9"/>
  <c r="M3893" i="9"/>
  <c r="N3893" i="9" s="1"/>
  <c r="L3893" i="9"/>
  <c r="K3893" i="9"/>
  <c r="M3892" i="9"/>
  <c r="N3892" i="9" s="1"/>
  <c r="L3892" i="9"/>
  <c r="K3892" i="9"/>
  <c r="M3891" i="9"/>
  <c r="N3891" i="9" s="1"/>
  <c r="L3891" i="9"/>
  <c r="K3891" i="9"/>
  <c r="N3890" i="9"/>
  <c r="M3890" i="9"/>
  <c r="L3890" i="9"/>
  <c r="K3890" i="9"/>
  <c r="N3889" i="9"/>
  <c r="M3889" i="9"/>
  <c r="L3889" i="9"/>
  <c r="K3889" i="9"/>
  <c r="M3888" i="9"/>
  <c r="N3888" i="9" s="1"/>
  <c r="L3888" i="9"/>
  <c r="K3888" i="9"/>
  <c r="N3887" i="9"/>
  <c r="M3887" i="9"/>
  <c r="L3887" i="9"/>
  <c r="K3887" i="9"/>
  <c r="M3886" i="9"/>
  <c r="N3886" i="9" s="1"/>
  <c r="L3886" i="9"/>
  <c r="K3886" i="9"/>
  <c r="M3885" i="9"/>
  <c r="N3885" i="9" s="1"/>
  <c r="L3885" i="9"/>
  <c r="K3885" i="9"/>
  <c r="M3884" i="9"/>
  <c r="N3884" i="9" s="1"/>
  <c r="L3884" i="9"/>
  <c r="K3884" i="9"/>
  <c r="N3883" i="9"/>
  <c r="M3883" i="9"/>
  <c r="L3883" i="9"/>
  <c r="K3883" i="9"/>
  <c r="N3882" i="9"/>
  <c r="M3882" i="9"/>
  <c r="L3882" i="9"/>
  <c r="K3882" i="9"/>
  <c r="M3881" i="9"/>
  <c r="N3881" i="9" s="1"/>
  <c r="L3881" i="9"/>
  <c r="K3881" i="9"/>
  <c r="N3880" i="9"/>
  <c r="M3880" i="9"/>
  <c r="L3880" i="9"/>
  <c r="K3880" i="9"/>
  <c r="M3879" i="9"/>
  <c r="N3879" i="9" s="1"/>
  <c r="L3879" i="9"/>
  <c r="K3879" i="9"/>
  <c r="M3878" i="9"/>
  <c r="N3878" i="9" s="1"/>
  <c r="L3878" i="9"/>
  <c r="K3878" i="9"/>
  <c r="M3877" i="9"/>
  <c r="N3877" i="9" s="1"/>
  <c r="L3877" i="9"/>
  <c r="K3877" i="9"/>
  <c r="N3876" i="9"/>
  <c r="M3876" i="9"/>
  <c r="L3876" i="9"/>
  <c r="K3876" i="9"/>
  <c r="N3875" i="9"/>
  <c r="M3875" i="9"/>
  <c r="L3875" i="9"/>
  <c r="K3875" i="9"/>
  <c r="M3874" i="9"/>
  <c r="N3874" i="9" s="1"/>
  <c r="L3874" i="9"/>
  <c r="K3874" i="9"/>
  <c r="N3873" i="9"/>
  <c r="M3873" i="9"/>
  <c r="L3873" i="9"/>
  <c r="K3873" i="9"/>
  <c r="M3872" i="9"/>
  <c r="N3872" i="9" s="1"/>
  <c r="L3872" i="9"/>
  <c r="K3872" i="9"/>
  <c r="M3871" i="9"/>
  <c r="N3871" i="9" s="1"/>
  <c r="L3871" i="9"/>
  <c r="K3871" i="9"/>
  <c r="M3870" i="9"/>
  <c r="N3870" i="9" s="1"/>
  <c r="L3870" i="9"/>
  <c r="K3870" i="9"/>
  <c r="N3869" i="9"/>
  <c r="M3869" i="9"/>
  <c r="L3869" i="9"/>
  <c r="K3869" i="9"/>
  <c r="N3868" i="9"/>
  <c r="M3868" i="9"/>
  <c r="L3868" i="9"/>
  <c r="K3868" i="9"/>
  <c r="M3867" i="9"/>
  <c r="N3867" i="9" s="1"/>
  <c r="L3867" i="9"/>
  <c r="K3867" i="9"/>
  <c r="N3866" i="9"/>
  <c r="M3866" i="9"/>
  <c r="L3866" i="9"/>
  <c r="K3866" i="9"/>
  <c r="M3865" i="9"/>
  <c r="N3865" i="9" s="1"/>
  <c r="L3865" i="9"/>
  <c r="K3865" i="9"/>
  <c r="M3864" i="9"/>
  <c r="N3864" i="9" s="1"/>
  <c r="L3864" i="9"/>
  <c r="K3864" i="9"/>
  <c r="M3863" i="9"/>
  <c r="N3863" i="9" s="1"/>
  <c r="L3863" i="9"/>
  <c r="K3863" i="9"/>
  <c r="N3862" i="9"/>
  <c r="M3862" i="9"/>
  <c r="L3862" i="9"/>
  <c r="K3862" i="9"/>
  <c r="N3861" i="9"/>
  <c r="M3861" i="9"/>
  <c r="L3861" i="9"/>
  <c r="K3861" i="9"/>
  <c r="M3860" i="9"/>
  <c r="N3860" i="9" s="1"/>
  <c r="L3860" i="9"/>
  <c r="K3860" i="9"/>
  <c r="N3859" i="9"/>
  <c r="M3859" i="9"/>
  <c r="L3859" i="9"/>
  <c r="K3859" i="9"/>
  <c r="M3858" i="9"/>
  <c r="N3858" i="9" s="1"/>
  <c r="L3858" i="9"/>
  <c r="K3858" i="9"/>
  <c r="M3857" i="9"/>
  <c r="N3857" i="9" s="1"/>
  <c r="L3857" i="9"/>
  <c r="K3857" i="9"/>
  <c r="M3856" i="9"/>
  <c r="N3856" i="9" s="1"/>
  <c r="L3856" i="9"/>
  <c r="K3856" i="9"/>
  <c r="N3855" i="9"/>
  <c r="M3855" i="9"/>
  <c r="L3855" i="9"/>
  <c r="K3855" i="9"/>
  <c r="N3854" i="9"/>
  <c r="M3854" i="9"/>
  <c r="L3854" i="9"/>
  <c r="K3854" i="9"/>
  <c r="M3853" i="9"/>
  <c r="N3853" i="9" s="1"/>
  <c r="L3853" i="9"/>
  <c r="K3853" i="9"/>
  <c r="N3852" i="9"/>
  <c r="M3852" i="9"/>
  <c r="L3852" i="9"/>
  <c r="K3852" i="9"/>
  <c r="M3851" i="9"/>
  <c r="N3851" i="9" s="1"/>
  <c r="L3851" i="9"/>
  <c r="K3851" i="9"/>
  <c r="M3850" i="9"/>
  <c r="N3850" i="9" s="1"/>
  <c r="L3850" i="9"/>
  <c r="K3850" i="9"/>
  <c r="M3849" i="9"/>
  <c r="N3849" i="9" s="1"/>
  <c r="L3849" i="9"/>
  <c r="K3849" i="9"/>
  <c r="N3848" i="9"/>
  <c r="M3848" i="9"/>
  <c r="L3848" i="9"/>
  <c r="K3848" i="9"/>
  <c r="N3847" i="9"/>
  <c r="M3847" i="9"/>
  <c r="L3847" i="9"/>
  <c r="K3847" i="9"/>
  <c r="M3846" i="9"/>
  <c r="N3846" i="9" s="1"/>
  <c r="L3846" i="9"/>
  <c r="K3846" i="9"/>
  <c r="N3845" i="9"/>
  <c r="M3845" i="9"/>
  <c r="L3845" i="9"/>
  <c r="K3845" i="9"/>
  <c r="M3844" i="9"/>
  <c r="N3844" i="9" s="1"/>
  <c r="L3844" i="9"/>
  <c r="K3844" i="9"/>
  <c r="M3843" i="9"/>
  <c r="N3843" i="9" s="1"/>
  <c r="L3843" i="9"/>
  <c r="K3843" i="9"/>
  <c r="M3842" i="9"/>
  <c r="N3842" i="9" s="1"/>
  <c r="L3842" i="9"/>
  <c r="K3842" i="9"/>
  <c r="N3841" i="9"/>
  <c r="M3841" i="9"/>
  <c r="L3841" i="9"/>
  <c r="K3841" i="9"/>
  <c r="N3840" i="9"/>
  <c r="M3840" i="9"/>
  <c r="L3840" i="9"/>
  <c r="K3840" i="9"/>
  <c r="M3839" i="9"/>
  <c r="N3839" i="9" s="1"/>
  <c r="L3839" i="9"/>
  <c r="K3839" i="9"/>
  <c r="N3838" i="9"/>
  <c r="M3838" i="9"/>
  <c r="L3838" i="9"/>
  <c r="K3838" i="9"/>
  <c r="M3837" i="9"/>
  <c r="N3837" i="9" s="1"/>
  <c r="L3837" i="9"/>
  <c r="K3837" i="9"/>
  <c r="M3836" i="9"/>
  <c r="N3836" i="9" s="1"/>
  <c r="L3836" i="9"/>
  <c r="K3836" i="9"/>
  <c r="M3835" i="9"/>
  <c r="N3835" i="9" s="1"/>
  <c r="L3835" i="9"/>
  <c r="K3835" i="9"/>
  <c r="N3834" i="9"/>
  <c r="M3834" i="9"/>
  <c r="L3834" i="9"/>
  <c r="K3834" i="9"/>
  <c r="N3833" i="9"/>
  <c r="M3833" i="9"/>
  <c r="L3833" i="9"/>
  <c r="K3833" i="9"/>
  <c r="M3832" i="9"/>
  <c r="N3832" i="9" s="1"/>
  <c r="L3832" i="9"/>
  <c r="K3832" i="9"/>
  <c r="N3831" i="9"/>
  <c r="M3831" i="9"/>
  <c r="L3831" i="9"/>
  <c r="K3831" i="9"/>
  <c r="M3830" i="9"/>
  <c r="N3830" i="9" s="1"/>
  <c r="L3830" i="9"/>
  <c r="K3830" i="9"/>
  <c r="M3829" i="9"/>
  <c r="N3829" i="9" s="1"/>
  <c r="L3829" i="9"/>
  <c r="K3829" i="9"/>
  <c r="M3828" i="9"/>
  <c r="N3828" i="9" s="1"/>
  <c r="L3828" i="9"/>
  <c r="K3828" i="9"/>
  <c r="N3827" i="9"/>
  <c r="M3827" i="9"/>
  <c r="L3827" i="9"/>
  <c r="K3827" i="9"/>
  <c r="N3826" i="9"/>
  <c r="M3826" i="9"/>
  <c r="L3826" i="9"/>
  <c r="K3826" i="9"/>
  <c r="M3825" i="9"/>
  <c r="N3825" i="9" s="1"/>
  <c r="L3825" i="9"/>
  <c r="K3825" i="9"/>
  <c r="N3824" i="9"/>
  <c r="M3824" i="9"/>
  <c r="L3824" i="9"/>
  <c r="K3824" i="9"/>
  <c r="M3823" i="9"/>
  <c r="N3823" i="9" s="1"/>
  <c r="L3823" i="9"/>
  <c r="K3823" i="9"/>
  <c r="M3822" i="9"/>
  <c r="N3822" i="9" s="1"/>
  <c r="L3822" i="9"/>
  <c r="K3822" i="9"/>
  <c r="M3821" i="9"/>
  <c r="N3821" i="9" s="1"/>
  <c r="L3821" i="9"/>
  <c r="K3821" i="9"/>
  <c r="N3820" i="9"/>
  <c r="M3820" i="9"/>
  <c r="L3820" i="9"/>
  <c r="K3820" i="9"/>
  <c r="N3819" i="9"/>
  <c r="M3819" i="9"/>
  <c r="L3819" i="9"/>
  <c r="K3819" i="9"/>
  <c r="M3818" i="9"/>
  <c r="N3818" i="9" s="1"/>
  <c r="L3818" i="9"/>
  <c r="K3818" i="9"/>
  <c r="N3817" i="9"/>
  <c r="M3817" i="9"/>
  <c r="L3817" i="9"/>
  <c r="K3817" i="9"/>
  <c r="M3816" i="9"/>
  <c r="N3816" i="9" s="1"/>
  <c r="L3816" i="9"/>
  <c r="K3816" i="9"/>
  <c r="M3815" i="9"/>
  <c r="N3815" i="9" s="1"/>
  <c r="L3815" i="9"/>
  <c r="K3815" i="9"/>
  <c r="M3814" i="9"/>
  <c r="N3814" i="9" s="1"/>
  <c r="L3814" i="9"/>
  <c r="K3814" i="9"/>
  <c r="N3813" i="9"/>
  <c r="M3813" i="9"/>
  <c r="L3813" i="9"/>
  <c r="K3813" i="9"/>
  <c r="N3812" i="9"/>
  <c r="M3812" i="9"/>
  <c r="L3812" i="9"/>
  <c r="K3812" i="9"/>
  <c r="M3811" i="9"/>
  <c r="N3811" i="9" s="1"/>
  <c r="L3811" i="9"/>
  <c r="K3811" i="9"/>
  <c r="N3810" i="9"/>
  <c r="M3810" i="9"/>
  <c r="L3810" i="9"/>
  <c r="K3810" i="9"/>
  <c r="M3809" i="9"/>
  <c r="N3809" i="9" s="1"/>
  <c r="L3809" i="9"/>
  <c r="K3809" i="9"/>
  <c r="M3808" i="9"/>
  <c r="N3808" i="9" s="1"/>
  <c r="L3808" i="9"/>
  <c r="K3808" i="9"/>
  <c r="M3807" i="9"/>
  <c r="N3807" i="9" s="1"/>
  <c r="L3807" i="9"/>
  <c r="K3807" i="9"/>
  <c r="N3806" i="9"/>
  <c r="M3806" i="9"/>
  <c r="L3806" i="9"/>
  <c r="K3806" i="9"/>
  <c r="N3805" i="9"/>
  <c r="M3805" i="9"/>
  <c r="L3805" i="9"/>
  <c r="K3805" i="9"/>
  <c r="M3804" i="9"/>
  <c r="N3804" i="9" s="1"/>
  <c r="L3804" i="9"/>
  <c r="K3804" i="9"/>
  <c r="N3803" i="9"/>
  <c r="M3803" i="9"/>
  <c r="L3803" i="9"/>
  <c r="K3803" i="9"/>
  <c r="M3802" i="9"/>
  <c r="N3802" i="9" s="1"/>
  <c r="L3802" i="9"/>
  <c r="K3802" i="9"/>
  <c r="M3801" i="9"/>
  <c r="N3801" i="9" s="1"/>
  <c r="L3801" i="9"/>
  <c r="K3801" i="9"/>
  <c r="M3800" i="9"/>
  <c r="N3800" i="9" s="1"/>
  <c r="L3800" i="9"/>
  <c r="K3800" i="9"/>
  <c r="N3799" i="9"/>
  <c r="M3799" i="9"/>
  <c r="L3799" i="9"/>
  <c r="K3799" i="9"/>
  <c r="N3798" i="9"/>
  <c r="M3798" i="9"/>
  <c r="L3798" i="9"/>
  <c r="K3798" i="9"/>
  <c r="M3797" i="9"/>
  <c r="N3797" i="9" s="1"/>
  <c r="L3797" i="9"/>
  <c r="K3797" i="9"/>
  <c r="N3796" i="9"/>
  <c r="M3796" i="9"/>
  <c r="L3796" i="9"/>
  <c r="K3796" i="9"/>
  <c r="M3795" i="9"/>
  <c r="N3795" i="9" s="1"/>
  <c r="L3795" i="9"/>
  <c r="K3795" i="9"/>
  <c r="M3794" i="9"/>
  <c r="N3794" i="9" s="1"/>
  <c r="L3794" i="9"/>
  <c r="K3794" i="9"/>
  <c r="M3793" i="9"/>
  <c r="N3793" i="9" s="1"/>
  <c r="L3793" i="9"/>
  <c r="K3793" i="9"/>
  <c r="N3792" i="9"/>
  <c r="M3792" i="9"/>
  <c r="L3792" i="9"/>
  <c r="K3792" i="9"/>
  <c r="N3791" i="9"/>
  <c r="M3791" i="9"/>
  <c r="L3791" i="9"/>
  <c r="K3791" i="9"/>
  <c r="M3790" i="9"/>
  <c r="N3790" i="9" s="1"/>
  <c r="L3790" i="9"/>
  <c r="K3790" i="9"/>
  <c r="N3789" i="9"/>
  <c r="M3789" i="9"/>
  <c r="L3789" i="9"/>
  <c r="K3789" i="9"/>
  <c r="M3788" i="9"/>
  <c r="N3788" i="9" s="1"/>
  <c r="L3788" i="9"/>
  <c r="K3788" i="9"/>
  <c r="M3787" i="9"/>
  <c r="N3787" i="9" s="1"/>
  <c r="L3787" i="9"/>
  <c r="K3787" i="9"/>
  <c r="M3786" i="9"/>
  <c r="N3786" i="9" s="1"/>
  <c r="L3786" i="9"/>
  <c r="K3786" i="9"/>
  <c r="N3785" i="9"/>
  <c r="M3785" i="9"/>
  <c r="L3785" i="9"/>
  <c r="K3785" i="9"/>
  <c r="N3784" i="9"/>
  <c r="M3784" i="9"/>
  <c r="L3784" i="9"/>
  <c r="K3784" i="9"/>
  <c r="M3783" i="9"/>
  <c r="N3783" i="9" s="1"/>
  <c r="L3783" i="9"/>
  <c r="K3783" i="9"/>
  <c r="N3782" i="9"/>
  <c r="M3782" i="9"/>
  <c r="L3782" i="9"/>
  <c r="K3782" i="9"/>
  <c r="M3781" i="9"/>
  <c r="N3781" i="9" s="1"/>
  <c r="L3781" i="9"/>
  <c r="K3781" i="9"/>
  <c r="M3780" i="9"/>
  <c r="N3780" i="9" s="1"/>
  <c r="L3780" i="9"/>
  <c r="K3780" i="9"/>
  <c r="M3779" i="9"/>
  <c r="N3779" i="9" s="1"/>
  <c r="L3779" i="9"/>
  <c r="K3779" i="9"/>
  <c r="N3778" i="9"/>
  <c r="M3778" i="9"/>
  <c r="L3778" i="9"/>
  <c r="K3778" i="9"/>
  <c r="N3777" i="9"/>
  <c r="M3777" i="9"/>
  <c r="L3777" i="9"/>
  <c r="K3777" i="9"/>
  <c r="M3776" i="9"/>
  <c r="N3776" i="9" s="1"/>
  <c r="L3776" i="9"/>
  <c r="K3776" i="9"/>
  <c r="N3775" i="9"/>
  <c r="M3775" i="9"/>
  <c r="L3775" i="9"/>
  <c r="K3775" i="9"/>
  <c r="M3774" i="9"/>
  <c r="N3774" i="9" s="1"/>
  <c r="L3774" i="9"/>
  <c r="K3774" i="9"/>
  <c r="M3773" i="9"/>
  <c r="N3773" i="9" s="1"/>
  <c r="L3773" i="9"/>
  <c r="K3773" i="9"/>
  <c r="M3772" i="9"/>
  <c r="N3772" i="9" s="1"/>
  <c r="L3772" i="9"/>
  <c r="K3772" i="9"/>
  <c r="N3771" i="9"/>
  <c r="M3771" i="9"/>
  <c r="L3771" i="9"/>
  <c r="K3771" i="9"/>
  <c r="N3770" i="9"/>
  <c r="M3770" i="9"/>
  <c r="L3770" i="9"/>
  <c r="K3770" i="9"/>
  <c r="M3769" i="9"/>
  <c r="N3769" i="9" s="1"/>
  <c r="L3769" i="9"/>
  <c r="K3769" i="9"/>
  <c r="N3768" i="9"/>
  <c r="M3768" i="9"/>
  <c r="L3768" i="9"/>
  <c r="K3768" i="9"/>
  <c r="M3767" i="9"/>
  <c r="N3767" i="9" s="1"/>
  <c r="L3767" i="9"/>
  <c r="K3767" i="9"/>
  <c r="M3766" i="9"/>
  <c r="N3766" i="9" s="1"/>
  <c r="L3766" i="9"/>
  <c r="K3766" i="9"/>
  <c r="M3765" i="9"/>
  <c r="N3765" i="9" s="1"/>
  <c r="L3765" i="9"/>
  <c r="K3765" i="9"/>
  <c r="N3764" i="9"/>
  <c r="M3764" i="9"/>
  <c r="L3764" i="9"/>
  <c r="K3764" i="9"/>
  <c r="N3763" i="9"/>
  <c r="M3763" i="9"/>
  <c r="L3763" i="9"/>
  <c r="K3763" i="9"/>
  <c r="M3762" i="9"/>
  <c r="N3762" i="9" s="1"/>
  <c r="L3762" i="9"/>
  <c r="K3762" i="9"/>
  <c r="N3761" i="9"/>
  <c r="M3761" i="9"/>
  <c r="L3761" i="9"/>
  <c r="K3761" i="9"/>
  <c r="M3760" i="9"/>
  <c r="N3760" i="9" s="1"/>
  <c r="L3760" i="9"/>
  <c r="K3760" i="9"/>
  <c r="M3759" i="9"/>
  <c r="N3759" i="9" s="1"/>
  <c r="L3759" i="9"/>
  <c r="K3759" i="9"/>
  <c r="M3758" i="9"/>
  <c r="N3758" i="9" s="1"/>
  <c r="L3758" i="9"/>
  <c r="K3758" i="9"/>
  <c r="N3757" i="9"/>
  <c r="M3757" i="9"/>
  <c r="L3757" i="9"/>
  <c r="K3757" i="9"/>
  <c r="N3756" i="9"/>
  <c r="M3756" i="9"/>
  <c r="L3756" i="9"/>
  <c r="K3756" i="9"/>
  <c r="M3755" i="9"/>
  <c r="N3755" i="9" s="1"/>
  <c r="L3755" i="9"/>
  <c r="K3755" i="9"/>
  <c r="N3754" i="9"/>
  <c r="M3754" i="9"/>
  <c r="L3754" i="9"/>
  <c r="K3754" i="9"/>
  <c r="M3753" i="9"/>
  <c r="N3753" i="9" s="1"/>
  <c r="L3753" i="9"/>
  <c r="K3753" i="9"/>
  <c r="M3752" i="9"/>
  <c r="N3752" i="9" s="1"/>
  <c r="L3752" i="9"/>
  <c r="K3752" i="9"/>
  <c r="M3751" i="9"/>
  <c r="N3751" i="9" s="1"/>
  <c r="L3751" i="9"/>
  <c r="K3751" i="9"/>
  <c r="N3750" i="9"/>
  <c r="M3750" i="9"/>
  <c r="L3750" i="9"/>
  <c r="K3750" i="9"/>
  <c r="M3749" i="9"/>
  <c r="N3749" i="9" s="1"/>
  <c r="L3749" i="9"/>
  <c r="K3749" i="9"/>
  <c r="M3748" i="9"/>
  <c r="N3748" i="9" s="1"/>
  <c r="L3748" i="9"/>
  <c r="K3748" i="9"/>
  <c r="N3747" i="9"/>
  <c r="M3747" i="9"/>
  <c r="L3747" i="9"/>
  <c r="K3747" i="9"/>
  <c r="M3746" i="9"/>
  <c r="N3746" i="9" s="1"/>
  <c r="L3746" i="9"/>
  <c r="K3746" i="9"/>
  <c r="M3745" i="9"/>
  <c r="N3745" i="9" s="1"/>
  <c r="L3745" i="9"/>
  <c r="K3745" i="9"/>
  <c r="M3744" i="9"/>
  <c r="N3744" i="9" s="1"/>
  <c r="L3744" i="9"/>
  <c r="K3744" i="9"/>
  <c r="N3743" i="9"/>
  <c r="M3743" i="9"/>
  <c r="L3743" i="9"/>
  <c r="K3743" i="9"/>
  <c r="N3742" i="9"/>
  <c r="M3742" i="9"/>
  <c r="L3742" i="9"/>
  <c r="K3742" i="9"/>
  <c r="M3741" i="9"/>
  <c r="N3741" i="9" s="1"/>
  <c r="L3741" i="9"/>
  <c r="K3741" i="9"/>
  <c r="N3740" i="9"/>
  <c r="M3740" i="9"/>
  <c r="L3740" i="9"/>
  <c r="K3740" i="9"/>
  <c r="M3739" i="9"/>
  <c r="N3739" i="9" s="1"/>
  <c r="L3739" i="9"/>
  <c r="K3739" i="9"/>
  <c r="M3738" i="9"/>
  <c r="N3738" i="9" s="1"/>
  <c r="L3738" i="9"/>
  <c r="K3738" i="9"/>
  <c r="M3737" i="9"/>
  <c r="N3737" i="9" s="1"/>
  <c r="L3737" i="9"/>
  <c r="K3737" i="9"/>
  <c r="N3736" i="9"/>
  <c r="M3736" i="9"/>
  <c r="L3736" i="9"/>
  <c r="K3736" i="9"/>
  <c r="M3735" i="9"/>
  <c r="N3735" i="9" s="1"/>
  <c r="L3735" i="9"/>
  <c r="K3735" i="9"/>
  <c r="M3734" i="9"/>
  <c r="N3734" i="9" s="1"/>
  <c r="L3734" i="9"/>
  <c r="K3734" i="9"/>
  <c r="N3733" i="9"/>
  <c r="M3733" i="9"/>
  <c r="L3733" i="9"/>
  <c r="K3733" i="9"/>
  <c r="M3732" i="9"/>
  <c r="N3732" i="9" s="1"/>
  <c r="L3732" i="9"/>
  <c r="K3732" i="9"/>
  <c r="M3731" i="9"/>
  <c r="N3731" i="9" s="1"/>
  <c r="L3731" i="9"/>
  <c r="K3731" i="9"/>
  <c r="M3730" i="9"/>
  <c r="N3730" i="9" s="1"/>
  <c r="L3730" i="9"/>
  <c r="K3730" i="9"/>
  <c r="N3729" i="9"/>
  <c r="M3729" i="9"/>
  <c r="L3729" i="9"/>
  <c r="K3729" i="9"/>
  <c r="M3728" i="9"/>
  <c r="N3728" i="9" s="1"/>
  <c r="L3728" i="9"/>
  <c r="K3728" i="9"/>
  <c r="M3727" i="9"/>
  <c r="N3727" i="9" s="1"/>
  <c r="L3727" i="9"/>
  <c r="K3727" i="9"/>
  <c r="N3726" i="9"/>
  <c r="M3726" i="9"/>
  <c r="L3726" i="9"/>
  <c r="K3726" i="9"/>
  <c r="M3725" i="9"/>
  <c r="N3725" i="9" s="1"/>
  <c r="L3725" i="9"/>
  <c r="K3725" i="9"/>
  <c r="M3724" i="9"/>
  <c r="N3724" i="9" s="1"/>
  <c r="L3724" i="9"/>
  <c r="K3724" i="9"/>
  <c r="M3723" i="9"/>
  <c r="N3723" i="9" s="1"/>
  <c r="L3723" i="9"/>
  <c r="K3723" i="9"/>
  <c r="N3722" i="9"/>
  <c r="M3722" i="9"/>
  <c r="L3722" i="9"/>
  <c r="K3722" i="9"/>
  <c r="M3721" i="9"/>
  <c r="N3721" i="9" s="1"/>
  <c r="L3721" i="9"/>
  <c r="K3721" i="9"/>
  <c r="M3720" i="9"/>
  <c r="N3720" i="9" s="1"/>
  <c r="L3720" i="9"/>
  <c r="K3720" i="9"/>
  <c r="N3719" i="9"/>
  <c r="M3719" i="9"/>
  <c r="L3719" i="9"/>
  <c r="K3719" i="9"/>
  <c r="M3718" i="9"/>
  <c r="N3718" i="9" s="1"/>
  <c r="L3718" i="9"/>
  <c r="K3718" i="9"/>
  <c r="M3717" i="9"/>
  <c r="N3717" i="9" s="1"/>
  <c r="L3717" i="9"/>
  <c r="K3717" i="9"/>
  <c r="M3716" i="9"/>
  <c r="N3716" i="9" s="1"/>
  <c r="L3716" i="9"/>
  <c r="K3716" i="9"/>
  <c r="N3715" i="9"/>
  <c r="M3715" i="9"/>
  <c r="L3715" i="9"/>
  <c r="K3715" i="9"/>
  <c r="M3714" i="9"/>
  <c r="N3714" i="9" s="1"/>
  <c r="L3714" i="9"/>
  <c r="K3714" i="9"/>
  <c r="M3713" i="9"/>
  <c r="N3713" i="9" s="1"/>
  <c r="L3713" i="9"/>
  <c r="K3713" i="9"/>
  <c r="N3712" i="9"/>
  <c r="M3712" i="9"/>
  <c r="L3712" i="9"/>
  <c r="K3712" i="9"/>
  <c r="M3711" i="9"/>
  <c r="N3711" i="9" s="1"/>
  <c r="L3711" i="9"/>
  <c r="K3711" i="9"/>
  <c r="M3710" i="9"/>
  <c r="N3710" i="9" s="1"/>
  <c r="L3710" i="9"/>
  <c r="K3710" i="9"/>
  <c r="M3709" i="9"/>
  <c r="N3709" i="9" s="1"/>
  <c r="L3709" i="9"/>
  <c r="K3709" i="9"/>
  <c r="N3708" i="9"/>
  <c r="M3708" i="9"/>
  <c r="L3708" i="9"/>
  <c r="K3708" i="9"/>
  <c r="M3707" i="9"/>
  <c r="N3707" i="9" s="1"/>
  <c r="L3707" i="9"/>
  <c r="K3707" i="9"/>
  <c r="M3706" i="9"/>
  <c r="N3706" i="9" s="1"/>
  <c r="L3706" i="9"/>
  <c r="K3706" i="9"/>
  <c r="N3705" i="9"/>
  <c r="M3705" i="9"/>
  <c r="L3705" i="9"/>
  <c r="K3705" i="9"/>
  <c r="M3704" i="9"/>
  <c r="N3704" i="9" s="1"/>
  <c r="L3704" i="9"/>
  <c r="K3704" i="9"/>
  <c r="M3703" i="9"/>
  <c r="N3703" i="9" s="1"/>
  <c r="L3703" i="9"/>
  <c r="K3703" i="9"/>
  <c r="M3702" i="9"/>
  <c r="N3702" i="9" s="1"/>
  <c r="L3702" i="9"/>
  <c r="K3702" i="9"/>
  <c r="N3701" i="9"/>
  <c r="M3701" i="9"/>
  <c r="L3701" i="9"/>
  <c r="K3701" i="9"/>
  <c r="M3700" i="9"/>
  <c r="N3700" i="9" s="1"/>
  <c r="L3700" i="9"/>
  <c r="K3700" i="9"/>
  <c r="M3699" i="9"/>
  <c r="N3699" i="9" s="1"/>
  <c r="L3699" i="9"/>
  <c r="K3699" i="9"/>
  <c r="N3698" i="9"/>
  <c r="M3698" i="9"/>
  <c r="L3698" i="9"/>
  <c r="K3698" i="9"/>
  <c r="M3697" i="9"/>
  <c r="N3697" i="9" s="1"/>
  <c r="L3697" i="9"/>
  <c r="K3697" i="9"/>
  <c r="M3696" i="9"/>
  <c r="N3696" i="9" s="1"/>
  <c r="L3696" i="9"/>
  <c r="K3696" i="9"/>
  <c r="M3695" i="9"/>
  <c r="N3695" i="9" s="1"/>
  <c r="L3695" i="9"/>
  <c r="K3695" i="9"/>
  <c r="N3694" i="9"/>
  <c r="M3694" i="9"/>
  <c r="L3694" i="9"/>
  <c r="K3694" i="9"/>
  <c r="N3693" i="9"/>
  <c r="M3693" i="9"/>
  <c r="L3693" i="9"/>
  <c r="K3693" i="9"/>
  <c r="M3692" i="9"/>
  <c r="N3692" i="9" s="1"/>
  <c r="L3692" i="9"/>
  <c r="K3692" i="9"/>
  <c r="N3691" i="9"/>
  <c r="M3691" i="9"/>
  <c r="L3691" i="9"/>
  <c r="K3691" i="9"/>
  <c r="M3690" i="9"/>
  <c r="N3690" i="9" s="1"/>
  <c r="L3690" i="9"/>
  <c r="K3690" i="9"/>
  <c r="M3689" i="9"/>
  <c r="N3689" i="9" s="1"/>
  <c r="L3689" i="9"/>
  <c r="K3689" i="9"/>
  <c r="M3688" i="9"/>
  <c r="N3688" i="9" s="1"/>
  <c r="L3688" i="9"/>
  <c r="K3688" i="9"/>
  <c r="N3687" i="9"/>
  <c r="M3687" i="9"/>
  <c r="L3687" i="9"/>
  <c r="K3687" i="9"/>
  <c r="M3686" i="9"/>
  <c r="N3686" i="9" s="1"/>
  <c r="L3686" i="9"/>
  <c r="K3686" i="9"/>
  <c r="M3685" i="9"/>
  <c r="N3685" i="9" s="1"/>
  <c r="L3685" i="9"/>
  <c r="K3685" i="9"/>
  <c r="N3684" i="9"/>
  <c r="M3684" i="9"/>
  <c r="L3684" i="9"/>
  <c r="K3684" i="9"/>
  <c r="M3683" i="9"/>
  <c r="N3683" i="9" s="1"/>
  <c r="L3683" i="9"/>
  <c r="K3683" i="9"/>
  <c r="M3682" i="9"/>
  <c r="N3682" i="9" s="1"/>
  <c r="L3682" i="9"/>
  <c r="K3682" i="9"/>
  <c r="M3681" i="9"/>
  <c r="N3681" i="9" s="1"/>
  <c r="L3681" i="9"/>
  <c r="K3681" i="9"/>
  <c r="N3680" i="9"/>
  <c r="M3680" i="9"/>
  <c r="L3680" i="9"/>
  <c r="K3680" i="9"/>
  <c r="M3679" i="9"/>
  <c r="N3679" i="9" s="1"/>
  <c r="L3679" i="9"/>
  <c r="K3679" i="9"/>
  <c r="M3678" i="9"/>
  <c r="N3678" i="9" s="1"/>
  <c r="L3678" i="9"/>
  <c r="K3678" i="9"/>
  <c r="N3677" i="9"/>
  <c r="M3677" i="9"/>
  <c r="L3677" i="9"/>
  <c r="K3677" i="9"/>
  <c r="M3676" i="9"/>
  <c r="N3676" i="9" s="1"/>
  <c r="L3676" i="9"/>
  <c r="K3676" i="9"/>
  <c r="M3675" i="9"/>
  <c r="N3675" i="9" s="1"/>
  <c r="L3675" i="9"/>
  <c r="K3675" i="9"/>
  <c r="M3674" i="9"/>
  <c r="N3674" i="9" s="1"/>
  <c r="L3674" i="9"/>
  <c r="K3674" i="9"/>
  <c r="N3673" i="9"/>
  <c r="M3673" i="9"/>
  <c r="L3673" i="9"/>
  <c r="K3673" i="9"/>
  <c r="N3672" i="9"/>
  <c r="M3672" i="9"/>
  <c r="L3672" i="9"/>
  <c r="K3672" i="9"/>
  <c r="M3671" i="9"/>
  <c r="N3671" i="9" s="1"/>
  <c r="L3671" i="9"/>
  <c r="K3671" i="9"/>
  <c r="N3670" i="9"/>
  <c r="M3670" i="9"/>
  <c r="L3670" i="9"/>
  <c r="K3670" i="9"/>
  <c r="M3669" i="9"/>
  <c r="N3669" i="9" s="1"/>
  <c r="L3669" i="9"/>
  <c r="K3669" i="9"/>
  <c r="M3668" i="9"/>
  <c r="N3668" i="9" s="1"/>
  <c r="L3668" i="9"/>
  <c r="K3668" i="9"/>
  <c r="M3667" i="9"/>
  <c r="N3667" i="9" s="1"/>
  <c r="L3667" i="9"/>
  <c r="K3667" i="9"/>
  <c r="N3666" i="9"/>
  <c r="M3666" i="9"/>
  <c r="L3666" i="9"/>
  <c r="K3666" i="9"/>
  <c r="N3665" i="9"/>
  <c r="M3665" i="9"/>
  <c r="L3665" i="9"/>
  <c r="K3665" i="9"/>
  <c r="M3664" i="9"/>
  <c r="N3664" i="9" s="1"/>
  <c r="L3664" i="9"/>
  <c r="K3664" i="9"/>
  <c r="N3663" i="9"/>
  <c r="M3663" i="9"/>
  <c r="L3663" i="9"/>
  <c r="K3663" i="9"/>
  <c r="M3662" i="9"/>
  <c r="N3662" i="9" s="1"/>
  <c r="L3662" i="9"/>
  <c r="K3662" i="9"/>
  <c r="M3661" i="9"/>
  <c r="N3661" i="9" s="1"/>
  <c r="L3661" i="9"/>
  <c r="K3661" i="9"/>
  <c r="M3660" i="9"/>
  <c r="N3660" i="9" s="1"/>
  <c r="L3660" i="9"/>
  <c r="K3660" i="9"/>
  <c r="N3659" i="9"/>
  <c r="M3659" i="9"/>
  <c r="L3659" i="9"/>
  <c r="K3659" i="9"/>
  <c r="N3658" i="9"/>
  <c r="M3658" i="9"/>
  <c r="L3658" i="9"/>
  <c r="K3658" i="9"/>
  <c r="M3657" i="9"/>
  <c r="N3657" i="9" s="1"/>
  <c r="L3657" i="9"/>
  <c r="K3657" i="9"/>
  <c r="N3656" i="9"/>
  <c r="M3656" i="9"/>
  <c r="L3656" i="9"/>
  <c r="K3656" i="9"/>
  <c r="M3655" i="9"/>
  <c r="N3655" i="9" s="1"/>
  <c r="L3655" i="9"/>
  <c r="K3655" i="9"/>
  <c r="M3654" i="9"/>
  <c r="N3654" i="9" s="1"/>
  <c r="L3654" i="9"/>
  <c r="K3654" i="9"/>
  <c r="M3653" i="9"/>
  <c r="N3653" i="9" s="1"/>
  <c r="L3653" i="9"/>
  <c r="K3653" i="9"/>
  <c r="N3652" i="9"/>
  <c r="M3652" i="9"/>
  <c r="L3652" i="9"/>
  <c r="K3652" i="9"/>
  <c r="M3651" i="9"/>
  <c r="N3651" i="9" s="1"/>
  <c r="L3651" i="9"/>
  <c r="K3651" i="9"/>
  <c r="M3650" i="9"/>
  <c r="N3650" i="9" s="1"/>
  <c r="L3650" i="9"/>
  <c r="K3650" i="9"/>
  <c r="M3649" i="9"/>
  <c r="N3649" i="9" s="1"/>
  <c r="L3649" i="9"/>
  <c r="K3649" i="9"/>
  <c r="M3648" i="9"/>
  <c r="N3648" i="9" s="1"/>
  <c r="L3648" i="9"/>
  <c r="K3648" i="9"/>
  <c r="M3647" i="9"/>
  <c r="N3647" i="9" s="1"/>
  <c r="L3647" i="9"/>
  <c r="K3647" i="9"/>
  <c r="M3646" i="9"/>
  <c r="N3646" i="9" s="1"/>
  <c r="L3646" i="9"/>
  <c r="K3646" i="9"/>
  <c r="N3645" i="9"/>
  <c r="M3645" i="9"/>
  <c r="L3645" i="9"/>
  <c r="K3645" i="9"/>
  <c r="N3644" i="9"/>
  <c r="M3644" i="9"/>
  <c r="L3644" i="9"/>
  <c r="K3644" i="9"/>
  <c r="N3643" i="9"/>
  <c r="M3643" i="9"/>
  <c r="L3643" i="9"/>
  <c r="K3643" i="9"/>
  <c r="N3642" i="9"/>
  <c r="M3642" i="9"/>
  <c r="L3642" i="9"/>
  <c r="K3642" i="9"/>
  <c r="M3641" i="9"/>
  <c r="N3641" i="9" s="1"/>
  <c r="L3641" i="9"/>
  <c r="K3641" i="9"/>
  <c r="M3640" i="9"/>
  <c r="N3640" i="9" s="1"/>
  <c r="L3640" i="9"/>
  <c r="K3640" i="9"/>
  <c r="M3639" i="9"/>
  <c r="N3639" i="9" s="1"/>
  <c r="L3639" i="9"/>
  <c r="K3639" i="9"/>
  <c r="N3638" i="9"/>
  <c r="M3638" i="9"/>
  <c r="L3638" i="9"/>
  <c r="K3638" i="9"/>
  <c r="M3637" i="9"/>
  <c r="N3637" i="9" s="1"/>
  <c r="L3637" i="9"/>
  <c r="K3637" i="9"/>
  <c r="N3636" i="9"/>
  <c r="M3636" i="9"/>
  <c r="L3636" i="9"/>
  <c r="K3636" i="9"/>
  <c r="N3635" i="9"/>
  <c r="M3635" i="9"/>
  <c r="L3635" i="9"/>
  <c r="K3635" i="9"/>
  <c r="M3634" i="9"/>
  <c r="N3634" i="9" s="1"/>
  <c r="L3634" i="9"/>
  <c r="K3634" i="9"/>
  <c r="M3633" i="9"/>
  <c r="N3633" i="9" s="1"/>
  <c r="L3633" i="9"/>
  <c r="K3633" i="9"/>
  <c r="M3632" i="9"/>
  <c r="N3632" i="9" s="1"/>
  <c r="L3632" i="9"/>
  <c r="K3632" i="9"/>
  <c r="N3631" i="9"/>
  <c r="M3631" i="9"/>
  <c r="L3631" i="9"/>
  <c r="K3631" i="9"/>
  <c r="N3630" i="9"/>
  <c r="M3630" i="9"/>
  <c r="L3630" i="9"/>
  <c r="K3630" i="9"/>
  <c r="N3629" i="9"/>
  <c r="M3629" i="9"/>
  <c r="L3629" i="9"/>
  <c r="K3629" i="9"/>
  <c r="N3628" i="9"/>
  <c r="M3628" i="9"/>
  <c r="L3628" i="9"/>
  <c r="K3628" i="9"/>
  <c r="M3627" i="9"/>
  <c r="N3627" i="9" s="1"/>
  <c r="L3627" i="9"/>
  <c r="K3627" i="9"/>
  <c r="M3626" i="9"/>
  <c r="N3626" i="9" s="1"/>
  <c r="L3626" i="9"/>
  <c r="K3626" i="9"/>
  <c r="M3625" i="9"/>
  <c r="N3625" i="9" s="1"/>
  <c r="L3625" i="9"/>
  <c r="K3625" i="9"/>
  <c r="N3624" i="9"/>
  <c r="M3624" i="9"/>
  <c r="L3624" i="9"/>
  <c r="K3624" i="9"/>
  <c r="N3623" i="9"/>
  <c r="M3623" i="9"/>
  <c r="L3623" i="9"/>
  <c r="K3623" i="9"/>
  <c r="N3622" i="9"/>
  <c r="M3622" i="9"/>
  <c r="L3622" i="9"/>
  <c r="K3622" i="9"/>
  <c r="M3621" i="9"/>
  <c r="N3621" i="9" s="1"/>
  <c r="L3621" i="9"/>
  <c r="K3621" i="9"/>
  <c r="M3620" i="9"/>
  <c r="N3620" i="9" s="1"/>
  <c r="L3620" i="9"/>
  <c r="K3620" i="9"/>
  <c r="M3619" i="9"/>
  <c r="N3619" i="9" s="1"/>
  <c r="L3619" i="9"/>
  <c r="K3619" i="9"/>
  <c r="M3618" i="9"/>
  <c r="N3618" i="9" s="1"/>
  <c r="L3618" i="9"/>
  <c r="K3618" i="9"/>
  <c r="N3617" i="9"/>
  <c r="M3617" i="9"/>
  <c r="L3617" i="9"/>
  <c r="K3617" i="9"/>
  <c r="N3616" i="9"/>
  <c r="M3616" i="9"/>
  <c r="L3616" i="9"/>
  <c r="K3616" i="9"/>
  <c r="N3615" i="9"/>
  <c r="M3615" i="9"/>
  <c r="L3615" i="9"/>
  <c r="K3615" i="9"/>
  <c r="M3614" i="9"/>
  <c r="N3614" i="9" s="1"/>
  <c r="L3614" i="9"/>
  <c r="K3614" i="9"/>
  <c r="M3613" i="9"/>
  <c r="N3613" i="9" s="1"/>
  <c r="L3613" i="9"/>
  <c r="K3613" i="9"/>
  <c r="M3612" i="9"/>
  <c r="N3612" i="9" s="1"/>
  <c r="L3612" i="9"/>
  <c r="K3612" i="9"/>
  <c r="M3611" i="9"/>
  <c r="N3611" i="9" s="1"/>
  <c r="L3611" i="9"/>
  <c r="K3611" i="9"/>
  <c r="N3610" i="9"/>
  <c r="M3610" i="9"/>
  <c r="L3610" i="9"/>
  <c r="K3610" i="9"/>
  <c r="N3609" i="9"/>
  <c r="M3609" i="9"/>
  <c r="L3609" i="9"/>
  <c r="K3609" i="9"/>
  <c r="N3608" i="9"/>
  <c r="M3608" i="9"/>
  <c r="L3608" i="9"/>
  <c r="K3608" i="9"/>
  <c r="N3607" i="9"/>
  <c r="M3607" i="9"/>
  <c r="L3607" i="9"/>
  <c r="K3607" i="9"/>
  <c r="M3606" i="9"/>
  <c r="N3606" i="9" s="1"/>
  <c r="L3606" i="9"/>
  <c r="K3606" i="9"/>
  <c r="M3605" i="9"/>
  <c r="N3605" i="9" s="1"/>
  <c r="L3605" i="9"/>
  <c r="K3605" i="9"/>
  <c r="M3604" i="9"/>
  <c r="N3604" i="9" s="1"/>
  <c r="L3604" i="9"/>
  <c r="K3604" i="9"/>
  <c r="N3603" i="9"/>
  <c r="M3603" i="9"/>
  <c r="L3603" i="9"/>
  <c r="K3603" i="9"/>
  <c r="M3602" i="9"/>
  <c r="N3602" i="9" s="1"/>
  <c r="L3602" i="9"/>
  <c r="K3602" i="9"/>
  <c r="N3601" i="9"/>
  <c r="M3601" i="9"/>
  <c r="L3601" i="9"/>
  <c r="K3601" i="9"/>
  <c r="M3600" i="9"/>
  <c r="N3600" i="9" s="1"/>
  <c r="L3600" i="9"/>
  <c r="K3600" i="9"/>
  <c r="M3599" i="9"/>
  <c r="N3599" i="9" s="1"/>
  <c r="L3599" i="9"/>
  <c r="K3599" i="9"/>
  <c r="M3598" i="9"/>
  <c r="N3598" i="9" s="1"/>
  <c r="L3598" i="9"/>
  <c r="K3598" i="9"/>
  <c r="M3597" i="9"/>
  <c r="N3597" i="9" s="1"/>
  <c r="L3597" i="9"/>
  <c r="K3597" i="9"/>
  <c r="N3596" i="9"/>
  <c r="M3596" i="9"/>
  <c r="L3596" i="9"/>
  <c r="K3596" i="9"/>
  <c r="N3595" i="9"/>
  <c r="M3595" i="9"/>
  <c r="L3595" i="9"/>
  <c r="K3595" i="9"/>
  <c r="N3594" i="9"/>
  <c r="M3594" i="9"/>
  <c r="L3594" i="9"/>
  <c r="K3594" i="9"/>
  <c r="M3593" i="9"/>
  <c r="N3593" i="9" s="1"/>
  <c r="L3593" i="9"/>
  <c r="K3593" i="9"/>
  <c r="M3592" i="9"/>
  <c r="N3592" i="9" s="1"/>
  <c r="L3592" i="9"/>
  <c r="K3592" i="9"/>
  <c r="M3591" i="9"/>
  <c r="N3591" i="9" s="1"/>
  <c r="L3591" i="9"/>
  <c r="K3591" i="9"/>
  <c r="M3590" i="9"/>
  <c r="N3590" i="9" s="1"/>
  <c r="L3590" i="9"/>
  <c r="K3590" i="9"/>
  <c r="N3589" i="9"/>
  <c r="M3589" i="9"/>
  <c r="L3589" i="9"/>
  <c r="K3589" i="9"/>
  <c r="M3588" i="9"/>
  <c r="N3588" i="9" s="1"/>
  <c r="L3588" i="9"/>
  <c r="K3588" i="9"/>
  <c r="N3587" i="9"/>
  <c r="M3587" i="9"/>
  <c r="L3587" i="9"/>
  <c r="K3587" i="9"/>
  <c r="M3586" i="9"/>
  <c r="N3586" i="9" s="1"/>
  <c r="L3586" i="9"/>
  <c r="K3586" i="9"/>
  <c r="M3585" i="9"/>
  <c r="N3585" i="9" s="1"/>
  <c r="L3585" i="9"/>
  <c r="K3585" i="9"/>
  <c r="M3584" i="9"/>
  <c r="N3584" i="9" s="1"/>
  <c r="L3584" i="9"/>
  <c r="K3584" i="9"/>
  <c r="M3583" i="9"/>
  <c r="N3583" i="9" s="1"/>
  <c r="L3583" i="9"/>
  <c r="K3583" i="9"/>
  <c r="N3582" i="9"/>
  <c r="M3582" i="9"/>
  <c r="L3582" i="9"/>
  <c r="K3582" i="9"/>
  <c r="M3581" i="9"/>
  <c r="N3581" i="9" s="1"/>
  <c r="L3581" i="9"/>
  <c r="K3581" i="9"/>
  <c r="N3580" i="9"/>
  <c r="M3580" i="9"/>
  <c r="L3580" i="9"/>
  <c r="K3580" i="9"/>
  <c r="M3579" i="9"/>
  <c r="N3579" i="9" s="1"/>
  <c r="L3579" i="9"/>
  <c r="K3579" i="9"/>
  <c r="M3578" i="9"/>
  <c r="N3578" i="9" s="1"/>
  <c r="L3578" i="9"/>
  <c r="K3578" i="9"/>
  <c r="M3577" i="9"/>
  <c r="N3577" i="9" s="1"/>
  <c r="L3577" i="9"/>
  <c r="K3577" i="9"/>
  <c r="M3576" i="9"/>
  <c r="N3576" i="9" s="1"/>
  <c r="L3576" i="9"/>
  <c r="K3576" i="9"/>
  <c r="N3575" i="9"/>
  <c r="M3575" i="9"/>
  <c r="L3575" i="9"/>
  <c r="K3575" i="9"/>
  <c r="M3574" i="9"/>
  <c r="N3574" i="9" s="1"/>
  <c r="L3574" i="9"/>
  <c r="K3574" i="9"/>
  <c r="N3573" i="9"/>
  <c r="M3573" i="9"/>
  <c r="L3573" i="9"/>
  <c r="K3573" i="9"/>
  <c r="M3572" i="9"/>
  <c r="N3572" i="9" s="1"/>
  <c r="L3572" i="9"/>
  <c r="K3572" i="9"/>
  <c r="M3571" i="9"/>
  <c r="N3571" i="9" s="1"/>
  <c r="L3571" i="9"/>
  <c r="K3571" i="9"/>
  <c r="M3570" i="9"/>
  <c r="N3570" i="9" s="1"/>
  <c r="L3570" i="9"/>
  <c r="K3570" i="9"/>
  <c r="M3569" i="9"/>
  <c r="N3569" i="9" s="1"/>
  <c r="L3569" i="9"/>
  <c r="K3569" i="9"/>
  <c r="N3568" i="9"/>
  <c r="M3568" i="9"/>
  <c r="L3568" i="9"/>
  <c r="K3568" i="9"/>
  <c r="N3567" i="9"/>
  <c r="M3567" i="9"/>
  <c r="L3567" i="9"/>
  <c r="K3567" i="9"/>
  <c r="N3566" i="9"/>
  <c r="M3566" i="9"/>
  <c r="L3566" i="9"/>
  <c r="K3566" i="9"/>
  <c r="N3565" i="9"/>
  <c r="M3565" i="9"/>
  <c r="L3565" i="9"/>
  <c r="K3565" i="9"/>
  <c r="M3564" i="9"/>
  <c r="N3564" i="9" s="1"/>
  <c r="L3564" i="9"/>
  <c r="K3564" i="9"/>
  <c r="M3563" i="9"/>
  <c r="N3563" i="9" s="1"/>
  <c r="L3563" i="9"/>
  <c r="K3563" i="9"/>
  <c r="M3562" i="9"/>
  <c r="N3562" i="9" s="1"/>
  <c r="L3562" i="9"/>
  <c r="K3562" i="9"/>
  <c r="N3561" i="9"/>
  <c r="M3561" i="9"/>
  <c r="L3561" i="9"/>
  <c r="K3561" i="9"/>
  <c r="M3560" i="9"/>
  <c r="N3560" i="9" s="1"/>
  <c r="L3560" i="9"/>
  <c r="K3560" i="9"/>
  <c r="N3559" i="9"/>
  <c r="M3559" i="9"/>
  <c r="L3559" i="9"/>
  <c r="K3559" i="9"/>
  <c r="N3558" i="9"/>
  <c r="M3558" i="9"/>
  <c r="L3558" i="9"/>
  <c r="K3558" i="9"/>
  <c r="M3557" i="9"/>
  <c r="N3557" i="9" s="1"/>
  <c r="L3557" i="9"/>
  <c r="K3557" i="9"/>
  <c r="M3556" i="9"/>
  <c r="N3556" i="9" s="1"/>
  <c r="L3556" i="9"/>
  <c r="K3556" i="9"/>
  <c r="M3555" i="9"/>
  <c r="N3555" i="9" s="1"/>
  <c r="L3555" i="9"/>
  <c r="K3555" i="9"/>
  <c r="N3554" i="9"/>
  <c r="M3554" i="9"/>
  <c r="L3554" i="9"/>
  <c r="K3554" i="9"/>
  <c r="N3553" i="9"/>
  <c r="M3553" i="9"/>
  <c r="L3553" i="9"/>
  <c r="K3553" i="9"/>
  <c r="N3552" i="9"/>
  <c r="M3552" i="9"/>
  <c r="L3552" i="9"/>
  <c r="K3552" i="9"/>
  <c r="M3551" i="9"/>
  <c r="N3551" i="9" s="1"/>
  <c r="L3551" i="9"/>
  <c r="K3551" i="9"/>
  <c r="M3550" i="9"/>
  <c r="N3550" i="9" s="1"/>
  <c r="L3550" i="9"/>
  <c r="K3550" i="9"/>
  <c r="M3549" i="9"/>
  <c r="N3549" i="9" s="1"/>
  <c r="L3549" i="9"/>
  <c r="K3549" i="9"/>
  <c r="M3548" i="9"/>
  <c r="N3548" i="9" s="1"/>
  <c r="L3548" i="9"/>
  <c r="K3548" i="9"/>
  <c r="N3547" i="9"/>
  <c r="M3547" i="9"/>
  <c r="L3547" i="9"/>
  <c r="K3547" i="9"/>
  <c r="N3546" i="9"/>
  <c r="M3546" i="9"/>
  <c r="L3546" i="9"/>
  <c r="K3546" i="9"/>
  <c r="N3545" i="9"/>
  <c r="M3545" i="9"/>
  <c r="L3545" i="9"/>
  <c r="K3545" i="9"/>
  <c r="M3544" i="9"/>
  <c r="N3544" i="9" s="1"/>
  <c r="L3544" i="9"/>
  <c r="K3544" i="9"/>
  <c r="M3543" i="9"/>
  <c r="N3543" i="9" s="1"/>
  <c r="L3543" i="9"/>
  <c r="K3543" i="9"/>
  <c r="M3542" i="9"/>
  <c r="N3542" i="9" s="1"/>
  <c r="L3542" i="9"/>
  <c r="K3542" i="9"/>
  <c r="M3541" i="9"/>
  <c r="N3541" i="9" s="1"/>
  <c r="L3541" i="9"/>
  <c r="K3541" i="9"/>
  <c r="N3540" i="9"/>
  <c r="M3540" i="9"/>
  <c r="L3540" i="9"/>
  <c r="K3540" i="9"/>
  <c r="M3539" i="9"/>
  <c r="N3539" i="9" s="1"/>
  <c r="L3539" i="9"/>
  <c r="K3539" i="9"/>
  <c r="N3538" i="9"/>
  <c r="M3538" i="9"/>
  <c r="L3538" i="9"/>
  <c r="K3538" i="9"/>
  <c r="N3537" i="9"/>
  <c r="M3537" i="9"/>
  <c r="L3537" i="9"/>
  <c r="K3537" i="9"/>
  <c r="M3536" i="9"/>
  <c r="N3536" i="9" s="1"/>
  <c r="L3536" i="9"/>
  <c r="K3536" i="9"/>
  <c r="M3535" i="9"/>
  <c r="N3535" i="9" s="1"/>
  <c r="L3535" i="9"/>
  <c r="K3535" i="9"/>
  <c r="M3534" i="9"/>
  <c r="N3534" i="9" s="1"/>
  <c r="L3534" i="9"/>
  <c r="K3534" i="9"/>
  <c r="N3533" i="9"/>
  <c r="M3533" i="9"/>
  <c r="L3533" i="9"/>
  <c r="K3533" i="9"/>
  <c r="M3532" i="9"/>
  <c r="N3532" i="9" s="1"/>
  <c r="L3532" i="9"/>
  <c r="K3532" i="9"/>
  <c r="N3531" i="9"/>
  <c r="M3531" i="9"/>
  <c r="L3531" i="9"/>
  <c r="K3531" i="9"/>
  <c r="N3530" i="9"/>
  <c r="M3530" i="9"/>
  <c r="L3530" i="9"/>
  <c r="K3530" i="9"/>
  <c r="M3529" i="9"/>
  <c r="N3529" i="9" s="1"/>
  <c r="L3529" i="9"/>
  <c r="K3529" i="9"/>
  <c r="M3528" i="9"/>
  <c r="N3528" i="9" s="1"/>
  <c r="L3528" i="9"/>
  <c r="K3528" i="9"/>
  <c r="M3527" i="9"/>
  <c r="N3527" i="9" s="1"/>
  <c r="L3527" i="9"/>
  <c r="K3527" i="9"/>
  <c r="N3526" i="9"/>
  <c r="M3526" i="9"/>
  <c r="L3526" i="9"/>
  <c r="K3526" i="9"/>
  <c r="N3525" i="9"/>
  <c r="M3525" i="9"/>
  <c r="L3525" i="9"/>
  <c r="K3525" i="9"/>
  <c r="N3524" i="9"/>
  <c r="M3524" i="9"/>
  <c r="L3524" i="9"/>
  <c r="K3524" i="9"/>
  <c r="N3523" i="9"/>
  <c r="M3523" i="9"/>
  <c r="L3523" i="9"/>
  <c r="K3523" i="9"/>
  <c r="M3522" i="9"/>
  <c r="N3522" i="9" s="1"/>
  <c r="L3522" i="9"/>
  <c r="K3522" i="9"/>
  <c r="M3521" i="9"/>
  <c r="N3521" i="9" s="1"/>
  <c r="L3521" i="9"/>
  <c r="K3521" i="9"/>
  <c r="M3520" i="9"/>
  <c r="N3520" i="9" s="1"/>
  <c r="L3520" i="9"/>
  <c r="K3520" i="9"/>
  <c r="N3519" i="9"/>
  <c r="M3519" i="9"/>
  <c r="L3519" i="9"/>
  <c r="K3519" i="9"/>
  <c r="N3518" i="9"/>
  <c r="M3518" i="9"/>
  <c r="L3518" i="9"/>
  <c r="K3518" i="9"/>
  <c r="N3517" i="9"/>
  <c r="M3517" i="9"/>
  <c r="L3517" i="9"/>
  <c r="K3517" i="9"/>
  <c r="M3516" i="9"/>
  <c r="N3516" i="9" s="1"/>
  <c r="L3516" i="9"/>
  <c r="K3516" i="9"/>
  <c r="M3515" i="9"/>
  <c r="N3515" i="9" s="1"/>
  <c r="L3515" i="9"/>
  <c r="K3515" i="9"/>
  <c r="M3514" i="9"/>
  <c r="N3514" i="9" s="1"/>
  <c r="L3514" i="9"/>
  <c r="K3514" i="9"/>
  <c r="M3513" i="9"/>
  <c r="N3513" i="9" s="1"/>
  <c r="L3513" i="9"/>
  <c r="K3513" i="9"/>
  <c r="N3512" i="9"/>
  <c r="M3512" i="9"/>
  <c r="L3512" i="9"/>
  <c r="K3512" i="9"/>
  <c r="N3511" i="9"/>
  <c r="M3511" i="9"/>
  <c r="L3511" i="9"/>
  <c r="K3511" i="9"/>
  <c r="N3510" i="9"/>
  <c r="M3510" i="9"/>
  <c r="L3510" i="9"/>
  <c r="K3510" i="9"/>
  <c r="N3509" i="9"/>
  <c r="M3509" i="9"/>
  <c r="L3509" i="9"/>
  <c r="K3509" i="9"/>
  <c r="M3508" i="9"/>
  <c r="N3508" i="9" s="1"/>
  <c r="L3508" i="9"/>
  <c r="K3508" i="9"/>
  <c r="M3507" i="9"/>
  <c r="N3507" i="9" s="1"/>
  <c r="L3507" i="9"/>
  <c r="K3507" i="9"/>
  <c r="M3506" i="9"/>
  <c r="N3506" i="9" s="1"/>
  <c r="L3506" i="9"/>
  <c r="K3506" i="9"/>
  <c r="N3505" i="9"/>
  <c r="M3505" i="9"/>
  <c r="L3505" i="9"/>
  <c r="K3505" i="9"/>
  <c r="M3504" i="9"/>
  <c r="N3504" i="9" s="1"/>
  <c r="L3504" i="9"/>
  <c r="K3504" i="9"/>
  <c r="N3503" i="9"/>
  <c r="M3503" i="9"/>
  <c r="L3503" i="9"/>
  <c r="K3503" i="9"/>
  <c r="M3502" i="9"/>
  <c r="N3502" i="9" s="1"/>
  <c r="L3502" i="9"/>
  <c r="K3502" i="9"/>
  <c r="M3501" i="9"/>
  <c r="N3501" i="9" s="1"/>
  <c r="L3501" i="9"/>
  <c r="K3501" i="9"/>
  <c r="M3500" i="9"/>
  <c r="N3500" i="9" s="1"/>
  <c r="L3500" i="9"/>
  <c r="K3500" i="9"/>
  <c r="M3499" i="9"/>
  <c r="N3499" i="9" s="1"/>
  <c r="L3499" i="9"/>
  <c r="K3499" i="9"/>
  <c r="N3498" i="9"/>
  <c r="M3498" i="9"/>
  <c r="L3498" i="9"/>
  <c r="K3498" i="9"/>
  <c r="N3497" i="9"/>
  <c r="M3497" i="9"/>
  <c r="L3497" i="9"/>
  <c r="K3497" i="9"/>
  <c r="N3496" i="9"/>
  <c r="M3496" i="9"/>
  <c r="L3496" i="9"/>
  <c r="K3496" i="9"/>
  <c r="M3495" i="9"/>
  <c r="N3495" i="9" s="1"/>
  <c r="L3495" i="9"/>
  <c r="K3495" i="9"/>
  <c r="M3494" i="9"/>
  <c r="N3494" i="9" s="1"/>
  <c r="L3494" i="9"/>
  <c r="K3494" i="9"/>
  <c r="M3493" i="9"/>
  <c r="N3493" i="9" s="1"/>
  <c r="L3493" i="9"/>
  <c r="K3493" i="9"/>
  <c r="M3492" i="9"/>
  <c r="N3492" i="9" s="1"/>
  <c r="L3492" i="9"/>
  <c r="K3492" i="9"/>
  <c r="N3491" i="9"/>
  <c r="M3491" i="9"/>
  <c r="L3491" i="9"/>
  <c r="K3491" i="9"/>
  <c r="M3490" i="9"/>
  <c r="N3490" i="9" s="1"/>
  <c r="L3490" i="9"/>
  <c r="K3490" i="9"/>
  <c r="N3489" i="9"/>
  <c r="M3489" i="9"/>
  <c r="L3489" i="9"/>
  <c r="K3489" i="9"/>
  <c r="M3488" i="9"/>
  <c r="N3488" i="9" s="1"/>
  <c r="L3488" i="9"/>
  <c r="K3488" i="9"/>
  <c r="M3487" i="9"/>
  <c r="N3487" i="9" s="1"/>
  <c r="L3487" i="9"/>
  <c r="K3487" i="9"/>
  <c r="M3486" i="9"/>
  <c r="N3486" i="9" s="1"/>
  <c r="L3486" i="9"/>
  <c r="K3486" i="9"/>
  <c r="M3485" i="9"/>
  <c r="N3485" i="9" s="1"/>
  <c r="L3485" i="9"/>
  <c r="K3485" i="9"/>
  <c r="N3484" i="9"/>
  <c r="M3484" i="9"/>
  <c r="L3484" i="9"/>
  <c r="K3484" i="9"/>
  <c r="M3483" i="9"/>
  <c r="N3483" i="9" s="1"/>
  <c r="L3483" i="9"/>
  <c r="K3483" i="9"/>
  <c r="N3482" i="9"/>
  <c r="M3482" i="9"/>
  <c r="L3482" i="9"/>
  <c r="K3482" i="9"/>
  <c r="N3481" i="9"/>
  <c r="M3481" i="9"/>
  <c r="L3481" i="9"/>
  <c r="K3481" i="9"/>
  <c r="M3480" i="9"/>
  <c r="N3480" i="9" s="1"/>
  <c r="L3480" i="9"/>
  <c r="K3480" i="9"/>
  <c r="M3479" i="9"/>
  <c r="N3479" i="9" s="1"/>
  <c r="L3479" i="9"/>
  <c r="K3479" i="9"/>
  <c r="M3478" i="9"/>
  <c r="N3478" i="9" s="1"/>
  <c r="L3478" i="9"/>
  <c r="K3478" i="9"/>
  <c r="N3477" i="9"/>
  <c r="M3477" i="9"/>
  <c r="L3477" i="9"/>
  <c r="K3477" i="9"/>
  <c r="M3476" i="9"/>
  <c r="N3476" i="9" s="1"/>
  <c r="L3476" i="9"/>
  <c r="K3476" i="9"/>
  <c r="N3475" i="9"/>
  <c r="M3475" i="9"/>
  <c r="L3475" i="9"/>
  <c r="K3475" i="9"/>
  <c r="M3474" i="9"/>
  <c r="N3474" i="9" s="1"/>
  <c r="L3474" i="9"/>
  <c r="K3474" i="9"/>
  <c r="M3473" i="9"/>
  <c r="N3473" i="9" s="1"/>
  <c r="L3473" i="9"/>
  <c r="K3473" i="9"/>
  <c r="M3472" i="9"/>
  <c r="N3472" i="9" s="1"/>
  <c r="L3472" i="9"/>
  <c r="K3472" i="9"/>
  <c r="M3471" i="9"/>
  <c r="N3471" i="9" s="1"/>
  <c r="L3471" i="9"/>
  <c r="K3471" i="9"/>
  <c r="N3470" i="9"/>
  <c r="M3470" i="9"/>
  <c r="L3470" i="9"/>
  <c r="K3470" i="9"/>
  <c r="N3469" i="9"/>
  <c r="M3469" i="9"/>
  <c r="L3469" i="9"/>
  <c r="K3469" i="9"/>
  <c r="N3468" i="9"/>
  <c r="M3468" i="9"/>
  <c r="L3468" i="9"/>
  <c r="K3468" i="9"/>
  <c r="N3467" i="9"/>
  <c r="M3467" i="9"/>
  <c r="L3467" i="9"/>
  <c r="K3467" i="9"/>
  <c r="M3466" i="9"/>
  <c r="N3466" i="9" s="1"/>
  <c r="L3466" i="9"/>
  <c r="K3466" i="9"/>
  <c r="M3465" i="9"/>
  <c r="N3465" i="9" s="1"/>
  <c r="L3465" i="9"/>
  <c r="K3465" i="9"/>
  <c r="M3464" i="9"/>
  <c r="N3464" i="9" s="1"/>
  <c r="L3464" i="9"/>
  <c r="K3464" i="9"/>
  <c r="N3463" i="9"/>
  <c r="M3463" i="9"/>
  <c r="L3463" i="9"/>
  <c r="K3463" i="9"/>
  <c r="M3462" i="9"/>
  <c r="N3462" i="9" s="1"/>
  <c r="L3462" i="9"/>
  <c r="K3462" i="9"/>
  <c r="N3461" i="9"/>
  <c r="M3461" i="9"/>
  <c r="L3461" i="9"/>
  <c r="K3461" i="9"/>
  <c r="N3460" i="9"/>
  <c r="M3460" i="9"/>
  <c r="L3460" i="9"/>
  <c r="K3460" i="9"/>
  <c r="M3459" i="9"/>
  <c r="N3459" i="9" s="1"/>
  <c r="L3459" i="9"/>
  <c r="K3459" i="9"/>
  <c r="M3458" i="9"/>
  <c r="N3458" i="9" s="1"/>
  <c r="L3458" i="9"/>
  <c r="K3458" i="9"/>
  <c r="M3457" i="9"/>
  <c r="N3457" i="9" s="1"/>
  <c r="L3457" i="9"/>
  <c r="K3457" i="9"/>
  <c r="N3456" i="9"/>
  <c r="M3456" i="9"/>
  <c r="L3456" i="9"/>
  <c r="K3456" i="9"/>
  <c r="N3455" i="9"/>
  <c r="M3455" i="9"/>
  <c r="L3455" i="9"/>
  <c r="K3455" i="9"/>
  <c r="N3454" i="9"/>
  <c r="M3454" i="9"/>
  <c r="L3454" i="9"/>
  <c r="K3454" i="9"/>
  <c r="M3453" i="9"/>
  <c r="N3453" i="9" s="1"/>
  <c r="L3453" i="9"/>
  <c r="K3453" i="9"/>
  <c r="M3452" i="9"/>
  <c r="N3452" i="9" s="1"/>
  <c r="L3452" i="9"/>
  <c r="K3452" i="9"/>
  <c r="M3451" i="9"/>
  <c r="N3451" i="9" s="1"/>
  <c r="L3451" i="9"/>
  <c r="K3451" i="9"/>
  <c r="M3450" i="9"/>
  <c r="N3450" i="9" s="1"/>
  <c r="L3450" i="9"/>
  <c r="K3450" i="9"/>
  <c r="N3449" i="9"/>
  <c r="M3449" i="9"/>
  <c r="L3449" i="9"/>
  <c r="K3449" i="9"/>
  <c r="N3448" i="9"/>
  <c r="M3448" i="9"/>
  <c r="L3448" i="9"/>
  <c r="K3448" i="9"/>
  <c r="N3447" i="9"/>
  <c r="M3447" i="9"/>
  <c r="L3447" i="9"/>
  <c r="K3447" i="9"/>
  <c r="M3446" i="9"/>
  <c r="N3446" i="9" s="1"/>
  <c r="L3446" i="9"/>
  <c r="K3446" i="9"/>
  <c r="M3445" i="9"/>
  <c r="N3445" i="9" s="1"/>
  <c r="L3445" i="9"/>
  <c r="K3445" i="9"/>
  <c r="M3444" i="9"/>
  <c r="N3444" i="9" s="1"/>
  <c r="L3444" i="9"/>
  <c r="K3444" i="9"/>
  <c r="M3443" i="9"/>
  <c r="N3443" i="9" s="1"/>
  <c r="L3443" i="9"/>
  <c r="K3443" i="9"/>
  <c r="N3442" i="9"/>
  <c r="M3442" i="9"/>
  <c r="L3442" i="9"/>
  <c r="K3442" i="9"/>
  <c r="M3441" i="9"/>
  <c r="N3441" i="9" s="1"/>
  <c r="L3441" i="9"/>
  <c r="K3441" i="9"/>
  <c r="N3440" i="9"/>
  <c r="M3440" i="9"/>
  <c r="L3440" i="9"/>
  <c r="K3440" i="9"/>
  <c r="N3439" i="9"/>
  <c r="M3439" i="9"/>
  <c r="L3439" i="9"/>
  <c r="K3439" i="9"/>
  <c r="M3438" i="9"/>
  <c r="N3438" i="9" s="1"/>
  <c r="L3438" i="9"/>
  <c r="K3438" i="9"/>
  <c r="M3437" i="9"/>
  <c r="N3437" i="9" s="1"/>
  <c r="L3437" i="9"/>
  <c r="K3437" i="9"/>
  <c r="M3436" i="9"/>
  <c r="N3436" i="9" s="1"/>
  <c r="L3436" i="9"/>
  <c r="K3436" i="9"/>
  <c r="N3435" i="9"/>
  <c r="M3435" i="9"/>
  <c r="L3435" i="9"/>
  <c r="K3435" i="9"/>
  <c r="M3434" i="9"/>
  <c r="N3434" i="9" s="1"/>
  <c r="L3434" i="9"/>
  <c r="K3434" i="9"/>
  <c r="N3433" i="9"/>
  <c r="M3433" i="9"/>
  <c r="L3433" i="9"/>
  <c r="K3433" i="9"/>
  <c r="N3432" i="9"/>
  <c r="M3432" i="9"/>
  <c r="L3432" i="9"/>
  <c r="K3432" i="9"/>
  <c r="M3431" i="9"/>
  <c r="N3431" i="9" s="1"/>
  <c r="L3431" i="9"/>
  <c r="K3431" i="9"/>
  <c r="M3430" i="9"/>
  <c r="N3430" i="9" s="1"/>
  <c r="L3430" i="9"/>
  <c r="K3430" i="9"/>
  <c r="M3429" i="9"/>
  <c r="N3429" i="9" s="1"/>
  <c r="L3429" i="9"/>
  <c r="K3429" i="9"/>
  <c r="N3428" i="9"/>
  <c r="M3428" i="9"/>
  <c r="L3428" i="9"/>
  <c r="K3428" i="9"/>
  <c r="N3427" i="9"/>
  <c r="M3427" i="9"/>
  <c r="L3427" i="9"/>
  <c r="K3427" i="9"/>
  <c r="N3426" i="9"/>
  <c r="M3426" i="9"/>
  <c r="L3426" i="9"/>
  <c r="K3426" i="9"/>
  <c r="N3425" i="9"/>
  <c r="M3425" i="9"/>
  <c r="L3425" i="9"/>
  <c r="K3425" i="9"/>
  <c r="M3424" i="9"/>
  <c r="N3424" i="9" s="1"/>
  <c r="L3424" i="9"/>
  <c r="K3424" i="9"/>
  <c r="M3423" i="9"/>
  <c r="N3423" i="9" s="1"/>
  <c r="L3423" i="9"/>
  <c r="K3423" i="9"/>
  <c r="N3422" i="9"/>
  <c r="M3422" i="9"/>
  <c r="L3422" i="9"/>
  <c r="K3422" i="9"/>
  <c r="N3421" i="9"/>
  <c r="M3421" i="9"/>
  <c r="L3421" i="9"/>
  <c r="K3421" i="9"/>
  <c r="N3420" i="9"/>
  <c r="M3420" i="9"/>
  <c r="L3420" i="9"/>
  <c r="K3420" i="9"/>
  <c r="N3419" i="9"/>
  <c r="M3419" i="9"/>
  <c r="L3419" i="9"/>
  <c r="K3419" i="9"/>
  <c r="M3418" i="9"/>
  <c r="N3418" i="9" s="1"/>
  <c r="L3418" i="9"/>
  <c r="K3418" i="9"/>
  <c r="M3417" i="9"/>
  <c r="N3417" i="9" s="1"/>
  <c r="L3417" i="9"/>
  <c r="K3417" i="9"/>
  <c r="M3416" i="9"/>
  <c r="N3416" i="9" s="1"/>
  <c r="L3416" i="9"/>
  <c r="K3416" i="9"/>
  <c r="N3415" i="9"/>
  <c r="M3415" i="9"/>
  <c r="L3415" i="9"/>
  <c r="K3415" i="9"/>
  <c r="N3414" i="9"/>
  <c r="M3414" i="9"/>
  <c r="L3414" i="9"/>
  <c r="K3414" i="9"/>
  <c r="M3413" i="9"/>
  <c r="N3413" i="9" s="1"/>
  <c r="L3413" i="9"/>
  <c r="K3413" i="9"/>
  <c r="N3412" i="9"/>
  <c r="M3412" i="9"/>
  <c r="L3412" i="9"/>
  <c r="K3412" i="9"/>
  <c r="N3411" i="9"/>
  <c r="M3411" i="9"/>
  <c r="L3411" i="9"/>
  <c r="K3411" i="9"/>
  <c r="M3410" i="9"/>
  <c r="N3410" i="9" s="1"/>
  <c r="L3410" i="9"/>
  <c r="K3410" i="9"/>
  <c r="M3409" i="9"/>
  <c r="N3409" i="9" s="1"/>
  <c r="L3409" i="9"/>
  <c r="K3409" i="9"/>
  <c r="N3408" i="9"/>
  <c r="M3408" i="9"/>
  <c r="L3408" i="9"/>
  <c r="K3408" i="9"/>
  <c r="N3407" i="9"/>
  <c r="M3407" i="9"/>
  <c r="L3407" i="9"/>
  <c r="K3407" i="9"/>
  <c r="N3406" i="9"/>
  <c r="M3406" i="9"/>
  <c r="L3406" i="9"/>
  <c r="K3406" i="9"/>
  <c r="N3405" i="9"/>
  <c r="M3405" i="9"/>
  <c r="L3405" i="9"/>
  <c r="K3405" i="9"/>
  <c r="N3404" i="9"/>
  <c r="M3404" i="9"/>
  <c r="L3404" i="9"/>
  <c r="K3404" i="9"/>
  <c r="N3403" i="9"/>
  <c r="M3403" i="9"/>
  <c r="L3403" i="9"/>
  <c r="K3403" i="9"/>
  <c r="N3402" i="9"/>
  <c r="M3402" i="9"/>
  <c r="L3402" i="9"/>
  <c r="K3402" i="9"/>
  <c r="N3401" i="9"/>
  <c r="M3401" i="9"/>
  <c r="L3401" i="9"/>
  <c r="K3401" i="9"/>
  <c r="N3400" i="9"/>
  <c r="M3400" i="9"/>
  <c r="L3400" i="9"/>
  <c r="K3400" i="9"/>
  <c r="N3399" i="9"/>
  <c r="M3399" i="9"/>
  <c r="L3399" i="9"/>
  <c r="K3399" i="9"/>
  <c r="N3398" i="9"/>
  <c r="M3398" i="9"/>
  <c r="L3398" i="9"/>
  <c r="K3398" i="9"/>
  <c r="N3397" i="9"/>
  <c r="M3397" i="9"/>
  <c r="L3397" i="9"/>
  <c r="K3397" i="9"/>
  <c r="N3396" i="9"/>
  <c r="M3396" i="9"/>
  <c r="L3396" i="9"/>
  <c r="K3396" i="9"/>
  <c r="M3395" i="9"/>
  <c r="N3395" i="9" s="1"/>
  <c r="L3395" i="9"/>
  <c r="K3395" i="9"/>
  <c r="N3394" i="9"/>
  <c r="M3394" i="9"/>
  <c r="L3394" i="9"/>
  <c r="K3394" i="9"/>
  <c r="N3393" i="9"/>
  <c r="M3393" i="9"/>
  <c r="L3393" i="9"/>
  <c r="K3393" i="9"/>
  <c r="N3392" i="9"/>
  <c r="M3392" i="9"/>
  <c r="L3392" i="9"/>
  <c r="K3392" i="9"/>
  <c r="N3391" i="9"/>
  <c r="M3391" i="9"/>
  <c r="L3391" i="9"/>
  <c r="K3391" i="9"/>
  <c r="N3390" i="9"/>
  <c r="M3390" i="9"/>
  <c r="L3390" i="9"/>
  <c r="K3390" i="9"/>
  <c r="N3389" i="9"/>
  <c r="M3389" i="9"/>
  <c r="L3389" i="9"/>
  <c r="K3389" i="9"/>
  <c r="M3388" i="9"/>
  <c r="N3388" i="9" s="1"/>
  <c r="L3388" i="9"/>
  <c r="K3388" i="9"/>
  <c r="N3387" i="9"/>
  <c r="M3387" i="9"/>
  <c r="L3387" i="9"/>
  <c r="K3387" i="9"/>
  <c r="N3386" i="9"/>
  <c r="M3386" i="9"/>
  <c r="L3386" i="9"/>
  <c r="K3386" i="9"/>
  <c r="N3385" i="9"/>
  <c r="M3385" i="9"/>
  <c r="L3385" i="9"/>
  <c r="K3385" i="9"/>
  <c r="N3384" i="9"/>
  <c r="M3384" i="9"/>
  <c r="L3384" i="9"/>
  <c r="K3384" i="9"/>
  <c r="N3383" i="9"/>
  <c r="M3383" i="9"/>
  <c r="L3383" i="9"/>
  <c r="K3383" i="9"/>
  <c r="N3382" i="9"/>
  <c r="M3382" i="9"/>
  <c r="L3382" i="9"/>
  <c r="K3382" i="9"/>
  <c r="M3381" i="9"/>
  <c r="N3381" i="9" s="1"/>
  <c r="L3381" i="9"/>
  <c r="K3381" i="9"/>
  <c r="N3380" i="9"/>
  <c r="M3380" i="9"/>
  <c r="L3380" i="9"/>
  <c r="K3380" i="9"/>
  <c r="N3379" i="9"/>
  <c r="M3379" i="9"/>
  <c r="L3379" i="9"/>
  <c r="K3379" i="9"/>
  <c r="N3378" i="9"/>
  <c r="M3378" i="9"/>
  <c r="L3378" i="9"/>
  <c r="K3378" i="9"/>
  <c r="N3377" i="9"/>
  <c r="M3377" i="9"/>
  <c r="L3377" i="9"/>
  <c r="K3377" i="9"/>
  <c r="N3376" i="9"/>
  <c r="M3376" i="9"/>
  <c r="L3376" i="9"/>
  <c r="K3376" i="9"/>
  <c r="N3375" i="9"/>
  <c r="M3375" i="9"/>
  <c r="L3375" i="9"/>
  <c r="K3375" i="9"/>
  <c r="M3374" i="9"/>
  <c r="N3374" i="9" s="1"/>
  <c r="L3374" i="9"/>
  <c r="K3374" i="9"/>
  <c r="N3373" i="9"/>
  <c r="M3373" i="9"/>
  <c r="L3373" i="9"/>
  <c r="K3373" i="9"/>
  <c r="N3372" i="9"/>
  <c r="M3372" i="9"/>
  <c r="L3372" i="9"/>
  <c r="K3372" i="9"/>
  <c r="N3371" i="9"/>
  <c r="M3371" i="9"/>
  <c r="L3371" i="9"/>
  <c r="K3371" i="9"/>
  <c r="N3370" i="9"/>
  <c r="M3370" i="9"/>
  <c r="L3370" i="9"/>
  <c r="K3370" i="9"/>
  <c r="N3369" i="9"/>
  <c r="M3369" i="9"/>
  <c r="L3369" i="9"/>
  <c r="K3369" i="9"/>
  <c r="N3368" i="9"/>
  <c r="M3368" i="9"/>
  <c r="L3368" i="9"/>
  <c r="K3368" i="9"/>
  <c r="M3367" i="9"/>
  <c r="N3367" i="9" s="1"/>
  <c r="L3367" i="9"/>
  <c r="K3367" i="9"/>
  <c r="N3366" i="9"/>
  <c r="M3366" i="9"/>
  <c r="L3366" i="9"/>
  <c r="K3366" i="9"/>
  <c r="N3365" i="9"/>
  <c r="M3365" i="9"/>
  <c r="L3365" i="9"/>
  <c r="K3365" i="9"/>
  <c r="N3364" i="9"/>
  <c r="M3364" i="9"/>
  <c r="L3364" i="9"/>
  <c r="K3364" i="9"/>
  <c r="N3363" i="9"/>
  <c r="M3363" i="9"/>
  <c r="L3363" i="9"/>
  <c r="K3363" i="9"/>
  <c r="N3362" i="9"/>
  <c r="M3362" i="9"/>
  <c r="L3362" i="9"/>
  <c r="K3362" i="9"/>
  <c r="N3361" i="9"/>
  <c r="M3361" i="9"/>
  <c r="L3361" i="9"/>
  <c r="K3361" i="9"/>
  <c r="M3360" i="9"/>
  <c r="N3360" i="9" s="1"/>
  <c r="L3360" i="9"/>
  <c r="K3360" i="9"/>
  <c r="N3359" i="9"/>
  <c r="M3359" i="9"/>
  <c r="L3359" i="9"/>
  <c r="K3359" i="9"/>
  <c r="N3358" i="9"/>
  <c r="M3358" i="9"/>
  <c r="L3358" i="9"/>
  <c r="K3358" i="9"/>
  <c r="N3357" i="9"/>
  <c r="M3357" i="9"/>
  <c r="L3357" i="9"/>
  <c r="K3357" i="9"/>
  <c r="N3356" i="9"/>
  <c r="M3356" i="9"/>
  <c r="L3356" i="9"/>
  <c r="K3356" i="9"/>
  <c r="N3355" i="9"/>
  <c r="M3355" i="9"/>
  <c r="L3355" i="9"/>
  <c r="K3355" i="9"/>
  <c r="N3354" i="9"/>
  <c r="M3354" i="9"/>
  <c r="L3354" i="9"/>
  <c r="K3354" i="9"/>
  <c r="M3353" i="9"/>
  <c r="N3353" i="9" s="1"/>
  <c r="L3353" i="9"/>
  <c r="K3353" i="9"/>
  <c r="N3352" i="9"/>
  <c r="M3352" i="9"/>
  <c r="L3352" i="9"/>
  <c r="K3352" i="9"/>
  <c r="N3351" i="9"/>
  <c r="M3351" i="9"/>
  <c r="L3351" i="9"/>
  <c r="K3351" i="9"/>
  <c r="N3350" i="9"/>
  <c r="M3350" i="9"/>
  <c r="L3350" i="9"/>
  <c r="K3350" i="9"/>
  <c r="N3349" i="9"/>
  <c r="M3349" i="9"/>
  <c r="L3349" i="9"/>
  <c r="K3349" i="9"/>
  <c r="N3348" i="9"/>
  <c r="M3348" i="9"/>
  <c r="L3348" i="9"/>
  <c r="K3348" i="9"/>
  <c r="N3347" i="9"/>
  <c r="M3347" i="9"/>
  <c r="L3347" i="9"/>
  <c r="K3347" i="9"/>
  <c r="M3346" i="9"/>
  <c r="N3346" i="9" s="1"/>
  <c r="L3346" i="9"/>
  <c r="K3346" i="9"/>
  <c r="N3345" i="9"/>
  <c r="M3345" i="9"/>
  <c r="L3345" i="9"/>
  <c r="K3345" i="9"/>
  <c r="N3344" i="9"/>
  <c r="M3344" i="9"/>
  <c r="L3344" i="9"/>
  <c r="K3344" i="9"/>
  <c r="N3343" i="9"/>
  <c r="M3343" i="9"/>
  <c r="L3343" i="9"/>
  <c r="K3343" i="9"/>
  <c r="N3342" i="9"/>
  <c r="M3342" i="9"/>
  <c r="L3342" i="9"/>
  <c r="K3342" i="9"/>
  <c r="N3341" i="9"/>
  <c r="M3341" i="9"/>
  <c r="L3341" i="9"/>
  <c r="K3341" i="9"/>
  <c r="N3340" i="9"/>
  <c r="M3340" i="9"/>
  <c r="L3340" i="9"/>
  <c r="K3340" i="9"/>
  <c r="M3339" i="9"/>
  <c r="N3339" i="9" s="1"/>
  <c r="L3339" i="9"/>
  <c r="K3339" i="9"/>
  <c r="N3338" i="9"/>
  <c r="M3338" i="9"/>
  <c r="L3338" i="9"/>
  <c r="K3338" i="9"/>
  <c r="N3337" i="9"/>
  <c r="M3337" i="9"/>
  <c r="L3337" i="9"/>
  <c r="K3337" i="9"/>
  <c r="N3336" i="9"/>
  <c r="M3336" i="9"/>
  <c r="L3336" i="9"/>
  <c r="K3336" i="9"/>
  <c r="N3335" i="9"/>
  <c r="M3335" i="9"/>
  <c r="L3335" i="9"/>
  <c r="K3335" i="9"/>
  <c r="N3334" i="9"/>
  <c r="M3334" i="9"/>
  <c r="L3334" i="9"/>
  <c r="K3334" i="9"/>
  <c r="N3333" i="9"/>
  <c r="M3333" i="9"/>
  <c r="L3333" i="9"/>
  <c r="K3333" i="9"/>
  <c r="M3332" i="9"/>
  <c r="N3332" i="9" s="1"/>
  <c r="L3332" i="9"/>
  <c r="K3332" i="9"/>
  <c r="N3331" i="9"/>
  <c r="M3331" i="9"/>
  <c r="L3331" i="9"/>
  <c r="K3331" i="9"/>
  <c r="N3330" i="9"/>
  <c r="M3330" i="9"/>
  <c r="L3330" i="9"/>
  <c r="K3330" i="9"/>
  <c r="N3329" i="9"/>
  <c r="M3329" i="9"/>
  <c r="L3329" i="9"/>
  <c r="K3329" i="9"/>
  <c r="N3328" i="9"/>
  <c r="M3328" i="9"/>
  <c r="L3328" i="9"/>
  <c r="K3328" i="9"/>
  <c r="N3327" i="9"/>
  <c r="M3327" i="9"/>
  <c r="L3327" i="9"/>
  <c r="K3327" i="9"/>
  <c r="N3326" i="9"/>
  <c r="M3326" i="9"/>
  <c r="L3326" i="9"/>
  <c r="K3326" i="9"/>
  <c r="M3325" i="9"/>
  <c r="N3325" i="9" s="1"/>
  <c r="L3325" i="9"/>
  <c r="K3325" i="9"/>
  <c r="N3324" i="9"/>
  <c r="M3324" i="9"/>
  <c r="L3324" i="9"/>
  <c r="K3324" i="9"/>
  <c r="N3323" i="9"/>
  <c r="M3323" i="9"/>
  <c r="L3323" i="9"/>
  <c r="K3323" i="9"/>
  <c r="N3322" i="9"/>
  <c r="M3322" i="9"/>
  <c r="L3322" i="9"/>
  <c r="K3322" i="9"/>
  <c r="N3321" i="9"/>
  <c r="M3321" i="9"/>
  <c r="L3321" i="9"/>
  <c r="K3321" i="9"/>
  <c r="N3320" i="9"/>
  <c r="M3320" i="9"/>
  <c r="L3320" i="9"/>
  <c r="K3320" i="9"/>
  <c r="N3319" i="9"/>
  <c r="M3319" i="9"/>
  <c r="L3319" i="9"/>
  <c r="K3319" i="9"/>
  <c r="M3318" i="9"/>
  <c r="N3318" i="9" s="1"/>
  <c r="L3318" i="9"/>
  <c r="K3318" i="9"/>
  <c r="N3317" i="9"/>
  <c r="M3317" i="9"/>
  <c r="L3317" i="9"/>
  <c r="K3317" i="9"/>
  <c r="N3316" i="9"/>
  <c r="M3316" i="9"/>
  <c r="L3316" i="9"/>
  <c r="K3316" i="9"/>
  <c r="N3315" i="9"/>
  <c r="M3315" i="9"/>
  <c r="L3315" i="9"/>
  <c r="K3315" i="9"/>
  <c r="N3314" i="9"/>
  <c r="M3314" i="9"/>
  <c r="L3314" i="9"/>
  <c r="K3314" i="9"/>
  <c r="N3313" i="9"/>
  <c r="M3313" i="9"/>
  <c r="L3313" i="9"/>
  <c r="K3313" i="9"/>
  <c r="N3312" i="9"/>
  <c r="M3312" i="9"/>
  <c r="L3312" i="9"/>
  <c r="K3312" i="9"/>
  <c r="M3311" i="9"/>
  <c r="N3311" i="9" s="1"/>
  <c r="L3311" i="9"/>
  <c r="K3311" i="9"/>
  <c r="N3310" i="9"/>
  <c r="M3310" i="9"/>
  <c r="L3310" i="9"/>
  <c r="K3310" i="9"/>
  <c r="N3309" i="9"/>
  <c r="M3309" i="9"/>
  <c r="L3309" i="9"/>
  <c r="K3309" i="9"/>
  <c r="N3308" i="9"/>
  <c r="M3308" i="9"/>
  <c r="L3308" i="9"/>
  <c r="K3308" i="9"/>
  <c r="N3307" i="9"/>
  <c r="M3307" i="9"/>
  <c r="L3307" i="9"/>
  <c r="K3307" i="9"/>
  <c r="N3306" i="9"/>
  <c r="M3306" i="9"/>
  <c r="L3306" i="9"/>
  <c r="K3306" i="9"/>
  <c r="N3305" i="9"/>
  <c r="M3305" i="9"/>
  <c r="L3305" i="9"/>
  <c r="K3305" i="9"/>
  <c r="M3304" i="9"/>
  <c r="N3304" i="9" s="1"/>
  <c r="L3304" i="9"/>
  <c r="K3304" i="9"/>
  <c r="N3303" i="9"/>
  <c r="M3303" i="9"/>
  <c r="L3303" i="9"/>
  <c r="K3303" i="9"/>
  <c r="N3302" i="9"/>
  <c r="M3302" i="9"/>
  <c r="L3302" i="9"/>
  <c r="K3302" i="9"/>
  <c r="N3301" i="9"/>
  <c r="M3301" i="9"/>
  <c r="L3301" i="9"/>
  <c r="K3301" i="9"/>
  <c r="N3300" i="9"/>
  <c r="M3300" i="9"/>
  <c r="L3300" i="9"/>
  <c r="K3300" i="9"/>
  <c r="N3299" i="9"/>
  <c r="M3299" i="9"/>
  <c r="L3299" i="9"/>
  <c r="K3299" i="9"/>
  <c r="N3298" i="9"/>
  <c r="M3298" i="9"/>
  <c r="L3298" i="9"/>
  <c r="K3298" i="9"/>
  <c r="M3297" i="9"/>
  <c r="N3297" i="9" s="1"/>
  <c r="L3297" i="9"/>
  <c r="K3297" i="9"/>
  <c r="N3296" i="9"/>
  <c r="M3296" i="9"/>
  <c r="L3296" i="9"/>
  <c r="K3296" i="9"/>
  <c r="N3295" i="9"/>
  <c r="M3295" i="9"/>
  <c r="L3295" i="9"/>
  <c r="K3295" i="9"/>
  <c r="N3294" i="9"/>
  <c r="M3294" i="9"/>
  <c r="L3294" i="9"/>
  <c r="K3294" i="9"/>
  <c r="N3293" i="9"/>
  <c r="M3293" i="9"/>
  <c r="L3293" i="9"/>
  <c r="K3293" i="9"/>
  <c r="N3292" i="9"/>
  <c r="M3292" i="9"/>
  <c r="L3292" i="9"/>
  <c r="K3292" i="9"/>
  <c r="N3291" i="9"/>
  <c r="M3291" i="9"/>
  <c r="L3291" i="9"/>
  <c r="K3291" i="9"/>
  <c r="M3290" i="9"/>
  <c r="N3290" i="9" s="1"/>
  <c r="L3290" i="9"/>
  <c r="K3290" i="9"/>
  <c r="N3289" i="9"/>
  <c r="M3289" i="9"/>
  <c r="L3289" i="9"/>
  <c r="K3289" i="9"/>
  <c r="N3288" i="9"/>
  <c r="M3288" i="9"/>
  <c r="L3288" i="9"/>
  <c r="K3288" i="9"/>
  <c r="N3287" i="9"/>
  <c r="M3287" i="9"/>
  <c r="L3287" i="9"/>
  <c r="K3287" i="9"/>
  <c r="N3286" i="9"/>
  <c r="M3286" i="9"/>
  <c r="L3286" i="9"/>
  <c r="K3286" i="9"/>
  <c r="N3285" i="9"/>
  <c r="M3285" i="9"/>
  <c r="L3285" i="9"/>
  <c r="K3285" i="9"/>
  <c r="N3284" i="9"/>
  <c r="M3284" i="9"/>
  <c r="L3284" i="9"/>
  <c r="K3284" i="9"/>
  <c r="M3283" i="9"/>
  <c r="N3283" i="9" s="1"/>
  <c r="L3283" i="9"/>
  <c r="K3283" i="9"/>
  <c r="N3282" i="9"/>
  <c r="M3282" i="9"/>
  <c r="L3282" i="9"/>
  <c r="K3282" i="9"/>
  <c r="N3281" i="9"/>
  <c r="M3281" i="9"/>
  <c r="L3281" i="9"/>
  <c r="K3281" i="9"/>
  <c r="N3280" i="9"/>
  <c r="M3280" i="9"/>
  <c r="L3280" i="9"/>
  <c r="K3280" i="9"/>
  <c r="N3279" i="9"/>
  <c r="M3279" i="9"/>
  <c r="L3279" i="9"/>
  <c r="K3279" i="9"/>
  <c r="N3278" i="9"/>
  <c r="M3278" i="9"/>
  <c r="L3278" i="9"/>
  <c r="K3278" i="9"/>
  <c r="N3277" i="9"/>
  <c r="M3277" i="9"/>
  <c r="L3277" i="9"/>
  <c r="K3277" i="9"/>
  <c r="M3276" i="9"/>
  <c r="N3276" i="9" s="1"/>
  <c r="L3276" i="9"/>
  <c r="K3276" i="9"/>
  <c r="N3275" i="9"/>
  <c r="M3275" i="9"/>
  <c r="L3275" i="9"/>
  <c r="K3275" i="9"/>
  <c r="N3274" i="9"/>
  <c r="M3274" i="9"/>
  <c r="L3274" i="9"/>
  <c r="K3274" i="9"/>
  <c r="N3273" i="9"/>
  <c r="M3273" i="9"/>
  <c r="L3273" i="9"/>
  <c r="K3273" i="9"/>
  <c r="N3272" i="9"/>
  <c r="M3272" i="9"/>
  <c r="L3272" i="9"/>
  <c r="K3272" i="9"/>
  <c r="N3271" i="9"/>
  <c r="M3271" i="9"/>
  <c r="L3271" i="9"/>
  <c r="K3271" i="9"/>
  <c r="N3270" i="9"/>
  <c r="M3270" i="9"/>
  <c r="L3270" i="9"/>
  <c r="K3270" i="9"/>
  <c r="M3269" i="9"/>
  <c r="N3269" i="9" s="1"/>
  <c r="L3269" i="9"/>
  <c r="K3269" i="9"/>
  <c r="N3268" i="9"/>
  <c r="M3268" i="9"/>
  <c r="L3268" i="9"/>
  <c r="K3268" i="9"/>
  <c r="N3267" i="9"/>
  <c r="M3267" i="9"/>
  <c r="L3267" i="9"/>
  <c r="K3267" i="9"/>
  <c r="N3266" i="9"/>
  <c r="M3266" i="9"/>
  <c r="L3266" i="9"/>
  <c r="K3266" i="9"/>
  <c r="N3265" i="9"/>
  <c r="M3265" i="9"/>
  <c r="L3265" i="9"/>
  <c r="K3265" i="9"/>
  <c r="N3264" i="9"/>
  <c r="M3264" i="9"/>
  <c r="L3264" i="9"/>
  <c r="K3264" i="9"/>
  <c r="N3263" i="9"/>
  <c r="M3263" i="9"/>
  <c r="L3263" i="9"/>
  <c r="K3263" i="9"/>
  <c r="M3262" i="9"/>
  <c r="N3262" i="9" s="1"/>
  <c r="L3262" i="9"/>
  <c r="K3262" i="9"/>
  <c r="N3261" i="9"/>
  <c r="M3261" i="9"/>
  <c r="L3261" i="9"/>
  <c r="K3261" i="9"/>
  <c r="N3260" i="9"/>
  <c r="M3260" i="9"/>
  <c r="L3260" i="9"/>
  <c r="K3260" i="9"/>
  <c r="N3259" i="9"/>
  <c r="M3259" i="9"/>
  <c r="L3259" i="9"/>
  <c r="K3259" i="9"/>
  <c r="N3258" i="9"/>
  <c r="M3258" i="9"/>
  <c r="L3258" i="9"/>
  <c r="K3258" i="9"/>
  <c r="N3257" i="9"/>
  <c r="M3257" i="9"/>
  <c r="L3257" i="9"/>
  <c r="K3257" i="9"/>
  <c r="N3256" i="9"/>
  <c r="M3256" i="9"/>
  <c r="L3256" i="9"/>
  <c r="K3256" i="9"/>
  <c r="M3255" i="9"/>
  <c r="N3255" i="9" s="1"/>
  <c r="L3255" i="9"/>
  <c r="K3255" i="9"/>
  <c r="N3254" i="9"/>
  <c r="M3254" i="9"/>
  <c r="L3254" i="9"/>
  <c r="K3254" i="9"/>
  <c r="N3253" i="9"/>
  <c r="M3253" i="9"/>
  <c r="L3253" i="9"/>
  <c r="K3253" i="9"/>
  <c r="N3252" i="9"/>
  <c r="M3252" i="9"/>
  <c r="L3252" i="9"/>
  <c r="K3252" i="9"/>
  <c r="N3251" i="9"/>
  <c r="M3251" i="9"/>
  <c r="L3251" i="9"/>
  <c r="K3251" i="9"/>
  <c r="N3250" i="9"/>
  <c r="M3250" i="9"/>
  <c r="L3250" i="9"/>
  <c r="K3250" i="9"/>
  <c r="M3249" i="9"/>
  <c r="N3249" i="9" s="1"/>
  <c r="L3249" i="9"/>
  <c r="K3249" i="9"/>
  <c r="M3248" i="9"/>
  <c r="N3248" i="9" s="1"/>
  <c r="L3248" i="9"/>
  <c r="K3248" i="9"/>
  <c r="N3247" i="9"/>
  <c r="M3247" i="9"/>
  <c r="L3247" i="9"/>
  <c r="K3247" i="9"/>
  <c r="M3246" i="9"/>
  <c r="N3246" i="9" s="1"/>
  <c r="L3246" i="9"/>
  <c r="K3246" i="9"/>
  <c r="M3245" i="9"/>
  <c r="L3245" i="9"/>
  <c r="N3245" i="9" s="1"/>
  <c r="K3245" i="9"/>
  <c r="M3244" i="9"/>
  <c r="N3244" i="9" s="1"/>
  <c r="L3244" i="9"/>
  <c r="K3244" i="9"/>
  <c r="M3243" i="9"/>
  <c r="N3243" i="9" s="1"/>
  <c r="L3243" i="9"/>
  <c r="K3243" i="9"/>
  <c r="M3242" i="9"/>
  <c r="L3242" i="9"/>
  <c r="N3242" i="9" s="1"/>
  <c r="K3242" i="9"/>
  <c r="N3241" i="9"/>
  <c r="M3241" i="9"/>
  <c r="L3241" i="9"/>
  <c r="K3241" i="9"/>
  <c r="N3240" i="9"/>
  <c r="M3240" i="9"/>
  <c r="L3240" i="9"/>
  <c r="K3240" i="9"/>
  <c r="M3239" i="9"/>
  <c r="L3239" i="9"/>
  <c r="N3239" i="9" s="1"/>
  <c r="K3239" i="9"/>
  <c r="M3238" i="9"/>
  <c r="L3238" i="9"/>
  <c r="N3238" i="9" s="1"/>
  <c r="K3238" i="9"/>
  <c r="M3237" i="9"/>
  <c r="L3237" i="9"/>
  <c r="N3237" i="9" s="1"/>
  <c r="K3237" i="9"/>
  <c r="M3236" i="9"/>
  <c r="L3236" i="9"/>
  <c r="N3236" i="9" s="1"/>
  <c r="K3236" i="9"/>
  <c r="M3235" i="9"/>
  <c r="L3235" i="9"/>
  <c r="N3235" i="9" s="1"/>
  <c r="K3235" i="9"/>
  <c r="N3234" i="9"/>
  <c r="M3234" i="9"/>
  <c r="L3234" i="9"/>
  <c r="K3234" i="9"/>
  <c r="N3233" i="9"/>
  <c r="M3233" i="9"/>
  <c r="L3233" i="9"/>
  <c r="K3233" i="9"/>
  <c r="M3232" i="9"/>
  <c r="L3232" i="9"/>
  <c r="N3232" i="9" s="1"/>
  <c r="K3232" i="9"/>
  <c r="M3231" i="9"/>
  <c r="L3231" i="9"/>
  <c r="N3231" i="9" s="1"/>
  <c r="K3231" i="9"/>
  <c r="M3230" i="9"/>
  <c r="L3230" i="9"/>
  <c r="N3230" i="9" s="1"/>
  <c r="K3230" i="9"/>
  <c r="M3229" i="9"/>
  <c r="L3229" i="9"/>
  <c r="N3229" i="9" s="1"/>
  <c r="K3229" i="9"/>
  <c r="N3228" i="9"/>
  <c r="M3228" i="9"/>
  <c r="L3228" i="9"/>
  <c r="K3228" i="9"/>
  <c r="N3227" i="9"/>
  <c r="M3227" i="9"/>
  <c r="L3227" i="9"/>
  <c r="K3227" i="9"/>
  <c r="M3226" i="9"/>
  <c r="L3226" i="9"/>
  <c r="N3226" i="9" s="1"/>
  <c r="K3226" i="9"/>
  <c r="M3225" i="9"/>
  <c r="L3225" i="9"/>
  <c r="N3225" i="9" s="1"/>
  <c r="K3225" i="9"/>
  <c r="M3224" i="9"/>
  <c r="L3224" i="9"/>
  <c r="N3224" i="9" s="1"/>
  <c r="K3224" i="9"/>
  <c r="M3223" i="9"/>
  <c r="L3223" i="9"/>
  <c r="N3223" i="9" s="1"/>
  <c r="K3223" i="9"/>
  <c r="N3222" i="9"/>
  <c r="M3222" i="9"/>
  <c r="L3222" i="9"/>
  <c r="K3222" i="9"/>
  <c r="N3221" i="9"/>
  <c r="M3221" i="9"/>
  <c r="L3221" i="9"/>
  <c r="K3221" i="9"/>
  <c r="N3220" i="9"/>
  <c r="M3220" i="9"/>
  <c r="L3220" i="9"/>
  <c r="K3220" i="9"/>
  <c r="M3219" i="9"/>
  <c r="L3219" i="9"/>
  <c r="N3219" i="9" s="1"/>
  <c r="K3219" i="9"/>
  <c r="M3218" i="9"/>
  <c r="L3218" i="9"/>
  <c r="N3218" i="9" s="1"/>
  <c r="K3218" i="9"/>
  <c r="M3217" i="9"/>
  <c r="L3217" i="9"/>
  <c r="N3217" i="9" s="1"/>
  <c r="K3217" i="9"/>
  <c r="M3216" i="9"/>
  <c r="L3216" i="9"/>
  <c r="N3216" i="9" s="1"/>
  <c r="K3216" i="9"/>
  <c r="N3215" i="9"/>
  <c r="M3215" i="9"/>
  <c r="L3215" i="9"/>
  <c r="K3215" i="9"/>
  <c r="M3214" i="9"/>
  <c r="L3214" i="9"/>
  <c r="N3214" i="9" s="1"/>
  <c r="K3214" i="9"/>
  <c r="N3213" i="9"/>
  <c r="M3213" i="9"/>
  <c r="L3213" i="9"/>
  <c r="K3213" i="9"/>
  <c r="M3212" i="9"/>
  <c r="L3212" i="9"/>
  <c r="N3212" i="9" s="1"/>
  <c r="K3212" i="9"/>
  <c r="M3211" i="9"/>
  <c r="L3211" i="9"/>
  <c r="N3211" i="9" s="1"/>
  <c r="K3211" i="9"/>
  <c r="M3210" i="9"/>
  <c r="L3210" i="9"/>
  <c r="N3210" i="9" s="1"/>
  <c r="K3210" i="9"/>
  <c r="M3209" i="9"/>
  <c r="L3209" i="9"/>
  <c r="N3209" i="9" s="1"/>
  <c r="K3209" i="9"/>
  <c r="N3208" i="9"/>
  <c r="M3208" i="9"/>
  <c r="L3208" i="9"/>
  <c r="K3208" i="9"/>
  <c r="M3207" i="9"/>
  <c r="L3207" i="9"/>
  <c r="N3207" i="9" s="1"/>
  <c r="K3207" i="9"/>
  <c r="N3206" i="9"/>
  <c r="M3206" i="9"/>
  <c r="L3206" i="9"/>
  <c r="K3206" i="9"/>
  <c r="M3205" i="9"/>
  <c r="L3205" i="9"/>
  <c r="N3205" i="9" s="1"/>
  <c r="K3205" i="9"/>
  <c r="M3204" i="9"/>
  <c r="L3204" i="9"/>
  <c r="N3204" i="9" s="1"/>
  <c r="K3204" i="9"/>
  <c r="M3203" i="9"/>
  <c r="L3203" i="9"/>
  <c r="N3203" i="9" s="1"/>
  <c r="K3203" i="9"/>
  <c r="M3202" i="9"/>
  <c r="L3202" i="9"/>
  <c r="N3202" i="9" s="1"/>
  <c r="K3202" i="9"/>
  <c r="M3201" i="9"/>
  <c r="L3201" i="9"/>
  <c r="N3201" i="9" s="1"/>
  <c r="K3201" i="9"/>
  <c r="M3200" i="9"/>
  <c r="L3200" i="9"/>
  <c r="N3200" i="9" s="1"/>
  <c r="K3200" i="9"/>
  <c r="N3199" i="9"/>
  <c r="M3199" i="9"/>
  <c r="L3199" i="9"/>
  <c r="K3199" i="9"/>
  <c r="M3198" i="9"/>
  <c r="L3198" i="9"/>
  <c r="N3198" i="9" s="1"/>
  <c r="K3198" i="9"/>
  <c r="N3197" i="9"/>
  <c r="M3197" i="9"/>
  <c r="L3197" i="9"/>
  <c r="K3197" i="9"/>
  <c r="M3196" i="9"/>
  <c r="L3196" i="9"/>
  <c r="N3196" i="9" s="1"/>
  <c r="K3196" i="9"/>
  <c r="M3195" i="9"/>
  <c r="L3195" i="9"/>
  <c r="N3195" i="9" s="1"/>
  <c r="K3195" i="9"/>
  <c r="M3194" i="9"/>
  <c r="L3194" i="9"/>
  <c r="N3194" i="9" s="1"/>
  <c r="K3194" i="9"/>
  <c r="M3193" i="9"/>
  <c r="L3193" i="9"/>
  <c r="N3193" i="9" s="1"/>
  <c r="K3193" i="9"/>
  <c r="N3192" i="9"/>
  <c r="M3192" i="9"/>
  <c r="L3192" i="9"/>
  <c r="K3192" i="9"/>
  <c r="M3191" i="9"/>
  <c r="L3191" i="9"/>
  <c r="N3191" i="9" s="1"/>
  <c r="K3191" i="9"/>
  <c r="N3190" i="9"/>
  <c r="M3190" i="9"/>
  <c r="L3190" i="9"/>
  <c r="K3190" i="9"/>
  <c r="M3189" i="9"/>
  <c r="L3189" i="9"/>
  <c r="N3189" i="9" s="1"/>
  <c r="K3189" i="9"/>
  <c r="M3188" i="9"/>
  <c r="L3188" i="9"/>
  <c r="N3188" i="9" s="1"/>
  <c r="K3188" i="9"/>
  <c r="M3187" i="9"/>
  <c r="L3187" i="9"/>
  <c r="N3187" i="9" s="1"/>
  <c r="K3187" i="9"/>
  <c r="M3186" i="9"/>
  <c r="L3186" i="9"/>
  <c r="N3186" i="9" s="1"/>
  <c r="K3186" i="9"/>
  <c r="N3185" i="9"/>
  <c r="M3185" i="9"/>
  <c r="L3185" i="9"/>
  <c r="K3185" i="9"/>
  <c r="M3184" i="9"/>
  <c r="L3184" i="9"/>
  <c r="N3184" i="9" s="1"/>
  <c r="K3184" i="9"/>
  <c r="N3183" i="9"/>
  <c r="M3183" i="9"/>
  <c r="L3183" i="9"/>
  <c r="K3183" i="9"/>
  <c r="M3182" i="9"/>
  <c r="L3182" i="9"/>
  <c r="N3182" i="9" s="1"/>
  <c r="K3182" i="9"/>
  <c r="M3181" i="9"/>
  <c r="L3181" i="9"/>
  <c r="N3181" i="9" s="1"/>
  <c r="K3181" i="9"/>
  <c r="M3180" i="9"/>
  <c r="L3180" i="9"/>
  <c r="N3180" i="9" s="1"/>
  <c r="K3180" i="9"/>
  <c r="M3179" i="9"/>
  <c r="L3179" i="9"/>
  <c r="N3179" i="9" s="1"/>
  <c r="K3179" i="9"/>
  <c r="N3178" i="9"/>
  <c r="M3178" i="9"/>
  <c r="L3178" i="9"/>
  <c r="K3178" i="9"/>
  <c r="M3177" i="9"/>
  <c r="L3177" i="9"/>
  <c r="N3177" i="9" s="1"/>
  <c r="K3177" i="9"/>
  <c r="N3176" i="9"/>
  <c r="M3176" i="9"/>
  <c r="L3176" i="9"/>
  <c r="K3176" i="9"/>
  <c r="M3175" i="9"/>
  <c r="L3175" i="9"/>
  <c r="N3175" i="9" s="1"/>
  <c r="K3175" i="9"/>
  <c r="M3174" i="9"/>
  <c r="L3174" i="9"/>
  <c r="N3174" i="9" s="1"/>
  <c r="K3174" i="9"/>
  <c r="M3173" i="9"/>
  <c r="L3173" i="9"/>
  <c r="N3173" i="9" s="1"/>
  <c r="K3173" i="9"/>
  <c r="M3172" i="9"/>
  <c r="L3172" i="9"/>
  <c r="N3172" i="9" s="1"/>
  <c r="K3172" i="9"/>
  <c r="N3171" i="9"/>
  <c r="M3171" i="9"/>
  <c r="L3171" i="9"/>
  <c r="K3171" i="9"/>
  <c r="M3170" i="9"/>
  <c r="L3170" i="9"/>
  <c r="N3170" i="9" s="1"/>
  <c r="K3170" i="9"/>
  <c r="N3169" i="9"/>
  <c r="M3169" i="9"/>
  <c r="L3169" i="9"/>
  <c r="K3169" i="9"/>
  <c r="M3168" i="9"/>
  <c r="L3168" i="9"/>
  <c r="N3168" i="9" s="1"/>
  <c r="K3168" i="9"/>
  <c r="M3167" i="9"/>
  <c r="L3167" i="9"/>
  <c r="N3167" i="9" s="1"/>
  <c r="K3167" i="9"/>
  <c r="M3166" i="9"/>
  <c r="L3166" i="9"/>
  <c r="N3166" i="9" s="1"/>
  <c r="K3166" i="9"/>
  <c r="M3165" i="9"/>
  <c r="L3165" i="9"/>
  <c r="N3165" i="9" s="1"/>
  <c r="K3165" i="9"/>
  <c r="N3164" i="9"/>
  <c r="M3164" i="9"/>
  <c r="L3164" i="9"/>
  <c r="K3164" i="9"/>
  <c r="M3163" i="9"/>
  <c r="L3163" i="9"/>
  <c r="N3163" i="9" s="1"/>
  <c r="K3163" i="9"/>
  <c r="N3162" i="9"/>
  <c r="M3162" i="9"/>
  <c r="L3162" i="9"/>
  <c r="K3162" i="9"/>
  <c r="M3161" i="9"/>
  <c r="L3161" i="9"/>
  <c r="N3161" i="9" s="1"/>
  <c r="K3161" i="9"/>
  <c r="M3160" i="9"/>
  <c r="L3160" i="9"/>
  <c r="N3160" i="9" s="1"/>
  <c r="K3160" i="9"/>
  <c r="M3159" i="9"/>
  <c r="L3159" i="9"/>
  <c r="N3159" i="9" s="1"/>
  <c r="K3159" i="9"/>
  <c r="M3158" i="9"/>
  <c r="L3158" i="9"/>
  <c r="N3158" i="9" s="1"/>
  <c r="K3158" i="9"/>
  <c r="N3157" i="9"/>
  <c r="M3157" i="9"/>
  <c r="L3157" i="9"/>
  <c r="K3157" i="9"/>
  <c r="M3156" i="9"/>
  <c r="L3156" i="9"/>
  <c r="N3156" i="9" s="1"/>
  <c r="K3156" i="9"/>
  <c r="N3155" i="9"/>
  <c r="M3155" i="9"/>
  <c r="L3155" i="9"/>
  <c r="K3155" i="9"/>
  <c r="M3154" i="9"/>
  <c r="L3154" i="9"/>
  <c r="N3154" i="9" s="1"/>
  <c r="K3154" i="9"/>
  <c r="M3153" i="9"/>
  <c r="L3153" i="9"/>
  <c r="N3153" i="9" s="1"/>
  <c r="K3153" i="9"/>
  <c r="M3152" i="9"/>
  <c r="L3152" i="9"/>
  <c r="N3152" i="9" s="1"/>
  <c r="K3152" i="9"/>
  <c r="M3151" i="9"/>
  <c r="L3151" i="9"/>
  <c r="N3151" i="9" s="1"/>
  <c r="K3151" i="9"/>
  <c r="N3150" i="9"/>
  <c r="M3150" i="9"/>
  <c r="L3150" i="9"/>
  <c r="K3150" i="9"/>
  <c r="M3149" i="9"/>
  <c r="L3149" i="9"/>
  <c r="N3149" i="9" s="1"/>
  <c r="K3149" i="9"/>
  <c r="N3148" i="9"/>
  <c r="M3148" i="9"/>
  <c r="L3148" i="9"/>
  <c r="K3148" i="9"/>
  <c r="M3147" i="9"/>
  <c r="L3147" i="9"/>
  <c r="N3147" i="9" s="1"/>
  <c r="K3147" i="9"/>
  <c r="M3146" i="9"/>
  <c r="L3146" i="9"/>
  <c r="N3146" i="9" s="1"/>
  <c r="K3146" i="9"/>
  <c r="M3145" i="9"/>
  <c r="L3145" i="9"/>
  <c r="N3145" i="9" s="1"/>
  <c r="K3145" i="9"/>
  <c r="M3144" i="9"/>
  <c r="L3144" i="9"/>
  <c r="N3144" i="9" s="1"/>
  <c r="K3144" i="9"/>
  <c r="N3143" i="9"/>
  <c r="M3143" i="9"/>
  <c r="L3143" i="9"/>
  <c r="K3143" i="9"/>
  <c r="M3142" i="9"/>
  <c r="L3142" i="9"/>
  <c r="N3142" i="9" s="1"/>
  <c r="K3142" i="9"/>
  <c r="N3141" i="9"/>
  <c r="M3141" i="9"/>
  <c r="L3141" i="9"/>
  <c r="K3141" i="9"/>
  <c r="M3140" i="9"/>
  <c r="L3140" i="9"/>
  <c r="N3140" i="9" s="1"/>
  <c r="K3140" i="9"/>
  <c r="M3139" i="9"/>
  <c r="L3139" i="9"/>
  <c r="N3139" i="9" s="1"/>
  <c r="K3139" i="9"/>
  <c r="M3138" i="9"/>
  <c r="L3138" i="9"/>
  <c r="N3138" i="9" s="1"/>
  <c r="K3138" i="9"/>
  <c r="M3137" i="9"/>
  <c r="L3137" i="9"/>
  <c r="N3137" i="9" s="1"/>
  <c r="K3137" i="9"/>
  <c r="N3136" i="9"/>
  <c r="M3136" i="9"/>
  <c r="L3136" i="9"/>
  <c r="K3136" i="9"/>
  <c r="M3135" i="9"/>
  <c r="L3135" i="9"/>
  <c r="N3135" i="9" s="1"/>
  <c r="K3135" i="9"/>
  <c r="N3134" i="9"/>
  <c r="M3134" i="9"/>
  <c r="L3134" i="9"/>
  <c r="K3134" i="9"/>
  <c r="M3133" i="9"/>
  <c r="L3133" i="9"/>
  <c r="N3133" i="9" s="1"/>
  <c r="K3133" i="9"/>
  <c r="M3132" i="9"/>
  <c r="L3132" i="9"/>
  <c r="N3132" i="9" s="1"/>
  <c r="K3132" i="9"/>
  <c r="M3131" i="9"/>
  <c r="L3131" i="9"/>
  <c r="N3131" i="9" s="1"/>
  <c r="K3131" i="9"/>
  <c r="M3130" i="9"/>
  <c r="L3130" i="9"/>
  <c r="N3130" i="9" s="1"/>
  <c r="K3130" i="9"/>
  <c r="N3129" i="9"/>
  <c r="M3129" i="9"/>
  <c r="L3129" i="9"/>
  <c r="K3129" i="9"/>
  <c r="M3128" i="9"/>
  <c r="L3128" i="9"/>
  <c r="N3128" i="9" s="1"/>
  <c r="K3128" i="9"/>
  <c r="N3127" i="9"/>
  <c r="M3127" i="9"/>
  <c r="L3127" i="9"/>
  <c r="K3127" i="9"/>
  <c r="M3126" i="9"/>
  <c r="L3126" i="9"/>
  <c r="N3126" i="9" s="1"/>
  <c r="K3126" i="9"/>
  <c r="M3125" i="9"/>
  <c r="L3125" i="9"/>
  <c r="N3125" i="9" s="1"/>
  <c r="K3125" i="9"/>
  <c r="M3124" i="9"/>
  <c r="L3124" i="9"/>
  <c r="N3124" i="9" s="1"/>
  <c r="K3124" i="9"/>
  <c r="M3123" i="9"/>
  <c r="L3123" i="9"/>
  <c r="N3123" i="9" s="1"/>
  <c r="K3123" i="9"/>
  <c r="N3122" i="9"/>
  <c r="M3122" i="9"/>
  <c r="L3122" i="9"/>
  <c r="K3122" i="9"/>
  <c r="M3121" i="9"/>
  <c r="L3121" i="9"/>
  <c r="N3121" i="9" s="1"/>
  <c r="K3121" i="9"/>
  <c r="N3120" i="9"/>
  <c r="M3120" i="9"/>
  <c r="L3120" i="9"/>
  <c r="K3120" i="9"/>
  <c r="M3119" i="9"/>
  <c r="L3119" i="9"/>
  <c r="N3119" i="9" s="1"/>
  <c r="K3119" i="9"/>
  <c r="M3118" i="9"/>
  <c r="L3118" i="9"/>
  <c r="N3118" i="9" s="1"/>
  <c r="K3118" i="9"/>
  <c r="M3117" i="9"/>
  <c r="L3117" i="9"/>
  <c r="N3117" i="9" s="1"/>
  <c r="K3117" i="9"/>
  <c r="M3116" i="9"/>
  <c r="L3116" i="9"/>
  <c r="N3116" i="9" s="1"/>
  <c r="K3116" i="9"/>
  <c r="N3115" i="9"/>
  <c r="M3115" i="9"/>
  <c r="L3115" i="9"/>
  <c r="K3115" i="9"/>
  <c r="M3114" i="9"/>
  <c r="L3114" i="9"/>
  <c r="N3114" i="9" s="1"/>
  <c r="K3114" i="9"/>
  <c r="N3113" i="9"/>
  <c r="M3113" i="9"/>
  <c r="L3113" i="9"/>
  <c r="K3113" i="9"/>
  <c r="M3112" i="9"/>
  <c r="L3112" i="9"/>
  <c r="N3112" i="9" s="1"/>
  <c r="K3112" i="9"/>
  <c r="N3111" i="9"/>
  <c r="M3111" i="9"/>
  <c r="L3111" i="9"/>
  <c r="K3111" i="9"/>
  <c r="M3110" i="9"/>
  <c r="L3110" i="9"/>
  <c r="N3110" i="9" s="1"/>
  <c r="K3110" i="9"/>
  <c r="M3109" i="9"/>
  <c r="L3109" i="9"/>
  <c r="N3109" i="9" s="1"/>
  <c r="K3109" i="9"/>
  <c r="N3108" i="9"/>
  <c r="M3108" i="9"/>
  <c r="L3108" i="9"/>
  <c r="K3108" i="9"/>
  <c r="M3107" i="9"/>
  <c r="L3107" i="9"/>
  <c r="N3107" i="9" s="1"/>
  <c r="K3107" i="9"/>
  <c r="N3106" i="9"/>
  <c r="M3106" i="9"/>
  <c r="L3106" i="9"/>
  <c r="K3106" i="9"/>
  <c r="M3105" i="9"/>
  <c r="L3105" i="9"/>
  <c r="N3105" i="9" s="1"/>
  <c r="K3105" i="9"/>
  <c r="N3104" i="9"/>
  <c r="M3104" i="9"/>
  <c r="L3104" i="9"/>
  <c r="K3104" i="9"/>
  <c r="M3103" i="9"/>
  <c r="L3103" i="9"/>
  <c r="N3103" i="9" s="1"/>
  <c r="K3103" i="9"/>
  <c r="M3102" i="9"/>
  <c r="L3102" i="9"/>
  <c r="N3102" i="9" s="1"/>
  <c r="K3102" i="9"/>
  <c r="N3101" i="9"/>
  <c r="M3101" i="9"/>
  <c r="L3101" i="9"/>
  <c r="K3101" i="9"/>
  <c r="M3100" i="9"/>
  <c r="L3100" i="9"/>
  <c r="N3100" i="9" s="1"/>
  <c r="K3100" i="9"/>
  <c r="N3099" i="9"/>
  <c r="M3099" i="9"/>
  <c r="L3099" i="9"/>
  <c r="K3099" i="9"/>
  <c r="M3098" i="9"/>
  <c r="L3098" i="9"/>
  <c r="N3098" i="9" s="1"/>
  <c r="K3098" i="9"/>
  <c r="N3097" i="9"/>
  <c r="M3097" i="9"/>
  <c r="L3097" i="9"/>
  <c r="K3097" i="9"/>
  <c r="M3096" i="9"/>
  <c r="L3096" i="9"/>
  <c r="N3096" i="9" s="1"/>
  <c r="K3096" i="9"/>
  <c r="M3095" i="9"/>
  <c r="L3095" i="9"/>
  <c r="N3095" i="9" s="1"/>
  <c r="K3095" i="9"/>
  <c r="N3094" i="9"/>
  <c r="M3094" i="9"/>
  <c r="L3094" i="9"/>
  <c r="K3094" i="9"/>
  <c r="M3093" i="9"/>
  <c r="L3093" i="9"/>
  <c r="N3093" i="9" s="1"/>
  <c r="K3093" i="9"/>
  <c r="N3092" i="9"/>
  <c r="M3092" i="9"/>
  <c r="L3092" i="9"/>
  <c r="K3092" i="9"/>
  <c r="M3091" i="9"/>
  <c r="L3091" i="9"/>
  <c r="N3091" i="9" s="1"/>
  <c r="K3091" i="9"/>
  <c r="N3090" i="9"/>
  <c r="M3090" i="9"/>
  <c r="L3090" i="9"/>
  <c r="K3090" i="9"/>
  <c r="M3089" i="9"/>
  <c r="L3089" i="9"/>
  <c r="N3089" i="9" s="1"/>
  <c r="K3089" i="9"/>
  <c r="M3088" i="9"/>
  <c r="L3088" i="9"/>
  <c r="N3088" i="9" s="1"/>
  <c r="K3088" i="9"/>
  <c r="N3087" i="9"/>
  <c r="M3087" i="9"/>
  <c r="L3087" i="9"/>
  <c r="K3087" i="9"/>
  <c r="M3086" i="9"/>
  <c r="L3086" i="9"/>
  <c r="N3086" i="9" s="1"/>
  <c r="K3086" i="9"/>
  <c r="N3085" i="9"/>
  <c r="M3085" i="9"/>
  <c r="L3085" i="9"/>
  <c r="K3085" i="9"/>
  <c r="M3084" i="9"/>
  <c r="L3084" i="9"/>
  <c r="N3084" i="9" s="1"/>
  <c r="K3084" i="9"/>
  <c r="N3083" i="9"/>
  <c r="M3083" i="9"/>
  <c r="L3083" i="9"/>
  <c r="K3083" i="9"/>
  <c r="M3082" i="9"/>
  <c r="L3082" i="9"/>
  <c r="N3082" i="9" s="1"/>
  <c r="K3082" i="9"/>
  <c r="M3081" i="9"/>
  <c r="L3081" i="9"/>
  <c r="N3081" i="9" s="1"/>
  <c r="K3081" i="9"/>
  <c r="N3080" i="9"/>
  <c r="M3080" i="9"/>
  <c r="L3080" i="9"/>
  <c r="K3080" i="9"/>
  <c r="M3079" i="9"/>
  <c r="L3079" i="9"/>
  <c r="N3079" i="9" s="1"/>
  <c r="K3079" i="9"/>
  <c r="N3078" i="9"/>
  <c r="M3078" i="9"/>
  <c r="L3078" i="9"/>
  <c r="K3078" i="9"/>
  <c r="M3077" i="9"/>
  <c r="L3077" i="9"/>
  <c r="N3077" i="9" s="1"/>
  <c r="K3077" i="9"/>
  <c r="N3076" i="9"/>
  <c r="M3076" i="9"/>
  <c r="L3076" i="9"/>
  <c r="K3076" i="9"/>
  <c r="M3075" i="9"/>
  <c r="L3075" i="9"/>
  <c r="N3075" i="9" s="1"/>
  <c r="K3075" i="9"/>
  <c r="M3074" i="9"/>
  <c r="L3074" i="9"/>
  <c r="N3074" i="9" s="1"/>
  <c r="K3074" i="9"/>
  <c r="N3073" i="9"/>
  <c r="M3073" i="9"/>
  <c r="L3073" i="9"/>
  <c r="K3073" i="9"/>
  <c r="M3072" i="9"/>
  <c r="L3072" i="9"/>
  <c r="N3072" i="9" s="1"/>
  <c r="K3072" i="9"/>
  <c r="N3071" i="9"/>
  <c r="M3071" i="9"/>
  <c r="L3071" i="9"/>
  <c r="K3071" i="9"/>
  <c r="M3070" i="9"/>
  <c r="L3070" i="9"/>
  <c r="N3070" i="9" s="1"/>
  <c r="K3070" i="9"/>
  <c r="N3069" i="9"/>
  <c r="M3069" i="9"/>
  <c r="L3069" i="9"/>
  <c r="K3069" i="9"/>
  <c r="M3068" i="9"/>
  <c r="L3068" i="9"/>
  <c r="N3068" i="9" s="1"/>
  <c r="K3068" i="9"/>
  <c r="M3067" i="9"/>
  <c r="L3067" i="9"/>
  <c r="N3067" i="9" s="1"/>
  <c r="K3067" i="9"/>
  <c r="N3066" i="9"/>
  <c r="M3066" i="9"/>
  <c r="L3066" i="9"/>
  <c r="K3066" i="9"/>
  <c r="M3065" i="9"/>
  <c r="L3065" i="9"/>
  <c r="N3065" i="9" s="1"/>
  <c r="K3065" i="9"/>
  <c r="N3064" i="9"/>
  <c r="M3064" i="9"/>
  <c r="L3064" i="9"/>
  <c r="K3064" i="9"/>
  <c r="M3063" i="9"/>
  <c r="L3063" i="9"/>
  <c r="N3063" i="9" s="1"/>
  <c r="K3063" i="9"/>
  <c r="N3062" i="9"/>
  <c r="M3062" i="9"/>
  <c r="L3062" i="9"/>
  <c r="K3062" i="9"/>
  <c r="M3061" i="9"/>
  <c r="L3061" i="9"/>
  <c r="N3061" i="9" s="1"/>
  <c r="K3061" i="9"/>
  <c r="M3060" i="9"/>
  <c r="L3060" i="9"/>
  <c r="N3060" i="9" s="1"/>
  <c r="K3060" i="9"/>
  <c r="N3059" i="9"/>
  <c r="M3059" i="9"/>
  <c r="L3059" i="9"/>
  <c r="K3059" i="9"/>
  <c r="M3058" i="9"/>
  <c r="L3058" i="9"/>
  <c r="N3058" i="9" s="1"/>
  <c r="K3058" i="9"/>
  <c r="N3057" i="9"/>
  <c r="M3057" i="9"/>
  <c r="L3057" i="9"/>
  <c r="K3057" i="9"/>
  <c r="M3056" i="9"/>
  <c r="L3056" i="9"/>
  <c r="N3056" i="9" s="1"/>
  <c r="K3056" i="9"/>
  <c r="N3055" i="9"/>
  <c r="M3055" i="9"/>
  <c r="L3055" i="9"/>
  <c r="K3055" i="9"/>
  <c r="M3054" i="9"/>
  <c r="L3054" i="9"/>
  <c r="N3054" i="9" s="1"/>
  <c r="K3054" i="9"/>
  <c r="M3053" i="9"/>
  <c r="L3053" i="9"/>
  <c r="N3053" i="9" s="1"/>
  <c r="K3053" i="9"/>
  <c r="N3052" i="9"/>
  <c r="M3052" i="9"/>
  <c r="L3052" i="9"/>
  <c r="K3052" i="9"/>
  <c r="M3051" i="9"/>
  <c r="L3051" i="9"/>
  <c r="N3051" i="9" s="1"/>
  <c r="K3051" i="9"/>
  <c r="N3050" i="9"/>
  <c r="M3050" i="9"/>
  <c r="L3050" i="9"/>
  <c r="K3050" i="9"/>
  <c r="M3049" i="9"/>
  <c r="L3049" i="9"/>
  <c r="N3049" i="9" s="1"/>
  <c r="K3049" i="9"/>
  <c r="N3048" i="9"/>
  <c r="M3048" i="9"/>
  <c r="L3048" i="9"/>
  <c r="K3048" i="9"/>
  <c r="M3047" i="9"/>
  <c r="L3047" i="9"/>
  <c r="N3047" i="9" s="1"/>
  <c r="K3047" i="9"/>
  <c r="M3046" i="9"/>
  <c r="L3046" i="9"/>
  <c r="N3046" i="9" s="1"/>
  <c r="K3046" i="9"/>
  <c r="N3045" i="9"/>
  <c r="M3045" i="9"/>
  <c r="L3045" i="9"/>
  <c r="K3045" i="9"/>
  <c r="M3044" i="9"/>
  <c r="L3044" i="9"/>
  <c r="N3044" i="9" s="1"/>
  <c r="K3044" i="9"/>
  <c r="N3043" i="9"/>
  <c r="M3043" i="9"/>
  <c r="L3043" i="9"/>
  <c r="K3043" i="9"/>
  <c r="M3042" i="9"/>
  <c r="L3042" i="9"/>
  <c r="N3042" i="9" s="1"/>
  <c r="K3042" i="9"/>
  <c r="N3041" i="9"/>
  <c r="M3041" i="9"/>
  <c r="L3041" i="9"/>
  <c r="K3041" i="9"/>
  <c r="M3040" i="9"/>
  <c r="L3040" i="9"/>
  <c r="N3040" i="9" s="1"/>
  <c r="K3040" i="9"/>
  <c r="M3039" i="9"/>
  <c r="L3039" i="9"/>
  <c r="N3039" i="9" s="1"/>
  <c r="K3039" i="9"/>
  <c r="N3038" i="9"/>
  <c r="M3038" i="9"/>
  <c r="L3038" i="9"/>
  <c r="K3038" i="9"/>
  <c r="M3037" i="9"/>
  <c r="L3037" i="9"/>
  <c r="N3037" i="9" s="1"/>
  <c r="K3037" i="9"/>
  <c r="N3036" i="9"/>
  <c r="M3036" i="9"/>
  <c r="L3036" i="9"/>
  <c r="K3036" i="9"/>
  <c r="M3035" i="9"/>
  <c r="L3035" i="9"/>
  <c r="N3035" i="9" s="1"/>
  <c r="K3035" i="9"/>
  <c r="N3034" i="9"/>
  <c r="M3034" i="9"/>
  <c r="L3034" i="9"/>
  <c r="K3034" i="9"/>
  <c r="M3033" i="9"/>
  <c r="L3033" i="9"/>
  <c r="N3033" i="9" s="1"/>
  <c r="K3033" i="9"/>
  <c r="M3032" i="9"/>
  <c r="L3032" i="9"/>
  <c r="N3032" i="9" s="1"/>
  <c r="K3032" i="9"/>
  <c r="N3031" i="9"/>
  <c r="M3031" i="9"/>
  <c r="L3031" i="9"/>
  <c r="K3031" i="9"/>
  <c r="M3030" i="9"/>
  <c r="L3030" i="9"/>
  <c r="N3030" i="9" s="1"/>
  <c r="K3030" i="9"/>
  <c r="N3029" i="9"/>
  <c r="M3029" i="9"/>
  <c r="L3029" i="9"/>
  <c r="K3029" i="9"/>
  <c r="M3028" i="9"/>
  <c r="L3028" i="9"/>
  <c r="N3028" i="9" s="1"/>
  <c r="K3028" i="9"/>
  <c r="N3027" i="9"/>
  <c r="M3027" i="9"/>
  <c r="L3027" i="9"/>
  <c r="K3027" i="9"/>
  <c r="M3026" i="9"/>
  <c r="L3026" i="9"/>
  <c r="N3026" i="9" s="1"/>
  <c r="K3026" i="9"/>
  <c r="M3025" i="9"/>
  <c r="L3025" i="9"/>
  <c r="N3025" i="9" s="1"/>
  <c r="K3025" i="9"/>
  <c r="N3024" i="9"/>
  <c r="M3024" i="9"/>
  <c r="L3024" i="9"/>
  <c r="K3024" i="9"/>
  <c r="M3023" i="9"/>
  <c r="L3023" i="9"/>
  <c r="N3023" i="9" s="1"/>
  <c r="K3023" i="9"/>
  <c r="N3022" i="9"/>
  <c r="M3022" i="9"/>
  <c r="L3022" i="9"/>
  <c r="K3022" i="9"/>
  <c r="M3021" i="9"/>
  <c r="L3021" i="9"/>
  <c r="N3021" i="9" s="1"/>
  <c r="K3021" i="9"/>
  <c r="N3020" i="9"/>
  <c r="M3020" i="9"/>
  <c r="L3020" i="9"/>
  <c r="K3020" i="9"/>
  <c r="M3019" i="9"/>
  <c r="L3019" i="9"/>
  <c r="N3019" i="9" s="1"/>
  <c r="K3019" i="9"/>
  <c r="M3018" i="9"/>
  <c r="L3018" i="9"/>
  <c r="N3018" i="9" s="1"/>
  <c r="K3018" i="9"/>
  <c r="N3017" i="9"/>
  <c r="M3017" i="9"/>
  <c r="L3017" i="9"/>
  <c r="K3017" i="9"/>
  <c r="M3016" i="9"/>
  <c r="L3016" i="9"/>
  <c r="N3016" i="9" s="1"/>
  <c r="K3016" i="9"/>
  <c r="N3015" i="9"/>
  <c r="M3015" i="9"/>
  <c r="L3015" i="9"/>
  <c r="K3015" i="9"/>
  <c r="M3014" i="9"/>
  <c r="L3014" i="9"/>
  <c r="N3014" i="9" s="1"/>
  <c r="K3014" i="9"/>
  <c r="N3013" i="9"/>
  <c r="M3013" i="9"/>
  <c r="L3013" i="9"/>
  <c r="K3013" i="9"/>
  <c r="M3012" i="9"/>
  <c r="L3012" i="9"/>
  <c r="N3012" i="9" s="1"/>
  <c r="K3012" i="9"/>
  <c r="M3011" i="9"/>
  <c r="L3011" i="9"/>
  <c r="N3011" i="9" s="1"/>
  <c r="K3011" i="9"/>
  <c r="N3010" i="9"/>
  <c r="M3010" i="9"/>
  <c r="L3010" i="9"/>
  <c r="K3010" i="9"/>
  <c r="M3009" i="9"/>
  <c r="L3009" i="9"/>
  <c r="N3009" i="9" s="1"/>
  <c r="K3009" i="9"/>
  <c r="N3008" i="9"/>
  <c r="M3008" i="9"/>
  <c r="L3008" i="9"/>
  <c r="K3008" i="9"/>
  <c r="M3007" i="9"/>
  <c r="L3007" i="9"/>
  <c r="N3007" i="9" s="1"/>
  <c r="K3007" i="9"/>
  <c r="N3006" i="9"/>
  <c r="M3006" i="9"/>
  <c r="L3006" i="9"/>
  <c r="K3006" i="9"/>
  <c r="M3005" i="9"/>
  <c r="L3005" i="9"/>
  <c r="N3005" i="9" s="1"/>
  <c r="K3005" i="9"/>
  <c r="M3004" i="9"/>
  <c r="L3004" i="9"/>
  <c r="N3004" i="9" s="1"/>
  <c r="K3004" i="9"/>
  <c r="N3003" i="9"/>
  <c r="M3003" i="9"/>
  <c r="L3003" i="9"/>
  <c r="K3003" i="9"/>
  <c r="M3002" i="9"/>
  <c r="L3002" i="9"/>
  <c r="N3002" i="9" s="1"/>
  <c r="K3002" i="9"/>
  <c r="N3001" i="9"/>
  <c r="M3001" i="9"/>
  <c r="L3001" i="9"/>
  <c r="K3001" i="9"/>
  <c r="M3000" i="9"/>
  <c r="L3000" i="9"/>
  <c r="N3000" i="9" s="1"/>
  <c r="K3000" i="9"/>
  <c r="N2999" i="9"/>
  <c r="M2999" i="9"/>
  <c r="L2999" i="9"/>
  <c r="K2999" i="9"/>
  <c r="M2998" i="9"/>
  <c r="L2998" i="9"/>
  <c r="N2998" i="9" s="1"/>
  <c r="K2998" i="9"/>
  <c r="M2997" i="9"/>
  <c r="L2997" i="9"/>
  <c r="N2997" i="9" s="1"/>
  <c r="K2997" i="9"/>
  <c r="N2996" i="9"/>
  <c r="M2996" i="9"/>
  <c r="L2996" i="9"/>
  <c r="K2996" i="9"/>
  <c r="M2995" i="9"/>
  <c r="L2995" i="9"/>
  <c r="N2995" i="9" s="1"/>
  <c r="K2995" i="9"/>
  <c r="N2994" i="9"/>
  <c r="M2994" i="9"/>
  <c r="L2994" i="9"/>
  <c r="K2994" i="9"/>
  <c r="M2993" i="9"/>
  <c r="L2993" i="9"/>
  <c r="N2993" i="9" s="1"/>
  <c r="K2993" i="9"/>
  <c r="N2992" i="9"/>
  <c r="M2992" i="9"/>
  <c r="L2992" i="9"/>
  <c r="K2992" i="9"/>
  <c r="M2991" i="9"/>
  <c r="L2991" i="9"/>
  <c r="N2991" i="9" s="1"/>
  <c r="K2991" i="9"/>
  <c r="M2990" i="9"/>
  <c r="L2990" i="9"/>
  <c r="N2990" i="9" s="1"/>
  <c r="K2990" i="9"/>
  <c r="N2989" i="9"/>
  <c r="M2989" i="9"/>
  <c r="L2989" i="9"/>
  <c r="K2989" i="9"/>
  <c r="M2988" i="9"/>
  <c r="L2988" i="9"/>
  <c r="N2988" i="9" s="1"/>
  <c r="K2988" i="9"/>
  <c r="N2987" i="9"/>
  <c r="M2987" i="9"/>
  <c r="L2987" i="9"/>
  <c r="K2987" i="9"/>
  <c r="M2986" i="9"/>
  <c r="L2986" i="9"/>
  <c r="N2986" i="9" s="1"/>
  <c r="K2986" i="9"/>
  <c r="N2985" i="9"/>
  <c r="M2985" i="9"/>
  <c r="L2985" i="9"/>
  <c r="K2985" i="9"/>
  <c r="M2984" i="9"/>
  <c r="L2984" i="9"/>
  <c r="N2984" i="9" s="1"/>
  <c r="K2984" i="9"/>
  <c r="M2983" i="9"/>
  <c r="L2983" i="9"/>
  <c r="N2983" i="9" s="1"/>
  <c r="K2983" i="9"/>
  <c r="N2982" i="9"/>
  <c r="M2982" i="9"/>
  <c r="L2982" i="9"/>
  <c r="K2982" i="9"/>
  <c r="M2981" i="9"/>
  <c r="L2981" i="9"/>
  <c r="N2981" i="9" s="1"/>
  <c r="K2981" i="9"/>
  <c r="N2980" i="9"/>
  <c r="M2980" i="9"/>
  <c r="L2980" i="9"/>
  <c r="K2980" i="9"/>
  <c r="M2979" i="9"/>
  <c r="L2979" i="9"/>
  <c r="N2979" i="9" s="1"/>
  <c r="K2979" i="9"/>
  <c r="N2978" i="9"/>
  <c r="M2978" i="9"/>
  <c r="L2978" i="9"/>
  <c r="K2978" i="9"/>
  <c r="M2977" i="9"/>
  <c r="L2977" i="9"/>
  <c r="N2977" i="9" s="1"/>
  <c r="K2977" i="9"/>
  <c r="M2976" i="9"/>
  <c r="L2976" i="9"/>
  <c r="N2976" i="9" s="1"/>
  <c r="K2976" i="9"/>
  <c r="N2975" i="9"/>
  <c r="M2975" i="9"/>
  <c r="L2975" i="9"/>
  <c r="K2975" i="9"/>
  <c r="M2974" i="9"/>
  <c r="L2974" i="9"/>
  <c r="N2974" i="9" s="1"/>
  <c r="K2974" i="9"/>
  <c r="N2973" i="9"/>
  <c r="M2973" i="9"/>
  <c r="L2973" i="9"/>
  <c r="K2973" i="9"/>
  <c r="M2972" i="9"/>
  <c r="L2972" i="9"/>
  <c r="N2972" i="9" s="1"/>
  <c r="K2972" i="9"/>
  <c r="N2971" i="9"/>
  <c r="M2971" i="9"/>
  <c r="L2971" i="9"/>
  <c r="K2971" i="9"/>
  <c r="M2970" i="9"/>
  <c r="L2970" i="9"/>
  <c r="N2970" i="9" s="1"/>
  <c r="K2970" i="9"/>
  <c r="M2969" i="9"/>
  <c r="L2969" i="9"/>
  <c r="N2969" i="9" s="1"/>
  <c r="K2969" i="9"/>
  <c r="N2968" i="9"/>
  <c r="M2968" i="9"/>
  <c r="L2968" i="9"/>
  <c r="K2968" i="9"/>
  <c r="M2967" i="9"/>
  <c r="L2967" i="9"/>
  <c r="N2967" i="9" s="1"/>
  <c r="K2967" i="9"/>
  <c r="N2966" i="9"/>
  <c r="M2966" i="9"/>
  <c r="L2966" i="9"/>
  <c r="K2966" i="9"/>
  <c r="M2965" i="9"/>
  <c r="L2965" i="9"/>
  <c r="N2965" i="9" s="1"/>
  <c r="K2965" i="9"/>
  <c r="N2964" i="9"/>
  <c r="M2964" i="9"/>
  <c r="L2964" i="9"/>
  <c r="K2964" i="9"/>
  <c r="M2963" i="9"/>
  <c r="L2963" i="9"/>
  <c r="N2963" i="9" s="1"/>
  <c r="K2963" i="9"/>
  <c r="M2962" i="9"/>
  <c r="L2962" i="9"/>
  <c r="N2962" i="9" s="1"/>
  <c r="K2962" i="9"/>
  <c r="N2961" i="9"/>
  <c r="M2961" i="9"/>
  <c r="L2961" i="9"/>
  <c r="K2961" i="9"/>
  <c r="M2960" i="9"/>
  <c r="L2960" i="9"/>
  <c r="N2960" i="9" s="1"/>
  <c r="K2960" i="9"/>
  <c r="N2959" i="9"/>
  <c r="M2959" i="9"/>
  <c r="L2959" i="9"/>
  <c r="K2959" i="9"/>
  <c r="M2958" i="9"/>
  <c r="L2958" i="9"/>
  <c r="N2958" i="9" s="1"/>
  <c r="K2958" i="9"/>
  <c r="N2957" i="9"/>
  <c r="M2957" i="9"/>
  <c r="L2957" i="9"/>
  <c r="K2957" i="9"/>
  <c r="M2956" i="9"/>
  <c r="L2956" i="9"/>
  <c r="N2956" i="9" s="1"/>
  <c r="K2956" i="9"/>
  <c r="M2955" i="9"/>
  <c r="L2955" i="9"/>
  <c r="N2955" i="9" s="1"/>
  <c r="K2955" i="9"/>
  <c r="N2954" i="9"/>
  <c r="M2954" i="9"/>
  <c r="L2954" i="9"/>
  <c r="K2954" i="9"/>
  <c r="M2953" i="9"/>
  <c r="L2953" i="9"/>
  <c r="N2953" i="9" s="1"/>
  <c r="K2953" i="9"/>
  <c r="N2952" i="9"/>
  <c r="M2952" i="9"/>
  <c r="L2952" i="9"/>
  <c r="K2952" i="9"/>
  <c r="M2951" i="9"/>
  <c r="L2951" i="9"/>
  <c r="N2951" i="9" s="1"/>
  <c r="K2951" i="9"/>
  <c r="N2950" i="9"/>
  <c r="M2950" i="9"/>
  <c r="L2950" i="9"/>
  <c r="K2950" i="9"/>
  <c r="M2949" i="9"/>
  <c r="L2949" i="9"/>
  <c r="N2949" i="9" s="1"/>
  <c r="K2949" i="9"/>
  <c r="M2948" i="9"/>
  <c r="L2948" i="9"/>
  <c r="N2948" i="9" s="1"/>
  <c r="K2948" i="9"/>
  <c r="N2947" i="9"/>
  <c r="M2947" i="9"/>
  <c r="L2947" i="9"/>
  <c r="K2947" i="9"/>
  <c r="M2946" i="9"/>
  <c r="L2946" i="9"/>
  <c r="N2946" i="9" s="1"/>
  <c r="K2946" i="9"/>
  <c r="N2945" i="9"/>
  <c r="M2945" i="9"/>
  <c r="L2945" i="9"/>
  <c r="K2945" i="9"/>
  <c r="M2944" i="9"/>
  <c r="L2944" i="9"/>
  <c r="N2944" i="9" s="1"/>
  <c r="K2944" i="9"/>
  <c r="N2943" i="9"/>
  <c r="M2943" i="9"/>
  <c r="L2943" i="9"/>
  <c r="K2943" i="9"/>
  <c r="M2942" i="9"/>
  <c r="L2942" i="9"/>
  <c r="N2942" i="9" s="1"/>
  <c r="K2942" i="9"/>
  <c r="M2941" i="9"/>
  <c r="L2941" i="9"/>
  <c r="N2941" i="9" s="1"/>
  <c r="K2941" i="9"/>
  <c r="N2940" i="9"/>
  <c r="M2940" i="9"/>
  <c r="L2940" i="9"/>
  <c r="K2940" i="9"/>
  <c r="M2939" i="9"/>
  <c r="L2939" i="9"/>
  <c r="N2939" i="9" s="1"/>
  <c r="K2939" i="9"/>
  <c r="N2938" i="9"/>
  <c r="M2938" i="9"/>
  <c r="L2938" i="9"/>
  <c r="K2938" i="9"/>
  <c r="M2937" i="9"/>
  <c r="L2937" i="9"/>
  <c r="N2937" i="9" s="1"/>
  <c r="K2937" i="9"/>
  <c r="N2936" i="9"/>
  <c r="M2936" i="9"/>
  <c r="L2936" i="9"/>
  <c r="K2936" i="9"/>
  <c r="M2935" i="9"/>
  <c r="L2935" i="9"/>
  <c r="N2935" i="9" s="1"/>
  <c r="K2935" i="9"/>
  <c r="M2934" i="9"/>
  <c r="L2934" i="9"/>
  <c r="N2934" i="9" s="1"/>
  <c r="K2934" i="9"/>
  <c r="N2933" i="9"/>
  <c r="M2933" i="9"/>
  <c r="L2933" i="9"/>
  <c r="K2933" i="9"/>
  <c r="M2932" i="9"/>
  <c r="L2932" i="9"/>
  <c r="N2932" i="9" s="1"/>
  <c r="K2932" i="9"/>
  <c r="N2931" i="9"/>
  <c r="M2931" i="9"/>
  <c r="L2931" i="9"/>
  <c r="K2931" i="9"/>
  <c r="M2930" i="9"/>
  <c r="L2930" i="9"/>
  <c r="N2930" i="9" s="1"/>
  <c r="K2930" i="9"/>
  <c r="N2929" i="9"/>
  <c r="M2929" i="9"/>
  <c r="L2929" i="9"/>
  <c r="K2929" i="9"/>
  <c r="M2928" i="9"/>
  <c r="L2928" i="9"/>
  <c r="N2928" i="9" s="1"/>
  <c r="K2928" i="9"/>
  <c r="M2927" i="9"/>
  <c r="L2927" i="9"/>
  <c r="N2927" i="9" s="1"/>
  <c r="K2927" i="9"/>
  <c r="N2926" i="9"/>
  <c r="M2926" i="9"/>
  <c r="L2926" i="9"/>
  <c r="K2926" i="9"/>
  <c r="M2925" i="9"/>
  <c r="L2925" i="9"/>
  <c r="N2925" i="9" s="1"/>
  <c r="K2925" i="9"/>
  <c r="N2924" i="9"/>
  <c r="M2924" i="9"/>
  <c r="L2924" i="9"/>
  <c r="K2924" i="9"/>
  <c r="M2923" i="9"/>
  <c r="L2923" i="9"/>
  <c r="N2923" i="9" s="1"/>
  <c r="K2923" i="9"/>
  <c r="N2922" i="9"/>
  <c r="M2922" i="9"/>
  <c r="L2922" i="9"/>
  <c r="K2922" i="9"/>
  <c r="M2921" i="9"/>
  <c r="L2921" i="9"/>
  <c r="N2921" i="9" s="1"/>
  <c r="K2921" i="9"/>
  <c r="M2920" i="9"/>
  <c r="L2920" i="9"/>
  <c r="N2920" i="9" s="1"/>
  <c r="K2920" i="9"/>
  <c r="N2919" i="9"/>
  <c r="M2919" i="9"/>
  <c r="L2919" i="9"/>
  <c r="K2919" i="9"/>
  <c r="M2918" i="9"/>
  <c r="L2918" i="9"/>
  <c r="N2918" i="9" s="1"/>
  <c r="K2918" i="9"/>
  <c r="N2917" i="9"/>
  <c r="M2917" i="9"/>
  <c r="L2917" i="9"/>
  <c r="K2917" i="9"/>
  <c r="M2916" i="9"/>
  <c r="L2916" i="9"/>
  <c r="N2916" i="9" s="1"/>
  <c r="K2916" i="9"/>
  <c r="N2915" i="9"/>
  <c r="M2915" i="9"/>
  <c r="L2915" i="9"/>
  <c r="K2915" i="9"/>
  <c r="M2914" i="9"/>
  <c r="L2914" i="9"/>
  <c r="N2914" i="9" s="1"/>
  <c r="K2914" i="9"/>
  <c r="M2913" i="9"/>
  <c r="L2913" i="9"/>
  <c r="N2913" i="9" s="1"/>
  <c r="K2913" i="9"/>
  <c r="N2912" i="9"/>
  <c r="M2912" i="9"/>
  <c r="L2912" i="9"/>
  <c r="K2912" i="9"/>
  <c r="M2911" i="9"/>
  <c r="L2911" i="9"/>
  <c r="N2911" i="9" s="1"/>
  <c r="K2911" i="9"/>
  <c r="N2910" i="9"/>
  <c r="M2910" i="9"/>
  <c r="L2910" i="9"/>
  <c r="K2910" i="9"/>
  <c r="M2909" i="9"/>
  <c r="L2909" i="9"/>
  <c r="N2909" i="9" s="1"/>
  <c r="K2909" i="9"/>
  <c r="N2908" i="9"/>
  <c r="M2908" i="9"/>
  <c r="L2908" i="9"/>
  <c r="K2908" i="9"/>
  <c r="M2907" i="9"/>
  <c r="L2907" i="9"/>
  <c r="N2907" i="9" s="1"/>
  <c r="K2907" i="9"/>
  <c r="M2906" i="9"/>
  <c r="L2906" i="9"/>
  <c r="N2906" i="9" s="1"/>
  <c r="K2906" i="9"/>
  <c r="N2905" i="9"/>
  <c r="M2905" i="9"/>
  <c r="L2905" i="9"/>
  <c r="K2905" i="9"/>
  <c r="M2904" i="9"/>
  <c r="L2904" i="9"/>
  <c r="N2904" i="9" s="1"/>
  <c r="K2904" i="9"/>
  <c r="N2903" i="9"/>
  <c r="M2903" i="9"/>
  <c r="L2903" i="9"/>
  <c r="K2903" i="9"/>
  <c r="M2902" i="9"/>
  <c r="L2902" i="9"/>
  <c r="N2902" i="9" s="1"/>
  <c r="K2902" i="9"/>
  <c r="N2901" i="9"/>
  <c r="M2901" i="9"/>
  <c r="L2901" i="9"/>
  <c r="K2901" i="9"/>
  <c r="M2900" i="9"/>
  <c r="L2900" i="9"/>
  <c r="N2900" i="9" s="1"/>
  <c r="K2900" i="9"/>
  <c r="M2899" i="9"/>
  <c r="L2899" i="9"/>
  <c r="N2899" i="9" s="1"/>
  <c r="K2899" i="9"/>
  <c r="N2898" i="9"/>
  <c r="M2898" i="9"/>
  <c r="L2898" i="9"/>
  <c r="K2898" i="9"/>
  <c r="M2897" i="9"/>
  <c r="L2897" i="9"/>
  <c r="N2897" i="9" s="1"/>
  <c r="K2897" i="9"/>
  <c r="N2896" i="9"/>
  <c r="M2896" i="9"/>
  <c r="L2896" i="9"/>
  <c r="K2896" i="9"/>
  <c r="M2895" i="9"/>
  <c r="L2895" i="9"/>
  <c r="N2895" i="9" s="1"/>
  <c r="K2895" i="9"/>
  <c r="N2894" i="9"/>
  <c r="M2894" i="9"/>
  <c r="L2894" i="9"/>
  <c r="K2894" i="9"/>
  <c r="M2893" i="9"/>
  <c r="L2893" i="9"/>
  <c r="N2893" i="9" s="1"/>
  <c r="K2893" i="9"/>
  <c r="M2892" i="9"/>
  <c r="L2892" i="9"/>
  <c r="N2892" i="9" s="1"/>
  <c r="K2892" i="9"/>
  <c r="N2891" i="9"/>
  <c r="M2891" i="9"/>
  <c r="L2891" i="9"/>
  <c r="K2891" i="9"/>
  <c r="M2890" i="9"/>
  <c r="L2890" i="9"/>
  <c r="N2890" i="9" s="1"/>
  <c r="K2890" i="9"/>
  <c r="N2889" i="9"/>
  <c r="M2889" i="9"/>
  <c r="L2889" i="9"/>
  <c r="K2889" i="9"/>
  <c r="M2888" i="9"/>
  <c r="L2888" i="9"/>
  <c r="N2888" i="9" s="1"/>
  <c r="K2888" i="9"/>
  <c r="N2887" i="9"/>
  <c r="M2887" i="9"/>
  <c r="L2887" i="9"/>
  <c r="K2887" i="9"/>
  <c r="M2886" i="9"/>
  <c r="L2886" i="9"/>
  <c r="N2886" i="9" s="1"/>
  <c r="K2886" i="9"/>
  <c r="M2885" i="9"/>
  <c r="L2885" i="9"/>
  <c r="N2885" i="9" s="1"/>
  <c r="K2885" i="9"/>
  <c r="M2884" i="9"/>
  <c r="L2884" i="9"/>
  <c r="N2884" i="9" s="1"/>
  <c r="K2884" i="9"/>
  <c r="M2883" i="9"/>
  <c r="L2883" i="9"/>
  <c r="N2883" i="9" s="1"/>
  <c r="K2883" i="9"/>
  <c r="N2882" i="9"/>
  <c r="M2882" i="9"/>
  <c r="L2882" i="9"/>
  <c r="K2882" i="9"/>
  <c r="M2881" i="9"/>
  <c r="L2881" i="9"/>
  <c r="N2881" i="9" s="1"/>
  <c r="K2881" i="9"/>
  <c r="N2880" i="9"/>
  <c r="M2880" i="9"/>
  <c r="L2880" i="9"/>
  <c r="K2880" i="9"/>
  <c r="M2879" i="9"/>
  <c r="L2879" i="9"/>
  <c r="N2879" i="9" s="1"/>
  <c r="K2879" i="9"/>
  <c r="M2878" i="9"/>
  <c r="L2878" i="9"/>
  <c r="N2878" i="9" s="1"/>
  <c r="K2878" i="9"/>
  <c r="N2877" i="9"/>
  <c r="M2877" i="9"/>
  <c r="L2877" i="9"/>
  <c r="K2877" i="9"/>
  <c r="M2876" i="9"/>
  <c r="L2876" i="9"/>
  <c r="N2876" i="9" s="1"/>
  <c r="K2876" i="9"/>
  <c r="N2875" i="9"/>
  <c r="M2875" i="9"/>
  <c r="L2875" i="9"/>
  <c r="K2875" i="9"/>
  <c r="M2874" i="9"/>
  <c r="L2874" i="9"/>
  <c r="N2874" i="9" s="1"/>
  <c r="K2874" i="9"/>
  <c r="N2873" i="9"/>
  <c r="M2873" i="9"/>
  <c r="L2873" i="9"/>
  <c r="K2873" i="9"/>
  <c r="M2872" i="9"/>
  <c r="L2872" i="9"/>
  <c r="N2872" i="9" s="1"/>
  <c r="K2872" i="9"/>
  <c r="M2871" i="9"/>
  <c r="L2871" i="9"/>
  <c r="N2871" i="9" s="1"/>
  <c r="K2871" i="9"/>
  <c r="M2870" i="9"/>
  <c r="L2870" i="9"/>
  <c r="N2870" i="9" s="1"/>
  <c r="K2870" i="9"/>
  <c r="M2869" i="9"/>
  <c r="L2869" i="9"/>
  <c r="N2869" i="9" s="1"/>
  <c r="K2869" i="9"/>
  <c r="N2868" i="9"/>
  <c r="M2868" i="9"/>
  <c r="L2868" i="9"/>
  <c r="K2868" i="9"/>
  <c r="M2867" i="9"/>
  <c r="L2867" i="9"/>
  <c r="N2867" i="9" s="1"/>
  <c r="K2867" i="9"/>
  <c r="N2866" i="9"/>
  <c r="M2866" i="9"/>
  <c r="L2866" i="9"/>
  <c r="K2866" i="9"/>
  <c r="M2865" i="9"/>
  <c r="L2865" i="9"/>
  <c r="N2865" i="9" s="1"/>
  <c r="K2865" i="9"/>
  <c r="M2864" i="9"/>
  <c r="L2864" i="9"/>
  <c r="N2864" i="9" s="1"/>
  <c r="K2864" i="9"/>
  <c r="M2863" i="9"/>
  <c r="L2863" i="9"/>
  <c r="N2863" i="9" s="1"/>
  <c r="K2863" i="9"/>
  <c r="N2862" i="9"/>
  <c r="M2862" i="9"/>
  <c r="L2862" i="9"/>
  <c r="K2862" i="9"/>
  <c r="N2861" i="9"/>
  <c r="M2861" i="9"/>
  <c r="L2861" i="9"/>
  <c r="K2861" i="9"/>
  <c r="M2860" i="9"/>
  <c r="L2860" i="9"/>
  <c r="N2860" i="9" s="1"/>
  <c r="K2860" i="9"/>
  <c r="M2859" i="9"/>
  <c r="L2859" i="9"/>
  <c r="N2859" i="9" s="1"/>
  <c r="K2859" i="9"/>
  <c r="N2858" i="9"/>
  <c r="M2858" i="9"/>
  <c r="L2858" i="9"/>
  <c r="K2858" i="9"/>
  <c r="M2857" i="9"/>
  <c r="L2857" i="9"/>
  <c r="N2857" i="9" s="1"/>
  <c r="K2857" i="9"/>
  <c r="N2856" i="9"/>
  <c r="M2856" i="9"/>
  <c r="L2856" i="9"/>
  <c r="K2856" i="9"/>
  <c r="M2855" i="9"/>
  <c r="L2855" i="9"/>
  <c r="N2855" i="9" s="1"/>
  <c r="K2855" i="9"/>
  <c r="N2854" i="9"/>
  <c r="M2854" i="9"/>
  <c r="L2854" i="9"/>
  <c r="K2854" i="9"/>
  <c r="M2853" i="9"/>
  <c r="L2853" i="9"/>
  <c r="N2853" i="9" s="1"/>
  <c r="K2853" i="9"/>
  <c r="M2852" i="9"/>
  <c r="L2852" i="9"/>
  <c r="N2852" i="9" s="1"/>
  <c r="K2852" i="9"/>
  <c r="N2851" i="9"/>
  <c r="M2851" i="9"/>
  <c r="L2851" i="9"/>
  <c r="K2851" i="9"/>
  <c r="M2850" i="9"/>
  <c r="L2850" i="9"/>
  <c r="N2850" i="9" s="1"/>
  <c r="K2850" i="9"/>
  <c r="M2849" i="9"/>
  <c r="L2849" i="9"/>
  <c r="N2849" i="9" s="1"/>
  <c r="K2849" i="9"/>
  <c r="M2848" i="9"/>
  <c r="L2848" i="9"/>
  <c r="N2848" i="9" s="1"/>
  <c r="K2848" i="9"/>
  <c r="N2847" i="9"/>
  <c r="M2847" i="9"/>
  <c r="L2847" i="9"/>
  <c r="K2847" i="9"/>
  <c r="M2846" i="9"/>
  <c r="L2846" i="9"/>
  <c r="N2846" i="9" s="1"/>
  <c r="K2846" i="9"/>
  <c r="M2845" i="9"/>
  <c r="L2845" i="9"/>
  <c r="N2845" i="9" s="1"/>
  <c r="K2845" i="9"/>
  <c r="N2844" i="9"/>
  <c r="M2844" i="9"/>
  <c r="L2844" i="9"/>
  <c r="K2844" i="9"/>
  <c r="M2843" i="9"/>
  <c r="L2843" i="9"/>
  <c r="N2843" i="9" s="1"/>
  <c r="K2843" i="9"/>
  <c r="M2842" i="9"/>
  <c r="L2842" i="9"/>
  <c r="N2842" i="9" s="1"/>
  <c r="K2842" i="9"/>
  <c r="N2841" i="9"/>
  <c r="M2841" i="9"/>
  <c r="L2841" i="9"/>
  <c r="K2841" i="9"/>
  <c r="N2840" i="9"/>
  <c r="M2840" i="9"/>
  <c r="L2840" i="9"/>
  <c r="K2840" i="9"/>
  <c r="M2839" i="9"/>
  <c r="L2839" i="9"/>
  <c r="N2839" i="9" s="1"/>
  <c r="K2839" i="9"/>
  <c r="M2838" i="9"/>
  <c r="L2838" i="9"/>
  <c r="N2838" i="9" s="1"/>
  <c r="K2838" i="9"/>
  <c r="M2837" i="9"/>
  <c r="L2837" i="9"/>
  <c r="N2837" i="9" s="1"/>
  <c r="K2837" i="9"/>
  <c r="N2836" i="9"/>
  <c r="M2836" i="9"/>
  <c r="L2836" i="9"/>
  <c r="K2836" i="9"/>
  <c r="M2835" i="9"/>
  <c r="L2835" i="9"/>
  <c r="N2835" i="9" s="1"/>
  <c r="K2835" i="9"/>
  <c r="N2834" i="9"/>
  <c r="M2834" i="9"/>
  <c r="L2834" i="9"/>
  <c r="K2834" i="9"/>
  <c r="M2833" i="9"/>
  <c r="L2833" i="9"/>
  <c r="N2833" i="9" s="1"/>
  <c r="K2833" i="9"/>
  <c r="M2832" i="9"/>
  <c r="L2832" i="9"/>
  <c r="N2832" i="9" s="1"/>
  <c r="K2832" i="9"/>
  <c r="M2831" i="9"/>
  <c r="L2831" i="9"/>
  <c r="N2831" i="9" s="1"/>
  <c r="K2831" i="9"/>
  <c r="M2830" i="9"/>
  <c r="L2830" i="9"/>
  <c r="N2830" i="9" s="1"/>
  <c r="K2830" i="9"/>
  <c r="N2829" i="9"/>
  <c r="M2829" i="9"/>
  <c r="L2829" i="9"/>
  <c r="K2829" i="9"/>
  <c r="M2828" i="9"/>
  <c r="L2828" i="9"/>
  <c r="N2828" i="9" s="1"/>
  <c r="K2828" i="9"/>
  <c r="N2827" i="9"/>
  <c r="M2827" i="9"/>
  <c r="L2827" i="9"/>
  <c r="K2827" i="9"/>
  <c r="N2826" i="9"/>
  <c r="M2826" i="9"/>
  <c r="L2826" i="9"/>
  <c r="K2826" i="9"/>
  <c r="N2825" i="9"/>
  <c r="M2825" i="9"/>
  <c r="L2825" i="9"/>
  <c r="K2825" i="9"/>
  <c r="M2824" i="9"/>
  <c r="L2824" i="9"/>
  <c r="N2824" i="9" s="1"/>
  <c r="K2824" i="9"/>
  <c r="M2823" i="9"/>
  <c r="L2823" i="9"/>
  <c r="N2823" i="9" s="1"/>
  <c r="K2823" i="9"/>
  <c r="N2822" i="9"/>
  <c r="M2822" i="9"/>
  <c r="L2822" i="9"/>
  <c r="K2822" i="9"/>
  <c r="M2821" i="9"/>
  <c r="L2821" i="9"/>
  <c r="N2821" i="9" s="1"/>
  <c r="K2821" i="9"/>
  <c r="N2820" i="9"/>
  <c r="M2820" i="9"/>
  <c r="L2820" i="9"/>
  <c r="K2820" i="9"/>
  <c r="M2819" i="9"/>
  <c r="L2819" i="9"/>
  <c r="N2819" i="9" s="1"/>
  <c r="K2819" i="9"/>
  <c r="N2818" i="9"/>
  <c r="M2818" i="9"/>
  <c r="L2818" i="9"/>
  <c r="K2818" i="9"/>
  <c r="M2817" i="9"/>
  <c r="L2817" i="9"/>
  <c r="N2817" i="9" s="1"/>
  <c r="K2817" i="9"/>
  <c r="M2816" i="9"/>
  <c r="L2816" i="9"/>
  <c r="N2816" i="9" s="1"/>
  <c r="K2816" i="9"/>
  <c r="N2815" i="9"/>
  <c r="M2815" i="9"/>
  <c r="L2815" i="9"/>
  <c r="K2815" i="9"/>
  <c r="M2814" i="9"/>
  <c r="L2814" i="9"/>
  <c r="N2814" i="9" s="1"/>
  <c r="K2814" i="9"/>
  <c r="N2813" i="9"/>
  <c r="M2813" i="9"/>
  <c r="L2813" i="9"/>
  <c r="K2813" i="9"/>
  <c r="N2812" i="9"/>
  <c r="M2812" i="9"/>
  <c r="L2812" i="9"/>
  <c r="K2812" i="9"/>
  <c r="N2811" i="9"/>
  <c r="M2811" i="9"/>
  <c r="L2811" i="9"/>
  <c r="K2811" i="9"/>
  <c r="M2810" i="9"/>
  <c r="L2810" i="9"/>
  <c r="N2810" i="9" s="1"/>
  <c r="K2810" i="9"/>
  <c r="M2809" i="9"/>
  <c r="L2809" i="9"/>
  <c r="N2809" i="9" s="1"/>
  <c r="K2809" i="9"/>
  <c r="N2808" i="9"/>
  <c r="M2808" i="9"/>
  <c r="L2808" i="9"/>
  <c r="K2808" i="9"/>
  <c r="M2807" i="9"/>
  <c r="L2807" i="9"/>
  <c r="N2807" i="9" s="1"/>
  <c r="K2807" i="9"/>
  <c r="N2806" i="9"/>
  <c r="M2806" i="9"/>
  <c r="L2806" i="9"/>
  <c r="K2806" i="9"/>
  <c r="M2805" i="9"/>
  <c r="L2805" i="9"/>
  <c r="N2805" i="9" s="1"/>
  <c r="K2805" i="9"/>
  <c r="N2804" i="9"/>
  <c r="M2804" i="9"/>
  <c r="L2804" i="9"/>
  <c r="K2804" i="9"/>
  <c r="M2803" i="9"/>
  <c r="L2803" i="9"/>
  <c r="N2803" i="9" s="1"/>
  <c r="K2803" i="9"/>
  <c r="M2802" i="9"/>
  <c r="L2802" i="9"/>
  <c r="N2802" i="9" s="1"/>
  <c r="K2802" i="9"/>
  <c r="N2801" i="9"/>
  <c r="M2801" i="9"/>
  <c r="L2801" i="9"/>
  <c r="K2801" i="9"/>
  <c r="M2800" i="9"/>
  <c r="L2800" i="9"/>
  <c r="N2800" i="9" s="1"/>
  <c r="K2800" i="9"/>
  <c r="N2799" i="9"/>
  <c r="M2799" i="9"/>
  <c r="L2799" i="9"/>
  <c r="K2799" i="9"/>
  <c r="M2798" i="9"/>
  <c r="L2798" i="9"/>
  <c r="N2798" i="9" s="1"/>
  <c r="K2798" i="9"/>
  <c r="N2797" i="9"/>
  <c r="M2797" i="9"/>
  <c r="L2797" i="9"/>
  <c r="K2797" i="9"/>
  <c r="M2796" i="9"/>
  <c r="L2796" i="9"/>
  <c r="N2796" i="9" s="1"/>
  <c r="K2796" i="9"/>
  <c r="M2795" i="9"/>
  <c r="L2795" i="9"/>
  <c r="N2795" i="9" s="1"/>
  <c r="K2795" i="9"/>
  <c r="N2794" i="9"/>
  <c r="M2794" i="9"/>
  <c r="L2794" i="9"/>
  <c r="K2794" i="9"/>
  <c r="M2793" i="9"/>
  <c r="L2793" i="9"/>
  <c r="N2793" i="9" s="1"/>
  <c r="K2793" i="9"/>
  <c r="N2792" i="9"/>
  <c r="M2792" i="9"/>
  <c r="L2792" i="9"/>
  <c r="K2792" i="9"/>
  <c r="M2791" i="9"/>
  <c r="L2791" i="9"/>
  <c r="N2791" i="9" s="1"/>
  <c r="K2791" i="9"/>
  <c r="N2790" i="9"/>
  <c r="M2790" i="9"/>
  <c r="L2790" i="9"/>
  <c r="K2790" i="9"/>
  <c r="M2789" i="9"/>
  <c r="L2789" i="9"/>
  <c r="N2789" i="9" s="1"/>
  <c r="K2789" i="9"/>
  <c r="M2788" i="9"/>
  <c r="L2788" i="9"/>
  <c r="N2788" i="9" s="1"/>
  <c r="K2788" i="9"/>
  <c r="N2787" i="9"/>
  <c r="M2787" i="9"/>
  <c r="L2787" i="9"/>
  <c r="K2787" i="9"/>
  <c r="M2786" i="9"/>
  <c r="L2786" i="9"/>
  <c r="N2786" i="9" s="1"/>
  <c r="K2786" i="9"/>
  <c r="N2785" i="9"/>
  <c r="M2785" i="9"/>
  <c r="L2785" i="9"/>
  <c r="K2785" i="9"/>
  <c r="N2784" i="9"/>
  <c r="M2784" i="9"/>
  <c r="L2784" i="9"/>
  <c r="K2784" i="9"/>
  <c r="N2783" i="9"/>
  <c r="M2783" i="9"/>
  <c r="L2783" i="9"/>
  <c r="K2783" i="9"/>
  <c r="M2782" i="9"/>
  <c r="L2782" i="9"/>
  <c r="N2782" i="9" s="1"/>
  <c r="K2782" i="9"/>
  <c r="M2781" i="9"/>
  <c r="L2781" i="9"/>
  <c r="N2781" i="9" s="1"/>
  <c r="K2781" i="9"/>
  <c r="N2780" i="9"/>
  <c r="M2780" i="9"/>
  <c r="L2780" i="9"/>
  <c r="K2780" i="9"/>
  <c r="M2779" i="9"/>
  <c r="L2779" i="9"/>
  <c r="N2779" i="9" s="1"/>
  <c r="K2779" i="9"/>
  <c r="N2778" i="9"/>
  <c r="M2778" i="9"/>
  <c r="L2778" i="9"/>
  <c r="K2778" i="9"/>
  <c r="M2777" i="9"/>
  <c r="L2777" i="9"/>
  <c r="N2777" i="9" s="1"/>
  <c r="K2777" i="9"/>
  <c r="N2776" i="9"/>
  <c r="M2776" i="9"/>
  <c r="L2776" i="9"/>
  <c r="K2776" i="9"/>
  <c r="M2775" i="9"/>
  <c r="L2775" i="9"/>
  <c r="N2775" i="9" s="1"/>
  <c r="K2775" i="9"/>
  <c r="M2774" i="9"/>
  <c r="L2774" i="9"/>
  <c r="N2774" i="9" s="1"/>
  <c r="K2774" i="9"/>
  <c r="N2773" i="9"/>
  <c r="M2773" i="9"/>
  <c r="L2773" i="9"/>
  <c r="K2773" i="9"/>
  <c r="M2772" i="9"/>
  <c r="L2772" i="9"/>
  <c r="N2772" i="9" s="1"/>
  <c r="K2772" i="9"/>
  <c r="N2771" i="9"/>
  <c r="M2771" i="9"/>
  <c r="L2771" i="9"/>
  <c r="K2771" i="9"/>
  <c r="M2770" i="9"/>
  <c r="L2770" i="9"/>
  <c r="N2770" i="9" s="1"/>
  <c r="K2770" i="9"/>
  <c r="N2769" i="9"/>
  <c r="M2769" i="9"/>
  <c r="L2769" i="9"/>
  <c r="K2769" i="9"/>
  <c r="M2768" i="9"/>
  <c r="L2768" i="9"/>
  <c r="N2768" i="9" s="1"/>
  <c r="K2768" i="9"/>
  <c r="M2767" i="9"/>
  <c r="L2767" i="9"/>
  <c r="N2767" i="9" s="1"/>
  <c r="K2767" i="9"/>
  <c r="N2766" i="9"/>
  <c r="M2766" i="9"/>
  <c r="L2766" i="9"/>
  <c r="K2766" i="9"/>
  <c r="M2765" i="9"/>
  <c r="L2765" i="9"/>
  <c r="N2765" i="9" s="1"/>
  <c r="K2765" i="9"/>
  <c r="N2764" i="9"/>
  <c r="M2764" i="9"/>
  <c r="L2764" i="9"/>
  <c r="K2764" i="9"/>
  <c r="M2763" i="9"/>
  <c r="L2763" i="9"/>
  <c r="N2763" i="9" s="1"/>
  <c r="K2763" i="9"/>
  <c r="N2762" i="9"/>
  <c r="M2762" i="9"/>
  <c r="L2762" i="9"/>
  <c r="K2762" i="9"/>
  <c r="M2761" i="9"/>
  <c r="L2761" i="9"/>
  <c r="N2761" i="9" s="1"/>
  <c r="K2761" i="9"/>
  <c r="M2760" i="9"/>
  <c r="L2760" i="9"/>
  <c r="N2760" i="9" s="1"/>
  <c r="K2760" i="9"/>
  <c r="N2759" i="9"/>
  <c r="M2759" i="9"/>
  <c r="L2759" i="9"/>
  <c r="K2759" i="9"/>
  <c r="M2758" i="9"/>
  <c r="L2758" i="9"/>
  <c r="N2758" i="9" s="1"/>
  <c r="K2758" i="9"/>
  <c r="N2757" i="9"/>
  <c r="M2757" i="9"/>
  <c r="L2757" i="9"/>
  <c r="K2757" i="9"/>
  <c r="M2756" i="9"/>
  <c r="L2756" i="9"/>
  <c r="N2756" i="9" s="1"/>
  <c r="K2756" i="9"/>
  <c r="N2755" i="9"/>
  <c r="M2755" i="9"/>
  <c r="L2755" i="9"/>
  <c r="K2755" i="9"/>
  <c r="N2754" i="9"/>
  <c r="M2754" i="9"/>
  <c r="L2754" i="9"/>
  <c r="K2754" i="9"/>
  <c r="M2753" i="9"/>
  <c r="L2753" i="9"/>
  <c r="N2753" i="9" s="1"/>
  <c r="K2753" i="9"/>
  <c r="N2752" i="9"/>
  <c r="M2752" i="9"/>
  <c r="L2752" i="9"/>
  <c r="K2752" i="9"/>
  <c r="M2751" i="9"/>
  <c r="L2751" i="9"/>
  <c r="N2751" i="9" s="1"/>
  <c r="K2751" i="9"/>
  <c r="N2750" i="9"/>
  <c r="M2750" i="9"/>
  <c r="L2750" i="9"/>
  <c r="K2750" i="9"/>
  <c r="N2749" i="9"/>
  <c r="M2749" i="9"/>
  <c r="L2749" i="9"/>
  <c r="K2749" i="9"/>
  <c r="N2748" i="9"/>
  <c r="M2748" i="9"/>
  <c r="L2748" i="9"/>
  <c r="K2748" i="9"/>
  <c r="M2747" i="9"/>
  <c r="L2747" i="9"/>
  <c r="N2747" i="9" s="1"/>
  <c r="K2747" i="9"/>
  <c r="M2746" i="9"/>
  <c r="L2746" i="9"/>
  <c r="N2746" i="9" s="1"/>
  <c r="K2746" i="9"/>
  <c r="M2745" i="9"/>
  <c r="L2745" i="9"/>
  <c r="N2745" i="9" s="1"/>
  <c r="K2745" i="9"/>
  <c r="M2744" i="9"/>
  <c r="L2744" i="9"/>
  <c r="N2744" i="9" s="1"/>
  <c r="K2744" i="9"/>
  <c r="N2743" i="9"/>
  <c r="M2743" i="9"/>
  <c r="L2743" i="9"/>
  <c r="K2743" i="9"/>
  <c r="N2742" i="9"/>
  <c r="M2742" i="9"/>
  <c r="L2742" i="9"/>
  <c r="K2742" i="9"/>
  <c r="N2741" i="9"/>
  <c r="M2741" i="9"/>
  <c r="L2741" i="9"/>
  <c r="K2741" i="9"/>
  <c r="N2740" i="9"/>
  <c r="M2740" i="9"/>
  <c r="L2740" i="9"/>
  <c r="K2740" i="9"/>
  <c r="M2739" i="9"/>
  <c r="L2739" i="9"/>
  <c r="N2739" i="9" s="1"/>
  <c r="K2739" i="9"/>
  <c r="M2738" i="9"/>
  <c r="L2738" i="9"/>
  <c r="N2738" i="9" s="1"/>
  <c r="K2738" i="9"/>
  <c r="N2737" i="9"/>
  <c r="M2737" i="9"/>
  <c r="L2737" i="9"/>
  <c r="K2737" i="9"/>
  <c r="N2736" i="9"/>
  <c r="M2736" i="9"/>
  <c r="L2736" i="9"/>
  <c r="K2736" i="9"/>
  <c r="N2735" i="9"/>
  <c r="M2735" i="9"/>
  <c r="L2735" i="9"/>
  <c r="K2735" i="9"/>
  <c r="M2734" i="9"/>
  <c r="L2734" i="9"/>
  <c r="N2734" i="9" s="1"/>
  <c r="K2734" i="9"/>
  <c r="M2733" i="9"/>
  <c r="L2733" i="9"/>
  <c r="N2733" i="9" s="1"/>
  <c r="K2733" i="9"/>
  <c r="N2732" i="9"/>
  <c r="M2732" i="9"/>
  <c r="L2732" i="9"/>
  <c r="K2732" i="9"/>
  <c r="M2731" i="9"/>
  <c r="L2731" i="9"/>
  <c r="N2731" i="9" s="1"/>
  <c r="K2731" i="9"/>
  <c r="N2730" i="9"/>
  <c r="M2730" i="9"/>
  <c r="L2730" i="9"/>
  <c r="K2730" i="9"/>
  <c r="M2729" i="9"/>
  <c r="L2729" i="9"/>
  <c r="N2729" i="9" s="1"/>
  <c r="K2729" i="9"/>
  <c r="N2728" i="9"/>
  <c r="M2728" i="9"/>
  <c r="L2728" i="9"/>
  <c r="K2728" i="9"/>
  <c r="M2727" i="9"/>
  <c r="L2727" i="9"/>
  <c r="N2727" i="9" s="1"/>
  <c r="K2727" i="9"/>
  <c r="M2726" i="9"/>
  <c r="L2726" i="9"/>
  <c r="N2726" i="9" s="1"/>
  <c r="K2726" i="9"/>
  <c r="N2725" i="9"/>
  <c r="M2725" i="9"/>
  <c r="L2725" i="9"/>
  <c r="K2725" i="9"/>
  <c r="M2724" i="9"/>
  <c r="L2724" i="9"/>
  <c r="N2724" i="9" s="1"/>
  <c r="K2724" i="9"/>
  <c r="N2723" i="9"/>
  <c r="M2723" i="9"/>
  <c r="L2723" i="9"/>
  <c r="K2723" i="9"/>
  <c r="M2722" i="9"/>
  <c r="L2722" i="9"/>
  <c r="N2722" i="9" s="1"/>
  <c r="K2722" i="9"/>
  <c r="N2721" i="9"/>
  <c r="M2721" i="9"/>
  <c r="L2721" i="9"/>
  <c r="K2721" i="9"/>
  <c r="M2720" i="9"/>
  <c r="L2720" i="9"/>
  <c r="N2720" i="9" s="1"/>
  <c r="K2720" i="9"/>
  <c r="M2719" i="9"/>
  <c r="L2719" i="9"/>
  <c r="N2719" i="9" s="1"/>
  <c r="K2719" i="9"/>
  <c r="N2718" i="9"/>
  <c r="M2718" i="9"/>
  <c r="L2718" i="9"/>
  <c r="K2718" i="9"/>
  <c r="M2717" i="9"/>
  <c r="L2717" i="9"/>
  <c r="N2717" i="9" s="1"/>
  <c r="K2717" i="9"/>
  <c r="N2716" i="9"/>
  <c r="M2716" i="9"/>
  <c r="L2716" i="9"/>
  <c r="K2716" i="9"/>
  <c r="M2715" i="9"/>
  <c r="L2715" i="9"/>
  <c r="N2715" i="9" s="1"/>
  <c r="K2715" i="9"/>
  <c r="N2714" i="9"/>
  <c r="M2714" i="9"/>
  <c r="L2714" i="9"/>
  <c r="K2714" i="9"/>
  <c r="M2713" i="9"/>
  <c r="L2713" i="9"/>
  <c r="N2713" i="9" s="1"/>
  <c r="K2713" i="9"/>
  <c r="N2712" i="9"/>
  <c r="M2712" i="9"/>
  <c r="L2712" i="9"/>
  <c r="K2712" i="9"/>
  <c r="N2711" i="9"/>
  <c r="M2711" i="9"/>
  <c r="L2711" i="9"/>
  <c r="K2711" i="9"/>
  <c r="M2710" i="9"/>
  <c r="L2710" i="9"/>
  <c r="N2710" i="9" s="1"/>
  <c r="K2710" i="9"/>
  <c r="N2709" i="9"/>
  <c r="M2709" i="9"/>
  <c r="L2709" i="9"/>
  <c r="K2709" i="9"/>
  <c r="M2708" i="9"/>
  <c r="L2708" i="9"/>
  <c r="N2708" i="9" s="1"/>
  <c r="K2708" i="9"/>
  <c r="N2707" i="9"/>
  <c r="M2707" i="9"/>
  <c r="L2707" i="9"/>
  <c r="K2707" i="9"/>
  <c r="M2706" i="9"/>
  <c r="L2706" i="9"/>
  <c r="N2706" i="9" s="1"/>
  <c r="K2706" i="9"/>
  <c r="N2705" i="9"/>
  <c r="M2705" i="9"/>
  <c r="L2705" i="9"/>
  <c r="K2705" i="9"/>
  <c r="N2704" i="9"/>
  <c r="M2704" i="9"/>
  <c r="L2704" i="9"/>
  <c r="K2704" i="9"/>
  <c r="M2703" i="9"/>
  <c r="L2703" i="9"/>
  <c r="N2703" i="9" s="1"/>
  <c r="K2703" i="9"/>
  <c r="N2702" i="9"/>
  <c r="M2702" i="9"/>
  <c r="L2702" i="9"/>
  <c r="K2702" i="9"/>
  <c r="M2701" i="9"/>
  <c r="L2701" i="9"/>
  <c r="N2701" i="9" s="1"/>
  <c r="K2701" i="9"/>
  <c r="N2700" i="9"/>
  <c r="M2700" i="9"/>
  <c r="L2700" i="9"/>
  <c r="K2700" i="9"/>
  <c r="M2699" i="9"/>
  <c r="L2699" i="9"/>
  <c r="N2699" i="9" s="1"/>
  <c r="K2699" i="9"/>
  <c r="N2698" i="9"/>
  <c r="M2698" i="9"/>
  <c r="L2698" i="9"/>
  <c r="K2698" i="9"/>
  <c r="N2697" i="9"/>
  <c r="M2697" i="9"/>
  <c r="L2697" i="9"/>
  <c r="K2697" i="9"/>
  <c r="M2696" i="9"/>
  <c r="L2696" i="9"/>
  <c r="N2696" i="9" s="1"/>
  <c r="K2696" i="9"/>
  <c r="N2695" i="9"/>
  <c r="M2695" i="9"/>
  <c r="L2695" i="9"/>
  <c r="K2695" i="9"/>
  <c r="M2694" i="9"/>
  <c r="L2694" i="9"/>
  <c r="N2694" i="9" s="1"/>
  <c r="K2694" i="9"/>
  <c r="N2693" i="9"/>
  <c r="M2693" i="9"/>
  <c r="L2693" i="9"/>
  <c r="K2693" i="9"/>
  <c r="M2692" i="9"/>
  <c r="L2692" i="9"/>
  <c r="N2692" i="9" s="1"/>
  <c r="K2692" i="9"/>
  <c r="N2691" i="9"/>
  <c r="M2691" i="9"/>
  <c r="L2691" i="9"/>
  <c r="K2691" i="9"/>
  <c r="N2690" i="9"/>
  <c r="M2690" i="9"/>
  <c r="L2690" i="9"/>
  <c r="K2690" i="9"/>
  <c r="M2689" i="9"/>
  <c r="L2689" i="9"/>
  <c r="N2689" i="9" s="1"/>
  <c r="K2689" i="9"/>
  <c r="N2688" i="9"/>
  <c r="M2688" i="9"/>
  <c r="L2688" i="9"/>
  <c r="K2688" i="9"/>
  <c r="M2687" i="9"/>
  <c r="L2687" i="9"/>
  <c r="N2687" i="9" s="1"/>
  <c r="K2687" i="9"/>
  <c r="N2686" i="9"/>
  <c r="M2686" i="9"/>
  <c r="L2686" i="9"/>
  <c r="K2686" i="9"/>
  <c r="M2685" i="9"/>
  <c r="L2685" i="9"/>
  <c r="N2685" i="9" s="1"/>
  <c r="K2685" i="9"/>
  <c r="N2684" i="9"/>
  <c r="M2684" i="9"/>
  <c r="L2684" i="9"/>
  <c r="K2684" i="9"/>
  <c r="N2683" i="9"/>
  <c r="M2683" i="9"/>
  <c r="L2683" i="9"/>
  <c r="K2683" i="9"/>
  <c r="M2682" i="9"/>
  <c r="L2682" i="9"/>
  <c r="N2682" i="9" s="1"/>
  <c r="K2682" i="9"/>
  <c r="N2681" i="9"/>
  <c r="M2681" i="9"/>
  <c r="L2681" i="9"/>
  <c r="K2681" i="9"/>
  <c r="M2680" i="9"/>
  <c r="L2680" i="9"/>
  <c r="N2680" i="9" s="1"/>
  <c r="K2680" i="9"/>
  <c r="N2679" i="9"/>
  <c r="M2679" i="9"/>
  <c r="L2679" i="9"/>
  <c r="K2679" i="9"/>
  <c r="M2678" i="9"/>
  <c r="L2678" i="9"/>
  <c r="N2678" i="9" s="1"/>
  <c r="K2678" i="9"/>
  <c r="M2677" i="9"/>
  <c r="L2677" i="9"/>
  <c r="N2677" i="9" s="1"/>
  <c r="K2677" i="9"/>
  <c r="N2676" i="9"/>
  <c r="M2676" i="9"/>
  <c r="L2676" i="9"/>
  <c r="K2676" i="9"/>
  <c r="M2675" i="9"/>
  <c r="L2675" i="9"/>
  <c r="N2675" i="9" s="1"/>
  <c r="K2675" i="9"/>
  <c r="N2674" i="9"/>
  <c r="M2674" i="9"/>
  <c r="L2674" i="9"/>
  <c r="K2674" i="9"/>
  <c r="M2673" i="9"/>
  <c r="L2673" i="9"/>
  <c r="N2673" i="9" s="1"/>
  <c r="K2673" i="9"/>
  <c r="N2672" i="9"/>
  <c r="M2672" i="9"/>
  <c r="L2672" i="9"/>
  <c r="K2672" i="9"/>
  <c r="M2671" i="9"/>
  <c r="L2671" i="9"/>
  <c r="N2671" i="9" s="1"/>
  <c r="K2671" i="9"/>
  <c r="M2670" i="9"/>
  <c r="L2670" i="9"/>
  <c r="N2670" i="9" s="1"/>
  <c r="K2670" i="9"/>
  <c r="N2669" i="9"/>
  <c r="M2669" i="9"/>
  <c r="L2669" i="9"/>
  <c r="K2669" i="9"/>
  <c r="M2668" i="9"/>
  <c r="L2668" i="9"/>
  <c r="N2668" i="9" s="1"/>
  <c r="K2668" i="9"/>
  <c r="N2667" i="9"/>
  <c r="M2667" i="9"/>
  <c r="L2667" i="9"/>
  <c r="K2667" i="9"/>
  <c r="M2666" i="9"/>
  <c r="L2666" i="9"/>
  <c r="N2666" i="9" s="1"/>
  <c r="K2666" i="9"/>
  <c r="N2665" i="9"/>
  <c r="M2665" i="9"/>
  <c r="L2665" i="9"/>
  <c r="K2665" i="9"/>
  <c r="M2664" i="9"/>
  <c r="L2664" i="9"/>
  <c r="N2664" i="9" s="1"/>
  <c r="K2664" i="9"/>
  <c r="M2663" i="9"/>
  <c r="L2663" i="9"/>
  <c r="N2663" i="9" s="1"/>
  <c r="K2663" i="9"/>
  <c r="N2662" i="9"/>
  <c r="M2662" i="9"/>
  <c r="L2662" i="9"/>
  <c r="K2662" i="9"/>
  <c r="M2661" i="9"/>
  <c r="L2661" i="9"/>
  <c r="N2661" i="9" s="1"/>
  <c r="K2661" i="9"/>
  <c r="N2660" i="9"/>
  <c r="M2660" i="9"/>
  <c r="L2660" i="9"/>
  <c r="K2660" i="9"/>
  <c r="M2659" i="9"/>
  <c r="L2659" i="9"/>
  <c r="N2659" i="9" s="1"/>
  <c r="K2659" i="9"/>
  <c r="N2658" i="9"/>
  <c r="M2658" i="9"/>
  <c r="L2658" i="9"/>
  <c r="K2658" i="9"/>
  <c r="M2657" i="9"/>
  <c r="L2657" i="9"/>
  <c r="N2657" i="9" s="1"/>
  <c r="K2657" i="9"/>
  <c r="M2656" i="9"/>
  <c r="L2656" i="9"/>
  <c r="N2656" i="9" s="1"/>
  <c r="K2656" i="9"/>
  <c r="N2655" i="9"/>
  <c r="M2655" i="9"/>
  <c r="L2655" i="9"/>
  <c r="K2655" i="9"/>
  <c r="M2654" i="9"/>
  <c r="L2654" i="9"/>
  <c r="N2654" i="9" s="1"/>
  <c r="K2654" i="9"/>
  <c r="N2653" i="9"/>
  <c r="M2653" i="9"/>
  <c r="L2653" i="9"/>
  <c r="K2653" i="9"/>
  <c r="M2652" i="9"/>
  <c r="L2652" i="9"/>
  <c r="N2652" i="9" s="1"/>
  <c r="K2652" i="9"/>
  <c r="N2651" i="9"/>
  <c r="M2651" i="9"/>
  <c r="L2651" i="9"/>
  <c r="K2651" i="9"/>
  <c r="M2650" i="9"/>
  <c r="L2650" i="9"/>
  <c r="N2650" i="9" s="1"/>
  <c r="K2650" i="9"/>
  <c r="M2649" i="9"/>
  <c r="L2649" i="9"/>
  <c r="N2649" i="9" s="1"/>
  <c r="K2649" i="9"/>
  <c r="N2648" i="9"/>
  <c r="M2648" i="9"/>
  <c r="L2648" i="9"/>
  <c r="K2648" i="9"/>
  <c r="M2647" i="9"/>
  <c r="L2647" i="9"/>
  <c r="N2647" i="9" s="1"/>
  <c r="K2647" i="9"/>
  <c r="N2646" i="9"/>
  <c r="M2646" i="9"/>
  <c r="L2646" i="9"/>
  <c r="K2646" i="9"/>
  <c r="M2645" i="9"/>
  <c r="L2645" i="9"/>
  <c r="N2645" i="9" s="1"/>
  <c r="K2645" i="9"/>
  <c r="N2644" i="9"/>
  <c r="M2644" i="9"/>
  <c r="L2644" i="9"/>
  <c r="K2644" i="9"/>
  <c r="M2643" i="9"/>
  <c r="L2643" i="9"/>
  <c r="N2643" i="9" s="1"/>
  <c r="K2643" i="9"/>
  <c r="M2642" i="9"/>
  <c r="L2642" i="9"/>
  <c r="N2642" i="9" s="1"/>
  <c r="K2642" i="9"/>
  <c r="N2641" i="9"/>
  <c r="M2641" i="9"/>
  <c r="L2641" i="9"/>
  <c r="K2641" i="9"/>
  <c r="M2640" i="9"/>
  <c r="L2640" i="9"/>
  <c r="N2640" i="9" s="1"/>
  <c r="K2640" i="9"/>
  <c r="N2639" i="9"/>
  <c r="M2639" i="9"/>
  <c r="L2639" i="9"/>
  <c r="K2639" i="9"/>
  <c r="M2638" i="9"/>
  <c r="L2638" i="9"/>
  <c r="N2638" i="9" s="1"/>
  <c r="K2638" i="9"/>
  <c r="N2637" i="9"/>
  <c r="M2637" i="9"/>
  <c r="L2637" i="9"/>
  <c r="K2637" i="9"/>
  <c r="M2636" i="9"/>
  <c r="L2636" i="9"/>
  <c r="N2636" i="9" s="1"/>
  <c r="K2636" i="9"/>
  <c r="M2635" i="9"/>
  <c r="L2635" i="9"/>
  <c r="N2635" i="9" s="1"/>
  <c r="K2635" i="9"/>
  <c r="N2634" i="9"/>
  <c r="M2634" i="9"/>
  <c r="L2634" i="9"/>
  <c r="K2634" i="9"/>
  <c r="M2633" i="9"/>
  <c r="L2633" i="9"/>
  <c r="N2633" i="9" s="1"/>
  <c r="K2633" i="9"/>
  <c r="N2632" i="9"/>
  <c r="M2632" i="9"/>
  <c r="L2632" i="9"/>
  <c r="K2632" i="9"/>
  <c r="M2631" i="9"/>
  <c r="L2631" i="9"/>
  <c r="N2631" i="9" s="1"/>
  <c r="K2631" i="9"/>
  <c r="N2630" i="9"/>
  <c r="M2630" i="9"/>
  <c r="L2630" i="9"/>
  <c r="K2630" i="9"/>
  <c r="M2629" i="9"/>
  <c r="L2629" i="9"/>
  <c r="N2629" i="9" s="1"/>
  <c r="K2629" i="9"/>
  <c r="M2628" i="9"/>
  <c r="L2628" i="9"/>
  <c r="N2628" i="9" s="1"/>
  <c r="K2628" i="9"/>
  <c r="N2627" i="9"/>
  <c r="M2627" i="9"/>
  <c r="L2627" i="9"/>
  <c r="K2627" i="9"/>
  <c r="M2626" i="9"/>
  <c r="L2626" i="9"/>
  <c r="N2626" i="9" s="1"/>
  <c r="K2626" i="9"/>
  <c r="N2625" i="9"/>
  <c r="M2625" i="9"/>
  <c r="L2625" i="9"/>
  <c r="K2625" i="9"/>
  <c r="M2624" i="9"/>
  <c r="L2624" i="9"/>
  <c r="N2624" i="9" s="1"/>
  <c r="K2624" i="9"/>
  <c r="N2623" i="9"/>
  <c r="M2623" i="9"/>
  <c r="L2623" i="9"/>
  <c r="K2623" i="9"/>
  <c r="M2622" i="9"/>
  <c r="L2622" i="9"/>
  <c r="N2622" i="9" s="1"/>
  <c r="K2622" i="9"/>
  <c r="M2621" i="9"/>
  <c r="L2621" i="9"/>
  <c r="N2621" i="9" s="1"/>
  <c r="K2621" i="9"/>
  <c r="N2620" i="9"/>
  <c r="M2620" i="9"/>
  <c r="L2620" i="9"/>
  <c r="K2620" i="9"/>
  <c r="M2619" i="9"/>
  <c r="L2619" i="9"/>
  <c r="N2619" i="9" s="1"/>
  <c r="K2619" i="9"/>
  <c r="N2618" i="9"/>
  <c r="M2618" i="9"/>
  <c r="L2618" i="9"/>
  <c r="K2618" i="9"/>
  <c r="M2617" i="9"/>
  <c r="L2617" i="9"/>
  <c r="N2617" i="9" s="1"/>
  <c r="K2617" i="9"/>
  <c r="N2616" i="9"/>
  <c r="M2616" i="9"/>
  <c r="L2616" i="9"/>
  <c r="K2616" i="9"/>
  <c r="M2615" i="9"/>
  <c r="L2615" i="9"/>
  <c r="N2615" i="9" s="1"/>
  <c r="K2615" i="9"/>
  <c r="M2614" i="9"/>
  <c r="L2614" i="9"/>
  <c r="N2614" i="9" s="1"/>
  <c r="K2614" i="9"/>
  <c r="N2613" i="9"/>
  <c r="M2613" i="9"/>
  <c r="L2613" i="9"/>
  <c r="K2613" i="9"/>
  <c r="M2612" i="9"/>
  <c r="L2612" i="9"/>
  <c r="N2612" i="9" s="1"/>
  <c r="K2612" i="9"/>
  <c r="N2611" i="9"/>
  <c r="M2611" i="9"/>
  <c r="L2611" i="9"/>
  <c r="K2611" i="9"/>
  <c r="M2610" i="9"/>
  <c r="L2610" i="9"/>
  <c r="N2610" i="9" s="1"/>
  <c r="K2610" i="9"/>
  <c r="N2609" i="9"/>
  <c r="M2609" i="9"/>
  <c r="L2609" i="9"/>
  <c r="K2609" i="9"/>
  <c r="M2608" i="9"/>
  <c r="L2608" i="9"/>
  <c r="N2608" i="9" s="1"/>
  <c r="K2608" i="9"/>
  <c r="M2607" i="9"/>
  <c r="L2607" i="9"/>
  <c r="N2607" i="9" s="1"/>
  <c r="K2607" i="9"/>
  <c r="N2606" i="9"/>
  <c r="M2606" i="9"/>
  <c r="L2606" i="9"/>
  <c r="K2606" i="9"/>
  <c r="M2605" i="9"/>
  <c r="L2605" i="9"/>
  <c r="N2605" i="9" s="1"/>
  <c r="K2605" i="9"/>
  <c r="N2604" i="9"/>
  <c r="M2604" i="9"/>
  <c r="L2604" i="9"/>
  <c r="K2604" i="9"/>
  <c r="M2603" i="9"/>
  <c r="L2603" i="9"/>
  <c r="N2603" i="9" s="1"/>
  <c r="K2603" i="9"/>
  <c r="N2602" i="9"/>
  <c r="M2602" i="9"/>
  <c r="L2602" i="9"/>
  <c r="K2602" i="9"/>
  <c r="M2601" i="9"/>
  <c r="L2601" i="9"/>
  <c r="N2601" i="9" s="1"/>
  <c r="K2601" i="9"/>
  <c r="M2600" i="9"/>
  <c r="L2600" i="9"/>
  <c r="N2600" i="9" s="1"/>
  <c r="K2600" i="9"/>
  <c r="N2599" i="9"/>
  <c r="M2599" i="9"/>
  <c r="L2599" i="9"/>
  <c r="K2599" i="9"/>
  <c r="M2598" i="9"/>
  <c r="L2598" i="9"/>
  <c r="N2598" i="9" s="1"/>
  <c r="K2598" i="9"/>
  <c r="N2597" i="9"/>
  <c r="M2597" i="9"/>
  <c r="L2597" i="9"/>
  <c r="K2597" i="9"/>
  <c r="M2596" i="9"/>
  <c r="L2596" i="9"/>
  <c r="N2596" i="9" s="1"/>
  <c r="K2596" i="9"/>
  <c r="N2595" i="9"/>
  <c r="M2595" i="9"/>
  <c r="L2595" i="9"/>
  <c r="K2595" i="9"/>
  <c r="M2594" i="9"/>
  <c r="L2594" i="9"/>
  <c r="N2594" i="9" s="1"/>
  <c r="K2594" i="9"/>
  <c r="M2593" i="9"/>
  <c r="L2593" i="9"/>
  <c r="N2593" i="9" s="1"/>
  <c r="K2593" i="9"/>
  <c r="N2592" i="9"/>
  <c r="M2592" i="9"/>
  <c r="L2592" i="9"/>
  <c r="K2592" i="9"/>
  <c r="M2591" i="9"/>
  <c r="L2591" i="9"/>
  <c r="N2591" i="9" s="1"/>
  <c r="K2591" i="9"/>
  <c r="N2590" i="9"/>
  <c r="M2590" i="9"/>
  <c r="L2590" i="9"/>
  <c r="K2590" i="9"/>
  <c r="M2589" i="9"/>
  <c r="L2589" i="9"/>
  <c r="N2589" i="9" s="1"/>
  <c r="K2589" i="9"/>
  <c r="N2588" i="9"/>
  <c r="M2588" i="9"/>
  <c r="L2588" i="9"/>
  <c r="K2588" i="9"/>
  <c r="M2587" i="9"/>
  <c r="L2587" i="9"/>
  <c r="N2587" i="9" s="1"/>
  <c r="K2587" i="9"/>
  <c r="M2586" i="9"/>
  <c r="L2586" i="9"/>
  <c r="N2586" i="9" s="1"/>
  <c r="K2586" i="9"/>
  <c r="N2585" i="9"/>
  <c r="M2585" i="9"/>
  <c r="L2585" i="9"/>
  <c r="K2585" i="9"/>
  <c r="M2584" i="9"/>
  <c r="L2584" i="9"/>
  <c r="N2584" i="9" s="1"/>
  <c r="K2584" i="9"/>
  <c r="N2583" i="9"/>
  <c r="M2583" i="9"/>
  <c r="L2583" i="9"/>
  <c r="K2583" i="9"/>
  <c r="M2582" i="9"/>
  <c r="L2582" i="9"/>
  <c r="N2582" i="9" s="1"/>
  <c r="K2582" i="9"/>
  <c r="N2581" i="9"/>
  <c r="M2581" i="9"/>
  <c r="L2581" i="9"/>
  <c r="K2581" i="9"/>
  <c r="M2580" i="9"/>
  <c r="L2580" i="9"/>
  <c r="N2580" i="9" s="1"/>
  <c r="K2580" i="9"/>
  <c r="M2579" i="9"/>
  <c r="L2579" i="9"/>
  <c r="N2579" i="9" s="1"/>
  <c r="K2579" i="9"/>
  <c r="N2578" i="9"/>
  <c r="M2578" i="9"/>
  <c r="L2578" i="9"/>
  <c r="K2578" i="9"/>
  <c r="M2577" i="9"/>
  <c r="L2577" i="9"/>
  <c r="N2577" i="9" s="1"/>
  <c r="K2577" i="9"/>
  <c r="N2576" i="9"/>
  <c r="M2576" i="9"/>
  <c r="L2576" i="9"/>
  <c r="K2576" i="9"/>
  <c r="M2575" i="9"/>
  <c r="L2575" i="9"/>
  <c r="N2575" i="9" s="1"/>
  <c r="K2575" i="9"/>
  <c r="N2574" i="9"/>
  <c r="M2574" i="9"/>
  <c r="L2574" i="9"/>
  <c r="K2574" i="9"/>
  <c r="M2573" i="9"/>
  <c r="L2573" i="9"/>
  <c r="N2573" i="9" s="1"/>
  <c r="K2573" i="9"/>
  <c r="M2572" i="9"/>
  <c r="L2572" i="9"/>
  <c r="N2572" i="9" s="1"/>
  <c r="K2572" i="9"/>
  <c r="N2571" i="9"/>
  <c r="M2571" i="9"/>
  <c r="L2571" i="9"/>
  <c r="K2571" i="9"/>
  <c r="M2570" i="9"/>
  <c r="L2570" i="9"/>
  <c r="N2570" i="9" s="1"/>
  <c r="K2570" i="9"/>
  <c r="N2569" i="9"/>
  <c r="M2569" i="9"/>
  <c r="L2569" i="9"/>
  <c r="K2569" i="9"/>
  <c r="M2568" i="9"/>
  <c r="L2568" i="9"/>
  <c r="N2568" i="9" s="1"/>
  <c r="K2568" i="9"/>
  <c r="N2567" i="9"/>
  <c r="M2567" i="9"/>
  <c r="L2567" i="9"/>
  <c r="K2567" i="9"/>
  <c r="M2566" i="9"/>
  <c r="L2566" i="9"/>
  <c r="N2566" i="9" s="1"/>
  <c r="K2566" i="9"/>
  <c r="M2565" i="9"/>
  <c r="L2565" i="9"/>
  <c r="N2565" i="9" s="1"/>
  <c r="K2565" i="9"/>
  <c r="N2564" i="9"/>
  <c r="M2564" i="9"/>
  <c r="L2564" i="9"/>
  <c r="K2564" i="9"/>
  <c r="N2563" i="9"/>
  <c r="M2563" i="9"/>
  <c r="L2563" i="9"/>
  <c r="K2563" i="9"/>
  <c r="N2562" i="9"/>
  <c r="M2562" i="9"/>
  <c r="L2562" i="9"/>
  <c r="K2562" i="9"/>
  <c r="M2561" i="9"/>
  <c r="L2561" i="9"/>
  <c r="N2561" i="9" s="1"/>
  <c r="K2561" i="9"/>
  <c r="N2560" i="9"/>
  <c r="M2560" i="9"/>
  <c r="L2560" i="9"/>
  <c r="K2560" i="9"/>
  <c r="M2559" i="9"/>
  <c r="L2559" i="9"/>
  <c r="N2559" i="9" s="1"/>
  <c r="K2559" i="9"/>
  <c r="M2558" i="9"/>
  <c r="L2558" i="9"/>
  <c r="N2558" i="9" s="1"/>
  <c r="K2558" i="9"/>
  <c r="N2557" i="9"/>
  <c r="M2557" i="9"/>
  <c r="L2557" i="9"/>
  <c r="K2557" i="9"/>
  <c r="N2556" i="9"/>
  <c r="M2556" i="9"/>
  <c r="L2556" i="9"/>
  <c r="K2556" i="9"/>
  <c r="N2555" i="9"/>
  <c r="M2555" i="9"/>
  <c r="L2555" i="9"/>
  <c r="K2555" i="9"/>
  <c r="M2554" i="9"/>
  <c r="L2554" i="9"/>
  <c r="N2554" i="9" s="1"/>
  <c r="K2554" i="9"/>
  <c r="N2553" i="9"/>
  <c r="M2553" i="9"/>
  <c r="L2553" i="9"/>
  <c r="K2553" i="9"/>
  <c r="M2552" i="9"/>
  <c r="L2552" i="9"/>
  <c r="N2552" i="9" s="1"/>
  <c r="K2552" i="9"/>
  <c r="M2551" i="9"/>
  <c r="L2551" i="9"/>
  <c r="N2551" i="9" s="1"/>
  <c r="K2551" i="9"/>
  <c r="N2550" i="9"/>
  <c r="M2550" i="9"/>
  <c r="L2550" i="9"/>
  <c r="K2550" i="9"/>
  <c r="N2549" i="9"/>
  <c r="M2549" i="9"/>
  <c r="L2549" i="9"/>
  <c r="K2549" i="9"/>
  <c r="N2548" i="9"/>
  <c r="M2548" i="9"/>
  <c r="L2548" i="9"/>
  <c r="K2548" i="9"/>
  <c r="M2547" i="9"/>
  <c r="L2547" i="9"/>
  <c r="N2547" i="9" s="1"/>
  <c r="K2547" i="9"/>
  <c r="N2546" i="9"/>
  <c r="M2546" i="9"/>
  <c r="L2546" i="9"/>
  <c r="K2546" i="9"/>
  <c r="M2545" i="9"/>
  <c r="L2545" i="9"/>
  <c r="N2545" i="9" s="1"/>
  <c r="K2545" i="9"/>
  <c r="M2544" i="9"/>
  <c r="L2544" i="9"/>
  <c r="N2544" i="9" s="1"/>
  <c r="K2544" i="9"/>
  <c r="N2543" i="9"/>
  <c r="M2543" i="9"/>
  <c r="L2543" i="9"/>
  <c r="K2543" i="9"/>
  <c r="N2542" i="9"/>
  <c r="M2542" i="9"/>
  <c r="L2542" i="9"/>
  <c r="K2542" i="9"/>
  <c r="N2541" i="9"/>
  <c r="M2541" i="9"/>
  <c r="L2541" i="9"/>
  <c r="K2541" i="9"/>
  <c r="M2540" i="9"/>
  <c r="L2540" i="9"/>
  <c r="N2540" i="9" s="1"/>
  <c r="K2540" i="9"/>
  <c r="N2539" i="9"/>
  <c r="M2539" i="9"/>
  <c r="L2539" i="9"/>
  <c r="K2539" i="9"/>
  <c r="M2538" i="9"/>
  <c r="L2538" i="9"/>
  <c r="N2538" i="9" s="1"/>
  <c r="K2538" i="9"/>
  <c r="M2537" i="9"/>
  <c r="L2537" i="9"/>
  <c r="N2537" i="9" s="1"/>
  <c r="K2537" i="9"/>
  <c r="N2536" i="9"/>
  <c r="M2536" i="9"/>
  <c r="L2536" i="9"/>
  <c r="K2536" i="9"/>
  <c r="N2535" i="9"/>
  <c r="M2535" i="9"/>
  <c r="L2535" i="9"/>
  <c r="K2535" i="9"/>
  <c r="N2534" i="9"/>
  <c r="M2534" i="9"/>
  <c r="L2534" i="9"/>
  <c r="K2534" i="9"/>
  <c r="M2533" i="9"/>
  <c r="L2533" i="9"/>
  <c r="N2533" i="9" s="1"/>
  <c r="K2533" i="9"/>
  <c r="N2532" i="9"/>
  <c r="M2532" i="9"/>
  <c r="L2532" i="9"/>
  <c r="K2532" i="9"/>
  <c r="M2531" i="9"/>
  <c r="L2531" i="9"/>
  <c r="N2531" i="9" s="1"/>
  <c r="K2531" i="9"/>
  <c r="M2530" i="9"/>
  <c r="L2530" i="9"/>
  <c r="N2530" i="9" s="1"/>
  <c r="K2530" i="9"/>
  <c r="N2529" i="9"/>
  <c r="M2529" i="9"/>
  <c r="L2529" i="9"/>
  <c r="K2529" i="9"/>
  <c r="N2528" i="9"/>
  <c r="M2528" i="9"/>
  <c r="L2528" i="9"/>
  <c r="K2528" i="9"/>
  <c r="N2527" i="9"/>
  <c r="M2527" i="9"/>
  <c r="L2527" i="9"/>
  <c r="K2527" i="9"/>
  <c r="M2526" i="9"/>
  <c r="L2526" i="9"/>
  <c r="N2526" i="9" s="1"/>
  <c r="K2526" i="9"/>
  <c r="N2525" i="9"/>
  <c r="M2525" i="9"/>
  <c r="L2525" i="9"/>
  <c r="K2525" i="9"/>
  <c r="M2524" i="9"/>
  <c r="L2524" i="9"/>
  <c r="N2524" i="9" s="1"/>
  <c r="K2524" i="9"/>
  <c r="M2523" i="9"/>
  <c r="L2523" i="9"/>
  <c r="N2523" i="9" s="1"/>
  <c r="K2523" i="9"/>
  <c r="N2522" i="9"/>
  <c r="M2522" i="9"/>
  <c r="L2522" i="9"/>
  <c r="K2522" i="9"/>
  <c r="N2521" i="9"/>
  <c r="M2521" i="9"/>
  <c r="L2521" i="9"/>
  <c r="K2521" i="9"/>
  <c r="N2520" i="9"/>
  <c r="M2520" i="9"/>
  <c r="L2520" i="9"/>
  <c r="K2520" i="9"/>
  <c r="M2519" i="9"/>
  <c r="L2519" i="9"/>
  <c r="N2519" i="9" s="1"/>
  <c r="K2519" i="9"/>
  <c r="N2518" i="9"/>
  <c r="M2518" i="9"/>
  <c r="L2518" i="9"/>
  <c r="K2518" i="9"/>
  <c r="M2517" i="9"/>
  <c r="L2517" i="9"/>
  <c r="N2517" i="9" s="1"/>
  <c r="K2517" i="9"/>
  <c r="M2516" i="9"/>
  <c r="L2516" i="9"/>
  <c r="N2516" i="9" s="1"/>
  <c r="K2516" i="9"/>
  <c r="N2515" i="9"/>
  <c r="M2515" i="9"/>
  <c r="L2515" i="9"/>
  <c r="K2515" i="9"/>
  <c r="N2514" i="9"/>
  <c r="M2514" i="9"/>
  <c r="L2514" i="9"/>
  <c r="K2514" i="9"/>
  <c r="N2513" i="9"/>
  <c r="M2513" i="9"/>
  <c r="L2513" i="9"/>
  <c r="K2513" i="9"/>
  <c r="M2512" i="9"/>
  <c r="L2512" i="9"/>
  <c r="N2512" i="9" s="1"/>
  <c r="K2512" i="9"/>
  <c r="N2511" i="9"/>
  <c r="M2511" i="9"/>
  <c r="L2511" i="9"/>
  <c r="K2511" i="9"/>
  <c r="M2510" i="9"/>
  <c r="L2510" i="9"/>
  <c r="N2510" i="9" s="1"/>
  <c r="K2510" i="9"/>
  <c r="M2509" i="9"/>
  <c r="L2509" i="9"/>
  <c r="N2509" i="9" s="1"/>
  <c r="K2509" i="9"/>
  <c r="N2508" i="9"/>
  <c r="M2508" i="9"/>
  <c r="L2508" i="9"/>
  <c r="K2508" i="9"/>
  <c r="N2507" i="9"/>
  <c r="M2507" i="9"/>
  <c r="L2507" i="9"/>
  <c r="K2507" i="9"/>
  <c r="N2506" i="9"/>
  <c r="M2506" i="9"/>
  <c r="L2506" i="9"/>
  <c r="K2506" i="9"/>
  <c r="M2505" i="9"/>
  <c r="L2505" i="9"/>
  <c r="N2505" i="9" s="1"/>
  <c r="K2505" i="9"/>
  <c r="N2504" i="9"/>
  <c r="M2504" i="9"/>
  <c r="L2504" i="9"/>
  <c r="K2504" i="9"/>
  <c r="M2503" i="9"/>
  <c r="L2503" i="9"/>
  <c r="N2503" i="9" s="1"/>
  <c r="K2503" i="9"/>
  <c r="M2502" i="9"/>
  <c r="L2502" i="9"/>
  <c r="N2502" i="9" s="1"/>
  <c r="K2502" i="9"/>
  <c r="N2501" i="9"/>
  <c r="M2501" i="9"/>
  <c r="L2501" i="9"/>
  <c r="K2501" i="9"/>
  <c r="N2500" i="9"/>
  <c r="M2500" i="9"/>
  <c r="L2500" i="9"/>
  <c r="K2500" i="9"/>
  <c r="N2499" i="9"/>
  <c r="M2499" i="9"/>
  <c r="L2499" i="9"/>
  <c r="K2499" i="9"/>
  <c r="M2498" i="9"/>
  <c r="L2498" i="9"/>
  <c r="N2498" i="9" s="1"/>
  <c r="K2498" i="9"/>
  <c r="N2497" i="9"/>
  <c r="M2497" i="9"/>
  <c r="L2497" i="9"/>
  <c r="K2497" i="9"/>
  <c r="M2496" i="9"/>
  <c r="L2496" i="9"/>
  <c r="N2496" i="9" s="1"/>
  <c r="K2496" i="9"/>
  <c r="M2495" i="9"/>
  <c r="L2495" i="9"/>
  <c r="N2495" i="9" s="1"/>
  <c r="K2495" i="9"/>
  <c r="N2494" i="9"/>
  <c r="M2494" i="9"/>
  <c r="L2494" i="9"/>
  <c r="K2494" i="9"/>
  <c r="N2493" i="9"/>
  <c r="M2493" i="9"/>
  <c r="L2493" i="9"/>
  <c r="K2493" i="9"/>
  <c r="N2492" i="9"/>
  <c r="M2492" i="9"/>
  <c r="L2492" i="9"/>
  <c r="K2492" i="9"/>
  <c r="M2491" i="9"/>
  <c r="L2491" i="9"/>
  <c r="N2491" i="9" s="1"/>
  <c r="K2491" i="9"/>
  <c r="N2490" i="9"/>
  <c r="M2490" i="9"/>
  <c r="L2490" i="9"/>
  <c r="K2490" i="9"/>
  <c r="M2489" i="9"/>
  <c r="L2489" i="9"/>
  <c r="N2489" i="9" s="1"/>
  <c r="K2489" i="9"/>
  <c r="M2488" i="9"/>
  <c r="L2488" i="9"/>
  <c r="N2488" i="9" s="1"/>
  <c r="K2488" i="9"/>
  <c r="N2487" i="9"/>
  <c r="M2487" i="9"/>
  <c r="L2487" i="9"/>
  <c r="K2487" i="9"/>
  <c r="N2486" i="9"/>
  <c r="M2486" i="9"/>
  <c r="L2486" i="9"/>
  <c r="K2486" i="9"/>
  <c r="N2485" i="9"/>
  <c r="M2485" i="9"/>
  <c r="L2485" i="9"/>
  <c r="K2485" i="9"/>
  <c r="M2484" i="9"/>
  <c r="L2484" i="9"/>
  <c r="N2484" i="9" s="1"/>
  <c r="K2484" i="9"/>
  <c r="N2483" i="9"/>
  <c r="M2483" i="9"/>
  <c r="L2483" i="9"/>
  <c r="K2483" i="9"/>
  <c r="M2482" i="9"/>
  <c r="L2482" i="9"/>
  <c r="N2482" i="9" s="1"/>
  <c r="K2482" i="9"/>
  <c r="M2481" i="9"/>
  <c r="L2481" i="9"/>
  <c r="N2481" i="9" s="1"/>
  <c r="K2481" i="9"/>
  <c r="N2480" i="9"/>
  <c r="M2480" i="9"/>
  <c r="L2480" i="9"/>
  <c r="K2480" i="9"/>
  <c r="N2479" i="9"/>
  <c r="M2479" i="9"/>
  <c r="L2479" i="9"/>
  <c r="K2479" i="9"/>
  <c r="N2478" i="9"/>
  <c r="M2478" i="9"/>
  <c r="L2478" i="9"/>
  <c r="K2478" i="9"/>
  <c r="M2477" i="9"/>
  <c r="L2477" i="9"/>
  <c r="N2477" i="9" s="1"/>
  <c r="K2477" i="9"/>
  <c r="N2476" i="9"/>
  <c r="M2476" i="9"/>
  <c r="L2476" i="9"/>
  <c r="K2476" i="9"/>
  <c r="M2475" i="9"/>
  <c r="L2475" i="9"/>
  <c r="N2475" i="9" s="1"/>
  <c r="K2475" i="9"/>
  <c r="M2474" i="9"/>
  <c r="L2474" i="9"/>
  <c r="N2474" i="9" s="1"/>
  <c r="K2474" i="9"/>
  <c r="N2473" i="9"/>
  <c r="M2473" i="9"/>
  <c r="L2473" i="9"/>
  <c r="K2473" i="9"/>
  <c r="N2472" i="9"/>
  <c r="M2472" i="9"/>
  <c r="L2472" i="9"/>
  <c r="K2472" i="9"/>
  <c r="N2471" i="9"/>
  <c r="M2471" i="9"/>
  <c r="L2471" i="9"/>
  <c r="K2471" i="9"/>
  <c r="M2470" i="9"/>
  <c r="L2470" i="9"/>
  <c r="N2470" i="9" s="1"/>
  <c r="K2470" i="9"/>
  <c r="N2469" i="9"/>
  <c r="M2469" i="9"/>
  <c r="L2469" i="9"/>
  <c r="K2469" i="9"/>
  <c r="M2468" i="9"/>
  <c r="L2468" i="9"/>
  <c r="N2468" i="9" s="1"/>
  <c r="K2468" i="9"/>
  <c r="M2467" i="9"/>
  <c r="L2467" i="9"/>
  <c r="N2467" i="9" s="1"/>
  <c r="K2467" i="9"/>
  <c r="N2466" i="9"/>
  <c r="M2466" i="9"/>
  <c r="L2466" i="9"/>
  <c r="K2466" i="9"/>
  <c r="N2465" i="9"/>
  <c r="M2465" i="9"/>
  <c r="L2465" i="9"/>
  <c r="K2465" i="9"/>
  <c r="N2464" i="9"/>
  <c r="M2464" i="9"/>
  <c r="L2464" i="9"/>
  <c r="K2464" i="9"/>
  <c r="M2463" i="9"/>
  <c r="L2463" i="9"/>
  <c r="N2463" i="9" s="1"/>
  <c r="K2463" i="9"/>
  <c r="N2462" i="9"/>
  <c r="M2462" i="9"/>
  <c r="L2462" i="9"/>
  <c r="K2462" i="9"/>
  <c r="M2461" i="9"/>
  <c r="L2461" i="9"/>
  <c r="N2461" i="9" s="1"/>
  <c r="K2461" i="9"/>
  <c r="M2460" i="9"/>
  <c r="L2460" i="9"/>
  <c r="N2460" i="9" s="1"/>
  <c r="K2460" i="9"/>
  <c r="N2459" i="9"/>
  <c r="M2459" i="9"/>
  <c r="L2459" i="9"/>
  <c r="K2459" i="9"/>
  <c r="N2458" i="9"/>
  <c r="M2458" i="9"/>
  <c r="L2458" i="9"/>
  <c r="K2458" i="9"/>
  <c r="N2457" i="9"/>
  <c r="M2457" i="9"/>
  <c r="L2457" i="9"/>
  <c r="K2457" i="9"/>
  <c r="M2456" i="9"/>
  <c r="L2456" i="9"/>
  <c r="N2456" i="9" s="1"/>
  <c r="K2456" i="9"/>
  <c r="N2455" i="9"/>
  <c r="M2455" i="9"/>
  <c r="L2455" i="9"/>
  <c r="K2455" i="9"/>
  <c r="M2454" i="9"/>
  <c r="L2454" i="9"/>
  <c r="N2454" i="9" s="1"/>
  <c r="K2454" i="9"/>
  <c r="M2453" i="9"/>
  <c r="L2453" i="9"/>
  <c r="N2453" i="9" s="1"/>
  <c r="K2453" i="9"/>
  <c r="N2452" i="9"/>
  <c r="M2452" i="9"/>
  <c r="L2452" i="9"/>
  <c r="K2452" i="9"/>
  <c r="N2451" i="9"/>
  <c r="M2451" i="9"/>
  <c r="L2451" i="9"/>
  <c r="K2451" i="9"/>
  <c r="N2450" i="9"/>
  <c r="M2450" i="9"/>
  <c r="L2450" i="9"/>
  <c r="K2450" i="9"/>
  <c r="M2449" i="9"/>
  <c r="L2449" i="9"/>
  <c r="N2449" i="9" s="1"/>
  <c r="K2449" i="9"/>
  <c r="N2448" i="9"/>
  <c r="M2448" i="9"/>
  <c r="L2448" i="9"/>
  <c r="K2448" i="9"/>
  <c r="M2447" i="9"/>
  <c r="L2447" i="9"/>
  <c r="N2447" i="9" s="1"/>
  <c r="K2447" i="9"/>
  <c r="M2446" i="9"/>
  <c r="L2446" i="9"/>
  <c r="N2446" i="9" s="1"/>
  <c r="K2446" i="9"/>
  <c r="N2445" i="9"/>
  <c r="M2445" i="9"/>
  <c r="L2445" i="9"/>
  <c r="K2445" i="9"/>
  <c r="N2444" i="9"/>
  <c r="M2444" i="9"/>
  <c r="L2444" i="9"/>
  <c r="K2444" i="9"/>
  <c r="N2443" i="9"/>
  <c r="M2443" i="9"/>
  <c r="L2443" i="9"/>
  <c r="K2443" i="9"/>
  <c r="M2442" i="9"/>
  <c r="L2442" i="9"/>
  <c r="N2442" i="9" s="1"/>
  <c r="K2442" i="9"/>
  <c r="N2441" i="9"/>
  <c r="M2441" i="9"/>
  <c r="L2441" i="9"/>
  <c r="K2441" i="9"/>
  <c r="M2440" i="9"/>
  <c r="L2440" i="9"/>
  <c r="N2440" i="9" s="1"/>
  <c r="K2440" i="9"/>
  <c r="M2439" i="9"/>
  <c r="L2439" i="9"/>
  <c r="N2439" i="9" s="1"/>
  <c r="K2439" i="9"/>
  <c r="N2438" i="9"/>
  <c r="M2438" i="9"/>
  <c r="L2438" i="9"/>
  <c r="K2438" i="9"/>
  <c r="N2437" i="9"/>
  <c r="M2437" i="9"/>
  <c r="L2437" i="9"/>
  <c r="K2437" i="9"/>
  <c r="N2436" i="9"/>
  <c r="M2436" i="9"/>
  <c r="L2436" i="9"/>
  <c r="K2436" i="9"/>
  <c r="M2435" i="9"/>
  <c r="L2435" i="9"/>
  <c r="N2435" i="9" s="1"/>
  <c r="K2435" i="9"/>
  <c r="N2434" i="9"/>
  <c r="M2434" i="9"/>
  <c r="L2434" i="9"/>
  <c r="K2434" i="9"/>
  <c r="M2433" i="9"/>
  <c r="L2433" i="9"/>
  <c r="N2433" i="9" s="1"/>
  <c r="K2433" i="9"/>
  <c r="M2432" i="9"/>
  <c r="L2432" i="9"/>
  <c r="N2432" i="9" s="1"/>
  <c r="K2432" i="9"/>
  <c r="N2431" i="9"/>
  <c r="M2431" i="9"/>
  <c r="L2431" i="9"/>
  <c r="K2431" i="9"/>
  <c r="N2430" i="9"/>
  <c r="M2430" i="9"/>
  <c r="L2430" i="9"/>
  <c r="K2430" i="9"/>
  <c r="N2429" i="9"/>
  <c r="M2429" i="9"/>
  <c r="L2429" i="9"/>
  <c r="K2429" i="9"/>
  <c r="M2428" i="9"/>
  <c r="L2428" i="9"/>
  <c r="N2428" i="9" s="1"/>
  <c r="K2428" i="9"/>
  <c r="N2427" i="9"/>
  <c r="M2427" i="9"/>
  <c r="L2427" i="9"/>
  <c r="K2427" i="9"/>
  <c r="M2426" i="9"/>
  <c r="L2426" i="9"/>
  <c r="N2426" i="9" s="1"/>
  <c r="K2426" i="9"/>
  <c r="M2425" i="9"/>
  <c r="L2425" i="9"/>
  <c r="N2425" i="9" s="1"/>
  <c r="K2425" i="9"/>
  <c r="N2424" i="9"/>
  <c r="M2424" i="9"/>
  <c r="L2424" i="9"/>
  <c r="K2424" i="9"/>
  <c r="N2423" i="9"/>
  <c r="M2423" i="9"/>
  <c r="L2423" i="9"/>
  <c r="K2423" i="9"/>
  <c r="N2422" i="9"/>
  <c r="M2422" i="9"/>
  <c r="L2422" i="9"/>
  <c r="K2422" i="9"/>
  <c r="M2421" i="9"/>
  <c r="L2421" i="9"/>
  <c r="N2421" i="9" s="1"/>
  <c r="K2421" i="9"/>
  <c r="N2420" i="9"/>
  <c r="M2420" i="9"/>
  <c r="L2420" i="9"/>
  <c r="K2420" i="9"/>
  <c r="M2419" i="9"/>
  <c r="L2419" i="9"/>
  <c r="N2419" i="9" s="1"/>
  <c r="K2419" i="9"/>
  <c r="M2418" i="9"/>
  <c r="L2418" i="9"/>
  <c r="N2418" i="9" s="1"/>
  <c r="K2418" i="9"/>
  <c r="N2417" i="9"/>
  <c r="M2417" i="9"/>
  <c r="L2417" i="9"/>
  <c r="K2417" i="9"/>
  <c r="N2416" i="9"/>
  <c r="M2416" i="9"/>
  <c r="L2416" i="9"/>
  <c r="K2416" i="9"/>
  <c r="N2415" i="9"/>
  <c r="M2415" i="9"/>
  <c r="L2415" i="9"/>
  <c r="K2415" i="9"/>
  <c r="N2414" i="9"/>
  <c r="M2414" i="9"/>
  <c r="L2414" i="9"/>
  <c r="K2414" i="9"/>
  <c r="N2413" i="9"/>
  <c r="M2413" i="9"/>
  <c r="L2413" i="9"/>
  <c r="K2413" i="9"/>
  <c r="M2412" i="9"/>
  <c r="L2412" i="9"/>
  <c r="N2412" i="9" s="1"/>
  <c r="K2412" i="9"/>
  <c r="M2411" i="9"/>
  <c r="L2411" i="9"/>
  <c r="N2411" i="9" s="1"/>
  <c r="K2411" i="9"/>
  <c r="N2410" i="9"/>
  <c r="M2410" i="9"/>
  <c r="L2410" i="9"/>
  <c r="K2410" i="9"/>
  <c r="N2409" i="9"/>
  <c r="M2409" i="9"/>
  <c r="L2409" i="9"/>
  <c r="K2409" i="9"/>
  <c r="N2408" i="9"/>
  <c r="M2408" i="9"/>
  <c r="L2408" i="9"/>
  <c r="K2408" i="9"/>
  <c r="M2407" i="9"/>
  <c r="L2407" i="9"/>
  <c r="N2407" i="9" s="1"/>
  <c r="K2407" i="9"/>
  <c r="N2406" i="9"/>
  <c r="M2406" i="9"/>
  <c r="L2406" i="9"/>
  <c r="K2406" i="9"/>
  <c r="M2405" i="9"/>
  <c r="L2405" i="9"/>
  <c r="N2405" i="9" s="1"/>
  <c r="K2405" i="9"/>
  <c r="M2404" i="9"/>
  <c r="L2404" i="9"/>
  <c r="N2404" i="9" s="1"/>
  <c r="K2404" i="9"/>
  <c r="N2403" i="9"/>
  <c r="M2403" i="9"/>
  <c r="L2403" i="9"/>
  <c r="K2403" i="9"/>
  <c r="N2402" i="9"/>
  <c r="M2402" i="9"/>
  <c r="L2402" i="9"/>
  <c r="K2402" i="9"/>
  <c r="N2401" i="9"/>
  <c r="M2401" i="9"/>
  <c r="L2401" i="9"/>
  <c r="K2401" i="9"/>
  <c r="M2400" i="9"/>
  <c r="L2400" i="9"/>
  <c r="N2400" i="9" s="1"/>
  <c r="K2400" i="9"/>
  <c r="N2399" i="9"/>
  <c r="M2399" i="9"/>
  <c r="L2399" i="9"/>
  <c r="K2399" i="9"/>
  <c r="M2398" i="9"/>
  <c r="L2398" i="9"/>
  <c r="N2398" i="9" s="1"/>
  <c r="K2398" i="9"/>
  <c r="M2397" i="9"/>
  <c r="L2397" i="9"/>
  <c r="N2397" i="9" s="1"/>
  <c r="K2397" i="9"/>
  <c r="N2396" i="9"/>
  <c r="M2396" i="9"/>
  <c r="L2396" i="9"/>
  <c r="K2396" i="9"/>
  <c r="N2395" i="9"/>
  <c r="M2395" i="9"/>
  <c r="L2395" i="9"/>
  <c r="K2395" i="9"/>
  <c r="N2394" i="9"/>
  <c r="M2394" i="9"/>
  <c r="L2394" i="9"/>
  <c r="K2394" i="9"/>
  <c r="M2393" i="9"/>
  <c r="L2393" i="9"/>
  <c r="N2393" i="9" s="1"/>
  <c r="K2393" i="9"/>
  <c r="N2392" i="9"/>
  <c r="M2392" i="9"/>
  <c r="L2392" i="9"/>
  <c r="K2392" i="9"/>
  <c r="M2391" i="9"/>
  <c r="L2391" i="9"/>
  <c r="N2391" i="9" s="1"/>
  <c r="K2391" i="9"/>
  <c r="M2390" i="9"/>
  <c r="L2390" i="9"/>
  <c r="N2390" i="9" s="1"/>
  <c r="K2390" i="9"/>
  <c r="N2389" i="9"/>
  <c r="M2389" i="9"/>
  <c r="L2389" i="9"/>
  <c r="K2389" i="9"/>
  <c r="N2388" i="9"/>
  <c r="M2388" i="9"/>
  <c r="L2388" i="9"/>
  <c r="K2388" i="9"/>
  <c r="N2387" i="9"/>
  <c r="M2387" i="9"/>
  <c r="L2387" i="9"/>
  <c r="K2387" i="9"/>
  <c r="M2386" i="9"/>
  <c r="L2386" i="9"/>
  <c r="N2386" i="9" s="1"/>
  <c r="K2386" i="9"/>
  <c r="N2385" i="9"/>
  <c r="M2385" i="9"/>
  <c r="L2385" i="9"/>
  <c r="K2385" i="9"/>
  <c r="M2384" i="9"/>
  <c r="L2384" i="9"/>
  <c r="N2384" i="9" s="1"/>
  <c r="K2384" i="9"/>
  <c r="M2383" i="9"/>
  <c r="L2383" i="9"/>
  <c r="N2383" i="9" s="1"/>
  <c r="K2383" i="9"/>
  <c r="N2382" i="9"/>
  <c r="M2382" i="9"/>
  <c r="L2382" i="9"/>
  <c r="K2382" i="9"/>
  <c r="N2381" i="9"/>
  <c r="M2381" i="9"/>
  <c r="L2381" i="9"/>
  <c r="K2381" i="9"/>
  <c r="N2380" i="9"/>
  <c r="M2380" i="9"/>
  <c r="L2380" i="9"/>
  <c r="K2380" i="9"/>
  <c r="M2379" i="9"/>
  <c r="L2379" i="9"/>
  <c r="N2379" i="9" s="1"/>
  <c r="K2379" i="9"/>
  <c r="N2378" i="9"/>
  <c r="M2378" i="9"/>
  <c r="L2378" i="9"/>
  <c r="K2378" i="9"/>
  <c r="M2377" i="9"/>
  <c r="L2377" i="9"/>
  <c r="N2377" i="9" s="1"/>
  <c r="K2377" i="9"/>
  <c r="M2376" i="9"/>
  <c r="L2376" i="9"/>
  <c r="N2376" i="9" s="1"/>
  <c r="K2376" i="9"/>
  <c r="N2375" i="9"/>
  <c r="M2375" i="9"/>
  <c r="L2375" i="9"/>
  <c r="K2375" i="9"/>
  <c r="N2374" i="9"/>
  <c r="M2374" i="9"/>
  <c r="L2374" i="9"/>
  <c r="K2374" i="9"/>
  <c r="N2373" i="9"/>
  <c r="M2373" i="9"/>
  <c r="L2373" i="9"/>
  <c r="K2373" i="9"/>
  <c r="M2372" i="9"/>
  <c r="L2372" i="9"/>
  <c r="N2372" i="9" s="1"/>
  <c r="K2372" i="9"/>
  <c r="N2371" i="9"/>
  <c r="M2371" i="9"/>
  <c r="L2371" i="9"/>
  <c r="K2371" i="9"/>
  <c r="M2370" i="9"/>
  <c r="L2370" i="9"/>
  <c r="N2370" i="9" s="1"/>
  <c r="K2370" i="9"/>
  <c r="M2369" i="9"/>
  <c r="L2369" i="9"/>
  <c r="N2369" i="9" s="1"/>
  <c r="K2369" i="9"/>
  <c r="N2368" i="9"/>
  <c r="M2368" i="9"/>
  <c r="L2368" i="9"/>
  <c r="K2368" i="9"/>
  <c r="N2367" i="9"/>
  <c r="M2367" i="9"/>
  <c r="L2367" i="9"/>
  <c r="K2367" i="9"/>
  <c r="N2366" i="9"/>
  <c r="M2366" i="9"/>
  <c r="L2366" i="9"/>
  <c r="K2366" i="9"/>
  <c r="M2365" i="9"/>
  <c r="L2365" i="9"/>
  <c r="N2365" i="9" s="1"/>
  <c r="K2365" i="9"/>
  <c r="N2364" i="9"/>
  <c r="M2364" i="9"/>
  <c r="L2364" i="9"/>
  <c r="K2364" i="9"/>
  <c r="M2363" i="9"/>
  <c r="L2363" i="9"/>
  <c r="N2363" i="9" s="1"/>
  <c r="K2363" i="9"/>
  <c r="M2362" i="9"/>
  <c r="L2362" i="9"/>
  <c r="N2362" i="9" s="1"/>
  <c r="K2362" i="9"/>
  <c r="N2361" i="9"/>
  <c r="M2361" i="9"/>
  <c r="L2361" i="9"/>
  <c r="K2361" i="9"/>
  <c r="N2360" i="9"/>
  <c r="M2360" i="9"/>
  <c r="L2360" i="9"/>
  <c r="K2360" i="9"/>
  <c r="N2359" i="9"/>
  <c r="M2359" i="9"/>
  <c r="L2359" i="9"/>
  <c r="K2359" i="9"/>
  <c r="M2358" i="9"/>
  <c r="L2358" i="9"/>
  <c r="N2358" i="9" s="1"/>
  <c r="K2358" i="9"/>
  <c r="N2357" i="9"/>
  <c r="M2357" i="9"/>
  <c r="L2357" i="9"/>
  <c r="K2357" i="9"/>
  <c r="M2356" i="9"/>
  <c r="L2356" i="9"/>
  <c r="N2356" i="9" s="1"/>
  <c r="K2356" i="9"/>
  <c r="M2355" i="9"/>
  <c r="L2355" i="9"/>
  <c r="N2355" i="9" s="1"/>
  <c r="K2355" i="9"/>
  <c r="N2354" i="9"/>
  <c r="M2354" i="9"/>
  <c r="L2354" i="9"/>
  <c r="K2354" i="9"/>
  <c r="N2353" i="9"/>
  <c r="M2353" i="9"/>
  <c r="L2353" i="9"/>
  <c r="K2353" i="9"/>
  <c r="N2352" i="9"/>
  <c r="M2352" i="9"/>
  <c r="L2352" i="9"/>
  <c r="K2352" i="9"/>
  <c r="M2351" i="9"/>
  <c r="L2351" i="9"/>
  <c r="N2351" i="9" s="1"/>
  <c r="K2351" i="9"/>
  <c r="N2350" i="9"/>
  <c r="M2350" i="9"/>
  <c r="L2350" i="9"/>
  <c r="K2350" i="9"/>
  <c r="M2349" i="9"/>
  <c r="L2349" i="9"/>
  <c r="N2349" i="9" s="1"/>
  <c r="K2349" i="9"/>
  <c r="M2348" i="9"/>
  <c r="L2348" i="9"/>
  <c r="N2348" i="9" s="1"/>
  <c r="K2348" i="9"/>
  <c r="N2347" i="9"/>
  <c r="M2347" i="9"/>
  <c r="L2347" i="9"/>
  <c r="K2347" i="9"/>
  <c r="N2346" i="9"/>
  <c r="M2346" i="9"/>
  <c r="L2346" i="9"/>
  <c r="K2346" i="9"/>
  <c r="N2345" i="9"/>
  <c r="M2345" i="9"/>
  <c r="L2345" i="9"/>
  <c r="K2345" i="9"/>
  <c r="M2344" i="9"/>
  <c r="L2344" i="9"/>
  <c r="N2344" i="9" s="1"/>
  <c r="K2344" i="9"/>
  <c r="N2343" i="9"/>
  <c r="M2343" i="9"/>
  <c r="L2343" i="9"/>
  <c r="K2343" i="9"/>
  <c r="M2342" i="9"/>
  <c r="L2342" i="9"/>
  <c r="N2342" i="9" s="1"/>
  <c r="K2342" i="9"/>
  <c r="M2341" i="9"/>
  <c r="L2341" i="9"/>
  <c r="N2341" i="9" s="1"/>
  <c r="K2341" i="9"/>
  <c r="N2340" i="9"/>
  <c r="M2340" i="9"/>
  <c r="L2340" i="9"/>
  <c r="K2340" i="9"/>
  <c r="N2339" i="9"/>
  <c r="M2339" i="9"/>
  <c r="L2339" i="9"/>
  <c r="K2339" i="9"/>
  <c r="N2338" i="9"/>
  <c r="M2338" i="9"/>
  <c r="L2338" i="9"/>
  <c r="K2338" i="9"/>
  <c r="M2337" i="9"/>
  <c r="L2337" i="9"/>
  <c r="N2337" i="9" s="1"/>
  <c r="K2337" i="9"/>
  <c r="N2336" i="9"/>
  <c r="M2336" i="9"/>
  <c r="L2336" i="9"/>
  <c r="K2336" i="9"/>
  <c r="M2335" i="9"/>
  <c r="L2335" i="9"/>
  <c r="N2335" i="9" s="1"/>
  <c r="K2335" i="9"/>
  <c r="M2334" i="9"/>
  <c r="L2334" i="9"/>
  <c r="N2334" i="9" s="1"/>
  <c r="K2334" i="9"/>
  <c r="N2333" i="9"/>
  <c r="M2333" i="9"/>
  <c r="L2333" i="9"/>
  <c r="K2333" i="9"/>
  <c r="N2332" i="9"/>
  <c r="M2332" i="9"/>
  <c r="L2332" i="9"/>
  <c r="K2332" i="9"/>
  <c r="N2331" i="9"/>
  <c r="M2331" i="9"/>
  <c r="L2331" i="9"/>
  <c r="K2331" i="9"/>
  <c r="M2330" i="9"/>
  <c r="L2330" i="9"/>
  <c r="N2330" i="9" s="1"/>
  <c r="K2330" i="9"/>
  <c r="N2329" i="9"/>
  <c r="M2329" i="9"/>
  <c r="L2329" i="9"/>
  <c r="K2329" i="9"/>
  <c r="M2328" i="9"/>
  <c r="L2328" i="9"/>
  <c r="N2328" i="9" s="1"/>
  <c r="K2328" i="9"/>
  <c r="M2327" i="9"/>
  <c r="L2327" i="9"/>
  <c r="N2327" i="9" s="1"/>
  <c r="K2327" i="9"/>
  <c r="N2326" i="9"/>
  <c r="M2326" i="9"/>
  <c r="L2326" i="9"/>
  <c r="K2326" i="9"/>
  <c r="N2325" i="9"/>
  <c r="M2325" i="9"/>
  <c r="L2325" i="9"/>
  <c r="K2325" i="9"/>
  <c r="N2324" i="9"/>
  <c r="M2324" i="9"/>
  <c r="L2324" i="9"/>
  <c r="K2324" i="9"/>
  <c r="N2323" i="9"/>
  <c r="M2323" i="9"/>
  <c r="L2323" i="9"/>
  <c r="K2323" i="9"/>
  <c r="N2322" i="9"/>
  <c r="M2322" i="9"/>
  <c r="L2322" i="9"/>
  <c r="K2322" i="9"/>
  <c r="M2321" i="9"/>
  <c r="L2321" i="9"/>
  <c r="N2321" i="9" s="1"/>
  <c r="K2321" i="9"/>
  <c r="M2320" i="9"/>
  <c r="L2320" i="9"/>
  <c r="N2320" i="9" s="1"/>
  <c r="K2320" i="9"/>
  <c r="N2319" i="9"/>
  <c r="M2319" i="9"/>
  <c r="L2319" i="9"/>
  <c r="K2319" i="9"/>
  <c r="N2318" i="9"/>
  <c r="M2318" i="9"/>
  <c r="L2318" i="9"/>
  <c r="K2318" i="9"/>
  <c r="N2317" i="9"/>
  <c r="M2317" i="9"/>
  <c r="L2317" i="9"/>
  <c r="K2317" i="9"/>
  <c r="M2316" i="9"/>
  <c r="L2316" i="9"/>
  <c r="N2316" i="9" s="1"/>
  <c r="K2316" i="9"/>
  <c r="N2315" i="9"/>
  <c r="M2315" i="9"/>
  <c r="L2315" i="9"/>
  <c r="K2315" i="9"/>
  <c r="M2314" i="9"/>
  <c r="L2314" i="9"/>
  <c r="N2314" i="9" s="1"/>
  <c r="K2314" i="9"/>
  <c r="M2313" i="9"/>
  <c r="L2313" i="9"/>
  <c r="N2313" i="9" s="1"/>
  <c r="K2313" i="9"/>
  <c r="N2312" i="9"/>
  <c r="M2312" i="9"/>
  <c r="L2312" i="9"/>
  <c r="K2312" i="9"/>
  <c r="N2311" i="9"/>
  <c r="M2311" i="9"/>
  <c r="L2311" i="9"/>
  <c r="K2311" i="9"/>
  <c r="N2310" i="9"/>
  <c r="M2310" i="9"/>
  <c r="L2310" i="9"/>
  <c r="K2310" i="9"/>
  <c r="M2309" i="9"/>
  <c r="L2309" i="9"/>
  <c r="N2309" i="9" s="1"/>
  <c r="K2309" i="9"/>
  <c r="N2308" i="9"/>
  <c r="M2308" i="9"/>
  <c r="L2308" i="9"/>
  <c r="K2308" i="9"/>
  <c r="M2307" i="9"/>
  <c r="L2307" i="9"/>
  <c r="N2307" i="9" s="1"/>
  <c r="K2307" i="9"/>
  <c r="M2306" i="9"/>
  <c r="L2306" i="9"/>
  <c r="N2306" i="9" s="1"/>
  <c r="K2306" i="9"/>
  <c r="N2305" i="9"/>
  <c r="M2305" i="9"/>
  <c r="L2305" i="9"/>
  <c r="K2305" i="9"/>
  <c r="N2304" i="9"/>
  <c r="M2304" i="9"/>
  <c r="L2304" i="9"/>
  <c r="K2304" i="9"/>
  <c r="N2303" i="9"/>
  <c r="M2303" i="9"/>
  <c r="L2303" i="9"/>
  <c r="K2303" i="9"/>
  <c r="M2302" i="9"/>
  <c r="L2302" i="9"/>
  <c r="N2302" i="9" s="1"/>
  <c r="K2302" i="9"/>
  <c r="N2301" i="9"/>
  <c r="M2301" i="9"/>
  <c r="L2301" i="9"/>
  <c r="K2301" i="9"/>
  <c r="M2300" i="9"/>
  <c r="L2300" i="9"/>
  <c r="N2300" i="9" s="1"/>
  <c r="K2300" i="9"/>
  <c r="M2299" i="9"/>
  <c r="L2299" i="9"/>
  <c r="N2299" i="9" s="1"/>
  <c r="K2299" i="9"/>
  <c r="N2298" i="9"/>
  <c r="M2298" i="9"/>
  <c r="L2298" i="9"/>
  <c r="K2298" i="9"/>
  <c r="N2297" i="9"/>
  <c r="M2297" i="9"/>
  <c r="L2297" i="9"/>
  <c r="K2297" i="9"/>
  <c r="N2296" i="9"/>
  <c r="M2296" i="9"/>
  <c r="L2296" i="9"/>
  <c r="K2296" i="9"/>
  <c r="M2295" i="9"/>
  <c r="L2295" i="9"/>
  <c r="N2295" i="9" s="1"/>
  <c r="K2295" i="9"/>
  <c r="N2294" i="9"/>
  <c r="M2294" i="9"/>
  <c r="L2294" i="9"/>
  <c r="K2294" i="9"/>
  <c r="M2293" i="9"/>
  <c r="L2293" i="9"/>
  <c r="N2293" i="9" s="1"/>
  <c r="K2293" i="9"/>
  <c r="M2292" i="9"/>
  <c r="L2292" i="9"/>
  <c r="N2292" i="9" s="1"/>
  <c r="K2292" i="9"/>
  <c r="N2291" i="9"/>
  <c r="M2291" i="9"/>
  <c r="L2291" i="9"/>
  <c r="K2291" i="9"/>
  <c r="N2290" i="9"/>
  <c r="M2290" i="9"/>
  <c r="L2290" i="9"/>
  <c r="K2290" i="9"/>
  <c r="N2289" i="9"/>
  <c r="M2289" i="9"/>
  <c r="L2289" i="9"/>
  <c r="K2289" i="9"/>
  <c r="M2288" i="9"/>
  <c r="L2288" i="9"/>
  <c r="N2288" i="9" s="1"/>
  <c r="K2288" i="9"/>
  <c r="N2287" i="9"/>
  <c r="M2287" i="9"/>
  <c r="L2287" i="9"/>
  <c r="K2287" i="9"/>
  <c r="M2286" i="9"/>
  <c r="L2286" i="9"/>
  <c r="N2286" i="9" s="1"/>
  <c r="K2286" i="9"/>
  <c r="M2285" i="9"/>
  <c r="L2285" i="9"/>
  <c r="N2285" i="9" s="1"/>
  <c r="K2285" i="9"/>
  <c r="N2284" i="9"/>
  <c r="M2284" i="9"/>
  <c r="L2284" i="9"/>
  <c r="K2284" i="9"/>
  <c r="N2283" i="9"/>
  <c r="M2283" i="9"/>
  <c r="L2283" i="9"/>
  <c r="K2283" i="9"/>
  <c r="N2282" i="9"/>
  <c r="M2282" i="9"/>
  <c r="L2282" i="9"/>
  <c r="K2282" i="9"/>
  <c r="M2281" i="9"/>
  <c r="L2281" i="9"/>
  <c r="N2281" i="9" s="1"/>
  <c r="K2281" i="9"/>
  <c r="N2280" i="9"/>
  <c r="M2280" i="9"/>
  <c r="L2280" i="9"/>
  <c r="K2280" i="9"/>
  <c r="M2279" i="9"/>
  <c r="L2279" i="9"/>
  <c r="N2279" i="9" s="1"/>
  <c r="K2279" i="9"/>
  <c r="M2278" i="9"/>
  <c r="L2278" i="9"/>
  <c r="N2278" i="9" s="1"/>
  <c r="K2278" i="9"/>
  <c r="N2277" i="9"/>
  <c r="M2277" i="9"/>
  <c r="L2277" i="9"/>
  <c r="K2277" i="9"/>
  <c r="N2276" i="9"/>
  <c r="M2276" i="9"/>
  <c r="L2276" i="9"/>
  <c r="K2276" i="9"/>
  <c r="N2275" i="9"/>
  <c r="M2275" i="9"/>
  <c r="L2275" i="9"/>
  <c r="K2275" i="9"/>
  <c r="M2274" i="9"/>
  <c r="L2274" i="9"/>
  <c r="N2274" i="9" s="1"/>
  <c r="K2274" i="9"/>
  <c r="N2273" i="9"/>
  <c r="M2273" i="9"/>
  <c r="L2273" i="9"/>
  <c r="K2273" i="9"/>
  <c r="M2272" i="9"/>
  <c r="L2272" i="9"/>
  <c r="N2272" i="9" s="1"/>
  <c r="K2272" i="9"/>
  <c r="M2271" i="9"/>
  <c r="L2271" i="9"/>
  <c r="N2271" i="9" s="1"/>
  <c r="K2271" i="9"/>
  <c r="N2270" i="9"/>
  <c r="M2270" i="9"/>
  <c r="L2270" i="9"/>
  <c r="K2270" i="9"/>
  <c r="N2269" i="9"/>
  <c r="M2269" i="9"/>
  <c r="L2269" i="9"/>
  <c r="K2269" i="9"/>
  <c r="N2268" i="9"/>
  <c r="M2268" i="9"/>
  <c r="L2268" i="9"/>
  <c r="K2268" i="9"/>
  <c r="N2267" i="9"/>
  <c r="M2267" i="9"/>
  <c r="L2267" i="9"/>
  <c r="K2267" i="9"/>
  <c r="N2266" i="9"/>
  <c r="M2266" i="9"/>
  <c r="L2266" i="9"/>
  <c r="K2266" i="9"/>
  <c r="M2265" i="9"/>
  <c r="L2265" i="9"/>
  <c r="N2265" i="9" s="1"/>
  <c r="K2265" i="9"/>
  <c r="M2264" i="9"/>
  <c r="L2264" i="9"/>
  <c r="N2264" i="9" s="1"/>
  <c r="K2264" i="9"/>
  <c r="N2263" i="9"/>
  <c r="M2263" i="9"/>
  <c r="L2263" i="9"/>
  <c r="K2263" i="9"/>
  <c r="N2262" i="9"/>
  <c r="M2262" i="9"/>
  <c r="L2262" i="9"/>
  <c r="K2262" i="9"/>
  <c r="N2261" i="9"/>
  <c r="M2261" i="9"/>
  <c r="L2261" i="9"/>
  <c r="K2261" i="9"/>
  <c r="N2260" i="9"/>
  <c r="M2260" i="9"/>
  <c r="L2260" i="9"/>
  <c r="K2260" i="9"/>
  <c r="N2259" i="9"/>
  <c r="M2259" i="9"/>
  <c r="L2259" i="9"/>
  <c r="K2259" i="9"/>
  <c r="M2258" i="9"/>
  <c r="L2258" i="9"/>
  <c r="N2258" i="9" s="1"/>
  <c r="K2258" i="9"/>
  <c r="M2257" i="9"/>
  <c r="L2257" i="9"/>
  <c r="N2257" i="9" s="1"/>
  <c r="K2257" i="9"/>
  <c r="N2256" i="9"/>
  <c r="M2256" i="9"/>
  <c r="L2256" i="9"/>
  <c r="K2256" i="9"/>
  <c r="N2255" i="9"/>
  <c r="M2255" i="9"/>
  <c r="L2255" i="9"/>
  <c r="K2255" i="9"/>
  <c r="N2254" i="9"/>
  <c r="M2254" i="9"/>
  <c r="L2254" i="9"/>
  <c r="K2254" i="9"/>
  <c r="M2253" i="9"/>
  <c r="L2253" i="9"/>
  <c r="N2253" i="9" s="1"/>
  <c r="K2253" i="9"/>
  <c r="N2252" i="9"/>
  <c r="M2252" i="9"/>
  <c r="L2252" i="9"/>
  <c r="K2252" i="9"/>
  <c r="M2251" i="9"/>
  <c r="L2251" i="9"/>
  <c r="N2251" i="9" s="1"/>
  <c r="K2251" i="9"/>
  <c r="M2250" i="9"/>
  <c r="L2250" i="9"/>
  <c r="N2250" i="9" s="1"/>
  <c r="K2250" i="9"/>
  <c r="N2249" i="9"/>
  <c r="M2249" i="9"/>
  <c r="L2249" i="9"/>
  <c r="K2249" i="9"/>
  <c r="N2248" i="9"/>
  <c r="M2248" i="9"/>
  <c r="L2248" i="9"/>
  <c r="K2248" i="9"/>
  <c r="N2247" i="9"/>
  <c r="M2247" i="9"/>
  <c r="L2247" i="9"/>
  <c r="K2247" i="9"/>
  <c r="M2246" i="9"/>
  <c r="L2246" i="9"/>
  <c r="N2246" i="9" s="1"/>
  <c r="K2246" i="9"/>
  <c r="N2245" i="9"/>
  <c r="M2245" i="9"/>
  <c r="L2245" i="9"/>
  <c r="K2245" i="9"/>
  <c r="M2244" i="9"/>
  <c r="L2244" i="9"/>
  <c r="N2244" i="9" s="1"/>
  <c r="K2244" i="9"/>
  <c r="M2243" i="9"/>
  <c r="L2243" i="9"/>
  <c r="N2243" i="9" s="1"/>
  <c r="K2243" i="9"/>
  <c r="N2242" i="9"/>
  <c r="M2242" i="9"/>
  <c r="L2242" i="9"/>
  <c r="K2242" i="9"/>
  <c r="N2241" i="9"/>
  <c r="M2241" i="9"/>
  <c r="L2241" i="9"/>
  <c r="K2241" i="9"/>
  <c r="N2240" i="9"/>
  <c r="M2240" i="9"/>
  <c r="L2240" i="9"/>
  <c r="K2240" i="9"/>
  <c r="N2239" i="9"/>
  <c r="M2239" i="9"/>
  <c r="L2239" i="9"/>
  <c r="K2239" i="9"/>
  <c r="N2238" i="9"/>
  <c r="M2238" i="9"/>
  <c r="L2238" i="9"/>
  <c r="K2238" i="9"/>
  <c r="M2237" i="9"/>
  <c r="L2237" i="9"/>
  <c r="N2237" i="9" s="1"/>
  <c r="K2237" i="9"/>
  <c r="M2236" i="9"/>
  <c r="L2236" i="9"/>
  <c r="N2236" i="9" s="1"/>
  <c r="K2236" i="9"/>
  <c r="N2235" i="9"/>
  <c r="M2235" i="9"/>
  <c r="L2235" i="9"/>
  <c r="K2235" i="9"/>
  <c r="N2234" i="9"/>
  <c r="M2234" i="9"/>
  <c r="L2234" i="9"/>
  <c r="K2234" i="9"/>
  <c r="N2233" i="9"/>
  <c r="M2233" i="9"/>
  <c r="L2233" i="9"/>
  <c r="K2233" i="9"/>
  <c r="M2232" i="9"/>
  <c r="L2232" i="9"/>
  <c r="N2232" i="9" s="1"/>
  <c r="K2232" i="9"/>
  <c r="N2231" i="9"/>
  <c r="M2231" i="9"/>
  <c r="L2231" i="9"/>
  <c r="K2231" i="9"/>
  <c r="M2230" i="9"/>
  <c r="L2230" i="9"/>
  <c r="N2230" i="9" s="1"/>
  <c r="K2230" i="9"/>
  <c r="M2229" i="9"/>
  <c r="L2229" i="9"/>
  <c r="N2229" i="9" s="1"/>
  <c r="K2229" i="9"/>
  <c r="N2228" i="9"/>
  <c r="M2228" i="9"/>
  <c r="L2228" i="9"/>
  <c r="K2228" i="9"/>
  <c r="N2227" i="9"/>
  <c r="M2227" i="9"/>
  <c r="L2227" i="9"/>
  <c r="K2227" i="9"/>
  <c r="N2226" i="9"/>
  <c r="M2226" i="9"/>
  <c r="L2226" i="9"/>
  <c r="K2226" i="9"/>
  <c r="M2225" i="9"/>
  <c r="L2225" i="9"/>
  <c r="N2225" i="9" s="1"/>
  <c r="K2225" i="9"/>
  <c r="N2224" i="9"/>
  <c r="M2224" i="9"/>
  <c r="L2224" i="9"/>
  <c r="K2224" i="9"/>
  <c r="M2223" i="9"/>
  <c r="L2223" i="9"/>
  <c r="N2223" i="9" s="1"/>
  <c r="K2223" i="9"/>
  <c r="N2222" i="9"/>
  <c r="M2222" i="9"/>
  <c r="L2222" i="9"/>
  <c r="K2222" i="9"/>
  <c r="N2221" i="9"/>
  <c r="M2221" i="9"/>
  <c r="L2221" i="9"/>
  <c r="K2221" i="9"/>
  <c r="N2220" i="9"/>
  <c r="M2220" i="9"/>
  <c r="L2220" i="9"/>
  <c r="K2220" i="9"/>
  <c r="N2219" i="9"/>
  <c r="M2219" i="9"/>
  <c r="L2219" i="9"/>
  <c r="K2219" i="9"/>
  <c r="N2218" i="9"/>
  <c r="M2218" i="9"/>
  <c r="L2218" i="9"/>
  <c r="K2218" i="9"/>
  <c r="N2217" i="9"/>
  <c r="M2217" i="9"/>
  <c r="L2217" i="9"/>
  <c r="K2217" i="9"/>
  <c r="M2216" i="9"/>
  <c r="L2216" i="9"/>
  <c r="N2216" i="9" s="1"/>
  <c r="K2216" i="9"/>
  <c r="N2215" i="9"/>
  <c r="M2215" i="9"/>
  <c r="L2215" i="9"/>
  <c r="K2215" i="9"/>
  <c r="N2214" i="9"/>
  <c r="M2214" i="9"/>
  <c r="L2214" i="9"/>
  <c r="K2214" i="9"/>
  <c r="N2213" i="9"/>
  <c r="M2213" i="9"/>
  <c r="L2213" i="9"/>
  <c r="K2213" i="9"/>
  <c r="M2212" i="9"/>
  <c r="L2212" i="9"/>
  <c r="N2212" i="9" s="1"/>
  <c r="K2212" i="9"/>
  <c r="N2211" i="9"/>
  <c r="M2211" i="9"/>
  <c r="L2211" i="9"/>
  <c r="K2211" i="9"/>
  <c r="N2210" i="9"/>
  <c r="M2210" i="9"/>
  <c r="L2210" i="9"/>
  <c r="K2210" i="9"/>
  <c r="M2209" i="9"/>
  <c r="L2209" i="9"/>
  <c r="N2209" i="9" s="1"/>
  <c r="K2209" i="9"/>
  <c r="N2208" i="9"/>
  <c r="M2208" i="9"/>
  <c r="L2208" i="9"/>
  <c r="K2208" i="9"/>
  <c r="N2207" i="9"/>
  <c r="M2207" i="9"/>
  <c r="L2207" i="9"/>
  <c r="K2207" i="9"/>
  <c r="N2206" i="9"/>
  <c r="M2206" i="9"/>
  <c r="L2206" i="9"/>
  <c r="K2206" i="9"/>
  <c r="M2205" i="9"/>
  <c r="L2205" i="9"/>
  <c r="N2205" i="9" s="1"/>
  <c r="K2205" i="9"/>
  <c r="N2204" i="9"/>
  <c r="M2204" i="9"/>
  <c r="L2204" i="9"/>
  <c r="K2204" i="9"/>
  <c r="N2203" i="9"/>
  <c r="M2203" i="9"/>
  <c r="L2203" i="9"/>
  <c r="K2203" i="9"/>
  <c r="M2202" i="9"/>
  <c r="L2202" i="9"/>
  <c r="N2202" i="9" s="1"/>
  <c r="K2202" i="9"/>
  <c r="M2201" i="9"/>
  <c r="L2201" i="9"/>
  <c r="N2201" i="9" s="1"/>
  <c r="K2201" i="9"/>
  <c r="N2200" i="9"/>
  <c r="M2200" i="9"/>
  <c r="L2200" i="9"/>
  <c r="K2200" i="9"/>
  <c r="N2199" i="9"/>
  <c r="M2199" i="9"/>
  <c r="L2199" i="9"/>
  <c r="K2199" i="9"/>
  <c r="M2198" i="9"/>
  <c r="L2198" i="9"/>
  <c r="N2198" i="9" s="1"/>
  <c r="K2198" i="9"/>
  <c r="N2197" i="9"/>
  <c r="M2197" i="9"/>
  <c r="L2197" i="9"/>
  <c r="K2197" i="9"/>
  <c r="N2196" i="9"/>
  <c r="M2196" i="9"/>
  <c r="L2196" i="9"/>
  <c r="K2196" i="9"/>
  <c r="M2195" i="9"/>
  <c r="L2195" i="9"/>
  <c r="N2195" i="9" s="1"/>
  <c r="K2195" i="9"/>
  <c r="M2194" i="9"/>
  <c r="L2194" i="9"/>
  <c r="N2194" i="9" s="1"/>
  <c r="K2194" i="9"/>
  <c r="N2193" i="9"/>
  <c r="M2193" i="9"/>
  <c r="L2193" i="9"/>
  <c r="K2193" i="9"/>
  <c r="N2192" i="9"/>
  <c r="M2192" i="9"/>
  <c r="L2192" i="9"/>
  <c r="K2192" i="9"/>
  <c r="N2191" i="9"/>
  <c r="M2191" i="9"/>
  <c r="L2191" i="9"/>
  <c r="K2191" i="9"/>
  <c r="M2190" i="9"/>
  <c r="L2190" i="9"/>
  <c r="N2190" i="9" s="1"/>
  <c r="K2190" i="9"/>
  <c r="N2189" i="9"/>
  <c r="M2189" i="9"/>
  <c r="L2189" i="9"/>
  <c r="K2189" i="9"/>
  <c r="M2188" i="9"/>
  <c r="L2188" i="9"/>
  <c r="N2188" i="9" s="1"/>
  <c r="K2188" i="9"/>
  <c r="M2187" i="9"/>
  <c r="L2187" i="9"/>
  <c r="N2187" i="9" s="1"/>
  <c r="K2187" i="9"/>
  <c r="N2186" i="9"/>
  <c r="M2186" i="9"/>
  <c r="L2186" i="9"/>
  <c r="K2186" i="9"/>
  <c r="N2185" i="9"/>
  <c r="M2185" i="9"/>
  <c r="L2185" i="9"/>
  <c r="K2185" i="9"/>
  <c r="N2184" i="9"/>
  <c r="M2184" i="9"/>
  <c r="L2184" i="9"/>
  <c r="K2184" i="9"/>
  <c r="M2183" i="9"/>
  <c r="L2183" i="9"/>
  <c r="N2183" i="9" s="1"/>
  <c r="K2183" i="9"/>
  <c r="N2182" i="9"/>
  <c r="M2182" i="9"/>
  <c r="L2182" i="9"/>
  <c r="K2182" i="9"/>
  <c r="M2181" i="9"/>
  <c r="L2181" i="9"/>
  <c r="N2181" i="9" s="1"/>
  <c r="K2181" i="9"/>
  <c r="N2180" i="9"/>
  <c r="M2180" i="9"/>
  <c r="L2180" i="9"/>
  <c r="K2180" i="9"/>
  <c r="N2179" i="9"/>
  <c r="M2179" i="9"/>
  <c r="L2179" i="9"/>
  <c r="K2179" i="9"/>
  <c r="N2178" i="9"/>
  <c r="M2178" i="9"/>
  <c r="L2178" i="9"/>
  <c r="K2178" i="9"/>
  <c r="N2177" i="9"/>
  <c r="M2177" i="9"/>
  <c r="L2177" i="9"/>
  <c r="K2177" i="9"/>
  <c r="M2176" i="9"/>
  <c r="L2176" i="9"/>
  <c r="N2176" i="9" s="1"/>
  <c r="K2176" i="9"/>
  <c r="N2175" i="9"/>
  <c r="M2175" i="9"/>
  <c r="L2175" i="9"/>
  <c r="K2175" i="9"/>
  <c r="M2174" i="9"/>
  <c r="L2174" i="9"/>
  <c r="N2174" i="9" s="1"/>
  <c r="K2174" i="9"/>
  <c r="N2173" i="9"/>
  <c r="M2173" i="9"/>
  <c r="L2173" i="9"/>
  <c r="K2173" i="9"/>
  <c r="M2172" i="9"/>
  <c r="L2172" i="9"/>
  <c r="N2172" i="9" s="1"/>
  <c r="K2172" i="9"/>
  <c r="N2171" i="9"/>
  <c r="M2171" i="9"/>
  <c r="L2171" i="9"/>
  <c r="K2171" i="9"/>
  <c r="M2170" i="9"/>
  <c r="L2170" i="9"/>
  <c r="N2170" i="9" s="1"/>
  <c r="K2170" i="9"/>
  <c r="M2169" i="9"/>
  <c r="L2169" i="9"/>
  <c r="N2169" i="9" s="1"/>
  <c r="K2169" i="9"/>
  <c r="N2168" i="9"/>
  <c r="M2168" i="9"/>
  <c r="L2168" i="9"/>
  <c r="K2168" i="9"/>
  <c r="M2167" i="9"/>
  <c r="L2167" i="9"/>
  <c r="N2167" i="9" s="1"/>
  <c r="K2167" i="9"/>
  <c r="M2166" i="9"/>
  <c r="L2166" i="9"/>
  <c r="N2166" i="9" s="1"/>
  <c r="K2166" i="9"/>
  <c r="M2165" i="9"/>
  <c r="L2165" i="9"/>
  <c r="N2165" i="9" s="1"/>
  <c r="K2165" i="9"/>
  <c r="N2164" i="9"/>
  <c r="M2164" i="9"/>
  <c r="L2164" i="9"/>
  <c r="K2164" i="9"/>
  <c r="M2163" i="9"/>
  <c r="L2163" i="9"/>
  <c r="N2163" i="9" s="1"/>
  <c r="K2163" i="9"/>
  <c r="N2162" i="9"/>
  <c r="M2162" i="9"/>
  <c r="L2162" i="9"/>
  <c r="K2162" i="9"/>
  <c r="N2161" i="9"/>
  <c r="M2161" i="9"/>
  <c r="L2161" i="9"/>
  <c r="K2161" i="9"/>
  <c r="M2160" i="9"/>
  <c r="L2160" i="9"/>
  <c r="N2160" i="9" s="1"/>
  <c r="K2160" i="9"/>
  <c r="M2159" i="9"/>
  <c r="L2159" i="9"/>
  <c r="N2159" i="9" s="1"/>
  <c r="K2159" i="9"/>
  <c r="M2158" i="9"/>
  <c r="L2158" i="9"/>
  <c r="N2158" i="9" s="1"/>
  <c r="K2158" i="9"/>
  <c r="N2157" i="9"/>
  <c r="M2157" i="9"/>
  <c r="L2157" i="9"/>
  <c r="K2157" i="9"/>
  <c r="M2156" i="9"/>
  <c r="L2156" i="9"/>
  <c r="N2156" i="9" s="1"/>
  <c r="K2156" i="9"/>
  <c r="N2155" i="9"/>
  <c r="M2155" i="9"/>
  <c r="L2155" i="9"/>
  <c r="K2155" i="9"/>
  <c r="N2154" i="9"/>
  <c r="M2154" i="9"/>
  <c r="L2154" i="9"/>
  <c r="K2154" i="9"/>
  <c r="M2153" i="9"/>
  <c r="L2153" i="9"/>
  <c r="N2153" i="9" s="1"/>
  <c r="K2153" i="9"/>
  <c r="M2152" i="9"/>
  <c r="L2152" i="9"/>
  <c r="N2152" i="9" s="1"/>
  <c r="K2152" i="9"/>
  <c r="N2151" i="9"/>
  <c r="M2151" i="9"/>
  <c r="L2151" i="9"/>
  <c r="K2151" i="9"/>
  <c r="N2150" i="9"/>
  <c r="M2150" i="9"/>
  <c r="L2150" i="9"/>
  <c r="K2150" i="9"/>
  <c r="N2149" i="9"/>
  <c r="M2149" i="9"/>
  <c r="L2149" i="9"/>
  <c r="K2149" i="9"/>
  <c r="M2148" i="9"/>
  <c r="L2148" i="9"/>
  <c r="N2148" i="9" s="1"/>
  <c r="K2148" i="9"/>
  <c r="M2147" i="9"/>
  <c r="L2147" i="9"/>
  <c r="N2147" i="9" s="1"/>
  <c r="K2147" i="9"/>
  <c r="M2146" i="9"/>
  <c r="L2146" i="9"/>
  <c r="N2146" i="9" s="1"/>
  <c r="K2146" i="9"/>
  <c r="M2145" i="9"/>
  <c r="L2145" i="9"/>
  <c r="N2145" i="9" s="1"/>
  <c r="K2145" i="9"/>
  <c r="N2144" i="9"/>
  <c r="M2144" i="9"/>
  <c r="L2144" i="9"/>
  <c r="K2144" i="9"/>
  <c r="N2143" i="9"/>
  <c r="M2143" i="9"/>
  <c r="L2143" i="9"/>
  <c r="K2143" i="9"/>
  <c r="N2142" i="9"/>
  <c r="M2142" i="9"/>
  <c r="L2142" i="9"/>
  <c r="K2142" i="9"/>
  <c r="M2141" i="9"/>
  <c r="L2141" i="9"/>
  <c r="N2141" i="9" s="1"/>
  <c r="K2141" i="9"/>
  <c r="M2140" i="9"/>
  <c r="L2140" i="9"/>
  <c r="N2140" i="9" s="1"/>
  <c r="K2140" i="9"/>
  <c r="M2139" i="9"/>
  <c r="L2139" i="9"/>
  <c r="N2139" i="9" s="1"/>
  <c r="K2139" i="9"/>
  <c r="N2138" i="9"/>
  <c r="M2138" i="9"/>
  <c r="L2138" i="9"/>
  <c r="K2138" i="9"/>
  <c r="N2137" i="9"/>
  <c r="M2137" i="9"/>
  <c r="L2137" i="9"/>
  <c r="K2137" i="9"/>
  <c r="N2136" i="9"/>
  <c r="M2136" i="9"/>
  <c r="L2136" i="9"/>
  <c r="K2136" i="9"/>
  <c r="N2135" i="9"/>
  <c r="M2135" i="9"/>
  <c r="L2135" i="9"/>
  <c r="K2135" i="9"/>
  <c r="M2134" i="9"/>
  <c r="L2134" i="9"/>
  <c r="N2134" i="9" s="1"/>
  <c r="K2134" i="9"/>
  <c r="N2133" i="9"/>
  <c r="M2133" i="9"/>
  <c r="L2133" i="9"/>
  <c r="K2133" i="9"/>
  <c r="M2132" i="9"/>
  <c r="L2132" i="9"/>
  <c r="N2132" i="9" s="1"/>
  <c r="K2132" i="9"/>
  <c r="N2131" i="9"/>
  <c r="M2131" i="9"/>
  <c r="L2131" i="9"/>
  <c r="K2131" i="9"/>
  <c r="M2130" i="9"/>
  <c r="L2130" i="9"/>
  <c r="N2130" i="9" s="1"/>
  <c r="K2130" i="9"/>
  <c r="N2129" i="9"/>
  <c r="M2129" i="9"/>
  <c r="L2129" i="9"/>
  <c r="K2129" i="9"/>
  <c r="N2128" i="9"/>
  <c r="M2128" i="9"/>
  <c r="L2128" i="9"/>
  <c r="K2128" i="9"/>
  <c r="M2127" i="9"/>
  <c r="L2127" i="9"/>
  <c r="N2127" i="9" s="1"/>
  <c r="K2127" i="9"/>
  <c r="N2126" i="9"/>
  <c r="M2126" i="9"/>
  <c r="L2126" i="9"/>
  <c r="K2126" i="9"/>
  <c r="N2125" i="9"/>
  <c r="M2125" i="9"/>
  <c r="L2125" i="9"/>
  <c r="K2125" i="9"/>
  <c r="N2124" i="9"/>
  <c r="M2124" i="9"/>
  <c r="L2124" i="9"/>
  <c r="K2124" i="9"/>
  <c r="N2123" i="9"/>
  <c r="M2123" i="9"/>
  <c r="L2123" i="9"/>
  <c r="K2123" i="9"/>
  <c r="N2122" i="9"/>
  <c r="M2122" i="9"/>
  <c r="L2122" i="9"/>
  <c r="K2122" i="9"/>
  <c r="N2121" i="9"/>
  <c r="M2121" i="9"/>
  <c r="L2121" i="9"/>
  <c r="K2121" i="9"/>
  <c r="N2120" i="9"/>
  <c r="M2120" i="9"/>
  <c r="L2120" i="9"/>
  <c r="K2120" i="9"/>
  <c r="N2119" i="9"/>
  <c r="M2119" i="9"/>
  <c r="L2119" i="9"/>
  <c r="K2119" i="9"/>
  <c r="M2118" i="9"/>
  <c r="L2118" i="9"/>
  <c r="N2118" i="9" s="1"/>
  <c r="K2118" i="9"/>
  <c r="N2117" i="9"/>
  <c r="M2117" i="9"/>
  <c r="L2117" i="9"/>
  <c r="K2117" i="9"/>
  <c r="M2116" i="9"/>
  <c r="L2116" i="9"/>
  <c r="N2116" i="9" s="1"/>
  <c r="K2116" i="9"/>
  <c r="N2115" i="9"/>
  <c r="M2115" i="9"/>
  <c r="L2115" i="9"/>
  <c r="K2115" i="9"/>
  <c r="M2114" i="9"/>
  <c r="L2114" i="9"/>
  <c r="N2114" i="9" s="1"/>
  <c r="K2114" i="9"/>
  <c r="N2113" i="9"/>
  <c r="M2113" i="9"/>
  <c r="L2113" i="9"/>
  <c r="K2113" i="9"/>
  <c r="M2112" i="9"/>
  <c r="L2112" i="9"/>
  <c r="N2112" i="9" s="1"/>
  <c r="K2112" i="9"/>
  <c r="M2111" i="9"/>
  <c r="L2111" i="9"/>
  <c r="N2111" i="9" s="1"/>
  <c r="K2111" i="9"/>
  <c r="N2110" i="9"/>
  <c r="M2110" i="9"/>
  <c r="L2110" i="9"/>
  <c r="K2110" i="9"/>
  <c r="M2109" i="9"/>
  <c r="L2109" i="9"/>
  <c r="N2109" i="9" s="1"/>
  <c r="K2109" i="9"/>
  <c r="N2108" i="9"/>
  <c r="M2108" i="9"/>
  <c r="L2108" i="9"/>
  <c r="K2108" i="9"/>
  <c r="M2107" i="9"/>
  <c r="L2107" i="9"/>
  <c r="N2107" i="9" s="1"/>
  <c r="K2107" i="9"/>
  <c r="N2106" i="9"/>
  <c r="M2106" i="9"/>
  <c r="L2106" i="9"/>
  <c r="K2106" i="9"/>
  <c r="M2105" i="9"/>
  <c r="L2105" i="9"/>
  <c r="N2105" i="9" s="1"/>
  <c r="K2105" i="9"/>
  <c r="M2104" i="9"/>
  <c r="L2104" i="9"/>
  <c r="N2104" i="9" s="1"/>
  <c r="K2104" i="9"/>
  <c r="N2103" i="9"/>
  <c r="M2103" i="9"/>
  <c r="L2103" i="9"/>
  <c r="K2103" i="9"/>
  <c r="M2102" i="9"/>
  <c r="L2102" i="9"/>
  <c r="N2102" i="9" s="1"/>
  <c r="K2102" i="9"/>
  <c r="N2101" i="9"/>
  <c r="M2101" i="9"/>
  <c r="L2101" i="9"/>
  <c r="K2101" i="9"/>
  <c r="M2100" i="9"/>
  <c r="L2100" i="9"/>
  <c r="N2100" i="9" s="1"/>
  <c r="K2100" i="9"/>
  <c r="N2099" i="9"/>
  <c r="M2099" i="9"/>
  <c r="L2099" i="9"/>
  <c r="K2099" i="9"/>
  <c r="M2098" i="9"/>
  <c r="L2098" i="9"/>
  <c r="N2098" i="9" s="1"/>
  <c r="K2098" i="9"/>
  <c r="M2097" i="9"/>
  <c r="L2097" i="9"/>
  <c r="N2097" i="9" s="1"/>
  <c r="K2097" i="9"/>
  <c r="M2096" i="9"/>
  <c r="L2096" i="9"/>
  <c r="N2096" i="9" s="1"/>
  <c r="K2096" i="9"/>
  <c r="N2095" i="9"/>
  <c r="M2095" i="9"/>
  <c r="L2095" i="9"/>
  <c r="K2095" i="9"/>
  <c r="N2094" i="9"/>
  <c r="M2094" i="9"/>
  <c r="L2094" i="9"/>
  <c r="K2094" i="9"/>
  <c r="M2093" i="9"/>
  <c r="L2093" i="9"/>
  <c r="N2093" i="9" s="1"/>
  <c r="K2093" i="9"/>
  <c r="N2092" i="9"/>
  <c r="M2092" i="9"/>
  <c r="L2092" i="9"/>
  <c r="K2092" i="9"/>
  <c r="M2091" i="9"/>
  <c r="L2091" i="9"/>
  <c r="N2091" i="9" s="1"/>
  <c r="K2091" i="9"/>
  <c r="M2090" i="9"/>
  <c r="L2090" i="9"/>
  <c r="N2090" i="9" s="1"/>
  <c r="K2090" i="9"/>
  <c r="M2089" i="9"/>
  <c r="L2089" i="9"/>
  <c r="N2089" i="9" s="1"/>
  <c r="K2089" i="9"/>
  <c r="N2088" i="9"/>
  <c r="M2088" i="9"/>
  <c r="L2088" i="9"/>
  <c r="K2088" i="9"/>
  <c r="N2087" i="9"/>
  <c r="M2087" i="9"/>
  <c r="L2087" i="9"/>
  <c r="K2087" i="9"/>
  <c r="N2086" i="9"/>
  <c r="M2086" i="9"/>
  <c r="L2086" i="9"/>
  <c r="K2086" i="9"/>
  <c r="N2085" i="9"/>
  <c r="M2085" i="9"/>
  <c r="L2085" i="9"/>
  <c r="K2085" i="9"/>
  <c r="N2084" i="9"/>
  <c r="M2084" i="9"/>
  <c r="L2084" i="9"/>
  <c r="K2084" i="9"/>
  <c r="M2083" i="9"/>
  <c r="L2083" i="9"/>
  <c r="N2083" i="9" s="1"/>
  <c r="K2083" i="9"/>
  <c r="M2082" i="9"/>
  <c r="L2082" i="9"/>
  <c r="N2082" i="9" s="1"/>
  <c r="K2082" i="9"/>
  <c r="N2081" i="9"/>
  <c r="M2081" i="9"/>
  <c r="L2081" i="9"/>
  <c r="K2081" i="9"/>
  <c r="N2080" i="9"/>
  <c r="M2080" i="9"/>
  <c r="L2080" i="9"/>
  <c r="K2080" i="9"/>
  <c r="N2079" i="9"/>
  <c r="M2079" i="9"/>
  <c r="L2079" i="9"/>
  <c r="K2079" i="9"/>
  <c r="M2078" i="9"/>
  <c r="L2078" i="9"/>
  <c r="N2078" i="9" s="1"/>
  <c r="K2078" i="9"/>
  <c r="N2077" i="9"/>
  <c r="M2077" i="9"/>
  <c r="L2077" i="9"/>
  <c r="K2077" i="9"/>
  <c r="M2076" i="9"/>
  <c r="L2076" i="9"/>
  <c r="N2076" i="9" s="1"/>
  <c r="K2076" i="9"/>
  <c r="N2075" i="9"/>
  <c r="M2075" i="9"/>
  <c r="L2075" i="9"/>
  <c r="K2075" i="9"/>
  <c r="M2074" i="9"/>
  <c r="L2074" i="9"/>
  <c r="N2074" i="9" s="1"/>
  <c r="K2074" i="9"/>
  <c r="N2073" i="9"/>
  <c r="M2073" i="9"/>
  <c r="L2073" i="9"/>
  <c r="K2073" i="9"/>
  <c r="N2072" i="9"/>
  <c r="M2072" i="9"/>
  <c r="L2072" i="9"/>
  <c r="K2072" i="9"/>
  <c r="M2071" i="9"/>
  <c r="L2071" i="9"/>
  <c r="N2071" i="9" s="1"/>
  <c r="K2071" i="9"/>
  <c r="N2070" i="9"/>
  <c r="M2070" i="9"/>
  <c r="L2070" i="9"/>
  <c r="K2070" i="9"/>
  <c r="M2069" i="9"/>
  <c r="L2069" i="9"/>
  <c r="N2069" i="9" s="1"/>
  <c r="K2069" i="9"/>
  <c r="N2068" i="9"/>
  <c r="M2068" i="9"/>
  <c r="L2068" i="9"/>
  <c r="K2068" i="9"/>
  <c r="M2067" i="9"/>
  <c r="L2067" i="9"/>
  <c r="N2067" i="9" s="1"/>
  <c r="K2067" i="9"/>
  <c r="N2066" i="9"/>
  <c r="M2066" i="9"/>
  <c r="L2066" i="9"/>
  <c r="K2066" i="9"/>
  <c r="M2065" i="9"/>
  <c r="L2065" i="9"/>
  <c r="N2065" i="9" s="1"/>
  <c r="K2065" i="9"/>
  <c r="M2064" i="9"/>
  <c r="L2064" i="9"/>
  <c r="N2064" i="9" s="1"/>
  <c r="K2064" i="9"/>
  <c r="N2063" i="9"/>
  <c r="M2063" i="9"/>
  <c r="L2063" i="9"/>
  <c r="K2063" i="9"/>
  <c r="M2062" i="9"/>
  <c r="L2062" i="9"/>
  <c r="N2062" i="9" s="1"/>
  <c r="K2062" i="9"/>
  <c r="N2061" i="9"/>
  <c r="M2061" i="9"/>
  <c r="L2061" i="9"/>
  <c r="K2061" i="9"/>
  <c r="M2060" i="9"/>
  <c r="L2060" i="9"/>
  <c r="N2060" i="9" s="1"/>
  <c r="K2060" i="9"/>
  <c r="N2059" i="9"/>
  <c r="M2059" i="9"/>
  <c r="L2059" i="9"/>
  <c r="K2059" i="9"/>
  <c r="M2058" i="9"/>
  <c r="L2058" i="9"/>
  <c r="N2058" i="9" s="1"/>
  <c r="K2058" i="9"/>
  <c r="N2057" i="9"/>
  <c r="M2057" i="9"/>
  <c r="L2057" i="9"/>
  <c r="K2057" i="9"/>
  <c r="N2056" i="9"/>
  <c r="M2056" i="9"/>
  <c r="L2056" i="9"/>
  <c r="K2056" i="9"/>
  <c r="M2055" i="9"/>
  <c r="L2055" i="9"/>
  <c r="N2055" i="9" s="1"/>
  <c r="K2055" i="9"/>
  <c r="M2054" i="9"/>
  <c r="L2054" i="9"/>
  <c r="N2054" i="9" s="1"/>
  <c r="K2054" i="9"/>
  <c r="M2053" i="9"/>
  <c r="L2053" i="9"/>
  <c r="N2053" i="9" s="1"/>
  <c r="K2053" i="9"/>
  <c r="N2052" i="9"/>
  <c r="M2052" i="9"/>
  <c r="L2052" i="9"/>
  <c r="K2052" i="9"/>
  <c r="M2051" i="9"/>
  <c r="L2051" i="9"/>
  <c r="N2051" i="9" s="1"/>
  <c r="K2051" i="9"/>
  <c r="N2050" i="9"/>
  <c r="M2050" i="9"/>
  <c r="L2050" i="9"/>
  <c r="K2050" i="9"/>
  <c r="M2049" i="9"/>
  <c r="L2049" i="9"/>
  <c r="N2049" i="9" s="1"/>
  <c r="K2049" i="9"/>
  <c r="M2048" i="9"/>
  <c r="L2048" i="9"/>
  <c r="N2048" i="9" s="1"/>
  <c r="K2048" i="9"/>
  <c r="M2047" i="9"/>
  <c r="L2047" i="9"/>
  <c r="N2047" i="9" s="1"/>
  <c r="K2047" i="9"/>
  <c r="N2046" i="9"/>
  <c r="M2046" i="9"/>
  <c r="L2046" i="9"/>
  <c r="K2046" i="9"/>
  <c r="N2045" i="9"/>
  <c r="M2045" i="9"/>
  <c r="L2045" i="9"/>
  <c r="K2045" i="9"/>
  <c r="N2044" i="9"/>
  <c r="M2044" i="9"/>
  <c r="L2044" i="9"/>
  <c r="K2044" i="9"/>
  <c r="M2043" i="9"/>
  <c r="L2043" i="9"/>
  <c r="N2043" i="9" s="1"/>
  <c r="K2043" i="9"/>
  <c r="M2042" i="9"/>
  <c r="L2042" i="9"/>
  <c r="N2042" i="9" s="1"/>
  <c r="K2042" i="9"/>
  <c r="M2041" i="9"/>
  <c r="L2041" i="9"/>
  <c r="N2041" i="9" s="1"/>
  <c r="K2041" i="9"/>
  <c r="M2040" i="9"/>
  <c r="L2040" i="9"/>
  <c r="N2040" i="9" s="1"/>
  <c r="K2040" i="9"/>
  <c r="N2039" i="9"/>
  <c r="M2039" i="9"/>
  <c r="L2039" i="9"/>
  <c r="K2039" i="9"/>
  <c r="N2038" i="9"/>
  <c r="M2038" i="9"/>
  <c r="L2038" i="9"/>
  <c r="K2038" i="9"/>
  <c r="N2037" i="9"/>
  <c r="M2037" i="9"/>
  <c r="L2037" i="9"/>
  <c r="K2037" i="9"/>
  <c r="M2036" i="9"/>
  <c r="L2036" i="9"/>
  <c r="N2036" i="9" s="1"/>
  <c r="K2036" i="9"/>
  <c r="M2035" i="9"/>
  <c r="L2035" i="9"/>
  <c r="N2035" i="9" s="1"/>
  <c r="K2035" i="9"/>
  <c r="M2034" i="9"/>
  <c r="L2034" i="9"/>
  <c r="N2034" i="9" s="1"/>
  <c r="K2034" i="9"/>
  <c r="M2033" i="9"/>
  <c r="L2033" i="9"/>
  <c r="N2033" i="9" s="1"/>
  <c r="K2033" i="9"/>
  <c r="M2032" i="9"/>
  <c r="L2032" i="9"/>
  <c r="N2032" i="9" s="1"/>
  <c r="K2032" i="9"/>
  <c r="N2031" i="9"/>
  <c r="M2031" i="9"/>
  <c r="L2031" i="9"/>
  <c r="K2031" i="9"/>
  <c r="N2030" i="9"/>
  <c r="M2030" i="9"/>
  <c r="L2030" i="9"/>
  <c r="K2030" i="9"/>
  <c r="M2029" i="9"/>
  <c r="L2029" i="9"/>
  <c r="N2029" i="9" s="1"/>
  <c r="K2029" i="9"/>
  <c r="N2028" i="9"/>
  <c r="M2028" i="9"/>
  <c r="L2028" i="9"/>
  <c r="K2028" i="9"/>
  <c r="M2027" i="9"/>
  <c r="L2027" i="9"/>
  <c r="N2027" i="9" s="1"/>
  <c r="K2027" i="9"/>
  <c r="N2026" i="9"/>
  <c r="M2026" i="9"/>
  <c r="L2026" i="9"/>
  <c r="K2026" i="9"/>
  <c r="M2025" i="9"/>
  <c r="L2025" i="9"/>
  <c r="N2025" i="9" s="1"/>
  <c r="K2025" i="9"/>
  <c r="N2024" i="9"/>
  <c r="M2024" i="9"/>
  <c r="L2024" i="9"/>
  <c r="K2024" i="9"/>
  <c r="N2023" i="9"/>
  <c r="M2023" i="9"/>
  <c r="L2023" i="9"/>
  <c r="K2023" i="9"/>
  <c r="M2022" i="9"/>
  <c r="L2022" i="9"/>
  <c r="N2022" i="9" s="1"/>
  <c r="K2022" i="9"/>
  <c r="N2021" i="9"/>
  <c r="M2021" i="9"/>
  <c r="L2021" i="9"/>
  <c r="K2021" i="9"/>
  <c r="M2020" i="9"/>
  <c r="L2020" i="9"/>
  <c r="N2020" i="9" s="1"/>
  <c r="K2020" i="9"/>
  <c r="N2019" i="9"/>
  <c r="M2019" i="9"/>
  <c r="L2019" i="9"/>
  <c r="K2019" i="9"/>
  <c r="M2018" i="9"/>
  <c r="L2018" i="9"/>
  <c r="N2018" i="9" s="1"/>
  <c r="K2018" i="9"/>
  <c r="N2017" i="9"/>
  <c r="M2017" i="9"/>
  <c r="L2017" i="9"/>
  <c r="K2017" i="9"/>
  <c r="N2016" i="9"/>
  <c r="M2016" i="9"/>
  <c r="L2016" i="9"/>
  <c r="K2016" i="9"/>
  <c r="N2015" i="9"/>
  <c r="M2015" i="9"/>
  <c r="L2015" i="9"/>
  <c r="K2015" i="9"/>
  <c r="N2014" i="9"/>
  <c r="M2014" i="9"/>
  <c r="L2014" i="9"/>
  <c r="K2014" i="9"/>
  <c r="M2013" i="9"/>
  <c r="L2013" i="9"/>
  <c r="N2013" i="9" s="1"/>
  <c r="K2013" i="9"/>
  <c r="N2012" i="9"/>
  <c r="M2012" i="9"/>
  <c r="L2012" i="9"/>
  <c r="K2012" i="9"/>
  <c r="M2011" i="9"/>
  <c r="L2011" i="9"/>
  <c r="N2011" i="9" s="1"/>
  <c r="K2011" i="9"/>
  <c r="N2010" i="9"/>
  <c r="M2010" i="9"/>
  <c r="L2010" i="9"/>
  <c r="K2010" i="9"/>
  <c r="M2009" i="9"/>
  <c r="L2009" i="9"/>
  <c r="N2009" i="9" s="1"/>
  <c r="K2009" i="9"/>
  <c r="N2008" i="9"/>
  <c r="M2008" i="9"/>
  <c r="L2008" i="9"/>
  <c r="K2008" i="9"/>
  <c r="M2007" i="9"/>
  <c r="L2007" i="9"/>
  <c r="N2007" i="9" s="1"/>
  <c r="K2007" i="9"/>
  <c r="M2006" i="9"/>
  <c r="L2006" i="9"/>
  <c r="N2006" i="9" s="1"/>
  <c r="K2006" i="9"/>
  <c r="M2005" i="9"/>
  <c r="L2005" i="9"/>
  <c r="N2005" i="9" s="1"/>
  <c r="K2005" i="9"/>
  <c r="M2004" i="9"/>
  <c r="L2004" i="9"/>
  <c r="N2004" i="9" s="1"/>
  <c r="K2004" i="9"/>
  <c r="N2003" i="9"/>
  <c r="M2003" i="9"/>
  <c r="L2003" i="9"/>
  <c r="K2003" i="9"/>
  <c r="M2002" i="9"/>
  <c r="L2002" i="9"/>
  <c r="N2002" i="9" s="1"/>
  <c r="K2002" i="9"/>
  <c r="N2001" i="9"/>
  <c r="M2001" i="9"/>
  <c r="L2001" i="9"/>
  <c r="K2001" i="9"/>
  <c r="M2000" i="9"/>
  <c r="L2000" i="9"/>
  <c r="N2000" i="9" s="1"/>
  <c r="K2000" i="9"/>
  <c r="M1999" i="9"/>
  <c r="L1999" i="9"/>
  <c r="N1999" i="9" s="1"/>
  <c r="K1999" i="9"/>
  <c r="M1998" i="9"/>
  <c r="L1998" i="9"/>
  <c r="N1998" i="9" s="1"/>
  <c r="K1998" i="9"/>
  <c r="N1997" i="9"/>
  <c r="M1997" i="9"/>
  <c r="L1997" i="9"/>
  <c r="K1997" i="9"/>
  <c r="N1996" i="9"/>
  <c r="M1996" i="9"/>
  <c r="L1996" i="9"/>
  <c r="K1996" i="9"/>
  <c r="M1995" i="9"/>
  <c r="L1995" i="9"/>
  <c r="N1995" i="9" s="1"/>
  <c r="K1995" i="9"/>
  <c r="N1994" i="9"/>
  <c r="M1994" i="9"/>
  <c r="L1994" i="9"/>
  <c r="K1994" i="9"/>
  <c r="M1993" i="9"/>
  <c r="L1993" i="9"/>
  <c r="N1993" i="9" s="1"/>
  <c r="K1993" i="9"/>
  <c r="M1992" i="9"/>
  <c r="L1992" i="9"/>
  <c r="N1992" i="9" s="1"/>
  <c r="K1992" i="9"/>
  <c r="M1991" i="9"/>
  <c r="L1991" i="9"/>
  <c r="N1991" i="9" s="1"/>
  <c r="K1991" i="9"/>
  <c r="N1990" i="9"/>
  <c r="M1990" i="9"/>
  <c r="L1990" i="9"/>
  <c r="K1990" i="9"/>
  <c r="N1989" i="9"/>
  <c r="M1989" i="9"/>
  <c r="L1989" i="9"/>
  <c r="K1989" i="9"/>
  <c r="N1988" i="9"/>
  <c r="M1988" i="9"/>
  <c r="L1988" i="9"/>
  <c r="K1988" i="9"/>
  <c r="M1987" i="9"/>
  <c r="L1987" i="9"/>
  <c r="N1987" i="9" s="1"/>
  <c r="K1987" i="9"/>
  <c r="N1986" i="9"/>
  <c r="M1986" i="9"/>
  <c r="L1986" i="9"/>
  <c r="K1986" i="9"/>
  <c r="M1985" i="9"/>
  <c r="L1985" i="9"/>
  <c r="N1985" i="9" s="1"/>
  <c r="K1985" i="9"/>
  <c r="M1984" i="9"/>
  <c r="L1984" i="9"/>
  <c r="N1984" i="9" s="1"/>
  <c r="K1984" i="9"/>
  <c r="N1983" i="9"/>
  <c r="M1983" i="9"/>
  <c r="L1983" i="9"/>
  <c r="K1983" i="9"/>
  <c r="N1982" i="9"/>
  <c r="M1982" i="9"/>
  <c r="L1982" i="9"/>
  <c r="K1982" i="9"/>
  <c r="N1981" i="9"/>
  <c r="M1981" i="9"/>
  <c r="L1981" i="9"/>
  <c r="K1981" i="9"/>
  <c r="M1980" i="9"/>
  <c r="L1980" i="9"/>
  <c r="N1980" i="9" s="1"/>
  <c r="K1980" i="9"/>
  <c r="N1979" i="9"/>
  <c r="M1979" i="9"/>
  <c r="L1979" i="9"/>
  <c r="K1979" i="9"/>
  <c r="M1978" i="9"/>
  <c r="L1978" i="9"/>
  <c r="N1978" i="9" s="1"/>
  <c r="K1978" i="9"/>
  <c r="N1977" i="9"/>
  <c r="M1977" i="9"/>
  <c r="L1977" i="9"/>
  <c r="K1977" i="9"/>
  <c r="N1976" i="9"/>
  <c r="M1976" i="9"/>
  <c r="L1976" i="9"/>
  <c r="K1976" i="9"/>
  <c r="N1975" i="9"/>
  <c r="M1975" i="9"/>
  <c r="L1975" i="9"/>
  <c r="K1975" i="9"/>
  <c r="N1974" i="9"/>
  <c r="M1974" i="9"/>
  <c r="L1974" i="9"/>
  <c r="K1974" i="9"/>
  <c r="M1973" i="9"/>
  <c r="L1973" i="9"/>
  <c r="N1973" i="9" s="1"/>
  <c r="K1973" i="9"/>
  <c r="N1972" i="9"/>
  <c r="M1972" i="9"/>
  <c r="L1972" i="9"/>
  <c r="K1972" i="9"/>
  <c r="M1971" i="9"/>
  <c r="L1971" i="9"/>
  <c r="N1971" i="9" s="1"/>
  <c r="K1971" i="9"/>
  <c r="N1970" i="9"/>
  <c r="M1970" i="9"/>
  <c r="L1970" i="9"/>
  <c r="K1970" i="9"/>
  <c r="M1969" i="9"/>
  <c r="L1969" i="9"/>
  <c r="N1969" i="9" s="1"/>
  <c r="K1969" i="9"/>
  <c r="N1968" i="9"/>
  <c r="M1968" i="9"/>
  <c r="L1968" i="9"/>
  <c r="K1968" i="9"/>
  <c r="M1967" i="9"/>
  <c r="L1967" i="9"/>
  <c r="N1967" i="9" s="1"/>
  <c r="K1967" i="9"/>
  <c r="M1966" i="9"/>
  <c r="L1966" i="9"/>
  <c r="N1966" i="9" s="1"/>
  <c r="K1966" i="9"/>
  <c r="N1965" i="9"/>
  <c r="M1965" i="9"/>
  <c r="L1965" i="9"/>
  <c r="K1965" i="9"/>
  <c r="M1964" i="9"/>
  <c r="L1964" i="9"/>
  <c r="N1964" i="9" s="1"/>
  <c r="K1964" i="9"/>
  <c r="M1963" i="9"/>
  <c r="L1963" i="9"/>
  <c r="N1963" i="9" s="1"/>
  <c r="K1963" i="9"/>
  <c r="M1962" i="9"/>
  <c r="L1962" i="9"/>
  <c r="N1962" i="9" s="1"/>
  <c r="K1962" i="9"/>
  <c r="N1961" i="9"/>
  <c r="M1961" i="9"/>
  <c r="L1961" i="9"/>
  <c r="K1961" i="9"/>
  <c r="M1960" i="9"/>
  <c r="L1960" i="9"/>
  <c r="N1960" i="9" s="1"/>
  <c r="K1960" i="9"/>
  <c r="N1959" i="9"/>
  <c r="M1959" i="9"/>
  <c r="L1959" i="9"/>
  <c r="K1959" i="9"/>
  <c r="N1958" i="9"/>
  <c r="M1958" i="9"/>
  <c r="L1958" i="9"/>
  <c r="K1958" i="9"/>
  <c r="M1957" i="9"/>
  <c r="L1957" i="9"/>
  <c r="N1957" i="9" s="1"/>
  <c r="K1957" i="9"/>
  <c r="M1956" i="9"/>
  <c r="L1956" i="9"/>
  <c r="N1956" i="9" s="1"/>
  <c r="K1956" i="9"/>
  <c r="M1955" i="9"/>
  <c r="L1955" i="9"/>
  <c r="N1955" i="9" s="1"/>
  <c r="K1955" i="9"/>
  <c r="N1954" i="9"/>
  <c r="M1954" i="9"/>
  <c r="L1954" i="9"/>
  <c r="K1954" i="9"/>
  <c r="M1953" i="9"/>
  <c r="L1953" i="9"/>
  <c r="N1953" i="9" s="1"/>
  <c r="K1953" i="9"/>
  <c r="N1952" i="9"/>
  <c r="M1952" i="9"/>
  <c r="L1952" i="9"/>
  <c r="K1952" i="9"/>
  <c r="M1951" i="9"/>
  <c r="L1951" i="9"/>
  <c r="N1951" i="9" s="1"/>
  <c r="K1951" i="9"/>
  <c r="M1950" i="9"/>
  <c r="L1950" i="9"/>
  <c r="N1950" i="9" s="1"/>
  <c r="K1950" i="9"/>
  <c r="M1949" i="9"/>
  <c r="L1949" i="9"/>
  <c r="N1949" i="9" s="1"/>
  <c r="K1949" i="9"/>
  <c r="N1948" i="9"/>
  <c r="M1948" i="9"/>
  <c r="L1948" i="9"/>
  <c r="K1948" i="9"/>
  <c r="N1947" i="9"/>
  <c r="M1947" i="9"/>
  <c r="L1947" i="9"/>
  <c r="K1947" i="9"/>
  <c r="N1946" i="9"/>
  <c r="M1946" i="9"/>
  <c r="L1946" i="9"/>
  <c r="K1946" i="9"/>
  <c r="M1945" i="9"/>
  <c r="L1945" i="9"/>
  <c r="N1945" i="9" s="1"/>
  <c r="K1945" i="9"/>
  <c r="M1944" i="9"/>
  <c r="L1944" i="9"/>
  <c r="N1944" i="9" s="1"/>
  <c r="K1944" i="9"/>
  <c r="M1943" i="9"/>
  <c r="L1943" i="9"/>
  <c r="N1943" i="9" s="1"/>
  <c r="K1943" i="9"/>
  <c r="M1942" i="9"/>
  <c r="L1942" i="9"/>
  <c r="N1942" i="9" s="1"/>
  <c r="K1942" i="9"/>
  <c r="N1941" i="9"/>
  <c r="M1941" i="9"/>
  <c r="L1941" i="9"/>
  <c r="K1941" i="9"/>
  <c r="N1940" i="9"/>
  <c r="M1940" i="9"/>
  <c r="L1940" i="9"/>
  <c r="K1940" i="9"/>
  <c r="N1939" i="9"/>
  <c r="M1939" i="9"/>
  <c r="L1939" i="9"/>
  <c r="K1939" i="9"/>
  <c r="M1938" i="9"/>
  <c r="L1938" i="9"/>
  <c r="N1938" i="9" s="1"/>
  <c r="K1938" i="9"/>
  <c r="M1937" i="9"/>
  <c r="L1937" i="9"/>
  <c r="N1937" i="9" s="1"/>
  <c r="K1937" i="9"/>
  <c r="M1936" i="9"/>
  <c r="L1936" i="9"/>
  <c r="N1936" i="9" s="1"/>
  <c r="K1936" i="9"/>
  <c r="M1935" i="9"/>
  <c r="L1935" i="9"/>
  <c r="N1935" i="9" s="1"/>
  <c r="K1935" i="9"/>
  <c r="N1934" i="9"/>
  <c r="M1934" i="9"/>
  <c r="L1934" i="9"/>
  <c r="K1934" i="9"/>
  <c r="N1933" i="9"/>
  <c r="M1933" i="9"/>
  <c r="L1933" i="9"/>
  <c r="K1933" i="9"/>
  <c r="N1932" i="9"/>
  <c r="M1932" i="9"/>
  <c r="L1932" i="9"/>
  <c r="K1932" i="9"/>
  <c r="M1931" i="9"/>
  <c r="L1931" i="9"/>
  <c r="N1931" i="9" s="1"/>
  <c r="K1931" i="9"/>
  <c r="N1930" i="9"/>
  <c r="M1930" i="9"/>
  <c r="L1930" i="9"/>
  <c r="K1930" i="9"/>
  <c r="M1929" i="9"/>
  <c r="L1929" i="9"/>
  <c r="N1929" i="9" s="1"/>
  <c r="K1929" i="9"/>
  <c r="N1928" i="9"/>
  <c r="M1928" i="9"/>
  <c r="L1928" i="9"/>
  <c r="K1928" i="9"/>
  <c r="M1927" i="9"/>
  <c r="L1927" i="9"/>
  <c r="N1927" i="9" s="1"/>
  <c r="K1927" i="9"/>
  <c r="N1926" i="9"/>
  <c r="M1926" i="9"/>
  <c r="L1926" i="9"/>
  <c r="K1926" i="9"/>
  <c r="N1925" i="9"/>
  <c r="M1925" i="9"/>
  <c r="L1925" i="9"/>
  <c r="K1925" i="9"/>
  <c r="M1924" i="9"/>
  <c r="L1924" i="9"/>
  <c r="N1924" i="9" s="1"/>
  <c r="K1924" i="9"/>
  <c r="N1923" i="9"/>
  <c r="M1923" i="9"/>
  <c r="L1923" i="9"/>
  <c r="K1923" i="9"/>
  <c r="M1922" i="9"/>
  <c r="L1922" i="9"/>
  <c r="N1922" i="9" s="1"/>
  <c r="K1922" i="9"/>
  <c r="N1921" i="9"/>
  <c r="M1921" i="9"/>
  <c r="L1921" i="9"/>
  <c r="K1921" i="9"/>
  <c r="M1920" i="9"/>
  <c r="L1920" i="9"/>
  <c r="N1920" i="9" s="1"/>
  <c r="K1920" i="9"/>
  <c r="N1919" i="9"/>
  <c r="M1919" i="9"/>
  <c r="L1919" i="9"/>
  <c r="K1919" i="9"/>
  <c r="N1918" i="9"/>
  <c r="M1918" i="9"/>
  <c r="L1918" i="9"/>
  <c r="K1918" i="9"/>
  <c r="N1917" i="9"/>
  <c r="M1917" i="9"/>
  <c r="L1917" i="9"/>
  <c r="K1917" i="9"/>
  <c r="M1916" i="9"/>
  <c r="L1916" i="9"/>
  <c r="N1916" i="9" s="1"/>
  <c r="K1916" i="9"/>
  <c r="M1915" i="9"/>
  <c r="L1915" i="9"/>
  <c r="N1915" i="9" s="1"/>
  <c r="K1915" i="9"/>
  <c r="N1914" i="9"/>
  <c r="M1914" i="9"/>
  <c r="L1914" i="9"/>
  <c r="K1914" i="9"/>
  <c r="M1913" i="9"/>
  <c r="L1913" i="9"/>
  <c r="N1913" i="9" s="1"/>
  <c r="K1913" i="9"/>
  <c r="N1912" i="9"/>
  <c r="M1912" i="9"/>
  <c r="L1912" i="9"/>
  <c r="K1912" i="9"/>
  <c r="M1911" i="9"/>
  <c r="L1911" i="9"/>
  <c r="N1911" i="9" s="1"/>
  <c r="K1911" i="9"/>
  <c r="N1910" i="9"/>
  <c r="M1910" i="9"/>
  <c r="L1910" i="9"/>
  <c r="K1910" i="9"/>
  <c r="M1909" i="9"/>
  <c r="L1909" i="9"/>
  <c r="N1909" i="9" s="1"/>
  <c r="K1909" i="9"/>
  <c r="M1908" i="9"/>
  <c r="L1908" i="9"/>
  <c r="N1908" i="9" s="1"/>
  <c r="K1908" i="9"/>
  <c r="N1907" i="9"/>
  <c r="M1907" i="9"/>
  <c r="L1907" i="9"/>
  <c r="K1907" i="9"/>
  <c r="M1906" i="9"/>
  <c r="L1906" i="9"/>
  <c r="N1906" i="9" s="1"/>
  <c r="K1906" i="9"/>
  <c r="N1905" i="9"/>
  <c r="M1905" i="9"/>
  <c r="L1905" i="9"/>
  <c r="K1905" i="9"/>
  <c r="M1904" i="9"/>
  <c r="L1904" i="9"/>
  <c r="N1904" i="9" s="1"/>
  <c r="K1904" i="9"/>
  <c r="N1903" i="9"/>
  <c r="M1903" i="9"/>
  <c r="L1903" i="9"/>
  <c r="K1903" i="9"/>
  <c r="M1902" i="9"/>
  <c r="L1902" i="9"/>
  <c r="N1902" i="9" s="1"/>
  <c r="K1902" i="9"/>
  <c r="M1901" i="9"/>
  <c r="L1901" i="9"/>
  <c r="N1901" i="9" s="1"/>
  <c r="K1901" i="9"/>
  <c r="M1900" i="9"/>
  <c r="L1900" i="9"/>
  <c r="N1900" i="9" s="1"/>
  <c r="K1900" i="9"/>
  <c r="N1899" i="9"/>
  <c r="M1899" i="9"/>
  <c r="L1899" i="9"/>
  <c r="K1899" i="9"/>
  <c r="N1898" i="9"/>
  <c r="M1898" i="9"/>
  <c r="L1898" i="9"/>
  <c r="K1898" i="9"/>
  <c r="M1897" i="9"/>
  <c r="L1897" i="9"/>
  <c r="N1897" i="9" s="1"/>
  <c r="K1897" i="9"/>
  <c r="N1896" i="9"/>
  <c r="M1896" i="9"/>
  <c r="L1896" i="9"/>
  <c r="K1896" i="9"/>
  <c r="M1895" i="9"/>
  <c r="L1895" i="9"/>
  <c r="N1895" i="9" s="1"/>
  <c r="K1895" i="9"/>
  <c r="M1894" i="9"/>
  <c r="L1894" i="9"/>
  <c r="N1894" i="9" s="1"/>
  <c r="K1894" i="9"/>
  <c r="M1893" i="9"/>
  <c r="L1893" i="9"/>
  <c r="N1893" i="9" s="1"/>
  <c r="K1893" i="9"/>
  <c r="N1892" i="9"/>
  <c r="M1892" i="9"/>
  <c r="L1892" i="9"/>
  <c r="K1892" i="9"/>
  <c r="N1891" i="9"/>
  <c r="M1891" i="9"/>
  <c r="L1891" i="9"/>
  <c r="K1891" i="9"/>
  <c r="N1890" i="9"/>
  <c r="M1890" i="9"/>
  <c r="L1890" i="9"/>
  <c r="K1890" i="9"/>
  <c r="N1889" i="9"/>
  <c r="M1889" i="9"/>
  <c r="L1889" i="9"/>
  <c r="K1889" i="9"/>
  <c r="N1888" i="9"/>
  <c r="M1888" i="9"/>
  <c r="L1888" i="9"/>
  <c r="K1888" i="9"/>
  <c r="M1887" i="9"/>
  <c r="L1887" i="9"/>
  <c r="N1887" i="9" s="1"/>
  <c r="K1887" i="9"/>
  <c r="M1886" i="9"/>
  <c r="L1886" i="9"/>
  <c r="N1886" i="9" s="1"/>
  <c r="K1886" i="9"/>
  <c r="N1885" i="9"/>
  <c r="M1885" i="9"/>
  <c r="L1885" i="9"/>
  <c r="K1885" i="9"/>
  <c r="N1884" i="9"/>
  <c r="M1884" i="9"/>
  <c r="L1884" i="9"/>
  <c r="K1884" i="9"/>
  <c r="N1883" i="9"/>
  <c r="M1883" i="9"/>
  <c r="L1883" i="9"/>
  <c r="K1883" i="9"/>
  <c r="M1882" i="9"/>
  <c r="L1882" i="9"/>
  <c r="N1882" i="9" s="1"/>
  <c r="K1882" i="9"/>
  <c r="N1881" i="9"/>
  <c r="M1881" i="9"/>
  <c r="L1881" i="9"/>
  <c r="K1881" i="9"/>
  <c r="M1880" i="9"/>
  <c r="L1880" i="9"/>
  <c r="N1880" i="9" s="1"/>
  <c r="K1880" i="9"/>
  <c r="N1879" i="9"/>
  <c r="M1879" i="9"/>
  <c r="L1879" i="9"/>
  <c r="K1879" i="9"/>
  <c r="M1878" i="9"/>
  <c r="L1878" i="9"/>
  <c r="N1878" i="9" s="1"/>
  <c r="K1878" i="9"/>
  <c r="N1877" i="9"/>
  <c r="M1877" i="9"/>
  <c r="L1877" i="9"/>
  <c r="K1877" i="9"/>
  <c r="M1876" i="9"/>
  <c r="L1876" i="9"/>
  <c r="N1876" i="9" s="1"/>
  <c r="K1876" i="9"/>
  <c r="M1875" i="9"/>
  <c r="L1875" i="9"/>
  <c r="N1875" i="9" s="1"/>
  <c r="K1875" i="9"/>
  <c r="N1874" i="9"/>
  <c r="M1874" i="9"/>
  <c r="L1874" i="9"/>
  <c r="K1874" i="9"/>
  <c r="M1873" i="9"/>
  <c r="L1873" i="9"/>
  <c r="N1873" i="9" s="1"/>
  <c r="K1873" i="9"/>
  <c r="N1872" i="9"/>
  <c r="M1872" i="9"/>
  <c r="L1872" i="9"/>
  <c r="K1872" i="9"/>
  <c r="M1871" i="9"/>
  <c r="L1871" i="9"/>
  <c r="N1871" i="9" s="1"/>
  <c r="K1871" i="9"/>
  <c r="N1870" i="9"/>
  <c r="M1870" i="9"/>
  <c r="L1870" i="9"/>
  <c r="K1870" i="9"/>
  <c r="M1869" i="9"/>
  <c r="L1869" i="9"/>
  <c r="N1869" i="9" s="1"/>
  <c r="K1869" i="9"/>
  <c r="M1868" i="9"/>
  <c r="L1868" i="9"/>
  <c r="N1868" i="9" s="1"/>
  <c r="K1868" i="9"/>
  <c r="N1867" i="9"/>
  <c r="M1867" i="9"/>
  <c r="L1867" i="9"/>
  <c r="K1867" i="9"/>
  <c r="M1866" i="9"/>
  <c r="L1866" i="9"/>
  <c r="N1866" i="9" s="1"/>
  <c r="K1866" i="9"/>
  <c r="M1865" i="9"/>
  <c r="L1865" i="9"/>
  <c r="N1865" i="9" s="1"/>
  <c r="K1865" i="9"/>
  <c r="M1864" i="9"/>
  <c r="L1864" i="9"/>
  <c r="N1864" i="9" s="1"/>
  <c r="K1864" i="9"/>
  <c r="N1863" i="9"/>
  <c r="M1863" i="9"/>
  <c r="L1863" i="9"/>
  <c r="K1863" i="9"/>
  <c r="M1862" i="9"/>
  <c r="L1862" i="9"/>
  <c r="N1862" i="9" s="1"/>
  <c r="K1862" i="9"/>
  <c r="N1861" i="9"/>
  <c r="M1861" i="9"/>
  <c r="L1861" i="9"/>
  <c r="K1861" i="9"/>
  <c r="M1860" i="9"/>
  <c r="L1860" i="9"/>
  <c r="N1860" i="9" s="1"/>
  <c r="K1860" i="9"/>
  <c r="M1859" i="9"/>
  <c r="L1859" i="9"/>
  <c r="N1859" i="9" s="1"/>
  <c r="K1859" i="9"/>
  <c r="M1858" i="9"/>
  <c r="L1858" i="9"/>
  <c r="N1858" i="9" s="1"/>
  <c r="K1858" i="9"/>
  <c r="M1857" i="9"/>
  <c r="L1857" i="9"/>
  <c r="N1857" i="9" s="1"/>
  <c r="K1857" i="9"/>
  <c r="N1856" i="9"/>
  <c r="M1856" i="9"/>
  <c r="L1856" i="9"/>
  <c r="K1856" i="9"/>
  <c r="M1855" i="9"/>
  <c r="L1855" i="9"/>
  <c r="N1855" i="9" s="1"/>
  <c r="K1855" i="9"/>
  <c r="N1854" i="9"/>
  <c r="M1854" i="9"/>
  <c r="L1854" i="9"/>
  <c r="K1854" i="9"/>
  <c r="M1853" i="9"/>
  <c r="L1853" i="9"/>
  <c r="N1853" i="9" s="1"/>
  <c r="K1853" i="9"/>
  <c r="M1852" i="9"/>
  <c r="L1852" i="9"/>
  <c r="N1852" i="9" s="1"/>
  <c r="K1852" i="9"/>
  <c r="M1851" i="9"/>
  <c r="L1851" i="9"/>
  <c r="N1851" i="9" s="1"/>
  <c r="K1851" i="9"/>
  <c r="N1850" i="9"/>
  <c r="M1850" i="9"/>
  <c r="L1850" i="9"/>
  <c r="K1850" i="9"/>
  <c r="N1849" i="9"/>
  <c r="M1849" i="9"/>
  <c r="L1849" i="9"/>
  <c r="K1849" i="9"/>
  <c r="N1848" i="9"/>
  <c r="M1848" i="9"/>
  <c r="L1848" i="9"/>
  <c r="K1848" i="9"/>
  <c r="N1847" i="9"/>
  <c r="M1847" i="9"/>
  <c r="L1847" i="9"/>
  <c r="K1847" i="9"/>
  <c r="M1846" i="9"/>
  <c r="L1846" i="9"/>
  <c r="N1846" i="9" s="1"/>
  <c r="K1846" i="9"/>
  <c r="M1845" i="9"/>
  <c r="L1845" i="9"/>
  <c r="N1845" i="9" s="1"/>
  <c r="K1845" i="9"/>
  <c r="M1844" i="9"/>
  <c r="L1844" i="9"/>
  <c r="N1844" i="9" s="1"/>
  <c r="K1844" i="9"/>
  <c r="N1843" i="9"/>
  <c r="M1843" i="9"/>
  <c r="L1843" i="9"/>
  <c r="K1843" i="9"/>
  <c r="N1842" i="9"/>
  <c r="M1842" i="9"/>
  <c r="L1842" i="9"/>
  <c r="K1842" i="9"/>
  <c r="N1841" i="9"/>
  <c r="M1841" i="9"/>
  <c r="L1841" i="9"/>
  <c r="K1841" i="9"/>
  <c r="M1840" i="9"/>
  <c r="L1840" i="9"/>
  <c r="N1840" i="9" s="1"/>
  <c r="K1840" i="9"/>
  <c r="M1839" i="9"/>
  <c r="L1839" i="9"/>
  <c r="N1839" i="9" s="1"/>
  <c r="K1839" i="9"/>
  <c r="M1838" i="9"/>
  <c r="L1838" i="9"/>
  <c r="N1838" i="9" s="1"/>
  <c r="K1838" i="9"/>
  <c r="M1837" i="9"/>
  <c r="L1837" i="9"/>
  <c r="N1837" i="9" s="1"/>
  <c r="K1837" i="9"/>
  <c r="M1836" i="9"/>
  <c r="L1836" i="9"/>
  <c r="N1836" i="9" s="1"/>
  <c r="K1836" i="9"/>
  <c r="N1835" i="9"/>
  <c r="M1835" i="9"/>
  <c r="L1835" i="9"/>
  <c r="K1835" i="9"/>
  <c r="N1834" i="9"/>
  <c r="M1834" i="9"/>
  <c r="L1834" i="9"/>
  <c r="K1834" i="9"/>
  <c r="M1833" i="9"/>
  <c r="L1833" i="9"/>
  <c r="N1833" i="9" s="1"/>
  <c r="K1833" i="9"/>
  <c r="N1832" i="9"/>
  <c r="M1832" i="9"/>
  <c r="L1832" i="9"/>
  <c r="K1832" i="9"/>
  <c r="N1831" i="9"/>
  <c r="M1831" i="9"/>
  <c r="L1831" i="9"/>
  <c r="K1831" i="9"/>
  <c r="M1830" i="9"/>
  <c r="L1830" i="9"/>
  <c r="N1830" i="9" s="1"/>
  <c r="K1830" i="9"/>
  <c r="M1829" i="9"/>
  <c r="L1829" i="9"/>
  <c r="N1829" i="9" s="1"/>
  <c r="K1829" i="9"/>
  <c r="M1828" i="9"/>
  <c r="L1828" i="9"/>
  <c r="N1828" i="9" s="1"/>
  <c r="K1828" i="9"/>
  <c r="N1827" i="9"/>
  <c r="M1827" i="9"/>
  <c r="L1827" i="9"/>
  <c r="K1827" i="9"/>
  <c r="M1826" i="9"/>
  <c r="L1826" i="9"/>
  <c r="N1826" i="9" s="1"/>
  <c r="K1826" i="9"/>
  <c r="N1825" i="9"/>
  <c r="M1825" i="9"/>
  <c r="L1825" i="9"/>
  <c r="K1825" i="9"/>
  <c r="M1824" i="9"/>
  <c r="L1824" i="9"/>
  <c r="N1824" i="9" s="1"/>
  <c r="K1824" i="9"/>
  <c r="M1823" i="9"/>
  <c r="L1823" i="9"/>
  <c r="N1823" i="9" s="1"/>
  <c r="K1823" i="9"/>
  <c r="M1822" i="9"/>
  <c r="L1822" i="9"/>
  <c r="N1822" i="9" s="1"/>
  <c r="K1822" i="9"/>
  <c r="M1821" i="9"/>
  <c r="L1821" i="9"/>
  <c r="N1821" i="9" s="1"/>
  <c r="K1821" i="9"/>
  <c r="N1820" i="9"/>
  <c r="M1820" i="9"/>
  <c r="L1820" i="9"/>
  <c r="K1820" i="9"/>
  <c r="M1819" i="9"/>
  <c r="L1819" i="9"/>
  <c r="N1819" i="9" s="1"/>
  <c r="K1819" i="9"/>
  <c r="N1818" i="9"/>
  <c r="M1818" i="9"/>
  <c r="L1818" i="9"/>
  <c r="K1818" i="9"/>
  <c r="M1817" i="9"/>
  <c r="L1817" i="9"/>
  <c r="N1817" i="9" s="1"/>
  <c r="K1817" i="9"/>
  <c r="M1816" i="9"/>
  <c r="L1816" i="9"/>
  <c r="N1816" i="9" s="1"/>
  <c r="K1816" i="9"/>
  <c r="M1815" i="9"/>
  <c r="L1815" i="9"/>
  <c r="N1815" i="9" s="1"/>
  <c r="K1815" i="9"/>
  <c r="M1814" i="9"/>
  <c r="L1814" i="9"/>
  <c r="N1814" i="9" s="1"/>
  <c r="K1814" i="9"/>
  <c r="N1813" i="9"/>
  <c r="M1813" i="9"/>
  <c r="L1813" i="9"/>
  <c r="K1813" i="9"/>
  <c r="M1812" i="9"/>
  <c r="L1812" i="9"/>
  <c r="N1812" i="9" s="1"/>
  <c r="K1812" i="9"/>
  <c r="N1811" i="9"/>
  <c r="M1811" i="9"/>
  <c r="L1811" i="9"/>
  <c r="K1811" i="9"/>
  <c r="N1810" i="9"/>
  <c r="M1810" i="9"/>
  <c r="L1810" i="9"/>
  <c r="K1810" i="9"/>
  <c r="M1809" i="9"/>
  <c r="L1809" i="9"/>
  <c r="N1809" i="9" s="1"/>
  <c r="K1809" i="9"/>
  <c r="M1808" i="9"/>
  <c r="L1808" i="9"/>
  <c r="N1808" i="9" s="1"/>
  <c r="K1808" i="9"/>
  <c r="M1807" i="9"/>
  <c r="L1807" i="9"/>
  <c r="N1807" i="9" s="1"/>
  <c r="K1807" i="9"/>
  <c r="N1806" i="9"/>
  <c r="M1806" i="9"/>
  <c r="L1806" i="9"/>
  <c r="K1806" i="9"/>
  <c r="M1805" i="9"/>
  <c r="L1805" i="9"/>
  <c r="N1805" i="9" s="1"/>
  <c r="K1805" i="9"/>
  <c r="N1804" i="9"/>
  <c r="M1804" i="9"/>
  <c r="L1804" i="9"/>
  <c r="K1804" i="9"/>
  <c r="N1803" i="9"/>
  <c r="M1803" i="9"/>
  <c r="L1803" i="9"/>
  <c r="K1803" i="9"/>
  <c r="M1802" i="9"/>
  <c r="L1802" i="9"/>
  <c r="N1802" i="9" s="1"/>
  <c r="K1802" i="9"/>
  <c r="M1801" i="9"/>
  <c r="L1801" i="9"/>
  <c r="N1801" i="9" s="1"/>
  <c r="K1801" i="9"/>
  <c r="M1800" i="9"/>
  <c r="L1800" i="9"/>
  <c r="N1800" i="9" s="1"/>
  <c r="K1800" i="9"/>
  <c r="N1799" i="9"/>
  <c r="M1799" i="9"/>
  <c r="L1799" i="9"/>
  <c r="K1799" i="9"/>
  <c r="M1798" i="9"/>
  <c r="L1798" i="9"/>
  <c r="N1798" i="9" s="1"/>
  <c r="K1798" i="9"/>
  <c r="N1797" i="9"/>
  <c r="M1797" i="9"/>
  <c r="L1797" i="9"/>
  <c r="K1797" i="9"/>
  <c r="N1796" i="9"/>
  <c r="M1796" i="9"/>
  <c r="L1796" i="9"/>
  <c r="K1796" i="9"/>
  <c r="M1795" i="9"/>
  <c r="L1795" i="9"/>
  <c r="N1795" i="9" s="1"/>
  <c r="K1795" i="9"/>
  <c r="N1794" i="9"/>
  <c r="M1794" i="9"/>
  <c r="L1794" i="9"/>
  <c r="K1794" i="9"/>
  <c r="M1793" i="9"/>
  <c r="L1793" i="9"/>
  <c r="N1793" i="9" s="1"/>
  <c r="K1793" i="9"/>
  <c r="N1792" i="9"/>
  <c r="M1792" i="9"/>
  <c r="L1792" i="9"/>
  <c r="K1792" i="9"/>
  <c r="M1791" i="9"/>
  <c r="L1791" i="9"/>
  <c r="N1791" i="9" s="1"/>
  <c r="K1791" i="9"/>
  <c r="N1790" i="9"/>
  <c r="M1790" i="9"/>
  <c r="L1790" i="9"/>
  <c r="K1790" i="9"/>
  <c r="M1789" i="9"/>
  <c r="L1789" i="9"/>
  <c r="N1789" i="9" s="1"/>
  <c r="K1789" i="9"/>
  <c r="M1788" i="9"/>
  <c r="L1788" i="9"/>
  <c r="N1788" i="9" s="1"/>
  <c r="K1788" i="9"/>
  <c r="N1787" i="9"/>
  <c r="M1787" i="9"/>
  <c r="L1787" i="9"/>
  <c r="K1787" i="9"/>
  <c r="M1786" i="9"/>
  <c r="L1786" i="9"/>
  <c r="N1786" i="9" s="1"/>
  <c r="K1786" i="9"/>
  <c r="M1785" i="9"/>
  <c r="L1785" i="9"/>
  <c r="N1785" i="9" s="1"/>
  <c r="K1785" i="9"/>
  <c r="N1784" i="9"/>
  <c r="M1784" i="9"/>
  <c r="L1784" i="9"/>
  <c r="K1784" i="9"/>
  <c r="N1783" i="9"/>
  <c r="M1783" i="9"/>
  <c r="L1783" i="9"/>
  <c r="K1783" i="9"/>
  <c r="M1782" i="9"/>
  <c r="L1782" i="9"/>
  <c r="N1782" i="9" s="1"/>
  <c r="K1782" i="9"/>
  <c r="N1781" i="9"/>
  <c r="M1781" i="9"/>
  <c r="L1781" i="9"/>
  <c r="K1781" i="9"/>
  <c r="M1780" i="9"/>
  <c r="L1780" i="9"/>
  <c r="N1780" i="9" s="1"/>
  <c r="K1780" i="9"/>
  <c r="M1779" i="9"/>
  <c r="L1779" i="9"/>
  <c r="N1779" i="9" s="1"/>
  <c r="K1779" i="9"/>
  <c r="M1778" i="9"/>
  <c r="L1778" i="9"/>
  <c r="N1778" i="9" s="1"/>
  <c r="K1778" i="9"/>
  <c r="M1777" i="9"/>
  <c r="L1777" i="9"/>
  <c r="N1777" i="9" s="1"/>
  <c r="K1777" i="9"/>
  <c r="N1776" i="9"/>
  <c r="M1776" i="9"/>
  <c r="L1776" i="9"/>
  <c r="K1776" i="9"/>
  <c r="M1775" i="9"/>
  <c r="L1775" i="9"/>
  <c r="N1775" i="9" s="1"/>
  <c r="K1775" i="9"/>
  <c r="N1774" i="9"/>
  <c r="M1774" i="9"/>
  <c r="L1774" i="9"/>
  <c r="K1774" i="9"/>
  <c r="M1773" i="9"/>
  <c r="L1773" i="9"/>
  <c r="N1773" i="9" s="1"/>
  <c r="K1773" i="9"/>
  <c r="M1772" i="9"/>
  <c r="L1772" i="9"/>
  <c r="N1772" i="9" s="1"/>
  <c r="K1772" i="9"/>
  <c r="M1771" i="9"/>
  <c r="L1771" i="9"/>
  <c r="N1771" i="9" s="1"/>
  <c r="K1771" i="9"/>
  <c r="M1770" i="9"/>
  <c r="L1770" i="9"/>
  <c r="N1770" i="9" s="1"/>
  <c r="K1770" i="9"/>
  <c r="N1769" i="9"/>
  <c r="M1769" i="9"/>
  <c r="L1769" i="9"/>
  <c r="K1769" i="9"/>
  <c r="M1768" i="9"/>
  <c r="L1768" i="9"/>
  <c r="N1768" i="9" s="1"/>
  <c r="K1768" i="9"/>
  <c r="N1767" i="9"/>
  <c r="M1767" i="9"/>
  <c r="L1767" i="9"/>
  <c r="K1767" i="9"/>
  <c r="M1766" i="9"/>
  <c r="L1766" i="9"/>
  <c r="N1766" i="9" s="1"/>
  <c r="K1766" i="9"/>
  <c r="M1765" i="9"/>
  <c r="L1765" i="9"/>
  <c r="N1765" i="9" s="1"/>
  <c r="K1765" i="9"/>
  <c r="M1764" i="9"/>
  <c r="L1764" i="9"/>
  <c r="N1764" i="9" s="1"/>
  <c r="K1764" i="9"/>
  <c r="M1763" i="9"/>
  <c r="L1763" i="9"/>
  <c r="N1763" i="9" s="1"/>
  <c r="K1763" i="9"/>
  <c r="N1762" i="9"/>
  <c r="M1762" i="9"/>
  <c r="L1762" i="9"/>
  <c r="K1762" i="9"/>
  <c r="M1761" i="9"/>
  <c r="L1761" i="9"/>
  <c r="N1761" i="9" s="1"/>
  <c r="K1761" i="9"/>
  <c r="N1760" i="9"/>
  <c r="M1760" i="9"/>
  <c r="L1760" i="9"/>
  <c r="K1760" i="9"/>
  <c r="N1759" i="9"/>
  <c r="M1759" i="9"/>
  <c r="L1759" i="9"/>
  <c r="K1759" i="9"/>
  <c r="N1758" i="9"/>
  <c r="M1758" i="9"/>
  <c r="L1758" i="9"/>
  <c r="K1758" i="9"/>
  <c r="M1757" i="9"/>
  <c r="L1757" i="9"/>
  <c r="N1757" i="9" s="1"/>
  <c r="K1757" i="9"/>
  <c r="M1756" i="9"/>
  <c r="L1756" i="9"/>
  <c r="N1756" i="9" s="1"/>
  <c r="K1756" i="9"/>
  <c r="N1755" i="9"/>
  <c r="M1755" i="9"/>
  <c r="L1755" i="9"/>
  <c r="K1755" i="9"/>
  <c r="M1754" i="9"/>
  <c r="L1754" i="9"/>
  <c r="N1754" i="9" s="1"/>
  <c r="K1754" i="9"/>
  <c r="N1753" i="9"/>
  <c r="M1753" i="9"/>
  <c r="L1753" i="9"/>
  <c r="K1753" i="9"/>
  <c r="M1752" i="9"/>
  <c r="L1752" i="9"/>
  <c r="N1752" i="9" s="1"/>
  <c r="K1752" i="9"/>
  <c r="M1751" i="9"/>
  <c r="L1751" i="9"/>
  <c r="N1751" i="9" s="1"/>
  <c r="K1751" i="9"/>
  <c r="M1750" i="9"/>
  <c r="L1750" i="9"/>
  <c r="N1750" i="9" s="1"/>
  <c r="K1750" i="9"/>
  <c r="M1749" i="9"/>
  <c r="L1749" i="9"/>
  <c r="N1749" i="9" s="1"/>
  <c r="K1749" i="9"/>
  <c r="N1748" i="9"/>
  <c r="M1748" i="9"/>
  <c r="L1748" i="9"/>
  <c r="K1748" i="9"/>
  <c r="M1747" i="9"/>
  <c r="L1747" i="9"/>
  <c r="N1747" i="9" s="1"/>
  <c r="K1747" i="9"/>
  <c r="N1746" i="9"/>
  <c r="M1746" i="9"/>
  <c r="L1746" i="9"/>
  <c r="K1746" i="9"/>
  <c r="M1745" i="9"/>
  <c r="L1745" i="9"/>
  <c r="N1745" i="9" s="1"/>
  <c r="K1745" i="9"/>
  <c r="M1744" i="9"/>
  <c r="L1744" i="9"/>
  <c r="N1744" i="9" s="1"/>
  <c r="K1744" i="9"/>
  <c r="M1743" i="9"/>
  <c r="L1743" i="9"/>
  <c r="N1743" i="9" s="1"/>
  <c r="K1743" i="9"/>
  <c r="N1742" i="9"/>
  <c r="M1742" i="9"/>
  <c r="L1742" i="9"/>
  <c r="K1742" i="9"/>
  <c r="N1741" i="9"/>
  <c r="M1741" i="9"/>
  <c r="L1741" i="9"/>
  <c r="K1741" i="9"/>
  <c r="N1740" i="9"/>
  <c r="M1740" i="9"/>
  <c r="L1740" i="9"/>
  <c r="K1740" i="9"/>
  <c r="N1739" i="9"/>
  <c r="M1739" i="9"/>
  <c r="L1739" i="9"/>
  <c r="K1739" i="9"/>
  <c r="N1738" i="9"/>
  <c r="M1738" i="9"/>
  <c r="L1738" i="9"/>
  <c r="K1738" i="9"/>
  <c r="N1737" i="9"/>
  <c r="M1737" i="9"/>
  <c r="L1737" i="9"/>
  <c r="K1737" i="9"/>
  <c r="N1736" i="9"/>
  <c r="M1736" i="9"/>
  <c r="L1736" i="9"/>
  <c r="K1736" i="9"/>
  <c r="N1735" i="9"/>
  <c r="M1735" i="9"/>
  <c r="L1735" i="9"/>
  <c r="K1735" i="9"/>
  <c r="N1734" i="9"/>
  <c r="M1734" i="9"/>
  <c r="L1734" i="9"/>
  <c r="K1734" i="9"/>
  <c r="M1733" i="9"/>
  <c r="L1733" i="9"/>
  <c r="N1733" i="9" s="1"/>
  <c r="K1733" i="9"/>
  <c r="N1732" i="9"/>
  <c r="M1732" i="9"/>
  <c r="L1732" i="9"/>
  <c r="K1732" i="9"/>
  <c r="M1731" i="9"/>
  <c r="L1731" i="9"/>
  <c r="N1731" i="9" s="1"/>
  <c r="K1731" i="9"/>
  <c r="M1730" i="9"/>
  <c r="L1730" i="9"/>
  <c r="N1730" i="9" s="1"/>
  <c r="K1730" i="9"/>
  <c r="M1729" i="9"/>
  <c r="L1729" i="9"/>
  <c r="N1729" i="9" s="1"/>
  <c r="K1729" i="9"/>
  <c r="M1728" i="9"/>
  <c r="L1728" i="9"/>
  <c r="N1728" i="9" s="1"/>
  <c r="K1728" i="9"/>
  <c r="N1727" i="9"/>
  <c r="M1727" i="9"/>
  <c r="L1727" i="9"/>
  <c r="K1727" i="9"/>
  <c r="M1726" i="9"/>
  <c r="L1726" i="9"/>
  <c r="N1726" i="9" s="1"/>
  <c r="K1726" i="9"/>
  <c r="N1725" i="9"/>
  <c r="M1725" i="9"/>
  <c r="L1725" i="9"/>
  <c r="K1725" i="9"/>
  <c r="M1724" i="9"/>
  <c r="L1724" i="9"/>
  <c r="N1724" i="9" s="1"/>
  <c r="K1724" i="9"/>
  <c r="M1723" i="9"/>
  <c r="L1723" i="9"/>
  <c r="N1723" i="9" s="1"/>
  <c r="K1723" i="9"/>
  <c r="M1722" i="9"/>
  <c r="L1722" i="9"/>
  <c r="N1722" i="9" s="1"/>
  <c r="K1722" i="9"/>
  <c r="M1721" i="9"/>
  <c r="L1721" i="9"/>
  <c r="N1721" i="9" s="1"/>
  <c r="K1721" i="9"/>
  <c r="N1720" i="9"/>
  <c r="M1720" i="9"/>
  <c r="L1720" i="9"/>
  <c r="K1720" i="9"/>
  <c r="N1719" i="9"/>
  <c r="M1719" i="9"/>
  <c r="L1719" i="9"/>
  <c r="K1719" i="9"/>
  <c r="N1718" i="9"/>
  <c r="M1718" i="9"/>
  <c r="L1718" i="9"/>
  <c r="K1718" i="9"/>
  <c r="M1717" i="9"/>
  <c r="L1717" i="9"/>
  <c r="N1717" i="9" s="1"/>
  <c r="K1717" i="9"/>
  <c r="M1716" i="9"/>
  <c r="L1716" i="9"/>
  <c r="N1716" i="9" s="1"/>
  <c r="K1716" i="9"/>
  <c r="M1715" i="9"/>
  <c r="L1715" i="9"/>
  <c r="N1715" i="9" s="1"/>
  <c r="K1715" i="9"/>
  <c r="M1714" i="9"/>
  <c r="L1714" i="9"/>
  <c r="N1714" i="9" s="1"/>
  <c r="K1714" i="9"/>
  <c r="N1713" i="9"/>
  <c r="M1713" i="9"/>
  <c r="L1713" i="9"/>
  <c r="K1713" i="9"/>
  <c r="M1712" i="9"/>
  <c r="L1712" i="9"/>
  <c r="N1712" i="9" s="1"/>
  <c r="K1712" i="9"/>
  <c r="N1711" i="9"/>
  <c r="M1711" i="9"/>
  <c r="L1711" i="9"/>
  <c r="K1711" i="9"/>
  <c r="M1710" i="9"/>
  <c r="L1710" i="9"/>
  <c r="N1710" i="9" s="1"/>
  <c r="K1710" i="9"/>
  <c r="M1709" i="9"/>
  <c r="L1709" i="9"/>
  <c r="N1709" i="9" s="1"/>
  <c r="K1709" i="9"/>
  <c r="N1708" i="9"/>
  <c r="M1708" i="9"/>
  <c r="L1708" i="9"/>
  <c r="K1708" i="9"/>
  <c r="M1707" i="9"/>
  <c r="L1707" i="9"/>
  <c r="N1707" i="9" s="1"/>
  <c r="K1707" i="9"/>
  <c r="N1706" i="9"/>
  <c r="M1706" i="9"/>
  <c r="L1706" i="9"/>
  <c r="K1706" i="9"/>
  <c r="M1705" i="9"/>
  <c r="L1705" i="9"/>
  <c r="N1705" i="9" s="1"/>
  <c r="K1705" i="9"/>
  <c r="N1704" i="9"/>
  <c r="M1704" i="9"/>
  <c r="L1704" i="9"/>
  <c r="K1704" i="9"/>
  <c r="M1703" i="9"/>
  <c r="L1703" i="9"/>
  <c r="N1703" i="9" s="1"/>
  <c r="K1703" i="9"/>
  <c r="M1702" i="9"/>
  <c r="L1702" i="9"/>
  <c r="N1702" i="9" s="1"/>
  <c r="K1702" i="9"/>
  <c r="M1701" i="9"/>
  <c r="L1701" i="9"/>
  <c r="N1701" i="9" s="1"/>
  <c r="K1701" i="9"/>
  <c r="M1700" i="9"/>
  <c r="L1700" i="9"/>
  <c r="N1700" i="9" s="1"/>
  <c r="K1700" i="9"/>
  <c r="N1699" i="9"/>
  <c r="M1699" i="9"/>
  <c r="L1699" i="9"/>
  <c r="K1699" i="9"/>
  <c r="M1698" i="9"/>
  <c r="L1698" i="9"/>
  <c r="N1698" i="9" s="1"/>
  <c r="K1698" i="9"/>
  <c r="N1697" i="9"/>
  <c r="M1697" i="9"/>
  <c r="L1697" i="9"/>
  <c r="K1697" i="9"/>
  <c r="M1696" i="9"/>
  <c r="L1696" i="9"/>
  <c r="N1696" i="9" s="1"/>
  <c r="K1696" i="9"/>
  <c r="M1695" i="9"/>
  <c r="L1695" i="9"/>
  <c r="N1695" i="9" s="1"/>
  <c r="K1695" i="9"/>
  <c r="M1694" i="9"/>
  <c r="L1694" i="9"/>
  <c r="N1694" i="9" s="1"/>
  <c r="K1694" i="9"/>
  <c r="M1693" i="9"/>
  <c r="L1693" i="9"/>
  <c r="N1693" i="9" s="1"/>
  <c r="K1693" i="9"/>
  <c r="N1692" i="9"/>
  <c r="M1692" i="9"/>
  <c r="L1692" i="9"/>
  <c r="K1692" i="9"/>
  <c r="M1691" i="9"/>
  <c r="L1691" i="9"/>
  <c r="N1691" i="9" s="1"/>
  <c r="K1691" i="9"/>
  <c r="N1690" i="9"/>
  <c r="M1690" i="9"/>
  <c r="L1690" i="9"/>
  <c r="K1690" i="9"/>
  <c r="M1689" i="9"/>
  <c r="L1689" i="9"/>
  <c r="N1689" i="9" s="1"/>
  <c r="K1689" i="9"/>
  <c r="M1688" i="9"/>
  <c r="L1688" i="9"/>
  <c r="N1688" i="9" s="1"/>
  <c r="K1688" i="9"/>
  <c r="M1687" i="9"/>
  <c r="L1687" i="9"/>
  <c r="N1687" i="9" s="1"/>
  <c r="K1687" i="9"/>
  <c r="M1686" i="9"/>
  <c r="L1686" i="9"/>
  <c r="N1686" i="9" s="1"/>
  <c r="K1686" i="9"/>
  <c r="N1685" i="9"/>
  <c r="M1685" i="9"/>
  <c r="L1685" i="9"/>
  <c r="K1685" i="9"/>
  <c r="M1684" i="9"/>
  <c r="L1684" i="9"/>
  <c r="N1684" i="9" s="1"/>
  <c r="K1684" i="9"/>
  <c r="N1683" i="9"/>
  <c r="M1683" i="9"/>
  <c r="L1683" i="9"/>
  <c r="K1683" i="9"/>
  <c r="M1682" i="9"/>
  <c r="L1682" i="9"/>
  <c r="N1682" i="9" s="1"/>
  <c r="K1682" i="9"/>
  <c r="M1681" i="9"/>
  <c r="L1681" i="9"/>
  <c r="N1681" i="9" s="1"/>
  <c r="K1681" i="9"/>
  <c r="M1680" i="9"/>
  <c r="L1680" i="9"/>
  <c r="N1680" i="9" s="1"/>
  <c r="K1680" i="9"/>
  <c r="M1679" i="9"/>
  <c r="L1679" i="9"/>
  <c r="N1679" i="9" s="1"/>
  <c r="K1679" i="9"/>
  <c r="N1678" i="9"/>
  <c r="M1678" i="9"/>
  <c r="L1678" i="9"/>
  <c r="K1678" i="9"/>
  <c r="M1677" i="9"/>
  <c r="L1677" i="9"/>
  <c r="N1677" i="9" s="1"/>
  <c r="K1677" i="9"/>
  <c r="N1676" i="9"/>
  <c r="M1676" i="9"/>
  <c r="L1676" i="9"/>
  <c r="K1676" i="9"/>
  <c r="M1675" i="9"/>
  <c r="L1675" i="9"/>
  <c r="N1675" i="9" s="1"/>
  <c r="K1675" i="9"/>
  <c r="M1674" i="9"/>
  <c r="L1674" i="9"/>
  <c r="N1674" i="9" s="1"/>
  <c r="K1674" i="9"/>
  <c r="M1673" i="9"/>
  <c r="L1673" i="9"/>
  <c r="N1673" i="9" s="1"/>
  <c r="K1673" i="9"/>
  <c r="M1672" i="9"/>
  <c r="L1672" i="9"/>
  <c r="N1672" i="9" s="1"/>
  <c r="K1672" i="9"/>
  <c r="N1671" i="9"/>
  <c r="M1671" i="9"/>
  <c r="L1671" i="9"/>
  <c r="K1671" i="9"/>
  <c r="M1670" i="9"/>
  <c r="L1670" i="9"/>
  <c r="N1670" i="9" s="1"/>
  <c r="K1670" i="9"/>
  <c r="N1669" i="9"/>
  <c r="M1669" i="9"/>
  <c r="L1669" i="9"/>
  <c r="K1669" i="9"/>
  <c r="M1668" i="9"/>
  <c r="L1668" i="9"/>
  <c r="N1668" i="9" s="1"/>
  <c r="K1668" i="9"/>
  <c r="M1667" i="9"/>
  <c r="L1667" i="9"/>
  <c r="N1667" i="9" s="1"/>
  <c r="K1667" i="9"/>
  <c r="M1666" i="9"/>
  <c r="L1666" i="9"/>
  <c r="N1666" i="9" s="1"/>
  <c r="K1666" i="9"/>
  <c r="M1665" i="9"/>
  <c r="L1665" i="9"/>
  <c r="N1665" i="9" s="1"/>
  <c r="K1665" i="9"/>
  <c r="N1664" i="9"/>
  <c r="M1664" i="9"/>
  <c r="L1664" i="9"/>
  <c r="K1664" i="9"/>
  <c r="N1663" i="9"/>
  <c r="M1663" i="9"/>
  <c r="L1663" i="9"/>
  <c r="K1663" i="9"/>
  <c r="N1662" i="9"/>
  <c r="M1662" i="9"/>
  <c r="L1662" i="9"/>
  <c r="K1662" i="9"/>
  <c r="M1661" i="9"/>
  <c r="L1661" i="9"/>
  <c r="N1661" i="9" s="1"/>
  <c r="K1661" i="9"/>
  <c r="M1660" i="9"/>
  <c r="L1660" i="9"/>
  <c r="N1660" i="9" s="1"/>
  <c r="K1660" i="9"/>
  <c r="M1659" i="9"/>
  <c r="L1659" i="9"/>
  <c r="N1659" i="9" s="1"/>
  <c r="K1659" i="9"/>
  <c r="M1658" i="9"/>
  <c r="L1658" i="9"/>
  <c r="N1658" i="9" s="1"/>
  <c r="K1658" i="9"/>
  <c r="N1657" i="9"/>
  <c r="M1657" i="9"/>
  <c r="L1657" i="9"/>
  <c r="K1657" i="9"/>
  <c r="N1656" i="9"/>
  <c r="M1656" i="9"/>
  <c r="L1656" i="9"/>
  <c r="K1656" i="9"/>
  <c r="N1655" i="9"/>
  <c r="M1655" i="9"/>
  <c r="L1655" i="9"/>
  <c r="K1655" i="9"/>
  <c r="M1654" i="9"/>
  <c r="L1654" i="9"/>
  <c r="N1654" i="9" s="1"/>
  <c r="K1654" i="9"/>
  <c r="M1653" i="9"/>
  <c r="L1653" i="9"/>
  <c r="N1653" i="9" s="1"/>
  <c r="K1653" i="9"/>
  <c r="M1652" i="9"/>
  <c r="L1652" i="9"/>
  <c r="N1652" i="9" s="1"/>
  <c r="K1652" i="9"/>
  <c r="M1651" i="9"/>
  <c r="L1651" i="9"/>
  <c r="N1651" i="9" s="1"/>
  <c r="K1651" i="9"/>
  <c r="N1650" i="9"/>
  <c r="M1650" i="9"/>
  <c r="L1650" i="9"/>
  <c r="K1650" i="9"/>
  <c r="N1649" i="9"/>
  <c r="M1649" i="9"/>
  <c r="L1649" i="9"/>
  <c r="K1649" i="9"/>
  <c r="N1648" i="9"/>
  <c r="M1648" i="9"/>
  <c r="L1648" i="9"/>
  <c r="K1648" i="9"/>
  <c r="M1647" i="9"/>
  <c r="L1647" i="9"/>
  <c r="N1647" i="9" s="1"/>
  <c r="K1647" i="9"/>
  <c r="M1646" i="9"/>
  <c r="L1646" i="9"/>
  <c r="N1646" i="9" s="1"/>
  <c r="K1646" i="9"/>
  <c r="M1645" i="9"/>
  <c r="L1645" i="9"/>
  <c r="N1645" i="9" s="1"/>
  <c r="K1645" i="9"/>
  <c r="M1644" i="9"/>
  <c r="L1644" i="9"/>
  <c r="N1644" i="9" s="1"/>
  <c r="K1644" i="9"/>
  <c r="N1643" i="9"/>
  <c r="M1643" i="9"/>
  <c r="L1643" i="9"/>
  <c r="K1643" i="9"/>
  <c r="N1642" i="9"/>
  <c r="M1642" i="9"/>
  <c r="L1642" i="9"/>
  <c r="K1642" i="9"/>
  <c r="N1641" i="9"/>
  <c r="M1641" i="9"/>
  <c r="L1641" i="9"/>
  <c r="K1641" i="9"/>
  <c r="M1640" i="9"/>
  <c r="L1640" i="9"/>
  <c r="N1640" i="9" s="1"/>
  <c r="K1640" i="9"/>
  <c r="M1639" i="9"/>
  <c r="L1639" i="9"/>
  <c r="N1639" i="9" s="1"/>
  <c r="K1639" i="9"/>
  <c r="M1638" i="9"/>
  <c r="L1638" i="9"/>
  <c r="N1638" i="9" s="1"/>
  <c r="K1638" i="9"/>
  <c r="M1637" i="9"/>
  <c r="L1637" i="9"/>
  <c r="N1637" i="9" s="1"/>
  <c r="K1637" i="9"/>
  <c r="N1636" i="9"/>
  <c r="M1636" i="9"/>
  <c r="L1636" i="9"/>
  <c r="K1636" i="9"/>
  <c r="N1635" i="9"/>
  <c r="M1635" i="9"/>
  <c r="L1635" i="9"/>
  <c r="K1635" i="9"/>
  <c r="N1634" i="9"/>
  <c r="M1634" i="9"/>
  <c r="L1634" i="9"/>
  <c r="K1634" i="9"/>
  <c r="M1633" i="9"/>
  <c r="L1633" i="9"/>
  <c r="N1633" i="9" s="1"/>
  <c r="K1633" i="9"/>
  <c r="M1632" i="9"/>
  <c r="L1632" i="9"/>
  <c r="N1632" i="9" s="1"/>
  <c r="K1632" i="9"/>
  <c r="M1631" i="9"/>
  <c r="L1631" i="9"/>
  <c r="N1631" i="9" s="1"/>
  <c r="K1631" i="9"/>
  <c r="M1630" i="9"/>
  <c r="L1630" i="9"/>
  <c r="N1630" i="9" s="1"/>
  <c r="K1630" i="9"/>
  <c r="N1629" i="9"/>
  <c r="M1629" i="9"/>
  <c r="L1629" i="9"/>
  <c r="K1629" i="9"/>
  <c r="N1628" i="9"/>
  <c r="M1628" i="9"/>
  <c r="L1628" i="9"/>
  <c r="K1628" i="9"/>
  <c r="N1627" i="9"/>
  <c r="M1627" i="9"/>
  <c r="L1627" i="9"/>
  <c r="K1627" i="9"/>
  <c r="M1626" i="9"/>
  <c r="L1626" i="9"/>
  <c r="N1626" i="9" s="1"/>
  <c r="K1626" i="9"/>
  <c r="M1625" i="9"/>
  <c r="L1625" i="9"/>
  <c r="N1625" i="9" s="1"/>
  <c r="K1625" i="9"/>
  <c r="M1624" i="9"/>
  <c r="L1624" i="9"/>
  <c r="N1624" i="9" s="1"/>
  <c r="K1624" i="9"/>
  <c r="M1623" i="9"/>
  <c r="L1623" i="9"/>
  <c r="N1623" i="9" s="1"/>
  <c r="K1623" i="9"/>
  <c r="N1622" i="9"/>
  <c r="M1622" i="9"/>
  <c r="L1622" i="9"/>
  <c r="K1622" i="9"/>
  <c r="N1621" i="9"/>
  <c r="M1621" i="9"/>
  <c r="L1621" i="9"/>
  <c r="K1621" i="9"/>
  <c r="N1620" i="9"/>
  <c r="M1620" i="9"/>
  <c r="L1620" i="9"/>
  <c r="K1620" i="9"/>
  <c r="M1619" i="9"/>
  <c r="L1619" i="9"/>
  <c r="N1619" i="9" s="1"/>
  <c r="K1619" i="9"/>
  <c r="M1618" i="9"/>
  <c r="L1618" i="9"/>
  <c r="N1618" i="9" s="1"/>
  <c r="K1618" i="9"/>
  <c r="M1617" i="9"/>
  <c r="L1617" i="9"/>
  <c r="N1617" i="9" s="1"/>
  <c r="K1617" i="9"/>
  <c r="M1616" i="9"/>
  <c r="L1616" i="9"/>
  <c r="N1616" i="9" s="1"/>
  <c r="K1616" i="9"/>
  <c r="N1615" i="9"/>
  <c r="M1615" i="9"/>
  <c r="L1615" i="9"/>
  <c r="K1615" i="9"/>
  <c r="N1614" i="9"/>
  <c r="M1614" i="9"/>
  <c r="L1614" i="9"/>
  <c r="K1614" i="9"/>
  <c r="N1613" i="9"/>
  <c r="M1613" i="9"/>
  <c r="L1613" i="9"/>
  <c r="K1613" i="9"/>
  <c r="M1612" i="9"/>
  <c r="L1612" i="9"/>
  <c r="N1612" i="9" s="1"/>
  <c r="K1612" i="9"/>
  <c r="M1611" i="9"/>
  <c r="L1611" i="9"/>
  <c r="N1611" i="9" s="1"/>
  <c r="K1611" i="9"/>
  <c r="M1610" i="9"/>
  <c r="L1610" i="9"/>
  <c r="N1610" i="9" s="1"/>
  <c r="K1610" i="9"/>
  <c r="M1609" i="9"/>
  <c r="L1609" i="9"/>
  <c r="N1609" i="9" s="1"/>
  <c r="K1609" i="9"/>
  <c r="N1608" i="9"/>
  <c r="M1608" i="9"/>
  <c r="L1608" i="9"/>
  <c r="K1608" i="9"/>
  <c r="N1607" i="9"/>
  <c r="M1607" i="9"/>
  <c r="L1607" i="9"/>
  <c r="K1607" i="9"/>
  <c r="N1606" i="9"/>
  <c r="M1606" i="9"/>
  <c r="L1606" i="9"/>
  <c r="K1606" i="9"/>
  <c r="M1605" i="9"/>
  <c r="L1605" i="9"/>
  <c r="N1605" i="9" s="1"/>
  <c r="K1605" i="9"/>
  <c r="M1604" i="9"/>
  <c r="L1604" i="9"/>
  <c r="N1604" i="9" s="1"/>
  <c r="K1604" i="9"/>
  <c r="M1603" i="9"/>
  <c r="L1603" i="9"/>
  <c r="N1603" i="9" s="1"/>
  <c r="K1603" i="9"/>
  <c r="M1602" i="9"/>
  <c r="L1602" i="9"/>
  <c r="N1602" i="9" s="1"/>
  <c r="K1602" i="9"/>
  <c r="N1601" i="9"/>
  <c r="M1601" i="9"/>
  <c r="L1601" i="9"/>
  <c r="K1601" i="9"/>
  <c r="N1600" i="9"/>
  <c r="M1600" i="9"/>
  <c r="L1600" i="9"/>
  <c r="K1600" i="9"/>
  <c r="N1599" i="9"/>
  <c r="M1599" i="9"/>
  <c r="L1599" i="9"/>
  <c r="K1599" i="9"/>
  <c r="M1598" i="9"/>
  <c r="L1598" i="9"/>
  <c r="N1598" i="9" s="1"/>
  <c r="K1598" i="9"/>
  <c r="M1597" i="9"/>
  <c r="L1597" i="9"/>
  <c r="N1597" i="9" s="1"/>
  <c r="K1597" i="9"/>
  <c r="M1596" i="9"/>
  <c r="L1596" i="9"/>
  <c r="N1596" i="9" s="1"/>
  <c r="K1596" i="9"/>
  <c r="M1595" i="9"/>
  <c r="L1595" i="9"/>
  <c r="N1595" i="9" s="1"/>
  <c r="K1595" i="9"/>
  <c r="N1594" i="9"/>
  <c r="M1594" i="9"/>
  <c r="L1594" i="9"/>
  <c r="K1594" i="9"/>
  <c r="N1593" i="9"/>
  <c r="M1593" i="9"/>
  <c r="L1593" i="9"/>
  <c r="K1593" i="9"/>
  <c r="N1592" i="9"/>
  <c r="M1592" i="9"/>
  <c r="L1592" i="9"/>
  <c r="K1592" i="9"/>
  <c r="N1591" i="9"/>
  <c r="M1591" i="9"/>
  <c r="L1591" i="9"/>
  <c r="K1591" i="9"/>
  <c r="M1590" i="9"/>
  <c r="L1590" i="9"/>
  <c r="N1590" i="9" s="1"/>
  <c r="K1590" i="9"/>
  <c r="M1589" i="9"/>
  <c r="L1589" i="9"/>
  <c r="N1589" i="9" s="1"/>
  <c r="K1589" i="9"/>
  <c r="M1588" i="9"/>
  <c r="L1588" i="9"/>
  <c r="N1588" i="9" s="1"/>
  <c r="K1588" i="9"/>
  <c r="N1587" i="9"/>
  <c r="M1587" i="9"/>
  <c r="L1587" i="9"/>
  <c r="K1587" i="9"/>
  <c r="N1586" i="9"/>
  <c r="M1586" i="9"/>
  <c r="L1586" i="9"/>
  <c r="K1586" i="9"/>
  <c r="N1585" i="9"/>
  <c r="M1585" i="9"/>
  <c r="L1585" i="9"/>
  <c r="K1585" i="9"/>
  <c r="N1584" i="9"/>
  <c r="M1584" i="9"/>
  <c r="L1584" i="9"/>
  <c r="K1584" i="9"/>
  <c r="M1583" i="9"/>
  <c r="L1583" i="9"/>
  <c r="N1583" i="9" s="1"/>
  <c r="K1583" i="9"/>
  <c r="M1582" i="9"/>
  <c r="L1582" i="9"/>
  <c r="N1582" i="9" s="1"/>
  <c r="K1582" i="9"/>
  <c r="M1581" i="9"/>
  <c r="L1581" i="9"/>
  <c r="N1581" i="9" s="1"/>
  <c r="K1581" i="9"/>
  <c r="N1580" i="9"/>
  <c r="M1580" i="9"/>
  <c r="L1580" i="9"/>
  <c r="K1580" i="9"/>
  <c r="N1579" i="9"/>
  <c r="M1579" i="9"/>
  <c r="L1579" i="9"/>
  <c r="K1579" i="9"/>
  <c r="N1578" i="9"/>
  <c r="M1578" i="9"/>
  <c r="L1578" i="9"/>
  <c r="K1578" i="9"/>
  <c r="N1577" i="9"/>
  <c r="M1577" i="9"/>
  <c r="L1577" i="9"/>
  <c r="K1577" i="9"/>
  <c r="M1576" i="9"/>
  <c r="L1576" i="9"/>
  <c r="N1576" i="9" s="1"/>
  <c r="K1576" i="9"/>
  <c r="M1575" i="9"/>
  <c r="L1575" i="9"/>
  <c r="N1575" i="9" s="1"/>
  <c r="K1575" i="9"/>
  <c r="M1574" i="9"/>
  <c r="L1574" i="9"/>
  <c r="N1574" i="9" s="1"/>
  <c r="K1574" i="9"/>
  <c r="N1573" i="9"/>
  <c r="M1573" i="9"/>
  <c r="L1573" i="9"/>
  <c r="K1573" i="9"/>
  <c r="N1572" i="9"/>
  <c r="M1572" i="9"/>
  <c r="L1572" i="9"/>
  <c r="K1572" i="9"/>
  <c r="N1571" i="9"/>
  <c r="M1571" i="9"/>
  <c r="L1571" i="9"/>
  <c r="K1571" i="9"/>
  <c r="N1570" i="9"/>
  <c r="M1570" i="9"/>
  <c r="L1570" i="9"/>
  <c r="K1570" i="9"/>
  <c r="M1569" i="9"/>
  <c r="L1569" i="9"/>
  <c r="N1569" i="9" s="1"/>
  <c r="K1569" i="9"/>
  <c r="M1568" i="9"/>
  <c r="L1568" i="9"/>
  <c r="N1568" i="9" s="1"/>
  <c r="K1568" i="9"/>
  <c r="M1567" i="9"/>
  <c r="L1567" i="9"/>
  <c r="N1567" i="9" s="1"/>
  <c r="K1567" i="9"/>
  <c r="N1566" i="9"/>
  <c r="M1566" i="9"/>
  <c r="L1566" i="9"/>
  <c r="K1566" i="9"/>
  <c r="N1565" i="9"/>
  <c r="M1565" i="9"/>
  <c r="L1565" i="9"/>
  <c r="K1565" i="9"/>
  <c r="N1564" i="9"/>
  <c r="M1564" i="9"/>
  <c r="L1564" i="9"/>
  <c r="K1564" i="9"/>
  <c r="N1563" i="9"/>
  <c r="M1563" i="9"/>
  <c r="L1563" i="9"/>
  <c r="K1563" i="9"/>
  <c r="M1562" i="9"/>
  <c r="L1562" i="9"/>
  <c r="N1562" i="9" s="1"/>
  <c r="K1562" i="9"/>
  <c r="M1561" i="9"/>
  <c r="L1561" i="9"/>
  <c r="N1561" i="9" s="1"/>
  <c r="K1561" i="9"/>
  <c r="M1560" i="9"/>
  <c r="L1560" i="9"/>
  <c r="N1560" i="9" s="1"/>
  <c r="K1560" i="9"/>
  <c r="N1559" i="9"/>
  <c r="M1559" i="9"/>
  <c r="L1559" i="9"/>
  <c r="K1559" i="9"/>
  <c r="N1558" i="9"/>
  <c r="M1558" i="9"/>
  <c r="L1558" i="9"/>
  <c r="K1558" i="9"/>
  <c r="N1557" i="9"/>
  <c r="M1557" i="9"/>
  <c r="L1557" i="9"/>
  <c r="K1557" i="9"/>
  <c r="N1556" i="9"/>
  <c r="M1556" i="9"/>
  <c r="L1556" i="9"/>
  <c r="K1556" i="9"/>
  <c r="M1555" i="9"/>
  <c r="L1555" i="9"/>
  <c r="N1555" i="9" s="1"/>
  <c r="K1555" i="9"/>
  <c r="M1554" i="9"/>
  <c r="L1554" i="9"/>
  <c r="N1554" i="9" s="1"/>
  <c r="K1554" i="9"/>
  <c r="M1553" i="9"/>
  <c r="L1553" i="9"/>
  <c r="N1553" i="9" s="1"/>
  <c r="K1553" i="9"/>
  <c r="N1552" i="9"/>
  <c r="M1552" i="9"/>
  <c r="L1552" i="9"/>
  <c r="K1552" i="9"/>
  <c r="N1551" i="9"/>
  <c r="M1551" i="9"/>
  <c r="L1551" i="9"/>
  <c r="K1551" i="9"/>
  <c r="N1550" i="9"/>
  <c r="M1550" i="9"/>
  <c r="L1550" i="9"/>
  <c r="K1550" i="9"/>
  <c r="N1549" i="9"/>
  <c r="M1549" i="9"/>
  <c r="L1549" i="9"/>
  <c r="K1549" i="9"/>
  <c r="M1548" i="9"/>
  <c r="L1548" i="9"/>
  <c r="N1548" i="9" s="1"/>
  <c r="K1548" i="9"/>
  <c r="M1547" i="9"/>
  <c r="L1547" i="9"/>
  <c r="N1547" i="9" s="1"/>
  <c r="K1547" i="9"/>
  <c r="M1546" i="9"/>
  <c r="L1546" i="9"/>
  <c r="N1546" i="9" s="1"/>
  <c r="K1546" i="9"/>
  <c r="N1545" i="9"/>
  <c r="M1545" i="9"/>
  <c r="L1545" i="9"/>
  <c r="K1545" i="9"/>
  <c r="N1544" i="9"/>
  <c r="M1544" i="9"/>
  <c r="L1544" i="9"/>
  <c r="K1544" i="9"/>
  <c r="N1543" i="9"/>
  <c r="M1543" i="9"/>
  <c r="L1543" i="9"/>
  <c r="K1543" i="9"/>
  <c r="N1542" i="9"/>
  <c r="M1542" i="9"/>
  <c r="L1542" i="9"/>
  <c r="K1542" i="9"/>
  <c r="M1541" i="9"/>
  <c r="L1541" i="9"/>
  <c r="N1541" i="9" s="1"/>
  <c r="K1541" i="9"/>
  <c r="M1540" i="9"/>
  <c r="L1540" i="9"/>
  <c r="N1540" i="9" s="1"/>
  <c r="K1540" i="9"/>
  <c r="M1539" i="9"/>
  <c r="L1539" i="9"/>
  <c r="N1539" i="9" s="1"/>
  <c r="K1539" i="9"/>
  <c r="N1538" i="9"/>
  <c r="M1538" i="9"/>
  <c r="L1538" i="9"/>
  <c r="K1538" i="9"/>
  <c r="N1537" i="9"/>
  <c r="M1537" i="9"/>
  <c r="L1537" i="9"/>
  <c r="K1537" i="9"/>
  <c r="N1536" i="9"/>
  <c r="M1536" i="9"/>
  <c r="L1536" i="9"/>
  <c r="K1536" i="9"/>
  <c r="N1535" i="9"/>
  <c r="M1535" i="9"/>
  <c r="L1535" i="9"/>
  <c r="K1535" i="9"/>
  <c r="M1534" i="9"/>
  <c r="L1534" i="9"/>
  <c r="N1534" i="9" s="1"/>
  <c r="K1534" i="9"/>
  <c r="M1533" i="9"/>
  <c r="L1533" i="9"/>
  <c r="N1533" i="9" s="1"/>
  <c r="K1533" i="9"/>
  <c r="M1532" i="9"/>
  <c r="L1532" i="9"/>
  <c r="N1532" i="9" s="1"/>
  <c r="K1532" i="9"/>
  <c r="N1531" i="9"/>
  <c r="M1531" i="9"/>
  <c r="L1531" i="9"/>
  <c r="K1531" i="9"/>
  <c r="N1530" i="9"/>
  <c r="M1530" i="9"/>
  <c r="L1530" i="9"/>
  <c r="K1530" i="9"/>
  <c r="N1529" i="9"/>
  <c r="M1529" i="9"/>
  <c r="L1529" i="9"/>
  <c r="K1529" i="9"/>
  <c r="N1528" i="9"/>
  <c r="M1528" i="9"/>
  <c r="L1528" i="9"/>
  <c r="K1528" i="9"/>
  <c r="M1527" i="9"/>
  <c r="L1527" i="9"/>
  <c r="N1527" i="9" s="1"/>
  <c r="K1527" i="9"/>
  <c r="M1526" i="9"/>
  <c r="L1526" i="9"/>
  <c r="N1526" i="9" s="1"/>
  <c r="K1526" i="9"/>
  <c r="M1525" i="9"/>
  <c r="L1525" i="9"/>
  <c r="N1525" i="9" s="1"/>
  <c r="K1525" i="9"/>
  <c r="N1524" i="9"/>
  <c r="M1524" i="9"/>
  <c r="L1524" i="9"/>
  <c r="K1524" i="9"/>
  <c r="N1523" i="9"/>
  <c r="M1523" i="9"/>
  <c r="L1523" i="9"/>
  <c r="K1523" i="9"/>
  <c r="N1522" i="9"/>
  <c r="M1522" i="9"/>
  <c r="L1522" i="9"/>
  <c r="K1522" i="9"/>
  <c r="N1521" i="9"/>
  <c r="M1521" i="9"/>
  <c r="L1521" i="9"/>
  <c r="K1521" i="9"/>
  <c r="M1520" i="9"/>
  <c r="L1520" i="9"/>
  <c r="N1520" i="9" s="1"/>
  <c r="K1520" i="9"/>
  <c r="M1519" i="9"/>
  <c r="L1519" i="9"/>
  <c r="N1519" i="9" s="1"/>
  <c r="K1519" i="9"/>
  <c r="M1518" i="9"/>
  <c r="L1518" i="9"/>
  <c r="N1518" i="9" s="1"/>
  <c r="K1518" i="9"/>
  <c r="N1517" i="9"/>
  <c r="M1517" i="9"/>
  <c r="L1517" i="9"/>
  <c r="K1517" i="9"/>
  <c r="N1516" i="9"/>
  <c r="M1516" i="9"/>
  <c r="L1516" i="9"/>
  <c r="K1516" i="9"/>
  <c r="N1515" i="9"/>
  <c r="M1515" i="9"/>
  <c r="L1515" i="9"/>
  <c r="K1515" i="9"/>
  <c r="N1514" i="9"/>
  <c r="M1514" i="9"/>
  <c r="L1514" i="9"/>
  <c r="K1514" i="9"/>
  <c r="M1513" i="9"/>
  <c r="L1513" i="9"/>
  <c r="N1513" i="9" s="1"/>
  <c r="K1513" i="9"/>
  <c r="M1512" i="9"/>
  <c r="L1512" i="9"/>
  <c r="N1512" i="9" s="1"/>
  <c r="K1512" i="9"/>
  <c r="M1511" i="9"/>
  <c r="L1511" i="9"/>
  <c r="N1511" i="9" s="1"/>
  <c r="K1511" i="9"/>
  <c r="N1510" i="9"/>
  <c r="M1510" i="9"/>
  <c r="L1510" i="9"/>
  <c r="K1510" i="9"/>
  <c r="N1509" i="9"/>
  <c r="M1509" i="9"/>
  <c r="L1509" i="9"/>
  <c r="K1509" i="9"/>
  <c r="N1508" i="9"/>
  <c r="M1508" i="9"/>
  <c r="L1508" i="9"/>
  <c r="K1508" i="9"/>
  <c r="N1507" i="9"/>
  <c r="M1507" i="9"/>
  <c r="L1507" i="9"/>
  <c r="K1507" i="9"/>
  <c r="M1506" i="9"/>
  <c r="L1506" i="9"/>
  <c r="N1506" i="9" s="1"/>
  <c r="K1506" i="9"/>
  <c r="M1505" i="9"/>
  <c r="L1505" i="9"/>
  <c r="N1505" i="9" s="1"/>
  <c r="K1505" i="9"/>
  <c r="M1504" i="9"/>
  <c r="L1504" i="9"/>
  <c r="N1504" i="9" s="1"/>
  <c r="K1504" i="9"/>
  <c r="N1503" i="9"/>
  <c r="M1503" i="9"/>
  <c r="L1503" i="9"/>
  <c r="K1503" i="9"/>
  <c r="N1502" i="9"/>
  <c r="M1502" i="9"/>
  <c r="L1502" i="9"/>
  <c r="K1502" i="9"/>
  <c r="N1501" i="9"/>
  <c r="M1501" i="9"/>
  <c r="L1501" i="9"/>
  <c r="K1501" i="9"/>
  <c r="N1500" i="9"/>
  <c r="M1500" i="9"/>
  <c r="L1500" i="9"/>
  <c r="K1500" i="9"/>
  <c r="M1499" i="9"/>
  <c r="L1499" i="9"/>
  <c r="N1499" i="9" s="1"/>
  <c r="K1499" i="9"/>
  <c r="M1498" i="9"/>
  <c r="L1498" i="9"/>
  <c r="N1498" i="9" s="1"/>
  <c r="K1498" i="9"/>
  <c r="M1497" i="9"/>
  <c r="L1497" i="9"/>
  <c r="N1497" i="9" s="1"/>
  <c r="K1497" i="9"/>
  <c r="N1496" i="9"/>
  <c r="M1496" i="9"/>
  <c r="L1496" i="9"/>
  <c r="K1496" i="9"/>
  <c r="N1495" i="9"/>
  <c r="M1495" i="9"/>
  <c r="L1495" i="9"/>
  <c r="K1495" i="9"/>
  <c r="N1494" i="9"/>
  <c r="M1494" i="9"/>
  <c r="L1494" i="9"/>
  <c r="K1494" i="9"/>
  <c r="N1493" i="9"/>
  <c r="M1493" i="9"/>
  <c r="L1493" i="9"/>
  <c r="K1493" i="9"/>
  <c r="M1492" i="9"/>
  <c r="L1492" i="9"/>
  <c r="N1492" i="9" s="1"/>
  <c r="K1492" i="9"/>
  <c r="M1491" i="9"/>
  <c r="L1491" i="9"/>
  <c r="N1491" i="9" s="1"/>
  <c r="K1491" i="9"/>
  <c r="M1490" i="9"/>
  <c r="L1490" i="9"/>
  <c r="N1490" i="9" s="1"/>
  <c r="K1490" i="9"/>
  <c r="N1489" i="9"/>
  <c r="M1489" i="9"/>
  <c r="L1489" i="9"/>
  <c r="K1489" i="9"/>
  <c r="N1488" i="9"/>
  <c r="M1488" i="9"/>
  <c r="L1488" i="9"/>
  <c r="K1488" i="9"/>
  <c r="N1487" i="9"/>
  <c r="M1487" i="9"/>
  <c r="L1487" i="9"/>
  <c r="K1487" i="9"/>
  <c r="N1486" i="9"/>
  <c r="M1486" i="9"/>
  <c r="L1486" i="9"/>
  <c r="K1486" i="9"/>
  <c r="M1485" i="9"/>
  <c r="L1485" i="9"/>
  <c r="N1485" i="9" s="1"/>
  <c r="K1485" i="9"/>
  <c r="M1484" i="9"/>
  <c r="L1484" i="9"/>
  <c r="N1484" i="9" s="1"/>
  <c r="K1484" i="9"/>
  <c r="M1483" i="9"/>
  <c r="L1483" i="9"/>
  <c r="N1483" i="9" s="1"/>
  <c r="K1483" i="9"/>
  <c r="N1482" i="9"/>
  <c r="M1482" i="9"/>
  <c r="L1482" i="9"/>
  <c r="K1482" i="9"/>
  <c r="N1481" i="9"/>
  <c r="M1481" i="9"/>
  <c r="L1481" i="9"/>
  <c r="K1481" i="9"/>
  <c r="N1480" i="9"/>
  <c r="M1480" i="9"/>
  <c r="L1480" i="9"/>
  <c r="K1480" i="9"/>
  <c r="N1479" i="9"/>
  <c r="M1479" i="9"/>
  <c r="L1479" i="9"/>
  <c r="K1479" i="9"/>
  <c r="M1478" i="9"/>
  <c r="L1478" i="9"/>
  <c r="N1478" i="9" s="1"/>
  <c r="K1478" i="9"/>
  <c r="M1477" i="9"/>
  <c r="L1477" i="9"/>
  <c r="N1477" i="9" s="1"/>
  <c r="K1477" i="9"/>
  <c r="M1476" i="9"/>
  <c r="L1476" i="9"/>
  <c r="N1476" i="9" s="1"/>
  <c r="K1476" i="9"/>
  <c r="N1475" i="9"/>
  <c r="M1475" i="9"/>
  <c r="L1475" i="9"/>
  <c r="K1475" i="9"/>
  <c r="N1474" i="9"/>
  <c r="M1474" i="9"/>
  <c r="L1474" i="9"/>
  <c r="K1474" i="9"/>
  <c r="N1473" i="9"/>
  <c r="M1473" i="9"/>
  <c r="L1473" i="9"/>
  <c r="K1473" i="9"/>
  <c r="N1472" i="9"/>
  <c r="M1472" i="9"/>
  <c r="L1472" i="9"/>
  <c r="K1472" i="9"/>
  <c r="M1471" i="9"/>
  <c r="L1471" i="9"/>
  <c r="N1471" i="9" s="1"/>
  <c r="K1471" i="9"/>
  <c r="M1470" i="9"/>
  <c r="L1470" i="9"/>
  <c r="N1470" i="9" s="1"/>
  <c r="K1470" i="9"/>
  <c r="M1469" i="9"/>
  <c r="L1469" i="9"/>
  <c r="N1469" i="9" s="1"/>
  <c r="K1469" i="9"/>
  <c r="N1468" i="9"/>
  <c r="M1468" i="9"/>
  <c r="L1468" i="9"/>
  <c r="K1468" i="9"/>
  <c r="N1467" i="9"/>
  <c r="M1467" i="9"/>
  <c r="L1467" i="9"/>
  <c r="K1467" i="9"/>
  <c r="N1466" i="9"/>
  <c r="M1466" i="9"/>
  <c r="L1466" i="9"/>
  <c r="K1466" i="9"/>
  <c r="N1465" i="9"/>
  <c r="M1465" i="9"/>
  <c r="L1465" i="9"/>
  <c r="K1465" i="9"/>
  <c r="M1464" i="9"/>
  <c r="L1464" i="9"/>
  <c r="N1464" i="9" s="1"/>
  <c r="K1464" i="9"/>
  <c r="M1463" i="9"/>
  <c r="L1463" i="9"/>
  <c r="N1463" i="9" s="1"/>
  <c r="K1463" i="9"/>
  <c r="M1462" i="9"/>
  <c r="L1462" i="9"/>
  <c r="N1462" i="9" s="1"/>
  <c r="K1462" i="9"/>
  <c r="N1461" i="9"/>
  <c r="M1461" i="9"/>
  <c r="L1461" i="9"/>
  <c r="K1461" i="9"/>
  <c r="N1460" i="9"/>
  <c r="M1460" i="9"/>
  <c r="L1460" i="9"/>
  <c r="K1460" i="9"/>
  <c r="N1459" i="9"/>
  <c r="M1459" i="9"/>
  <c r="L1459" i="9"/>
  <c r="K1459" i="9"/>
  <c r="N1458" i="9"/>
  <c r="M1458" i="9"/>
  <c r="L1458" i="9"/>
  <c r="K1458" i="9"/>
  <c r="M1457" i="9"/>
  <c r="L1457" i="9"/>
  <c r="N1457" i="9" s="1"/>
  <c r="K1457" i="9"/>
  <c r="M1456" i="9"/>
  <c r="L1456" i="9"/>
  <c r="N1456" i="9" s="1"/>
  <c r="K1456" i="9"/>
  <c r="M1455" i="9"/>
  <c r="L1455" i="9"/>
  <c r="N1455" i="9" s="1"/>
  <c r="K1455" i="9"/>
  <c r="N1454" i="9"/>
  <c r="M1454" i="9"/>
  <c r="L1454" i="9"/>
  <c r="K1454" i="9"/>
  <c r="N1453" i="9"/>
  <c r="M1453" i="9"/>
  <c r="L1453" i="9"/>
  <c r="K1453" i="9"/>
  <c r="N1452" i="9"/>
  <c r="M1452" i="9"/>
  <c r="L1452" i="9"/>
  <c r="K1452" i="9"/>
  <c r="N1451" i="9"/>
  <c r="M1451" i="9"/>
  <c r="L1451" i="9"/>
  <c r="K1451" i="9"/>
  <c r="M1450" i="9"/>
  <c r="L1450" i="9"/>
  <c r="N1450" i="9" s="1"/>
  <c r="K1450" i="9"/>
  <c r="M1449" i="9"/>
  <c r="L1449" i="9"/>
  <c r="N1449" i="9" s="1"/>
  <c r="K1449" i="9"/>
  <c r="M1448" i="9"/>
  <c r="L1448" i="9"/>
  <c r="N1448" i="9" s="1"/>
  <c r="K1448" i="9"/>
  <c r="N1447" i="9"/>
  <c r="M1447" i="9"/>
  <c r="L1447" i="9"/>
  <c r="K1447" i="9"/>
  <c r="N1446" i="9"/>
  <c r="M1446" i="9"/>
  <c r="L1446" i="9"/>
  <c r="K1446" i="9"/>
  <c r="N1445" i="9"/>
  <c r="M1445" i="9"/>
  <c r="L1445" i="9"/>
  <c r="K1445" i="9"/>
  <c r="N1444" i="9"/>
  <c r="M1444" i="9"/>
  <c r="L1444" i="9"/>
  <c r="K1444" i="9"/>
  <c r="M1443" i="9"/>
  <c r="L1443" i="9"/>
  <c r="N1443" i="9" s="1"/>
  <c r="K1443" i="9"/>
  <c r="M1442" i="9"/>
  <c r="L1442" i="9"/>
  <c r="N1442" i="9" s="1"/>
  <c r="K1442" i="9"/>
  <c r="M1441" i="9"/>
  <c r="L1441" i="9"/>
  <c r="N1441" i="9" s="1"/>
  <c r="K1441" i="9"/>
  <c r="N1440" i="9"/>
  <c r="M1440" i="9"/>
  <c r="L1440" i="9"/>
  <c r="K1440" i="9"/>
  <c r="N1439" i="9"/>
  <c r="M1439" i="9"/>
  <c r="L1439" i="9"/>
  <c r="K1439" i="9"/>
  <c r="N1438" i="9"/>
  <c r="M1438" i="9"/>
  <c r="L1438" i="9"/>
  <c r="K1438" i="9"/>
  <c r="N1437" i="9"/>
  <c r="M1437" i="9"/>
  <c r="L1437" i="9"/>
  <c r="K1437" i="9"/>
  <c r="M1436" i="9"/>
  <c r="L1436" i="9"/>
  <c r="N1436" i="9" s="1"/>
  <c r="K1436" i="9"/>
  <c r="M1435" i="9"/>
  <c r="L1435" i="9"/>
  <c r="N1435" i="9" s="1"/>
  <c r="K1435" i="9"/>
  <c r="M1434" i="9"/>
  <c r="L1434" i="9"/>
  <c r="N1434" i="9" s="1"/>
  <c r="K1434" i="9"/>
  <c r="N1433" i="9"/>
  <c r="M1433" i="9"/>
  <c r="L1433" i="9"/>
  <c r="K1433" i="9"/>
  <c r="N1432" i="9"/>
  <c r="M1432" i="9"/>
  <c r="L1432" i="9"/>
  <c r="K1432" i="9"/>
  <c r="N1431" i="9"/>
  <c r="M1431" i="9"/>
  <c r="L1431" i="9"/>
  <c r="K1431" i="9"/>
  <c r="N1430" i="9"/>
  <c r="M1430" i="9"/>
  <c r="L1430" i="9"/>
  <c r="K1430" i="9"/>
  <c r="M1429" i="9"/>
  <c r="L1429" i="9"/>
  <c r="N1429" i="9" s="1"/>
  <c r="K1429" i="9"/>
  <c r="M1428" i="9"/>
  <c r="L1428" i="9"/>
  <c r="N1428" i="9" s="1"/>
  <c r="K1428" i="9"/>
  <c r="M1427" i="9"/>
  <c r="L1427" i="9"/>
  <c r="N1427" i="9" s="1"/>
  <c r="K1427" i="9"/>
  <c r="N1426" i="9"/>
  <c r="M1426" i="9"/>
  <c r="L1426" i="9"/>
  <c r="K1426" i="9"/>
  <c r="N1425" i="9"/>
  <c r="M1425" i="9"/>
  <c r="L1425" i="9"/>
  <c r="K1425" i="9"/>
  <c r="N1424" i="9"/>
  <c r="M1424" i="9"/>
  <c r="L1424" i="9"/>
  <c r="K1424" i="9"/>
  <c r="N1423" i="9"/>
  <c r="M1423" i="9"/>
  <c r="L1423" i="9"/>
  <c r="K1423" i="9"/>
  <c r="M1422" i="9"/>
  <c r="L1422" i="9"/>
  <c r="N1422" i="9" s="1"/>
  <c r="K1422" i="9"/>
  <c r="M1421" i="9"/>
  <c r="L1421" i="9"/>
  <c r="N1421" i="9" s="1"/>
  <c r="K1421" i="9"/>
  <c r="M1420" i="9"/>
  <c r="L1420" i="9"/>
  <c r="N1420" i="9" s="1"/>
  <c r="K1420" i="9"/>
  <c r="N1419" i="9"/>
  <c r="M1419" i="9"/>
  <c r="L1419" i="9"/>
  <c r="K1419" i="9"/>
  <c r="N1418" i="9"/>
  <c r="M1418" i="9"/>
  <c r="L1418" i="9"/>
  <c r="K1418" i="9"/>
  <c r="N1417" i="9"/>
  <c r="M1417" i="9"/>
  <c r="L1417" i="9"/>
  <c r="K1417" i="9"/>
  <c r="N1416" i="9"/>
  <c r="M1416" i="9"/>
  <c r="L1416" i="9"/>
  <c r="K1416" i="9"/>
  <c r="M1415" i="9"/>
  <c r="L1415" i="9"/>
  <c r="N1415" i="9" s="1"/>
  <c r="K1415" i="9"/>
  <c r="M1414" i="9"/>
  <c r="L1414" i="9"/>
  <c r="N1414" i="9" s="1"/>
  <c r="K1414" i="9"/>
  <c r="M1413" i="9"/>
  <c r="L1413" i="9"/>
  <c r="N1413" i="9" s="1"/>
  <c r="K1413" i="9"/>
  <c r="N1412" i="9"/>
  <c r="M1412" i="9"/>
  <c r="L1412" i="9"/>
  <c r="K1412" i="9"/>
  <c r="N1411" i="9"/>
  <c r="M1411" i="9"/>
  <c r="L1411" i="9"/>
  <c r="K1411" i="9"/>
  <c r="N1410" i="9"/>
  <c r="M1410" i="9"/>
  <c r="L1410" i="9"/>
  <c r="K1410" i="9"/>
  <c r="N1409" i="9"/>
  <c r="M1409" i="9"/>
  <c r="L1409" i="9"/>
  <c r="K1409" i="9"/>
  <c r="M1408" i="9"/>
  <c r="L1408" i="9"/>
  <c r="N1408" i="9" s="1"/>
  <c r="K1408" i="9"/>
  <c r="M1407" i="9"/>
  <c r="L1407" i="9"/>
  <c r="N1407" i="9" s="1"/>
  <c r="K1407" i="9"/>
  <c r="M1406" i="9"/>
  <c r="L1406" i="9"/>
  <c r="N1406" i="9" s="1"/>
  <c r="K1406" i="9"/>
  <c r="N1405" i="9"/>
  <c r="M1405" i="9"/>
  <c r="L1405" i="9"/>
  <c r="K1405" i="9"/>
  <c r="N1404" i="9"/>
  <c r="M1404" i="9"/>
  <c r="L1404" i="9"/>
  <c r="K1404" i="9"/>
  <c r="N1403" i="9"/>
  <c r="M1403" i="9"/>
  <c r="L1403" i="9"/>
  <c r="K1403" i="9"/>
  <c r="N1402" i="9"/>
  <c r="M1402" i="9"/>
  <c r="L1402" i="9"/>
  <c r="K1402" i="9"/>
  <c r="M1401" i="9"/>
  <c r="L1401" i="9"/>
  <c r="N1401" i="9" s="1"/>
  <c r="K1401" i="9"/>
  <c r="M1400" i="9"/>
  <c r="L1400" i="9"/>
  <c r="N1400" i="9" s="1"/>
  <c r="K1400" i="9"/>
  <c r="M1399" i="9"/>
  <c r="L1399" i="9"/>
  <c r="N1399" i="9" s="1"/>
  <c r="K1399" i="9"/>
  <c r="N1398" i="9"/>
  <c r="M1398" i="9"/>
  <c r="L1398" i="9"/>
  <c r="K1398" i="9"/>
  <c r="N1397" i="9"/>
  <c r="M1397" i="9"/>
  <c r="L1397" i="9"/>
  <c r="K1397" i="9"/>
  <c r="N1396" i="9"/>
  <c r="M1396" i="9"/>
  <c r="L1396" i="9"/>
  <c r="K1396" i="9"/>
  <c r="N1395" i="9"/>
  <c r="M1395" i="9"/>
  <c r="L1395" i="9"/>
  <c r="K1395" i="9"/>
  <c r="N1394" i="9"/>
  <c r="M1394" i="9"/>
  <c r="L1394" i="9"/>
  <c r="K1394" i="9"/>
  <c r="N1393" i="9"/>
  <c r="M1393" i="9"/>
  <c r="L1393" i="9"/>
  <c r="K1393" i="9"/>
  <c r="N1392" i="9"/>
  <c r="M1392" i="9"/>
  <c r="L1392" i="9"/>
  <c r="K1392" i="9"/>
  <c r="N1391" i="9"/>
  <c r="M1391" i="9"/>
  <c r="L1391" i="9"/>
  <c r="K1391" i="9"/>
  <c r="N1390" i="9"/>
  <c r="M1390" i="9"/>
  <c r="L1390" i="9"/>
  <c r="K1390" i="9"/>
  <c r="N1389" i="9"/>
  <c r="M1389" i="9"/>
  <c r="L1389" i="9"/>
  <c r="K1389" i="9"/>
  <c r="N1388" i="9"/>
  <c r="M1388" i="9"/>
  <c r="L1388" i="9"/>
  <c r="K1388" i="9"/>
  <c r="M1387" i="9"/>
  <c r="L1387" i="9"/>
  <c r="N1387" i="9" s="1"/>
  <c r="K1387" i="9"/>
  <c r="M1386" i="9"/>
  <c r="L1386" i="9"/>
  <c r="N1386" i="9" s="1"/>
  <c r="K1386" i="9"/>
  <c r="M1385" i="9"/>
  <c r="L1385" i="9"/>
  <c r="N1385" i="9" s="1"/>
  <c r="K1385" i="9"/>
  <c r="N1384" i="9"/>
  <c r="M1384" i="9"/>
  <c r="L1384" i="9"/>
  <c r="K1384" i="9"/>
  <c r="N1383" i="9"/>
  <c r="M1383" i="9"/>
  <c r="L1383" i="9"/>
  <c r="K1383" i="9"/>
  <c r="N1382" i="9"/>
  <c r="M1382" i="9"/>
  <c r="L1382" i="9"/>
  <c r="K1382" i="9"/>
  <c r="N1381" i="9"/>
  <c r="M1381" i="9"/>
  <c r="L1381" i="9"/>
  <c r="K1381" i="9"/>
  <c r="M1380" i="9"/>
  <c r="L1380" i="9"/>
  <c r="N1380" i="9" s="1"/>
  <c r="K1380" i="9"/>
  <c r="M1379" i="9"/>
  <c r="L1379" i="9"/>
  <c r="N1379" i="9" s="1"/>
  <c r="K1379" i="9"/>
  <c r="M1378" i="9"/>
  <c r="L1378" i="9"/>
  <c r="N1378" i="9" s="1"/>
  <c r="K1378" i="9"/>
  <c r="N1377" i="9"/>
  <c r="M1377" i="9"/>
  <c r="L1377" i="9"/>
  <c r="K1377" i="9"/>
  <c r="N1376" i="9"/>
  <c r="M1376" i="9"/>
  <c r="L1376" i="9"/>
  <c r="K1376" i="9"/>
  <c r="N1375" i="9"/>
  <c r="M1375" i="9"/>
  <c r="L1375" i="9"/>
  <c r="K1375" i="9"/>
  <c r="N1374" i="9"/>
  <c r="M1374" i="9"/>
  <c r="L1374" i="9"/>
  <c r="K1374" i="9"/>
  <c r="M1373" i="9"/>
  <c r="L1373" i="9"/>
  <c r="N1373" i="9" s="1"/>
  <c r="K1373" i="9"/>
  <c r="M1372" i="9"/>
  <c r="L1372" i="9"/>
  <c r="N1372" i="9" s="1"/>
  <c r="K1372" i="9"/>
  <c r="M1371" i="9"/>
  <c r="L1371" i="9"/>
  <c r="N1371" i="9" s="1"/>
  <c r="K1371" i="9"/>
  <c r="N1370" i="9"/>
  <c r="M1370" i="9"/>
  <c r="L1370" i="9"/>
  <c r="K1370" i="9"/>
  <c r="N1369" i="9"/>
  <c r="M1369" i="9"/>
  <c r="L1369" i="9"/>
  <c r="K1369" i="9"/>
  <c r="N1368" i="9"/>
  <c r="M1368" i="9"/>
  <c r="L1368" i="9"/>
  <c r="K1368" i="9"/>
  <c r="N1367" i="9"/>
  <c r="M1367" i="9"/>
  <c r="L1367" i="9"/>
  <c r="K1367" i="9"/>
  <c r="M1366" i="9"/>
  <c r="L1366" i="9"/>
  <c r="N1366" i="9" s="1"/>
  <c r="K1366" i="9"/>
  <c r="M1365" i="9"/>
  <c r="L1365" i="9"/>
  <c r="N1365" i="9" s="1"/>
  <c r="K1365" i="9"/>
  <c r="M1364" i="9"/>
  <c r="L1364" i="9"/>
  <c r="N1364" i="9" s="1"/>
  <c r="K1364" i="9"/>
  <c r="N1363" i="9"/>
  <c r="M1363" i="9"/>
  <c r="L1363" i="9"/>
  <c r="K1363" i="9"/>
  <c r="N1362" i="9"/>
  <c r="M1362" i="9"/>
  <c r="L1362" i="9"/>
  <c r="K1362" i="9"/>
  <c r="N1361" i="9"/>
  <c r="M1361" i="9"/>
  <c r="L1361" i="9"/>
  <c r="K1361" i="9"/>
  <c r="N1360" i="9"/>
  <c r="M1360" i="9"/>
  <c r="L1360" i="9"/>
  <c r="K1360" i="9"/>
  <c r="M1359" i="9"/>
  <c r="L1359" i="9"/>
  <c r="N1359" i="9" s="1"/>
  <c r="K1359" i="9"/>
  <c r="M1358" i="9"/>
  <c r="L1358" i="9"/>
  <c r="N1358" i="9" s="1"/>
  <c r="K1358" i="9"/>
  <c r="M1357" i="9"/>
  <c r="L1357" i="9"/>
  <c r="N1357" i="9" s="1"/>
  <c r="K1357" i="9"/>
  <c r="N1356" i="9"/>
  <c r="M1356" i="9"/>
  <c r="L1356" i="9"/>
  <c r="K1356" i="9"/>
  <c r="N1355" i="9"/>
  <c r="M1355" i="9"/>
  <c r="L1355" i="9"/>
  <c r="K1355" i="9"/>
  <c r="N1354" i="9"/>
  <c r="M1354" i="9"/>
  <c r="L1354" i="9"/>
  <c r="K1354" i="9"/>
  <c r="N1353" i="9"/>
  <c r="M1353" i="9"/>
  <c r="L1353" i="9"/>
  <c r="K1353" i="9"/>
  <c r="M1352" i="9"/>
  <c r="L1352" i="9"/>
  <c r="N1352" i="9" s="1"/>
  <c r="K1352" i="9"/>
  <c r="M1351" i="9"/>
  <c r="L1351" i="9"/>
  <c r="N1351" i="9" s="1"/>
  <c r="K1351" i="9"/>
  <c r="M1350" i="9"/>
  <c r="L1350" i="9"/>
  <c r="N1350" i="9" s="1"/>
  <c r="K1350" i="9"/>
  <c r="N1349" i="9"/>
  <c r="M1349" i="9"/>
  <c r="L1349" i="9"/>
  <c r="K1349" i="9"/>
  <c r="N1348" i="9"/>
  <c r="M1348" i="9"/>
  <c r="L1348" i="9"/>
  <c r="K1348" i="9"/>
  <c r="N1347" i="9"/>
  <c r="M1347" i="9"/>
  <c r="L1347" i="9"/>
  <c r="K1347" i="9"/>
  <c r="N1346" i="9"/>
  <c r="M1346" i="9"/>
  <c r="L1346" i="9"/>
  <c r="K1346" i="9"/>
  <c r="M1345" i="9"/>
  <c r="L1345" i="9"/>
  <c r="N1345" i="9" s="1"/>
  <c r="K1345" i="9"/>
  <c r="M1344" i="9"/>
  <c r="L1344" i="9"/>
  <c r="N1344" i="9" s="1"/>
  <c r="K1344" i="9"/>
  <c r="M1343" i="9"/>
  <c r="L1343" i="9"/>
  <c r="N1343" i="9" s="1"/>
  <c r="K1343" i="9"/>
  <c r="N1342" i="9"/>
  <c r="M1342" i="9"/>
  <c r="L1342" i="9"/>
  <c r="K1342" i="9"/>
  <c r="N1341" i="9"/>
  <c r="M1341" i="9"/>
  <c r="L1341" i="9"/>
  <c r="K1341" i="9"/>
  <c r="N1340" i="9"/>
  <c r="M1340" i="9"/>
  <c r="L1340" i="9"/>
  <c r="K1340" i="9"/>
  <c r="N1339" i="9"/>
  <c r="M1339" i="9"/>
  <c r="L1339" i="9"/>
  <c r="K1339" i="9"/>
  <c r="M1338" i="9"/>
  <c r="L1338" i="9"/>
  <c r="N1338" i="9" s="1"/>
  <c r="K1338" i="9"/>
  <c r="M1337" i="9"/>
  <c r="L1337" i="9"/>
  <c r="N1337" i="9" s="1"/>
  <c r="K1337" i="9"/>
  <c r="M1336" i="9"/>
  <c r="L1336" i="9"/>
  <c r="N1336" i="9" s="1"/>
  <c r="K1336" i="9"/>
  <c r="N1335" i="9"/>
  <c r="M1335" i="9"/>
  <c r="L1335" i="9"/>
  <c r="K1335" i="9"/>
  <c r="N1334" i="9"/>
  <c r="M1334" i="9"/>
  <c r="L1334" i="9"/>
  <c r="K1334" i="9"/>
  <c r="N1333" i="9"/>
  <c r="M1333" i="9"/>
  <c r="L1333" i="9"/>
  <c r="K1333" i="9"/>
  <c r="N1332" i="9"/>
  <c r="M1332" i="9"/>
  <c r="L1332" i="9"/>
  <c r="K1332" i="9"/>
  <c r="M1331" i="9"/>
  <c r="L1331" i="9"/>
  <c r="N1331" i="9" s="1"/>
  <c r="K1331" i="9"/>
  <c r="M1330" i="9"/>
  <c r="L1330" i="9"/>
  <c r="N1330" i="9" s="1"/>
  <c r="K1330" i="9"/>
  <c r="M1329" i="9"/>
  <c r="L1329" i="9"/>
  <c r="N1329" i="9" s="1"/>
  <c r="K1329" i="9"/>
  <c r="N1328" i="9"/>
  <c r="M1328" i="9"/>
  <c r="L1328" i="9"/>
  <c r="K1328" i="9"/>
  <c r="N1327" i="9"/>
  <c r="M1327" i="9"/>
  <c r="L1327" i="9"/>
  <c r="K1327" i="9"/>
  <c r="N1326" i="9"/>
  <c r="M1326" i="9"/>
  <c r="L1326" i="9"/>
  <c r="K1326" i="9"/>
  <c r="N1325" i="9"/>
  <c r="M1325" i="9"/>
  <c r="L1325" i="9"/>
  <c r="K1325" i="9"/>
  <c r="M1324" i="9"/>
  <c r="L1324" i="9"/>
  <c r="N1324" i="9" s="1"/>
  <c r="K1324" i="9"/>
  <c r="M1323" i="9"/>
  <c r="L1323" i="9"/>
  <c r="N1323" i="9" s="1"/>
  <c r="K1323" i="9"/>
  <c r="M1322" i="9"/>
  <c r="L1322" i="9"/>
  <c r="N1322" i="9" s="1"/>
  <c r="K1322" i="9"/>
  <c r="N1321" i="9"/>
  <c r="M1321" i="9"/>
  <c r="L1321" i="9"/>
  <c r="K1321" i="9"/>
  <c r="N1320" i="9"/>
  <c r="M1320" i="9"/>
  <c r="L1320" i="9"/>
  <c r="K1320" i="9"/>
  <c r="N1319" i="9"/>
  <c r="M1319" i="9"/>
  <c r="L1319" i="9"/>
  <c r="K1319" i="9"/>
  <c r="N1318" i="9"/>
  <c r="M1318" i="9"/>
  <c r="L1318" i="9"/>
  <c r="K1318" i="9"/>
  <c r="M1317" i="9"/>
  <c r="L1317" i="9"/>
  <c r="N1317" i="9" s="1"/>
  <c r="K1317" i="9"/>
  <c r="M1316" i="9"/>
  <c r="L1316" i="9"/>
  <c r="N1316" i="9" s="1"/>
  <c r="K1316" i="9"/>
  <c r="M1315" i="9"/>
  <c r="L1315" i="9"/>
  <c r="N1315" i="9" s="1"/>
  <c r="K1315" i="9"/>
  <c r="N1314" i="9"/>
  <c r="M1314" i="9"/>
  <c r="L1314" i="9"/>
  <c r="K1314" i="9"/>
  <c r="N1313" i="9"/>
  <c r="M1313" i="9"/>
  <c r="L1313" i="9"/>
  <c r="K1313" i="9"/>
  <c r="N1312" i="9"/>
  <c r="M1312" i="9"/>
  <c r="L1312" i="9"/>
  <c r="K1312" i="9"/>
  <c r="N1311" i="9"/>
  <c r="M1311" i="9"/>
  <c r="L1311" i="9"/>
  <c r="K1311" i="9"/>
  <c r="M1310" i="9"/>
  <c r="L1310" i="9"/>
  <c r="N1310" i="9" s="1"/>
  <c r="K1310" i="9"/>
  <c r="M1309" i="9"/>
  <c r="L1309" i="9"/>
  <c r="N1309" i="9" s="1"/>
  <c r="K1309" i="9"/>
  <c r="M1308" i="9"/>
  <c r="L1308" i="9"/>
  <c r="N1308" i="9" s="1"/>
  <c r="K1308" i="9"/>
  <c r="N1307" i="9"/>
  <c r="M1307" i="9"/>
  <c r="L1307" i="9"/>
  <c r="K1307" i="9"/>
  <c r="N1306" i="9"/>
  <c r="M1306" i="9"/>
  <c r="L1306" i="9"/>
  <c r="K1306" i="9"/>
  <c r="N1305" i="9"/>
  <c r="M1305" i="9"/>
  <c r="L1305" i="9"/>
  <c r="K1305" i="9"/>
  <c r="N1304" i="9"/>
  <c r="M1304" i="9"/>
  <c r="L1304" i="9"/>
  <c r="K1304" i="9"/>
  <c r="M1303" i="9"/>
  <c r="L1303" i="9"/>
  <c r="N1303" i="9" s="1"/>
  <c r="K1303" i="9"/>
  <c r="M1302" i="9"/>
  <c r="L1302" i="9"/>
  <c r="N1302" i="9" s="1"/>
  <c r="K1302" i="9"/>
  <c r="M1301" i="9"/>
  <c r="L1301" i="9"/>
  <c r="N1301" i="9" s="1"/>
  <c r="K1301" i="9"/>
  <c r="N1300" i="9"/>
  <c r="M1300" i="9"/>
  <c r="L1300" i="9"/>
  <c r="K1300" i="9"/>
  <c r="N1299" i="9"/>
  <c r="M1299" i="9"/>
  <c r="L1299" i="9"/>
  <c r="K1299" i="9"/>
  <c r="N1298" i="9"/>
  <c r="M1298" i="9"/>
  <c r="L1298" i="9"/>
  <c r="K1298" i="9"/>
  <c r="N1297" i="9"/>
  <c r="M1297" i="9"/>
  <c r="L1297" i="9"/>
  <c r="K1297" i="9"/>
  <c r="M1296" i="9"/>
  <c r="L1296" i="9"/>
  <c r="N1296" i="9" s="1"/>
  <c r="K1296" i="9"/>
  <c r="M1295" i="9"/>
  <c r="L1295" i="9"/>
  <c r="N1295" i="9" s="1"/>
  <c r="K1295" i="9"/>
  <c r="M1294" i="9"/>
  <c r="L1294" i="9"/>
  <c r="N1294" i="9" s="1"/>
  <c r="K1294" i="9"/>
  <c r="N1293" i="9"/>
  <c r="M1293" i="9"/>
  <c r="L1293" i="9"/>
  <c r="K1293" i="9"/>
  <c r="N1292" i="9"/>
  <c r="M1292" i="9"/>
  <c r="L1292" i="9"/>
  <c r="K1292" i="9"/>
  <c r="N1291" i="9"/>
  <c r="M1291" i="9"/>
  <c r="L1291" i="9"/>
  <c r="K1291" i="9"/>
  <c r="N1290" i="9"/>
  <c r="M1290" i="9"/>
  <c r="L1290" i="9"/>
  <c r="K1290" i="9"/>
  <c r="M1289" i="9"/>
  <c r="L1289" i="9"/>
  <c r="N1289" i="9" s="1"/>
  <c r="K1289" i="9"/>
  <c r="M1288" i="9"/>
  <c r="L1288" i="9"/>
  <c r="N1288" i="9" s="1"/>
  <c r="K1288" i="9"/>
  <c r="M1287" i="9"/>
  <c r="L1287" i="9"/>
  <c r="N1287" i="9" s="1"/>
  <c r="K1287" i="9"/>
  <c r="N1286" i="9"/>
  <c r="M1286" i="9"/>
  <c r="L1286" i="9"/>
  <c r="K1286" i="9"/>
  <c r="N1285" i="9"/>
  <c r="M1285" i="9"/>
  <c r="L1285" i="9"/>
  <c r="K1285" i="9"/>
  <c r="N1284" i="9"/>
  <c r="M1284" i="9"/>
  <c r="L1284" i="9"/>
  <c r="K1284" i="9"/>
  <c r="N1283" i="9"/>
  <c r="M1283" i="9"/>
  <c r="L1283" i="9"/>
  <c r="K1283" i="9"/>
  <c r="M1282" i="9"/>
  <c r="L1282" i="9"/>
  <c r="N1282" i="9" s="1"/>
  <c r="K1282" i="9"/>
  <c r="M1281" i="9"/>
  <c r="L1281" i="9"/>
  <c r="N1281" i="9" s="1"/>
  <c r="K1281" i="9"/>
  <c r="M1280" i="9"/>
  <c r="L1280" i="9"/>
  <c r="N1280" i="9" s="1"/>
  <c r="K1280" i="9"/>
  <c r="N1279" i="9"/>
  <c r="M1279" i="9"/>
  <c r="L1279" i="9"/>
  <c r="K1279" i="9"/>
  <c r="N1278" i="9"/>
  <c r="M1278" i="9"/>
  <c r="L1278" i="9"/>
  <c r="K1278" i="9"/>
  <c r="N1277" i="9"/>
  <c r="M1277" i="9"/>
  <c r="L1277" i="9"/>
  <c r="K1277" i="9"/>
  <c r="N1276" i="9"/>
  <c r="M1276" i="9"/>
  <c r="L1276" i="9"/>
  <c r="K1276" i="9"/>
  <c r="M1275" i="9"/>
  <c r="L1275" i="9"/>
  <c r="N1275" i="9" s="1"/>
  <c r="K1275" i="9"/>
  <c r="M1274" i="9"/>
  <c r="L1274" i="9"/>
  <c r="N1274" i="9" s="1"/>
  <c r="K1274" i="9"/>
  <c r="M1273" i="9"/>
  <c r="L1273" i="9"/>
  <c r="N1273" i="9" s="1"/>
  <c r="K1273" i="9"/>
  <c r="N1272" i="9"/>
  <c r="M1272" i="9"/>
  <c r="L1272" i="9"/>
  <c r="K1272" i="9"/>
  <c r="N1271" i="9"/>
  <c r="M1271" i="9"/>
  <c r="L1271" i="9"/>
  <c r="K1271" i="9"/>
  <c r="N1270" i="9"/>
  <c r="M1270" i="9"/>
  <c r="L1270" i="9"/>
  <c r="K1270" i="9"/>
  <c r="N1269" i="9"/>
  <c r="M1269" i="9"/>
  <c r="L1269" i="9"/>
  <c r="K1269" i="9"/>
  <c r="M1268" i="9"/>
  <c r="L1268" i="9"/>
  <c r="N1268" i="9" s="1"/>
  <c r="K1268" i="9"/>
  <c r="M1267" i="9"/>
  <c r="L1267" i="9"/>
  <c r="N1267" i="9" s="1"/>
  <c r="K1267" i="9"/>
  <c r="M1266" i="9"/>
  <c r="L1266" i="9"/>
  <c r="N1266" i="9" s="1"/>
  <c r="K1266" i="9"/>
  <c r="N1265" i="9"/>
  <c r="M1265" i="9"/>
  <c r="L1265" i="9"/>
  <c r="K1265" i="9"/>
  <c r="N1264" i="9"/>
  <c r="M1264" i="9"/>
  <c r="L1264" i="9"/>
  <c r="K1264" i="9"/>
  <c r="N1263" i="9"/>
  <c r="M1263" i="9"/>
  <c r="L1263" i="9"/>
  <c r="K1263" i="9"/>
  <c r="N1262" i="9"/>
  <c r="M1262" i="9"/>
  <c r="L1262" i="9"/>
  <c r="K1262" i="9"/>
  <c r="M1261" i="9"/>
  <c r="L1261" i="9"/>
  <c r="N1261" i="9" s="1"/>
  <c r="K1261" i="9"/>
  <c r="M1260" i="9"/>
  <c r="L1260" i="9"/>
  <c r="N1260" i="9" s="1"/>
  <c r="K1260" i="9"/>
  <c r="M1259" i="9"/>
  <c r="L1259" i="9"/>
  <c r="N1259" i="9" s="1"/>
  <c r="K1259" i="9"/>
  <c r="N1258" i="9"/>
  <c r="M1258" i="9"/>
  <c r="L1258" i="9"/>
  <c r="K1258" i="9"/>
  <c r="N1257" i="9"/>
  <c r="M1257" i="9"/>
  <c r="L1257" i="9"/>
  <c r="K1257" i="9"/>
  <c r="N1256" i="9"/>
  <c r="M1256" i="9"/>
  <c r="L1256" i="9"/>
  <c r="K1256" i="9"/>
  <c r="N1255" i="9"/>
  <c r="M1255" i="9"/>
  <c r="L1255" i="9"/>
  <c r="K1255" i="9"/>
  <c r="M1254" i="9"/>
  <c r="L1254" i="9"/>
  <c r="N1254" i="9" s="1"/>
  <c r="K1254" i="9"/>
  <c r="M1253" i="9"/>
  <c r="L1253" i="9"/>
  <c r="N1253" i="9" s="1"/>
  <c r="K1253" i="9"/>
  <c r="N1252" i="9"/>
  <c r="M1252" i="9"/>
  <c r="L1252" i="9"/>
  <c r="K1252" i="9"/>
  <c r="N1251" i="9"/>
  <c r="M1251" i="9"/>
  <c r="L1251" i="9"/>
  <c r="K1251" i="9"/>
  <c r="N1250" i="9"/>
  <c r="M1250" i="9"/>
  <c r="L1250" i="9"/>
  <c r="K1250" i="9"/>
  <c r="N1249" i="9"/>
  <c r="M1249" i="9"/>
  <c r="L1249" i="9"/>
  <c r="K1249" i="9"/>
  <c r="N1248" i="9"/>
  <c r="M1248" i="9"/>
  <c r="L1248" i="9"/>
  <c r="K1248" i="9"/>
  <c r="M1247" i="9"/>
  <c r="L1247" i="9"/>
  <c r="N1247" i="9" s="1"/>
  <c r="K1247" i="9"/>
  <c r="M1246" i="9"/>
  <c r="L1246" i="9"/>
  <c r="N1246" i="9" s="1"/>
  <c r="K1246" i="9"/>
  <c r="M1245" i="9"/>
  <c r="L1245" i="9"/>
  <c r="N1245" i="9" s="1"/>
  <c r="K1245" i="9"/>
  <c r="N1244" i="9"/>
  <c r="M1244" i="9"/>
  <c r="L1244" i="9"/>
  <c r="K1244" i="9"/>
  <c r="N1243" i="9"/>
  <c r="M1243" i="9"/>
  <c r="L1243" i="9"/>
  <c r="K1243" i="9"/>
  <c r="N1242" i="9"/>
  <c r="M1242" i="9"/>
  <c r="L1242" i="9"/>
  <c r="K1242" i="9"/>
  <c r="N1241" i="9"/>
  <c r="M1241" i="9"/>
  <c r="L1241" i="9"/>
  <c r="K1241" i="9"/>
  <c r="M1240" i="9"/>
  <c r="L1240" i="9"/>
  <c r="N1240" i="9" s="1"/>
  <c r="K1240" i="9"/>
  <c r="M1239" i="9"/>
  <c r="L1239" i="9"/>
  <c r="N1239" i="9" s="1"/>
  <c r="K1239" i="9"/>
  <c r="N1238" i="9"/>
  <c r="M1238" i="9"/>
  <c r="L1238" i="9"/>
  <c r="K1238" i="9"/>
  <c r="N1237" i="9"/>
  <c r="M1237" i="9"/>
  <c r="L1237" i="9"/>
  <c r="K1237" i="9"/>
  <c r="N1236" i="9"/>
  <c r="M1236" i="9"/>
  <c r="L1236" i="9"/>
  <c r="K1236" i="9"/>
  <c r="M1235" i="9"/>
  <c r="L1235" i="9"/>
  <c r="N1235" i="9" s="1"/>
  <c r="K1235" i="9"/>
  <c r="M1234" i="9"/>
  <c r="L1234" i="9"/>
  <c r="N1234" i="9" s="1"/>
  <c r="K1234" i="9"/>
  <c r="M1233" i="9"/>
  <c r="L1233" i="9"/>
  <c r="N1233" i="9" s="1"/>
  <c r="K1233" i="9"/>
  <c r="M1232" i="9"/>
  <c r="L1232" i="9"/>
  <c r="N1232" i="9" s="1"/>
  <c r="K1232" i="9"/>
  <c r="M1231" i="9"/>
  <c r="L1231" i="9"/>
  <c r="N1231" i="9" s="1"/>
  <c r="K1231" i="9"/>
  <c r="N1230" i="9"/>
  <c r="M1230" i="9"/>
  <c r="L1230" i="9"/>
  <c r="K1230" i="9"/>
  <c r="N1229" i="9"/>
  <c r="M1229" i="9"/>
  <c r="L1229" i="9"/>
  <c r="K1229" i="9"/>
  <c r="N1228" i="9"/>
  <c r="M1228" i="9"/>
  <c r="L1228" i="9"/>
  <c r="K1228" i="9"/>
  <c r="N1227" i="9"/>
  <c r="M1227" i="9"/>
  <c r="L1227" i="9"/>
  <c r="K1227" i="9"/>
  <c r="M1226" i="9"/>
  <c r="L1226" i="9"/>
  <c r="N1226" i="9" s="1"/>
  <c r="K1226" i="9"/>
  <c r="M1225" i="9"/>
  <c r="L1225" i="9"/>
  <c r="N1225" i="9" s="1"/>
  <c r="K1225" i="9"/>
  <c r="N1224" i="9"/>
  <c r="M1224" i="9"/>
  <c r="L1224" i="9"/>
  <c r="K1224" i="9"/>
  <c r="N1223" i="9"/>
  <c r="M1223" i="9"/>
  <c r="L1223" i="9"/>
  <c r="K1223" i="9"/>
  <c r="N1222" i="9"/>
  <c r="M1222" i="9"/>
  <c r="L1222" i="9"/>
  <c r="K1222" i="9"/>
  <c r="N1221" i="9"/>
  <c r="M1221" i="9"/>
  <c r="L1221" i="9"/>
  <c r="K1221" i="9"/>
  <c r="M1220" i="9"/>
  <c r="L1220" i="9"/>
  <c r="N1220" i="9" s="1"/>
  <c r="K1220" i="9"/>
  <c r="M1219" i="9"/>
  <c r="L1219" i="9"/>
  <c r="N1219" i="9" s="1"/>
  <c r="K1219" i="9"/>
  <c r="M1218" i="9"/>
  <c r="L1218" i="9"/>
  <c r="N1218" i="9" s="1"/>
  <c r="K1218" i="9"/>
  <c r="N1217" i="9"/>
  <c r="M1217" i="9"/>
  <c r="L1217" i="9"/>
  <c r="K1217" i="9"/>
  <c r="N1216" i="9"/>
  <c r="M1216" i="9"/>
  <c r="L1216" i="9"/>
  <c r="K1216" i="9"/>
  <c r="M1215" i="9"/>
  <c r="L1215" i="9"/>
  <c r="N1215" i="9" s="1"/>
  <c r="K1215" i="9"/>
  <c r="M1214" i="9"/>
  <c r="L1214" i="9"/>
  <c r="N1214" i="9" s="1"/>
  <c r="K1214" i="9"/>
  <c r="N1213" i="9"/>
  <c r="M1213" i="9"/>
  <c r="L1213" i="9"/>
  <c r="K1213" i="9"/>
  <c r="M1212" i="9"/>
  <c r="L1212" i="9"/>
  <c r="N1212" i="9" s="1"/>
  <c r="K1212" i="9"/>
  <c r="M1211" i="9"/>
  <c r="L1211" i="9"/>
  <c r="N1211" i="9" s="1"/>
  <c r="K1211" i="9"/>
  <c r="N1210" i="9"/>
  <c r="M1210" i="9"/>
  <c r="L1210" i="9"/>
  <c r="K1210" i="9"/>
  <c r="N1209" i="9"/>
  <c r="M1209" i="9"/>
  <c r="L1209" i="9"/>
  <c r="K1209" i="9"/>
  <c r="M1208" i="9"/>
  <c r="L1208" i="9"/>
  <c r="N1208" i="9" s="1"/>
  <c r="K1208" i="9"/>
  <c r="M1207" i="9"/>
  <c r="L1207" i="9"/>
  <c r="N1207" i="9" s="1"/>
  <c r="K1207" i="9"/>
  <c r="M1206" i="9"/>
  <c r="L1206" i="9"/>
  <c r="N1206" i="9" s="1"/>
  <c r="K1206" i="9"/>
  <c r="M1205" i="9"/>
  <c r="L1205" i="9"/>
  <c r="N1205" i="9" s="1"/>
  <c r="K1205" i="9"/>
  <c r="M1204" i="9"/>
  <c r="L1204" i="9"/>
  <c r="N1204" i="9" s="1"/>
  <c r="K1204" i="9"/>
  <c r="M1203" i="9"/>
  <c r="L1203" i="9"/>
  <c r="N1203" i="9" s="1"/>
  <c r="K1203" i="9"/>
  <c r="N1202" i="9"/>
  <c r="M1202" i="9"/>
  <c r="L1202" i="9"/>
  <c r="K1202" i="9"/>
  <c r="N1201" i="9"/>
  <c r="M1201" i="9"/>
  <c r="L1201" i="9"/>
  <c r="K1201" i="9"/>
  <c r="N1200" i="9"/>
  <c r="M1200" i="9"/>
  <c r="L1200" i="9"/>
  <c r="K1200" i="9"/>
  <c r="N1199" i="9"/>
  <c r="M1199" i="9"/>
  <c r="L1199" i="9"/>
  <c r="K1199" i="9"/>
  <c r="M1198" i="9"/>
  <c r="L1198" i="9"/>
  <c r="N1198" i="9" s="1"/>
  <c r="K1198" i="9"/>
  <c r="M1197" i="9"/>
  <c r="L1197" i="9"/>
  <c r="N1197" i="9" s="1"/>
  <c r="K1197" i="9"/>
  <c r="M1196" i="9"/>
  <c r="L1196" i="9"/>
  <c r="N1196" i="9" s="1"/>
  <c r="K1196" i="9"/>
  <c r="N1195" i="9"/>
  <c r="M1195" i="9"/>
  <c r="L1195" i="9"/>
  <c r="K1195" i="9"/>
  <c r="N1194" i="9"/>
  <c r="M1194" i="9"/>
  <c r="L1194" i="9"/>
  <c r="K1194" i="9"/>
  <c r="M1193" i="9"/>
  <c r="L1193" i="9"/>
  <c r="N1193" i="9" s="1"/>
  <c r="K1193" i="9"/>
  <c r="N1192" i="9"/>
  <c r="M1192" i="9"/>
  <c r="L1192" i="9"/>
  <c r="K1192" i="9"/>
  <c r="M1191" i="9"/>
  <c r="L1191" i="9"/>
  <c r="N1191" i="9" s="1"/>
  <c r="K1191" i="9"/>
  <c r="N1190" i="9"/>
  <c r="M1190" i="9"/>
  <c r="L1190" i="9"/>
  <c r="K1190" i="9"/>
  <c r="N1189" i="9"/>
  <c r="M1189" i="9"/>
  <c r="L1189" i="9"/>
  <c r="K1189" i="9"/>
  <c r="N1188" i="9"/>
  <c r="M1188" i="9"/>
  <c r="L1188" i="9"/>
  <c r="K1188" i="9"/>
  <c r="M1187" i="9"/>
  <c r="L1187" i="9"/>
  <c r="N1187" i="9" s="1"/>
  <c r="K1187" i="9"/>
  <c r="M1186" i="9"/>
  <c r="L1186" i="9"/>
  <c r="N1186" i="9" s="1"/>
  <c r="K1186" i="9"/>
  <c r="M1185" i="9"/>
  <c r="L1185" i="9"/>
  <c r="N1185" i="9" s="1"/>
  <c r="K1185" i="9"/>
  <c r="M1184" i="9"/>
  <c r="L1184" i="9"/>
  <c r="N1184" i="9" s="1"/>
  <c r="K1184" i="9"/>
  <c r="M1183" i="9"/>
  <c r="L1183" i="9"/>
  <c r="N1183" i="9" s="1"/>
  <c r="K1183" i="9"/>
  <c r="M1182" i="9"/>
  <c r="L1182" i="9"/>
  <c r="N1182" i="9" s="1"/>
  <c r="K1182" i="9"/>
  <c r="N1181" i="9"/>
  <c r="M1181" i="9"/>
  <c r="L1181" i="9"/>
  <c r="K1181" i="9"/>
  <c r="M1180" i="9"/>
  <c r="L1180" i="9"/>
  <c r="N1180" i="9" s="1"/>
  <c r="K1180" i="9"/>
  <c r="M1179" i="9"/>
  <c r="L1179" i="9"/>
  <c r="N1179" i="9" s="1"/>
  <c r="K1179" i="9"/>
  <c r="M1178" i="9"/>
  <c r="L1178" i="9"/>
  <c r="N1178" i="9" s="1"/>
  <c r="K1178" i="9"/>
  <c r="M1177" i="9"/>
  <c r="L1177" i="9"/>
  <c r="N1177" i="9" s="1"/>
  <c r="K1177" i="9"/>
  <c r="M1176" i="9"/>
  <c r="L1176" i="9"/>
  <c r="N1176" i="9" s="1"/>
  <c r="K1176" i="9"/>
  <c r="M1175" i="9"/>
  <c r="L1175" i="9"/>
  <c r="N1175" i="9" s="1"/>
  <c r="K1175" i="9"/>
  <c r="N1174" i="9"/>
  <c r="M1174" i="9"/>
  <c r="L1174" i="9"/>
  <c r="K1174" i="9"/>
  <c r="N1173" i="9"/>
  <c r="M1173" i="9"/>
  <c r="L1173" i="9"/>
  <c r="K1173" i="9"/>
  <c r="N1172" i="9"/>
  <c r="M1172" i="9"/>
  <c r="L1172" i="9"/>
  <c r="K1172" i="9"/>
  <c r="N1171" i="9"/>
  <c r="M1171" i="9"/>
  <c r="L1171" i="9"/>
  <c r="K1171" i="9"/>
  <c r="M1170" i="9"/>
  <c r="L1170" i="9"/>
  <c r="N1170" i="9" s="1"/>
  <c r="K1170" i="9"/>
  <c r="M1169" i="9"/>
  <c r="L1169" i="9"/>
  <c r="N1169" i="9" s="1"/>
  <c r="K1169" i="9"/>
  <c r="M1168" i="9"/>
  <c r="L1168" i="9"/>
  <c r="N1168" i="9" s="1"/>
  <c r="K1168" i="9"/>
  <c r="N1167" i="9"/>
  <c r="M1167" i="9"/>
  <c r="L1167" i="9"/>
  <c r="K1167" i="9"/>
  <c r="M1166" i="9"/>
  <c r="L1166" i="9"/>
  <c r="N1166" i="9" s="1"/>
  <c r="K1166" i="9"/>
  <c r="N1165" i="9"/>
  <c r="M1165" i="9"/>
  <c r="L1165" i="9"/>
  <c r="K1165" i="9"/>
  <c r="M1164" i="9"/>
  <c r="L1164" i="9"/>
  <c r="N1164" i="9" s="1"/>
  <c r="K1164" i="9"/>
  <c r="M1163" i="9"/>
  <c r="L1163" i="9"/>
  <c r="N1163" i="9" s="1"/>
  <c r="K1163" i="9"/>
  <c r="N1162" i="9"/>
  <c r="M1162" i="9"/>
  <c r="L1162" i="9"/>
  <c r="K1162" i="9"/>
  <c r="N1161" i="9"/>
  <c r="M1161" i="9"/>
  <c r="L1161" i="9"/>
  <c r="K1161" i="9"/>
  <c r="N1160" i="9"/>
  <c r="M1160" i="9"/>
  <c r="L1160" i="9"/>
  <c r="K1160" i="9"/>
  <c r="N1159" i="9"/>
  <c r="M1159" i="9"/>
  <c r="L1159" i="9"/>
  <c r="K1159" i="9"/>
  <c r="M1158" i="9"/>
  <c r="L1158" i="9"/>
  <c r="N1158" i="9" s="1"/>
  <c r="K1158" i="9"/>
  <c r="M1157" i="9"/>
  <c r="L1157" i="9"/>
  <c r="N1157" i="9" s="1"/>
  <c r="K1157" i="9"/>
  <c r="M1156" i="9"/>
  <c r="L1156" i="9"/>
  <c r="N1156" i="9" s="1"/>
  <c r="K1156" i="9"/>
  <c r="M1155" i="9"/>
  <c r="L1155" i="9"/>
  <c r="N1155" i="9" s="1"/>
  <c r="K1155" i="9"/>
  <c r="N1154" i="9"/>
  <c r="M1154" i="9"/>
  <c r="L1154" i="9"/>
  <c r="K1154" i="9"/>
  <c r="N1153" i="9"/>
  <c r="M1153" i="9"/>
  <c r="L1153" i="9"/>
  <c r="K1153" i="9"/>
  <c r="N1152" i="9"/>
  <c r="M1152" i="9"/>
  <c r="L1152" i="9"/>
  <c r="K1152" i="9"/>
  <c r="M1151" i="9"/>
  <c r="L1151" i="9"/>
  <c r="N1151" i="9" s="1"/>
  <c r="K1151" i="9"/>
  <c r="M1150" i="9"/>
  <c r="L1150" i="9"/>
  <c r="N1150" i="9" s="1"/>
  <c r="K1150" i="9"/>
  <c r="M1149" i="9"/>
  <c r="L1149" i="9"/>
  <c r="N1149" i="9" s="1"/>
  <c r="K1149" i="9"/>
  <c r="N1148" i="9"/>
  <c r="M1148" i="9"/>
  <c r="L1148" i="9"/>
  <c r="K1148" i="9"/>
  <c r="M1147" i="9"/>
  <c r="L1147" i="9"/>
  <c r="N1147" i="9" s="1"/>
  <c r="K1147" i="9"/>
  <c r="N1146" i="9"/>
  <c r="M1146" i="9"/>
  <c r="L1146" i="9"/>
  <c r="K1146" i="9"/>
  <c r="M1145" i="9"/>
  <c r="L1145" i="9"/>
  <c r="N1145" i="9" s="1"/>
  <c r="K1145" i="9"/>
  <c r="N1144" i="9"/>
  <c r="M1144" i="9"/>
  <c r="L1144" i="9"/>
  <c r="K1144" i="9"/>
  <c r="N1143" i="9"/>
  <c r="M1143" i="9"/>
  <c r="L1143" i="9"/>
  <c r="K1143" i="9"/>
  <c r="M1142" i="9"/>
  <c r="L1142" i="9"/>
  <c r="N1142" i="9" s="1"/>
  <c r="K1142" i="9"/>
  <c r="N1141" i="9"/>
  <c r="M1141" i="9"/>
  <c r="L1141" i="9"/>
  <c r="K1141" i="9"/>
  <c r="M1140" i="9"/>
  <c r="L1140" i="9"/>
  <c r="N1140" i="9" s="1"/>
  <c r="K1140" i="9"/>
  <c r="N1139" i="9"/>
  <c r="M1139" i="9"/>
  <c r="L1139" i="9"/>
  <c r="K1139" i="9"/>
  <c r="M1138" i="9"/>
  <c r="L1138" i="9"/>
  <c r="N1138" i="9" s="1"/>
  <c r="K1138" i="9"/>
  <c r="M1137" i="9"/>
  <c r="L1137" i="9"/>
  <c r="N1137" i="9" s="1"/>
  <c r="K1137" i="9"/>
  <c r="N1136" i="9"/>
  <c r="M1136" i="9"/>
  <c r="L1136" i="9"/>
  <c r="K1136" i="9"/>
  <c r="M1135" i="9"/>
  <c r="L1135" i="9"/>
  <c r="N1135" i="9" s="1"/>
  <c r="K1135" i="9"/>
  <c r="M1134" i="9"/>
  <c r="L1134" i="9"/>
  <c r="N1134" i="9" s="1"/>
  <c r="K1134" i="9"/>
  <c r="N1133" i="9"/>
  <c r="M1133" i="9"/>
  <c r="L1133" i="9"/>
  <c r="K1133" i="9"/>
  <c r="N1132" i="9"/>
  <c r="M1132" i="9"/>
  <c r="L1132" i="9"/>
  <c r="K1132" i="9"/>
  <c r="N1131" i="9"/>
  <c r="M1131" i="9"/>
  <c r="L1131" i="9"/>
  <c r="K1131" i="9"/>
  <c r="N1130" i="9"/>
  <c r="M1130" i="9"/>
  <c r="L1130" i="9"/>
  <c r="K1130" i="9"/>
  <c r="M1129" i="9"/>
  <c r="L1129" i="9"/>
  <c r="N1129" i="9" s="1"/>
  <c r="K1129" i="9"/>
  <c r="M1128" i="9"/>
  <c r="L1128" i="9"/>
  <c r="N1128" i="9" s="1"/>
  <c r="K1128" i="9"/>
  <c r="M1127" i="9"/>
  <c r="L1127" i="9"/>
  <c r="N1127" i="9" s="1"/>
  <c r="K1127" i="9"/>
  <c r="M1126" i="9"/>
  <c r="L1126" i="9"/>
  <c r="N1126" i="9" s="1"/>
  <c r="K1126" i="9"/>
  <c r="N1125" i="9"/>
  <c r="M1125" i="9"/>
  <c r="L1125" i="9"/>
  <c r="K1125" i="9"/>
  <c r="M1124" i="9"/>
  <c r="L1124" i="9"/>
  <c r="N1124" i="9" s="1"/>
  <c r="K1124" i="9"/>
  <c r="N1123" i="9"/>
  <c r="M1123" i="9"/>
  <c r="L1123" i="9"/>
  <c r="K1123" i="9"/>
  <c r="M1122" i="9"/>
  <c r="L1122" i="9"/>
  <c r="N1122" i="9" s="1"/>
  <c r="K1122" i="9"/>
  <c r="M1121" i="9"/>
  <c r="L1121" i="9"/>
  <c r="N1121" i="9" s="1"/>
  <c r="K1121" i="9"/>
  <c r="N1120" i="9"/>
  <c r="M1120" i="9"/>
  <c r="L1120" i="9"/>
  <c r="K1120" i="9"/>
  <c r="N1119" i="9"/>
  <c r="M1119" i="9"/>
  <c r="L1119" i="9"/>
  <c r="K1119" i="9"/>
  <c r="N1118" i="9"/>
  <c r="M1118" i="9"/>
  <c r="L1118" i="9"/>
  <c r="K1118" i="9"/>
  <c r="M1117" i="9"/>
  <c r="L1117" i="9"/>
  <c r="N1117" i="9" s="1"/>
  <c r="K1117" i="9"/>
  <c r="M1116" i="9"/>
  <c r="L1116" i="9"/>
  <c r="N1116" i="9" s="1"/>
  <c r="K1116" i="9"/>
  <c r="N1115" i="9"/>
  <c r="M1115" i="9"/>
  <c r="L1115" i="9"/>
  <c r="K1115" i="9"/>
  <c r="M1114" i="9"/>
  <c r="L1114" i="9"/>
  <c r="N1114" i="9" s="1"/>
  <c r="K1114" i="9"/>
  <c r="M1113" i="9"/>
  <c r="L1113" i="9"/>
  <c r="N1113" i="9" s="1"/>
  <c r="K1113" i="9"/>
  <c r="N1112" i="9"/>
  <c r="M1112" i="9"/>
  <c r="L1112" i="9"/>
  <c r="K1112" i="9"/>
  <c r="N1111" i="9"/>
  <c r="M1111" i="9"/>
  <c r="L1111" i="9"/>
  <c r="K1111" i="9"/>
  <c r="M1110" i="9"/>
  <c r="L1110" i="9"/>
  <c r="N1110" i="9" s="1"/>
  <c r="K1110" i="9"/>
  <c r="M1109" i="9"/>
  <c r="L1109" i="9"/>
  <c r="N1109" i="9" s="1"/>
  <c r="K1109" i="9"/>
  <c r="M1108" i="9"/>
  <c r="L1108" i="9"/>
  <c r="N1108" i="9" s="1"/>
  <c r="K1108" i="9"/>
  <c r="M1107" i="9"/>
  <c r="L1107" i="9"/>
  <c r="N1107" i="9" s="1"/>
  <c r="K1107" i="9"/>
  <c r="M1106" i="9"/>
  <c r="L1106" i="9"/>
  <c r="N1106" i="9" s="1"/>
  <c r="K1106" i="9"/>
  <c r="M1105" i="9"/>
  <c r="L1105" i="9"/>
  <c r="N1105" i="9" s="1"/>
  <c r="K1105" i="9"/>
  <c r="N1104" i="9"/>
  <c r="M1104" i="9"/>
  <c r="L1104" i="9"/>
  <c r="K1104" i="9"/>
  <c r="N1103" i="9"/>
  <c r="M1103" i="9"/>
  <c r="L1103" i="9"/>
  <c r="K1103" i="9"/>
  <c r="N1102" i="9"/>
  <c r="M1102" i="9"/>
  <c r="L1102" i="9"/>
  <c r="K1102" i="9"/>
  <c r="N1101" i="9"/>
  <c r="M1101" i="9"/>
  <c r="L1101" i="9"/>
  <c r="K1101" i="9"/>
  <c r="M1100" i="9"/>
  <c r="L1100" i="9"/>
  <c r="N1100" i="9" s="1"/>
  <c r="K1100" i="9"/>
  <c r="M1099" i="9"/>
  <c r="L1099" i="9"/>
  <c r="N1099" i="9" s="1"/>
  <c r="K1099" i="9"/>
  <c r="M1098" i="9"/>
  <c r="L1098" i="9"/>
  <c r="N1098" i="9" s="1"/>
  <c r="K1098" i="9"/>
  <c r="N1097" i="9"/>
  <c r="M1097" i="9"/>
  <c r="L1097" i="9"/>
  <c r="K1097" i="9"/>
  <c r="N1096" i="9"/>
  <c r="M1096" i="9"/>
  <c r="L1096" i="9"/>
  <c r="K1096" i="9"/>
  <c r="M1095" i="9"/>
  <c r="L1095" i="9"/>
  <c r="N1095" i="9" s="1"/>
  <c r="K1095" i="9"/>
  <c r="N1094" i="9"/>
  <c r="M1094" i="9"/>
  <c r="L1094" i="9"/>
  <c r="K1094" i="9"/>
  <c r="M1093" i="9"/>
  <c r="L1093" i="9"/>
  <c r="N1093" i="9" s="1"/>
  <c r="K1093" i="9"/>
  <c r="N1092" i="9"/>
  <c r="M1092" i="9"/>
  <c r="L1092" i="9"/>
  <c r="K1092" i="9"/>
  <c r="N1091" i="9"/>
  <c r="M1091" i="9"/>
  <c r="L1091" i="9"/>
  <c r="K1091" i="9"/>
  <c r="N1090" i="9"/>
  <c r="M1090" i="9"/>
  <c r="L1090" i="9"/>
  <c r="K1090" i="9"/>
  <c r="M1089" i="9"/>
  <c r="L1089" i="9"/>
  <c r="N1089" i="9" s="1"/>
  <c r="K1089" i="9"/>
  <c r="M1088" i="9"/>
  <c r="L1088" i="9"/>
  <c r="N1088" i="9" s="1"/>
  <c r="K1088" i="9"/>
  <c r="M1087" i="9"/>
  <c r="L1087" i="9"/>
  <c r="N1087" i="9" s="1"/>
  <c r="K1087" i="9"/>
  <c r="M1086" i="9"/>
  <c r="L1086" i="9"/>
  <c r="N1086" i="9" s="1"/>
  <c r="K1086" i="9"/>
  <c r="N1085" i="9"/>
  <c r="M1085" i="9"/>
  <c r="L1085" i="9"/>
  <c r="K1085" i="9"/>
  <c r="M1084" i="9"/>
  <c r="L1084" i="9"/>
  <c r="N1084" i="9" s="1"/>
  <c r="K1084" i="9"/>
  <c r="N1083" i="9"/>
  <c r="M1083" i="9"/>
  <c r="L1083" i="9"/>
  <c r="K1083" i="9"/>
  <c r="M1082" i="9"/>
  <c r="L1082" i="9"/>
  <c r="N1082" i="9" s="1"/>
  <c r="K1082" i="9"/>
  <c r="M1081" i="9"/>
  <c r="L1081" i="9"/>
  <c r="N1081" i="9" s="1"/>
  <c r="K1081" i="9"/>
  <c r="M1080" i="9"/>
  <c r="L1080" i="9"/>
  <c r="N1080" i="9" s="1"/>
  <c r="K1080" i="9"/>
  <c r="M1079" i="9"/>
  <c r="L1079" i="9"/>
  <c r="N1079" i="9" s="1"/>
  <c r="K1079" i="9"/>
  <c r="M1078" i="9"/>
  <c r="L1078" i="9"/>
  <c r="N1078" i="9" s="1"/>
  <c r="K1078" i="9"/>
  <c r="M1077" i="9"/>
  <c r="L1077" i="9"/>
  <c r="N1077" i="9" s="1"/>
  <c r="K1077" i="9"/>
  <c r="N1076" i="9"/>
  <c r="M1076" i="9"/>
  <c r="L1076" i="9"/>
  <c r="K1076" i="9"/>
  <c r="N1075" i="9"/>
  <c r="M1075" i="9"/>
  <c r="L1075" i="9"/>
  <c r="K1075" i="9"/>
  <c r="N1074" i="9"/>
  <c r="M1074" i="9"/>
  <c r="L1074" i="9"/>
  <c r="K1074" i="9"/>
  <c r="N1073" i="9"/>
  <c r="M1073" i="9"/>
  <c r="L1073" i="9"/>
  <c r="K1073" i="9"/>
  <c r="M1072" i="9"/>
  <c r="L1072" i="9"/>
  <c r="N1072" i="9" s="1"/>
  <c r="K1072" i="9"/>
  <c r="M1071" i="9"/>
  <c r="L1071" i="9"/>
  <c r="N1071" i="9" s="1"/>
  <c r="K1071" i="9"/>
  <c r="M1070" i="9"/>
  <c r="L1070" i="9"/>
  <c r="N1070" i="9" s="1"/>
  <c r="K1070" i="9"/>
  <c r="N1069" i="9"/>
  <c r="M1069" i="9"/>
  <c r="L1069" i="9"/>
  <c r="K1069" i="9"/>
  <c r="M1068" i="9"/>
  <c r="L1068" i="9"/>
  <c r="N1068" i="9" s="1"/>
  <c r="K1068" i="9"/>
  <c r="N1067" i="9"/>
  <c r="M1067" i="9"/>
  <c r="L1067" i="9"/>
  <c r="K1067" i="9"/>
  <c r="M1066" i="9"/>
  <c r="L1066" i="9"/>
  <c r="N1066" i="9" s="1"/>
  <c r="K1066" i="9"/>
  <c r="M1065" i="9"/>
  <c r="L1065" i="9"/>
  <c r="N1065" i="9" s="1"/>
  <c r="K1065" i="9"/>
  <c r="N1064" i="9"/>
  <c r="M1064" i="9"/>
  <c r="L1064" i="9"/>
  <c r="K1064" i="9"/>
  <c r="N1063" i="9"/>
  <c r="M1063" i="9"/>
  <c r="L1063" i="9"/>
  <c r="K1063" i="9"/>
  <c r="N1062" i="9"/>
  <c r="M1062" i="9"/>
  <c r="L1062" i="9"/>
  <c r="K1062" i="9"/>
  <c r="N1061" i="9"/>
  <c r="M1061" i="9"/>
  <c r="L1061" i="9"/>
  <c r="K1061" i="9"/>
  <c r="M1060" i="9"/>
  <c r="L1060" i="9"/>
  <c r="N1060" i="9" s="1"/>
  <c r="K1060" i="9"/>
  <c r="M1059" i="9"/>
  <c r="L1059" i="9"/>
  <c r="N1059" i="9" s="1"/>
  <c r="K1059" i="9"/>
  <c r="M1058" i="9"/>
  <c r="L1058" i="9"/>
  <c r="N1058" i="9" s="1"/>
  <c r="K1058" i="9"/>
  <c r="M1057" i="9"/>
  <c r="L1057" i="9"/>
  <c r="N1057" i="9" s="1"/>
  <c r="K1057" i="9"/>
  <c r="N1056" i="9"/>
  <c r="M1056" i="9"/>
  <c r="L1056" i="9"/>
  <c r="K1056" i="9"/>
  <c r="N1055" i="9"/>
  <c r="M1055" i="9"/>
  <c r="L1055" i="9"/>
  <c r="K1055" i="9"/>
  <c r="N1054" i="9"/>
  <c r="M1054" i="9"/>
  <c r="L1054" i="9"/>
  <c r="K1054" i="9"/>
  <c r="M1053" i="9"/>
  <c r="L1053" i="9"/>
  <c r="N1053" i="9" s="1"/>
  <c r="K1053" i="9"/>
  <c r="M1052" i="9"/>
  <c r="L1052" i="9"/>
  <c r="N1052" i="9" s="1"/>
  <c r="K1052" i="9"/>
  <c r="M1051" i="9"/>
  <c r="L1051" i="9"/>
  <c r="N1051" i="9" s="1"/>
  <c r="K1051" i="9"/>
  <c r="N1050" i="9"/>
  <c r="M1050" i="9"/>
  <c r="L1050" i="9"/>
  <c r="K1050" i="9"/>
  <c r="M1049" i="9"/>
  <c r="L1049" i="9"/>
  <c r="N1049" i="9" s="1"/>
  <c r="K1049" i="9"/>
  <c r="N1048" i="9"/>
  <c r="M1048" i="9"/>
  <c r="L1048" i="9"/>
  <c r="K1048" i="9"/>
  <c r="M1047" i="9"/>
  <c r="L1047" i="9"/>
  <c r="N1047" i="9" s="1"/>
  <c r="K1047" i="9"/>
  <c r="N1046" i="9"/>
  <c r="M1046" i="9"/>
  <c r="L1046" i="9"/>
  <c r="K1046" i="9"/>
  <c r="N1045" i="9"/>
  <c r="M1045" i="9"/>
  <c r="L1045" i="9"/>
  <c r="K1045" i="9"/>
  <c r="M1044" i="9"/>
  <c r="L1044" i="9"/>
  <c r="N1044" i="9" s="1"/>
  <c r="K1044" i="9"/>
  <c r="N1043" i="9"/>
  <c r="M1043" i="9"/>
  <c r="L1043" i="9"/>
  <c r="K1043" i="9"/>
  <c r="M1042" i="9"/>
  <c r="L1042" i="9"/>
  <c r="N1042" i="9" s="1"/>
  <c r="K1042" i="9"/>
  <c r="N1041" i="9"/>
  <c r="M1041" i="9"/>
  <c r="L1041" i="9"/>
  <c r="K1041" i="9"/>
  <c r="M1040" i="9"/>
  <c r="L1040" i="9"/>
  <c r="N1040" i="9" s="1"/>
  <c r="K1040" i="9"/>
  <c r="M1039" i="9"/>
  <c r="L1039" i="9"/>
  <c r="N1039" i="9" s="1"/>
  <c r="K1039" i="9"/>
  <c r="N1038" i="9"/>
  <c r="M1038" i="9"/>
  <c r="L1038" i="9"/>
  <c r="K1038" i="9"/>
  <c r="M1037" i="9"/>
  <c r="L1037" i="9"/>
  <c r="N1037" i="9" s="1"/>
  <c r="K1037" i="9"/>
  <c r="M1036" i="9"/>
  <c r="L1036" i="9"/>
  <c r="N1036" i="9" s="1"/>
  <c r="K1036" i="9"/>
  <c r="N1035" i="9"/>
  <c r="M1035" i="9"/>
  <c r="L1035" i="9"/>
  <c r="K1035" i="9"/>
  <c r="N1034" i="9"/>
  <c r="M1034" i="9"/>
  <c r="L1034" i="9"/>
  <c r="K1034" i="9"/>
  <c r="N1033" i="9"/>
  <c r="M1033" i="9"/>
  <c r="L1033" i="9"/>
  <c r="K1033" i="9"/>
  <c r="N1032" i="9"/>
  <c r="M1032" i="9"/>
  <c r="L1032" i="9"/>
  <c r="K1032" i="9"/>
  <c r="M1031" i="9"/>
  <c r="L1031" i="9"/>
  <c r="N1031" i="9" s="1"/>
  <c r="K1031" i="9"/>
  <c r="M1030" i="9"/>
  <c r="L1030" i="9"/>
  <c r="N1030" i="9" s="1"/>
  <c r="K1030" i="9"/>
  <c r="M1029" i="9"/>
  <c r="L1029" i="9"/>
  <c r="N1029" i="9" s="1"/>
  <c r="K1029" i="9"/>
  <c r="M1028" i="9"/>
  <c r="L1028" i="9"/>
  <c r="N1028" i="9" s="1"/>
  <c r="K1028" i="9"/>
  <c r="N1027" i="9"/>
  <c r="M1027" i="9"/>
  <c r="L1027" i="9"/>
  <c r="K1027" i="9"/>
  <c r="N1026" i="9"/>
  <c r="M1026" i="9"/>
  <c r="L1026" i="9"/>
  <c r="K1026" i="9"/>
  <c r="N1025" i="9"/>
  <c r="M1025" i="9"/>
  <c r="L1025" i="9"/>
  <c r="K1025" i="9"/>
  <c r="M1024" i="9"/>
  <c r="L1024" i="9"/>
  <c r="N1024" i="9" s="1"/>
  <c r="K1024" i="9"/>
  <c r="M1023" i="9"/>
  <c r="L1023" i="9"/>
  <c r="N1023" i="9" s="1"/>
  <c r="K1023" i="9"/>
  <c r="N1022" i="9"/>
  <c r="M1022" i="9"/>
  <c r="L1022" i="9"/>
  <c r="K1022" i="9"/>
  <c r="N1021" i="9"/>
  <c r="M1021" i="9"/>
  <c r="L1021" i="9"/>
  <c r="K1021" i="9"/>
  <c r="N1020" i="9"/>
  <c r="M1020" i="9"/>
  <c r="L1020" i="9"/>
  <c r="K1020" i="9"/>
  <c r="M1019" i="9"/>
  <c r="L1019" i="9"/>
  <c r="N1019" i="9" s="1"/>
  <c r="K1019" i="9"/>
  <c r="M1018" i="9"/>
  <c r="L1018" i="9"/>
  <c r="N1018" i="9" s="1"/>
  <c r="K1018" i="9"/>
  <c r="N1017" i="9"/>
  <c r="M1017" i="9"/>
  <c r="L1017" i="9"/>
  <c r="K1017" i="9"/>
  <c r="M1016" i="9"/>
  <c r="L1016" i="9"/>
  <c r="N1016" i="9" s="1"/>
  <c r="K1016" i="9"/>
  <c r="M1015" i="9"/>
  <c r="L1015" i="9"/>
  <c r="N1015" i="9" s="1"/>
  <c r="K1015" i="9"/>
  <c r="N1014" i="9"/>
  <c r="M1014" i="9"/>
  <c r="L1014" i="9"/>
  <c r="K1014" i="9"/>
  <c r="N1013" i="9"/>
  <c r="M1013" i="9"/>
  <c r="L1013" i="9"/>
  <c r="K1013" i="9"/>
  <c r="M1012" i="9"/>
  <c r="L1012" i="9"/>
  <c r="N1012" i="9" s="1"/>
  <c r="K1012" i="9"/>
  <c r="M1011" i="9"/>
  <c r="L1011" i="9"/>
  <c r="N1011" i="9" s="1"/>
  <c r="K1011" i="9"/>
  <c r="M1010" i="9"/>
  <c r="L1010" i="9"/>
  <c r="N1010" i="9" s="1"/>
  <c r="K1010" i="9"/>
  <c r="M1009" i="9"/>
  <c r="L1009" i="9"/>
  <c r="N1009" i="9" s="1"/>
  <c r="K1009" i="9"/>
  <c r="M1008" i="9"/>
  <c r="L1008" i="9"/>
  <c r="N1008" i="9" s="1"/>
  <c r="K1008" i="9"/>
  <c r="M1007" i="9"/>
  <c r="L1007" i="9"/>
  <c r="N1007" i="9" s="1"/>
  <c r="K1007" i="9"/>
  <c r="N1006" i="9"/>
  <c r="M1006" i="9"/>
  <c r="L1006" i="9"/>
  <c r="K1006" i="9"/>
  <c r="N1005" i="9"/>
  <c r="M1005" i="9"/>
  <c r="L1005" i="9"/>
  <c r="K1005" i="9"/>
  <c r="N1004" i="9"/>
  <c r="M1004" i="9"/>
  <c r="L1004" i="9"/>
  <c r="K1004" i="9"/>
  <c r="N1003" i="9"/>
  <c r="M1003" i="9"/>
  <c r="L1003" i="9"/>
  <c r="K1003" i="9"/>
  <c r="M1002" i="9"/>
  <c r="L1002" i="9"/>
  <c r="N1002" i="9" s="1"/>
  <c r="K1002" i="9"/>
  <c r="M1001" i="9"/>
  <c r="L1001" i="9"/>
  <c r="N1001" i="9" s="1"/>
  <c r="K1001" i="9"/>
  <c r="M1000" i="9"/>
  <c r="L1000" i="9"/>
  <c r="N1000" i="9" s="1"/>
  <c r="K1000" i="9"/>
  <c r="N999" i="9"/>
  <c r="M999" i="9"/>
  <c r="L999" i="9"/>
  <c r="K999" i="9"/>
  <c r="N998" i="9"/>
  <c r="M998" i="9"/>
  <c r="L998" i="9"/>
  <c r="K998" i="9"/>
  <c r="M997" i="9"/>
  <c r="L997" i="9"/>
  <c r="N997" i="9" s="1"/>
  <c r="K997" i="9"/>
  <c r="N996" i="9"/>
  <c r="M996" i="9"/>
  <c r="L996" i="9"/>
  <c r="K996" i="9"/>
  <c r="M995" i="9"/>
  <c r="L995" i="9"/>
  <c r="N995" i="9" s="1"/>
  <c r="K995" i="9"/>
  <c r="N994" i="9"/>
  <c r="M994" i="9"/>
  <c r="L994" i="9"/>
  <c r="K994" i="9"/>
  <c r="N993" i="9"/>
  <c r="M993" i="9"/>
  <c r="L993" i="9"/>
  <c r="K993" i="9"/>
  <c r="N992" i="9"/>
  <c r="M992" i="9"/>
  <c r="L992" i="9"/>
  <c r="K992" i="9"/>
  <c r="N991" i="9"/>
  <c r="M991" i="9"/>
  <c r="L991" i="9"/>
  <c r="K991" i="9"/>
  <c r="M990" i="9"/>
  <c r="L990" i="9"/>
  <c r="N990" i="9" s="1"/>
  <c r="K990" i="9"/>
  <c r="M989" i="9"/>
  <c r="L989" i="9"/>
  <c r="N989" i="9" s="1"/>
  <c r="K989" i="9"/>
  <c r="M988" i="9"/>
  <c r="L988" i="9"/>
  <c r="N988" i="9" s="1"/>
  <c r="K988" i="9"/>
  <c r="N987" i="9"/>
  <c r="M987" i="9"/>
  <c r="L987" i="9"/>
  <c r="K987" i="9"/>
  <c r="M986" i="9"/>
  <c r="L986" i="9"/>
  <c r="N986" i="9" s="1"/>
  <c r="K986" i="9"/>
  <c r="N985" i="9"/>
  <c r="M985" i="9"/>
  <c r="L985" i="9"/>
  <c r="K985" i="9"/>
  <c r="M984" i="9"/>
  <c r="L984" i="9"/>
  <c r="N984" i="9" s="1"/>
  <c r="K984" i="9"/>
  <c r="M983" i="9"/>
  <c r="L983" i="9"/>
  <c r="N983" i="9" s="1"/>
  <c r="K983" i="9"/>
  <c r="M982" i="9"/>
  <c r="L982" i="9"/>
  <c r="N982" i="9" s="1"/>
  <c r="K982" i="9"/>
  <c r="M981" i="9"/>
  <c r="L981" i="9"/>
  <c r="N981" i="9" s="1"/>
  <c r="K981" i="9"/>
  <c r="M980" i="9"/>
  <c r="L980" i="9"/>
  <c r="N980" i="9" s="1"/>
  <c r="K980" i="9"/>
  <c r="M979" i="9"/>
  <c r="L979" i="9"/>
  <c r="N979" i="9" s="1"/>
  <c r="K979" i="9"/>
  <c r="N978" i="9"/>
  <c r="M978" i="9"/>
  <c r="L978" i="9"/>
  <c r="K978" i="9"/>
  <c r="N977" i="9"/>
  <c r="M977" i="9"/>
  <c r="L977" i="9"/>
  <c r="K977" i="9"/>
  <c r="N976" i="9"/>
  <c r="M976" i="9"/>
  <c r="L976" i="9"/>
  <c r="K976" i="9"/>
  <c r="N975" i="9"/>
  <c r="M975" i="9"/>
  <c r="L975" i="9"/>
  <c r="K975" i="9"/>
  <c r="M974" i="9"/>
  <c r="L974" i="9"/>
  <c r="N974" i="9" s="1"/>
  <c r="K974" i="9"/>
  <c r="M973" i="9"/>
  <c r="L973" i="9"/>
  <c r="N973" i="9" s="1"/>
  <c r="K973" i="9"/>
  <c r="M972" i="9"/>
  <c r="L972" i="9"/>
  <c r="N972" i="9" s="1"/>
  <c r="K972" i="9"/>
  <c r="N971" i="9"/>
  <c r="M971" i="9"/>
  <c r="L971" i="9"/>
  <c r="K971" i="9"/>
  <c r="M970" i="9"/>
  <c r="L970" i="9"/>
  <c r="N970" i="9" s="1"/>
  <c r="K970" i="9"/>
  <c r="N969" i="9"/>
  <c r="M969" i="9"/>
  <c r="L969" i="9"/>
  <c r="K969" i="9"/>
  <c r="M968" i="9"/>
  <c r="L968" i="9"/>
  <c r="N968" i="9" s="1"/>
  <c r="K968" i="9"/>
  <c r="M967" i="9"/>
  <c r="L967" i="9"/>
  <c r="N967" i="9" s="1"/>
  <c r="K967" i="9"/>
  <c r="N966" i="9"/>
  <c r="M966" i="9"/>
  <c r="L966" i="9"/>
  <c r="K966" i="9"/>
  <c r="N965" i="9"/>
  <c r="M965" i="9"/>
  <c r="L965" i="9"/>
  <c r="K965" i="9"/>
  <c r="N964" i="9"/>
  <c r="M964" i="9"/>
  <c r="L964" i="9"/>
  <c r="K964" i="9"/>
  <c r="N963" i="9"/>
  <c r="M963" i="9"/>
  <c r="L963" i="9"/>
  <c r="K963" i="9"/>
  <c r="M962" i="9"/>
  <c r="L962" i="9"/>
  <c r="N962" i="9" s="1"/>
  <c r="K962" i="9"/>
  <c r="M961" i="9"/>
  <c r="L961" i="9"/>
  <c r="N961" i="9" s="1"/>
  <c r="K961" i="9"/>
  <c r="M960" i="9"/>
  <c r="L960" i="9"/>
  <c r="N960" i="9" s="1"/>
  <c r="K960" i="9"/>
  <c r="M959" i="9"/>
  <c r="L959" i="9"/>
  <c r="N959" i="9" s="1"/>
  <c r="K959" i="9"/>
  <c r="N958" i="9"/>
  <c r="M958" i="9"/>
  <c r="L958" i="9"/>
  <c r="K958" i="9"/>
  <c r="N957" i="9"/>
  <c r="M957" i="9"/>
  <c r="L957" i="9"/>
  <c r="K957" i="9"/>
  <c r="N956" i="9"/>
  <c r="M956" i="9"/>
  <c r="L956" i="9"/>
  <c r="K956" i="9"/>
  <c r="M955" i="9"/>
  <c r="L955" i="9"/>
  <c r="N955" i="9" s="1"/>
  <c r="K955" i="9"/>
  <c r="M954" i="9"/>
  <c r="L954" i="9"/>
  <c r="N954" i="9" s="1"/>
  <c r="K954" i="9"/>
  <c r="M953" i="9"/>
  <c r="L953" i="9"/>
  <c r="N953" i="9" s="1"/>
  <c r="K953" i="9"/>
  <c r="N952" i="9"/>
  <c r="M952" i="9"/>
  <c r="L952" i="9"/>
  <c r="K952" i="9"/>
  <c r="M951" i="9"/>
  <c r="L951" i="9"/>
  <c r="N951" i="9" s="1"/>
  <c r="K951" i="9"/>
  <c r="N950" i="9"/>
  <c r="M950" i="9"/>
  <c r="L950" i="9"/>
  <c r="K950" i="9"/>
  <c r="M949" i="9"/>
  <c r="L949" i="9"/>
  <c r="N949" i="9" s="1"/>
  <c r="K949" i="9"/>
  <c r="N948" i="9"/>
  <c r="M948" i="9"/>
  <c r="L948" i="9"/>
  <c r="K948" i="9"/>
  <c r="N947" i="9"/>
  <c r="M947" i="9"/>
  <c r="L947" i="9"/>
  <c r="K947" i="9"/>
  <c r="M946" i="9"/>
  <c r="L946" i="9"/>
  <c r="N946" i="9" s="1"/>
  <c r="K946" i="9"/>
  <c r="N945" i="9"/>
  <c r="M945" i="9"/>
  <c r="L945" i="9"/>
  <c r="K945" i="9"/>
  <c r="M944" i="9"/>
  <c r="L944" i="9"/>
  <c r="N944" i="9" s="1"/>
  <c r="K944" i="9"/>
  <c r="N943" i="9"/>
  <c r="M943" i="9"/>
  <c r="L943" i="9"/>
  <c r="K943" i="9"/>
  <c r="M942" i="9"/>
  <c r="L942" i="9"/>
  <c r="N942" i="9" s="1"/>
  <c r="K942" i="9"/>
  <c r="M941" i="9"/>
  <c r="L941" i="9"/>
  <c r="N941" i="9" s="1"/>
  <c r="K941" i="9"/>
  <c r="N940" i="9"/>
  <c r="M940" i="9"/>
  <c r="L940" i="9"/>
  <c r="K940" i="9"/>
  <c r="M939" i="9"/>
  <c r="L939" i="9"/>
  <c r="N939" i="9" s="1"/>
  <c r="K939" i="9"/>
  <c r="M938" i="9"/>
  <c r="L938" i="9"/>
  <c r="N938" i="9" s="1"/>
  <c r="K938" i="9"/>
  <c r="N937" i="9"/>
  <c r="M937" i="9"/>
  <c r="L937" i="9"/>
  <c r="K937" i="9"/>
  <c r="N936" i="9"/>
  <c r="M936" i="9"/>
  <c r="L936" i="9"/>
  <c r="K936" i="9"/>
  <c r="N935" i="9"/>
  <c r="M935" i="9"/>
  <c r="L935" i="9"/>
  <c r="K935" i="9"/>
  <c r="N934" i="9"/>
  <c r="M934" i="9"/>
  <c r="L934" i="9"/>
  <c r="K934" i="9"/>
  <c r="M933" i="9"/>
  <c r="L933" i="9"/>
  <c r="N933" i="9" s="1"/>
  <c r="K933" i="9"/>
  <c r="M932" i="9"/>
  <c r="L932" i="9"/>
  <c r="N932" i="9" s="1"/>
  <c r="K932" i="9"/>
  <c r="M931" i="9"/>
  <c r="L931" i="9"/>
  <c r="N931" i="9" s="1"/>
  <c r="K931" i="9"/>
  <c r="M930" i="9"/>
  <c r="L930" i="9"/>
  <c r="N930" i="9" s="1"/>
  <c r="K930" i="9"/>
  <c r="N929" i="9"/>
  <c r="M929" i="9"/>
  <c r="L929" i="9"/>
  <c r="K929" i="9"/>
  <c r="M928" i="9"/>
  <c r="L928" i="9"/>
  <c r="N928" i="9" s="1"/>
  <c r="K928" i="9"/>
  <c r="N927" i="9"/>
  <c r="M927" i="9"/>
  <c r="L927" i="9"/>
  <c r="K927" i="9"/>
  <c r="M926" i="9"/>
  <c r="L926" i="9"/>
  <c r="N926" i="9" s="1"/>
  <c r="K926" i="9"/>
  <c r="M925" i="9"/>
  <c r="L925" i="9"/>
  <c r="N925" i="9" s="1"/>
  <c r="K925" i="9"/>
  <c r="N924" i="9"/>
  <c r="M924" i="9"/>
  <c r="L924" i="9"/>
  <c r="K924" i="9"/>
  <c r="N923" i="9"/>
  <c r="M923" i="9"/>
  <c r="L923" i="9"/>
  <c r="K923" i="9"/>
  <c r="N922" i="9"/>
  <c r="M922" i="9"/>
  <c r="L922" i="9"/>
  <c r="K922" i="9"/>
  <c r="M921" i="9"/>
  <c r="L921" i="9"/>
  <c r="N921" i="9" s="1"/>
  <c r="K921" i="9"/>
  <c r="M920" i="9"/>
  <c r="L920" i="9"/>
  <c r="N920" i="9" s="1"/>
  <c r="K920" i="9"/>
  <c r="N919" i="9"/>
  <c r="M919" i="9"/>
  <c r="L919" i="9"/>
  <c r="K919" i="9"/>
  <c r="M918" i="9"/>
  <c r="L918" i="9"/>
  <c r="N918" i="9" s="1"/>
  <c r="K918" i="9"/>
  <c r="M917" i="9"/>
  <c r="L917" i="9"/>
  <c r="N917" i="9" s="1"/>
  <c r="K917" i="9"/>
  <c r="N916" i="9"/>
  <c r="M916" i="9"/>
  <c r="L916" i="9"/>
  <c r="K916" i="9"/>
  <c r="N915" i="9"/>
  <c r="M915" i="9"/>
  <c r="L915" i="9"/>
  <c r="K915" i="9"/>
  <c r="M914" i="9"/>
  <c r="L914" i="9"/>
  <c r="N914" i="9" s="1"/>
  <c r="K914" i="9"/>
  <c r="M913" i="9"/>
  <c r="L913" i="9"/>
  <c r="N913" i="9" s="1"/>
  <c r="K913" i="9"/>
  <c r="M912" i="9"/>
  <c r="L912" i="9"/>
  <c r="N912" i="9" s="1"/>
  <c r="K912" i="9"/>
  <c r="M911" i="9"/>
  <c r="L911" i="9"/>
  <c r="N911" i="9" s="1"/>
  <c r="K911" i="9"/>
  <c r="M910" i="9"/>
  <c r="L910" i="9"/>
  <c r="N910" i="9" s="1"/>
  <c r="K910" i="9"/>
  <c r="M909" i="9"/>
  <c r="L909" i="9"/>
  <c r="N909" i="9" s="1"/>
  <c r="K909" i="9"/>
  <c r="N908" i="9"/>
  <c r="M908" i="9"/>
  <c r="L908" i="9"/>
  <c r="K908" i="9"/>
  <c r="N907" i="9"/>
  <c r="M907" i="9"/>
  <c r="L907" i="9"/>
  <c r="K907" i="9"/>
  <c r="N906" i="9"/>
  <c r="M906" i="9"/>
  <c r="L906" i="9"/>
  <c r="K906" i="9"/>
  <c r="N905" i="9"/>
  <c r="M905" i="9"/>
  <c r="L905" i="9"/>
  <c r="K905" i="9"/>
  <c r="M904" i="9"/>
  <c r="L904" i="9"/>
  <c r="N904" i="9" s="1"/>
  <c r="K904" i="9"/>
  <c r="M903" i="9"/>
  <c r="L903" i="9"/>
  <c r="N903" i="9" s="1"/>
  <c r="K903" i="9"/>
  <c r="M902" i="9"/>
  <c r="L902" i="9"/>
  <c r="N902" i="9" s="1"/>
  <c r="K902" i="9"/>
  <c r="N901" i="9"/>
  <c r="M901" i="9"/>
  <c r="L901" i="9"/>
  <c r="K901" i="9"/>
  <c r="N900" i="9"/>
  <c r="M900" i="9"/>
  <c r="L900" i="9"/>
  <c r="K900" i="9"/>
  <c r="M899" i="9"/>
  <c r="L899" i="9"/>
  <c r="N899" i="9" s="1"/>
  <c r="K899" i="9"/>
  <c r="N898" i="9"/>
  <c r="M898" i="9"/>
  <c r="L898" i="9"/>
  <c r="K898" i="9"/>
  <c r="M897" i="9"/>
  <c r="L897" i="9"/>
  <c r="N897" i="9" s="1"/>
  <c r="K897" i="9"/>
  <c r="N896" i="9"/>
  <c r="M896" i="9"/>
  <c r="L896" i="9"/>
  <c r="K896" i="9"/>
  <c r="N895" i="9"/>
  <c r="M895" i="9"/>
  <c r="L895" i="9"/>
  <c r="K895" i="9"/>
  <c r="N894" i="9"/>
  <c r="M894" i="9"/>
  <c r="L894" i="9"/>
  <c r="K894" i="9"/>
  <c r="M893" i="9"/>
  <c r="L893" i="9"/>
  <c r="N893" i="9" s="1"/>
  <c r="K893" i="9"/>
  <c r="M892" i="9"/>
  <c r="L892" i="9"/>
  <c r="N892" i="9" s="1"/>
  <c r="K892" i="9"/>
  <c r="M891" i="9"/>
  <c r="L891" i="9"/>
  <c r="N891" i="9" s="1"/>
  <c r="K891" i="9"/>
  <c r="M890" i="9"/>
  <c r="L890" i="9"/>
  <c r="N890" i="9" s="1"/>
  <c r="K890" i="9"/>
  <c r="N889" i="9"/>
  <c r="M889" i="9"/>
  <c r="L889" i="9"/>
  <c r="K889" i="9"/>
  <c r="M888" i="9"/>
  <c r="L888" i="9"/>
  <c r="N888" i="9" s="1"/>
  <c r="K888" i="9"/>
  <c r="N887" i="9"/>
  <c r="M887" i="9"/>
  <c r="L887" i="9"/>
  <c r="K887" i="9"/>
  <c r="M886" i="9"/>
  <c r="L886" i="9"/>
  <c r="N886" i="9" s="1"/>
  <c r="K886" i="9"/>
  <c r="M885" i="9"/>
  <c r="L885" i="9"/>
  <c r="N885" i="9" s="1"/>
  <c r="K885" i="9"/>
  <c r="M884" i="9"/>
  <c r="L884" i="9"/>
  <c r="N884" i="9" s="1"/>
  <c r="K884" i="9"/>
  <c r="M883" i="9"/>
  <c r="L883" i="9"/>
  <c r="N883" i="9" s="1"/>
  <c r="K883" i="9"/>
  <c r="M882" i="9"/>
  <c r="L882" i="9"/>
  <c r="N882" i="9" s="1"/>
  <c r="K882" i="9"/>
  <c r="M881" i="9"/>
  <c r="L881" i="9"/>
  <c r="N881" i="9" s="1"/>
  <c r="K881" i="9"/>
  <c r="N880" i="9"/>
  <c r="M880" i="9"/>
  <c r="L880" i="9"/>
  <c r="K880" i="9"/>
  <c r="N879" i="9"/>
  <c r="M879" i="9"/>
  <c r="L879" i="9"/>
  <c r="K879" i="9"/>
  <c r="N878" i="9"/>
  <c r="M878" i="9"/>
  <c r="L878" i="9"/>
  <c r="K878" i="9"/>
  <c r="N877" i="9"/>
  <c r="M877" i="9"/>
  <c r="L877" i="9"/>
  <c r="K877" i="9"/>
  <c r="M876" i="9"/>
  <c r="L876" i="9"/>
  <c r="N876" i="9" s="1"/>
  <c r="K876" i="9"/>
  <c r="M875" i="9"/>
  <c r="L875" i="9"/>
  <c r="N875" i="9" s="1"/>
  <c r="K875" i="9"/>
  <c r="M874" i="9"/>
  <c r="L874" i="9"/>
  <c r="N874" i="9" s="1"/>
  <c r="K874" i="9"/>
  <c r="N873" i="9"/>
  <c r="M873" i="9"/>
  <c r="L873" i="9"/>
  <c r="K873" i="9"/>
  <c r="M872" i="9"/>
  <c r="L872" i="9"/>
  <c r="N872" i="9" s="1"/>
  <c r="K872" i="9"/>
  <c r="N871" i="9"/>
  <c r="M871" i="9"/>
  <c r="L871" i="9"/>
  <c r="K871" i="9"/>
  <c r="M870" i="9"/>
  <c r="L870" i="9"/>
  <c r="N870" i="9" s="1"/>
  <c r="K870" i="9"/>
  <c r="M869" i="9"/>
  <c r="L869" i="9"/>
  <c r="N869" i="9" s="1"/>
  <c r="K869" i="9"/>
  <c r="N868" i="9"/>
  <c r="M868" i="9"/>
  <c r="L868" i="9"/>
  <c r="K868" i="9"/>
  <c r="N867" i="9"/>
  <c r="M867" i="9"/>
  <c r="L867" i="9"/>
  <c r="K867" i="9"/>
  <c r="N866" i="9"/>
  <c r="M866" i="9"/>
  <c r="L866" i="9"/>
  <c r="K866" i="9"/>
  <c r="N865" i="9"/>
  <c r="M865" i="9"/>
  <c r="L865" i="9"/>
  <c r="K865" i="9"/>
  <c r="M864" i="9"/>
  <c r="L864" i="9"/>
  <c r="N864" i="9" s="1"/>
  <c r="K864" i="9"/>
  <c r="M863" i="9"/>
  <c r="L863" i="9"/>
  <c r="N863" i="9" s="1"/>
  <c r="K863" i="9"/>
  <c r="M862" i="9"/>
  <c r="L862" i="9"/>
  <c r="N862" i="9" s="1"/>
  <c r="K862" i="9"/>
  <c r="M861" i="9"/>
  <c r="L861" i="9"/>
  <c r="N861" i="9" s="1"/>
  <c r="K861" i="9"/>
  <c r="N860" i="9"/>
  <c r="M860" i="9"/>
  <c r="L860" i="9"/>
  <c r="K860" i="9"/>
  <c r="N859" i="9"/>
  <c r="M859" i="9"/>
  <c r="L859" i="9"/>
  <c r="K859" i="9"/>
  <c r="N858" i="9"/>
  <c r="M858" i="9"/>
  <c r="L858" i="9"/>
  <c r="K858" i="9"/>
  <c r="M857" i="9"/>
  <c r="L857" i="9"/>
  <c r="N857" i="9" s="1"/>
  <c r="K857" i="9"/>
  <c r="M856" i="9"/>
  <c r="L856" i="9"/>
  <c r="N856" i="9" s="1"/>
  <c r="K856" i="9"/>
  <c r="M855" i="9"/>
  <c r="L855" i="9"/>
  <c r="N855" i="9" s="1"/>
  <c r="K855" i="9"/>
  <c r="N854" i="9"/>
  <c r="M854" i="9"/>
  <c r="L854" i="9"/>
  <c r="K854" i="9"/>
  <c r="M853" i="9"/>
  <c r="L853" i="9"/>
  <c r="N853" i="9" s="1"/>
  <c r="K853" i="9"/>
  <c r="N852" i="9"/>
  <c r="M852" i="9"/>
  <c r="L852" i="9"/>
  <c r="K852" i="9"/>
  <c r="M851" i="9"/>
  <c r="L851" i="9"/>
  <c r="N851" i="9" s="1"/>
  <c r="K851" i="9"/>
  <c r="N850" i="9"/>
  <c r="M850" i="9"/>
  <c r="L850" i="9"/>
  <c r="K850" i="9"/>
  <c r="N849" i="9"/>
  <c r="M849" i="9"/>
  <c r="L849" i="9"/>
  <c r="K849" i="9"/>
  <c r="M848" i="9"/>
  <c r="L848" i="9"/>
  <c r="N848" i="9" s="1"/>
  <c r="K848" i="9"/>
  <c r="N847" i="9"/>
  <c r="M847" i="9"/>
  <c r="L847" i="9"/>
  <c r="K847" i="9"/>
  <c r="M846" i="9"/>
  <c r="L846" i="9"/>
  <c r="N846" i="9" s="1"/>
  <c r="K846" i="9"/>
  <c r="N845" i="9"/>
  <c r="M845" i="9"/>
  <c r="L845" i="9"/>
  <c r="K845" i="9"/>
  <c r="M844" i="9"/>
  <c r="L844" i="9"/>
  <c r="N844" i="9" s="1"/>
  <c r="K844" i="9"/>
  <c r="M843" i="9"/>
  <c r="L843" i="9"/>
  <c r="N843" i="9" s="1"/>
  <c r="K843" i="9"/>
  <c r="N842" i="9"/>
  <c r="M842" i="9"/>
  <c r="L842" i="9"/>
  <c r="K842" i="9"/>
  <c r="M841" i="9"/>
  <c r="L841" i="9"/>
  <c r="N841" i="9" s="1"/>
  <c r="K841" i="9"/>
  <c r="M840" i="9"/>
  <c r="L840" i="9"/>
  <c r="N840" i="9" s="1"/>
  <c r="K840" i="9"/>
  <c r="N839" i="9"/>
  <c r="M839" i="9"/>
  <c r="L839" i="9"/>
  <c r="K839" i="9"/>
  <c r="N838" i="9"/>
  <c r="M838" i="9"/>
  <c r="L838" i="9"/>
  <c r="K838" i="9"/>
  <c r="N837" i="9"/>
  <c r="M837" i="9"/>
  <c r="L837" i="9"/>
  <c r="K837" i="9"/>
  <c r="N836" i="9"/>
  <c r="M836" i="9"/>
  <c r="L836" i="9"/>
  <c r="K836" i="9"/>
  <c r="M835" i="9"/>
  <c r="L835" i="9"/>
  <c r="N835" i="9" s="1"/>
  <c r="K835" i="9"/>
  <c r="M834" i="9"/>
  <c r="L834" i="9"/>
  <c r="N834" i="9" s="1"/>
  <c r="K834" i="9"/>
  <c r="M833" i="9"/>
  <c r="L833" i="9"/>
  <c r="N833" i="9" s="1"/>
  <c r="K833" i="9"/>
  <c r="M832" i="9"/>
  <c r="L832" i="9"/>
  <c r="N832" i="9" s="1"/>
  <c r="K832" i="9"/>
  <c r="N831" i="9"/>
  <c r="M831" i="9"/>
  <c r="L831" i="9"/>
  <c r="K831" i="9"/>
  <c r="M830" i="9"/>
  <c r="L830" i="9"/>
  <c r="N830" i="9" s="1"/>
  <c r="K830" i="9"/>
  <c r="N829" i="9"/>
  <c r="M829" i="9"/>
  <c r="L829" i="9"/>
  <c r="K829" i="9"/>
  <c r="M828" i="9"/>
  <c r="L828" i="9"/>
  <c r="N828" i="9" s="1"/>
  <c r="K828" i="9"/>
  <c r="M827" i="9"/>
  <c r="L827" i="9"/>
  <c r="N827" i="9" s="1"/>
  <c r="K827" i="9"/>
  <c r="N826" i="9"/>
  <c r="M826" i="9"/>
  <c r="L826" i="9"/>
  <c r="K826" i="9"/>
  <c r="N825" i="9"/>
  <c r="M825" i="9"/>
  <c r="L825" i="9"/>
  <c r="K825" i="9"/>
  <c r="N824" i="9"/>
  <c r="M824" i="9"/>
  <c r="L824" i="9"/>
  <c r="K824" i="9"/>
  <c r="M823" i="9"/>
  <c r="L823" i="9"/>
  <c r="N823" i="9" s="1"/>
  <c r="K823" i="9"/>
  <c r="M822" i="9"/>
  <c r="L822" i="9"/>
  <c r="K822" i="9"/>
  <c r="N821" i="9"/>
  <c r="M821" i="9"/>
  <c r="L821" i="9"/>
  <c r="K821" i="9"/>
  <c r="M820" i="9"/>
  <c r="L820" i="9"/>
  <c r="N820" i="9" s="1"/>
  <c r="K820" i="9"/>
  <c r="M819" i="9"/>
  <c r="L819" i="9"/>
  <c r="N819" i="9" s="1"/>
  <c r="K819" i="9"/>
  <c r="N818" i="9"/>
  <c r="M818" i="9"/>
  <c r="L818" i="9"/>
  <c r="K818" i="9"/>
  <c r="N817" i="9"/>
  <c r="M817" i="9"/>
  <c r="L817" i="9"/>
  <c r="K817" i="9"/>
  <c r="M816" i="9"/>
  <c r="L816" i="9"/>
  <c r="N816" i="9" s="1"/>
  <c r="K816" i="9"/>
  <c r="M815" i="9"/>
  <c r="L815" i="9"/>
  <c r="N815" i="9" s="1"/>
  <c r="K815" i="9"/>
  <c r="M814" i="9"/>
  <c r="L814" i="9"/>
  <c r="N814" i="9" s="1"/>
  <c r="K814" i="9"/>
  <c r="M813" i="9"/>
  <c r="L813" i="9"/>
  <c r="N813" i="9" s="1"/>
  <c r="K813" i="9"/>
  <c r="M812" i="9"/>
  <c r="L812" i="9"/>
  <c r="N812" i="9" s="1"/>
  <c r="K812" i="9"/>
  <c r="M811" i="9"/>
  <c r="L811" i="9"/>
  <c r="N811" i="9" s="1"/>
  <c r="K811" i="9"/>
  <c r="N810" i="9"/>
  <c r="M810" i="9"/>
  <c r="L810" i="9"/>
  <c r="K810" i="9"/>
  <c r="N809" i="9"/>
  <c r="M809" i="9"/>
  <c r="L809" i="9"/>
  <c r="K809" i="9"/>
  <c r="N808" i="9"/>
  <c r="M808" i="9"/>
  <c r="L808" i="9"/>
  <c r="K808" i="9"/>
  <c r="N807" i="9"/>
  <c r="M807" i="9"/>
  <c r="L807" i="9"/>
  <c r="K807" i="9"/>
  <c r="M806" i="9"/>
  <c r="L806" i="9"/>
  <c r="N806" i="9" s="1"/>
  <c r="K806" i="9"/>
  <c r="M805" i="9"/>
  <c r="L805" i="9"/>
  <c r="N805" i="9" s="1"/>
  <c r="K805" i="9"/>
  <c r="M804" i="9"/>
  <c r="L804" i="9"/>
  <c r="N804" i="9" s="1"/>
  <c r="K804" i="9"/>
  <c r="N803" i="9"/>
  <c r="M803" i="9"/>
  <c r="L803" i="9"/>
  <c r="K803" i="9"/>
  <c r="N802" i="9"/>
  <c r="M802" i="9"/>
  <c r="L802" i="9"/>
  <c r="K802" i="9"/>
  <c r="N801" i="9"/>
  <c r="M801" i="9"/>
  <c r="L801" i="9"/>
  <c r="K801" i="9"/>
  <c r="N800" i="9"/>
  <c r="M800" i="9"/>
  <c r="L800" i="9"/>
  <c r="K800" i="9"/>
  <c r="M799" i="9"/>
  <c r="L799" i="9"/>
  <c r="N799" i="9" s="1"/>
  <c r="K799" i="9"/>
  <c r="N798" i="9"/>
  <c r="M798" i="9"/>
  <c r="L798" i="9"/>
  <c r="K798" i="9"/>
  <c r="N797" i="9"/>
  <c r="M797" i="9"/>
  <c r="L797" i="9"/>
  <c r="K797" i="9"/>
  <c r="N796" i="9"/>
  <c r="M796" i="9"/>
  <c r="L796" i="9"/>
  <c r="K796" i="9"/>
  <c r="M795" i="9"/>
  <c r="L795" i="9"/>
  <c r="N795" i="9" s="1"/>
  <c r="K795" i="9"/>
  <c r="M794" i="9"/>
  <c r="L794" i="9"/>
  <c r="N794" i="9" s="1"/>
  <c r="K794" i="9"/>
  <c r="M793" i="9"/>
  <c r="L793" i="9"/>
  <c r="N793" i="9" s="1"/>
  <c r="K793" i="9"/>
  <c r="M792" i="9"/>
  <c r="L792" i="9"/>
  <c r="N792" i="9" s="1"/>
  <c r="K792" i="9"/>
  <c r="N791" i="9"/>
  <c r="M791" i="9"/>
  <c r="L791" i="9"/>
  <c r="K791" i="9"/>
  <c r="N790" i="9"/>
  <c r="M790" i="9"/>
  <c r="L790" i="9"/>
  <c r="K790" i="9"/>
  <c r="N789" i="9"/>
  <c r="M789" i="9"/>
  <c r="L789" i="9"/>
  <c r="K789" i="9"/>
  <c r="M788" i="9"/>
  <c r="L788" i="9"/>
  <c r="N788" i="9" s="1"/>
  <c r="K788" i="9"/>
  <c r="M787" i="9"/>
  <c r="L787" i="9"/>
  <c r="N787" i="9" s="1"/>
  <c r="K787" i="9"/>
  <c r="M786" i="9"/>
  <c r="L786" i="9"/>
  <c r="N786" i="9" s="1"/>
  <c r="K786" i="9"/>
  <c r="M785" i="9"/>
  <c r="L785" i="9"/>
  <c r="N785" i="9" s="1"/>
  <c r="K785" i="9"/>
  <c r="M784" i="9"/>
  <c r="L784" i="9"/>
  <c r="N784" i="9" s="1"/>
  <c r="K784" i="9"/>
  <c r="M783" i="9"/>
  <c r="L783" i="9"/>
  <c r="N783" i="9" s="1"/>
  <c r="K783" i="9"/>
  <c r="N782" i="9"/>
  <c r="M782" i="9"/>
  <c r="L782" i="9"/>
  <c r="K782" i="9"/>
  <c r="M781" i="9"/>
  <c r="L781" i="9"/>
  <c r="N781" i="9" s="1"/>
  <c r="K781" i="9"/>
  <c r="N780" i="9"/>
  <c r="M780" i="9"/>
  <c r="L780" i="9"/>
  <c r="K780" i="9"/>
  <c r="N779" i="9"/>
  <c r="M779" i="9"/>
  <c r="L779" i="9"/>
  <c r="K779" i="9"/>
  <c r="N778" i="9"/>
  <c r="M778" i="9"/>
  <c r="L778" i="9"/>
  <c r="K778" i="9"/>
  <c r="M777" i="9"/>
  <c r="L777" i="9"/>
  <c r="N777" i="9" s="1"/>
  <c r="K777" i="9"/>
  <c r="M776" i="9"/>
  <c r="L776" i="9"/>
  <c r="N776" i="9" s="1"/>
  <c r="K776" i="9"/>
  <c r="M775" i="9"/>
  <c r="L775" i="9"/>
  <c r="N775" i="9" s="1"/>
  <c r="K775" i="9"/>
  <c r="M774" i="9"/>
  <c r="L774" i="9"/>
  <c r="N774" i="9" s="1"/>
  <c r="K774" i="9"/>
  <c r="N773" i="9"/>
  <c r="M773" i="9"/>
  <c r="L773" i="9"/>
  <c r="K773" i="9"/>
  <c r="N772" i="9"/>
  <c r="M772" i="9"/>
  <c r="L772" i="9"/>
  <c r="K772" i="9"/>
  <c r="N771" i="9"/>
  <c r="M771" i="9"/>
  <c r="L771" i="9"/>
  <c r="K771" i="9"/>
  <c r="M770" i="9"/>
  <c r="L770" i="9"/>
  <c r="N770" i="9" s="1"/>
  <c r="K770" i="9"/>
  <c r="M769" i="9"/>
  <c r="L769" i="9"/>
  <c r="N769" i="9" s="1"/>
  <c r="K769" i="9"/>
  <c r="M768" i="9"/>
  <c r="L768" i="9"/>
  <c r="N768" i="9" s="1"/>
  <c r="K768" i="9"/>
  <c r="M767" i="9"/>
  <c r="L767" i="9"/>
  <c r="N767" i="9" s="1"/>
  <c r="K767" i="9"/>
  <c r="N766" i="9"/>
  <c r="M766" i="9"/>
  <c r="L766" i="9"/>
  <c r="K766" i="9"/>
  <c r="N765" i="9"/>
  <c r="M765" i="9"/>
  <c r="L765" i="9"/>
  <c r="K765" i="9"/>
  <c r="N764" i="9"/>
  <c r="M764" i="9"/>
  <c r="L764" i="9"/>
  <c r="K764" i="9"/>
  <c r="M763" i="9"/>
  <c r="L763" i="9"/>
  <c r="N763" i="9" s="1"/>
  <c r="K763" i="9"/>
  <c r="M762" i="9"/>
  <c r="L762" i="9"/>
  <c r="N762" i="9" s="1"/>
  <c r="K762" i="9"/>
  <c r="M761" i="9"/>
  <c r="L761" i="9"/>
  <c r="N761" i="9" s="1"/>
  <c r="K761" i="9"/>
  <c r="M760" i="9"/>
  <c r="L760" i="9"/>
  <c r="N760" i="9" s="1"/>
  <c r="K760" i="9"/>
  <c r="N759" i="9"/>
  <c r="M759" i="9"/>
  <c r="L759" i="9"/>
  <c r="K759" i="9"/>
  <c r="N758" i="9"/>
  <c r="M758" i="9"/>
  <c r="L758" i="9"/>
  <c r="K758" i="9"/>
  <c r="N757" i="9"/>
  <c r="M757" i="9"/>
  <c r="L757" i="9"/>
  <c r="K757" i="9"/>
  <c r="N756" i="9"/>
  <c r="M756" i="9"/>
  <c r="L756" i="9"/>
  <c r="K756" i="9"/>
  <c r="N755" i="9"/>
  <c r="M755" i="9"/>
  <c r="L755" i="9"/>
  <c r="K755" i="9"/>
  <c r="M754" i="9"/>
  <c r="L754" i="9"/>
  <c r="N754" i="9" s="1"/>
  <c r="K754" i="9"/>
  <c r="M753" i="9"/>
  <c r="L753" i="9"/>
  <c r="N753" i="9" s="1"/>
  <c r="K753" i="9"/>
  <c r="N752" i="9"/>
  <c r="M752" i="9"/>
  <c r="L752" i="9"/>
  <c r="K752" i="9"/>
  <c r="N751" i="9"/>
  <c r="M751" i="9"/>
  <c r="L751" i="9"/>
  <c r="K751" i="9"/>
  <c r="N750" i="9"/>
  <c r="M750" i="9"/>
  <c r="L750" i="9"/>
  <c r="K750" i="9"/>
  <c r="M749" i="9"/>
  <c r="L749" i="9"/>
  <c r="N749" i="9" s="1"/>
  <c r="K749" i="9"/>
  <c r="M748" i="9"/>
  <c r="L748" i="9"/>
  <c r="N748" i="9" s="1"/>
  <c r="K748" i="9"/>
  <c r="M747" i="9"/>
  <c r="L747" i="9"/>
  <c r="N747" i="9" s="1"/>
  <c r="K747" i="9"/>
  <c r="M746" i="9"/>
  <c r="L746" i="9"/>
  <c r="N746" i="9" s="1"/>
  <c r="K746" i="9"/>
  <c r="N745" i="9"/>
  <c r="M745" i="9"/>
  <c r="L745" i="9"/>
  <c r="K745" i="9"/>
  <c r="N744" i="9"/>
  <c r="M744" i="9"/>
  <c r="L744" i="9"/>
  <c r="K744" i="9"/>
  <c r="N743" i="9"/>
  <c r="M743" i="9"/>
  <c r="L743" i="9"/>
  <c r="K743" i="9"/>
  <c r="M742" i="9"/>
  <c r="L742" i="9"/>
  <c r="N742" i="9" s="1"/>
  <c r="K742" i="9"/>
  <c r="M741" i="9"/>
  <c r="L741" i="9"/>
  <c r="N741" i="9" s="1"/>
  <c r="K741" i="9"/>
  <c r="M740" i="9"/>
  <c r="L740" i="9"/>
  <c r="N740" i="9" s="1"/>
  <c r="K740" i="9"/>
  <c r="M739" i="9"/>
  <c r="L739" i="9"/>
  <c r="N739" i="9" s="1"/>
  <c r="K739" i="9"/>
  <c r="N738" i="9"/>
  <c r="M738" i="9"/>
  <c r="L738" i="9"/>
  <c r="K738" i="9"/>
  <c r="N737" i="9"/>
  <c r="M737" i="9"/>
  <c r="L737" i="9"/>
  <c r="K737" i="9"/>
  <c r="N736" i="9"/>
  <c r="M736" i="9"/>
  <c r="L736" i="9"/>
  <c r="K736" i="9"/>
  <c r="M735" i="9"/>
  <c r="L735" i="9"/>
  <c r="N735" i="9" s="1"/>
  <c r="K735" i="9"/>
  <c r="M734" i="9"/>
  <c r="L734" i="9"/>
  <c r="N734" i="9" s="1"/>
  <c r="K734" i="9"/>
  <c r="M733" i="9"/>
  <c r="L733" i="9"/>
  <c r="N733" i="9" s="1"/>
  <c r="K733" i="9"/>
  <c r="M732" i="9"/>
  <c r="L732" i="9"/>
  <c r="N732" i="9" s="1"/>
  <c r="K732" i="9"/>
  <c r="N731" i="9"/>
  <c r="M731" i="9"/>
  <c r="L731" i="9"/>
  <c r="K731" i="9"/>
  <c r="N730" i="9"/>
  <c r="M730" i="9"/>
  <c r="L730" i="9"/>
  <c r="K730" i="9"/>
  <c r="N729" i="9"/>
  <c r="M729" i="9"/>
  <c r="L729" i="9"/>
  <c r="K729" i="9"/>
  <c r="M728" i="9"/>
  <c r="L728" i="9"/>
  <c r="N728" i="9" s="1"/>
  <c r="K728" i="9"/>
  <c r="M727" i="9"/>
  <c r="L727" i="9"/>
  <c r="N727" i="9" s="1"/>
  <c r="K727" i="9"/>
  <c r="M726" i="9"/>
  <c r="L726" i="9"/>
  <c r="N726" i="9" s="1"/>
  <c r="K726" i="9"/>
  <c r="M725" i="9"/>
  <c r="L725" i="9"/>
  <c r="N725" i="9" s="1"/>
  <c r="K725" i="9"/>
  <c r="N724" i="9"/>
  <c r="M724" i="9"/>
  <c r="L724" i="9"/>
  <c r="K724" i="9"/>
  <c r="N723" i="9"/>
  <c r="M723" i="9"/>
  <c r="L723" i="9"/>
  <c r="K723" i="9"/>
  <c r="N722" i="9"/>
  <c r="M722" i="9"/>
  <c r="L722" i="9"/>
  <c r="K722" i="9"/>
  <c r="M721" i="9"/>
  <c r="L721" i="9"/>
  <c r="N721" i="9" s="1"/>
  <c r="K721" i="9"/>
  <c r="M720" i="9"/>
  <c r="L720" i="9"/>
  <c r="N720" i="9" s="1"/>
  <c r="K720" i="9"/>
  <c r="M719" i="9"/>
  <c r="L719" i="9"/>
  <c r="N719" i="9" s="1"/>
  <c r="K719" i="9"/>
  <c r="M718" i="9"/>
  <c r="L718" i="9"/>
  <c r="N718" i="9" s="1"/>
  <c r="K718" i="9"/>
  <c r="N717" i="9"/>
  <c r="M717" i="9"/>
  <c r="L717" i="9"/>
  <c r="K717" i="9"/>
  <c r="N716" i="9"/>
  <c r="M716" i="9"/>
  <c r="L716" i="9"/>
  <c r="K716" i="9"/>
  <c r="N715" i="9"/>
  <c r="M715" i="9"/>
  <c r="L715" i="9"/>
  <c r="K715" i="9"/>
  <c r="M714" i="9"/>
  <c r="L714" i="9"/>
  <c r="N714" i="9" s="1"/>
  <c r="K714" i="9"/>
  <c r="M713" i="9"/>
  <c r="L713" i="9"/>
  <c r="N713" i="9" s="1"/>
  <c r="K713" i="9"/>
  <c r="M712" i="9"/>
  <c r="L712" i="9"/>
  <c r="N712" i="9" s="1"/>
  <c r="K712" i="9"/>
  <c r="M711" i="9"/>
  <c r="L711" i="9"/>
  <c r="N711" i="9" s="1"/>
  <c r="K711" i="9"/>
  <c r="N710" i="9"/>
  <c r="M710" i="9"/>
  <c r="L710" i="9"/>
  <c r="K710" i="9"/>
  <c r="N709" i="9"/>
  <c r="M709" i="9"/>
  <c r="L709" i="9"/>
  <c r="K709" i="9"/>
  <c r="N708" i="9"/>
  <c r="M708" i="9"/>
  <c r="L708" i="9"/>
  <c r="K708" i="9"/>
  <c r="M707" i="9"/>
  <c r="L707" i="9"/>
  <c r="N707" i="9" s="1"/>
  <c r="K707" i="9"/>
  <c r="M706" i="9"/>
  <c r="L706" i="9"/>
  <c r="N706" i="9" s="1"/>
  <c r="K706" i="9"/>
  <c r="M705" i="9"/>
  <c r="L705" i="9"/>
  <c r="N705" i="9" s="1"/>
  <c r="K705" i="9"/>
  <c r="M704" i="9"/>
  <c r="L704" i="9"/>
  <c r="N704" i="9" s="1"/>
  <c r="K704" i="9"/>
  <c r="N703" i="9"/>
  <c r="M703" i="9"/>
  <c r="L703" i="9"/>
  <c r="K703" i="9"/>
  <c r="N702" i="9"/>
  <c r="M702" i="9"/>
  <c r="L702" i="9"/>
  <c r="K702" i="9"/>
  <c r="N701" i="9"/>
  <c r="M701" i="9"/>
  <c r="L701" i="9"/>
  <c r="K701" i="9"/>
  <c r="M700" i="9"/>
  <c r="L700" i="9"/>
  <c r="N700" i="9" s="1"/>
  <c r="K700" i="9"/>
  <c r="M699" i="9"/>
  <c r="L699" i="9"/>
  <c r="N699" i="9" s="1"/>
  <c r="K699" i="9"/>
  <c r="M698" i="9"/>
  <c r="L698" i="9"/>
  <c r="N698" i="9" s="1"/>
  <c r="K698" i="9"/>
  <c r="M697" i="9"/>
  <c r="L697" i="9"/>
  <c r="N697" i="9" s="1"/>
  <c r="K697" i="9"/>
  <c r="N696" i="9"/>
  <c r="M696" i="9"/>
  <c r="L696" i="9"/>
  <c r="K696" i="9"/>
  <c r="N695" i="9"/>
  <c r="M695" i="9"/>
  <c r="L695" i="9"/>
  <c r="K695" i="9"/>
  <c r="N694" i="9"/>
  <c r="M694" i="9"/>
  <c r="L694" i="9"/>
  <c r="K694" i="9"/>
  <c r="M693" i="9"/>
  <c r="L693" i="9"/>
  <c r="N693" i="9" s="1"/>
  <c r="K693" i="9"/>
  <c r="M692" i="9"/>
  <c r="L692" i="9"/>
  <c r="N692" i="9" s="1"/>
  <c r="K692" i="9"/>
  <c r="M691" i="9"/>
  <c r="L691" i="9"/>
  <c r="N691" i="9" s="1"/>
  <c r="K691" i="9"/>
  <c r="M690" i="9"/>
  <c r="L690" i="9"/>
  <c r="N690" i="9" s="1"/>
  <c r="K690" i="9"/>
  <c r="N689" i="9"/>
  <c r="M689" i="9"/>
  <c r="L689" i="9"/>
  <c r="K689" i="9"/>
  <c r="N688" i="9"/>
  <c r="M688" i="9"/>
  <c r="L688" i="9"/>
  <c r="K688" i="9"/>
  <c r="N687" i="9"/>
  <c r="M687" i="9"/>
  <c r="L687" i="9"/>
  <c r="K687" i="9"/>
  <c r="M686" i="9"/>
  <c r="L686" i="9"/>
  <c r="N686" i="9" s="1"/>
  <c r="K686" i="9"/>
  <c r="M685" i="9"/>
  <c r="L685" i="9"/>
  <c r="N685" i="9" s="1"/>
  <c r="K685" i="9"/>
  <c r="M684" i="9"/>
  <c r="L684" i="9"/>
  <c r="N684" i="9" s="1"/>
  <c r="K684" i="9"/>
  <c r="M683" i="9"/>
  <c r="L683" i="9"/>
  <c r="N683" i="9" s="1"/>
  <c r="K683" i="9"/>
  <c r="N682" i="9"/>
  <c r="M682" i="9"/>
  <c r="L682" i="9"/>
  <c r="K682" i="9"/>
  <c r="N681" i="9"/>
  <c r="M681" i="9"/>
  <c r="L681" i="9"/>
  <c r="K681" i="9"/>
  <c r="N680" i="9"/>
  <c r="M680" i="9"/>
  <c r="L680" i="9"/>
  <c r="K680" i="9"/>
  <c r="M679" i="9"/>
  <c r="L679" i="9"/>
  <c r="N679" i="9" s="1"/>
  <c r="K679" i="9"/>
  <c r="M678" i="9"/>
  <c r="L678" i="9"/>
  <c r="N678" i="9" s="1"/>
  <c r="K678" i="9"/>
  <c r="M677" i="9"/>
  <c r="L677" i="9"/>
  <c r="N677" i="9" s="1"/>
  <c r="K677" i="9"/>
  <c r="M676" i="9"/>
  <c r="L676" i="9"/>
  <c r="N676" i="9" s="1"/>
  <c r="K676" i="9"/>
  <c r="N675" i="9"/>
  <c r="M675" i="9"/>
  <c r="L675" i="9"/>
  <c r="K675" i="9"/>
  <c r="N674" i="9"/>
  <c r="M674" i="9"/>
  <c r="L674" i="9"/>
  <c r="K674" i="9"/>
  <c r="N673" i="9"/>
  <c r="M673" i="9"/>
  <c r="L673" i="9"/>
  <c r="K673" i="9"/>
  <c r="M672" i="9"/>
  <c r="L672" i="9"/>
  <c r="N672" i="9" s="1"/>
  <c r="K672" i="9"/>
  <c r="M671" i="9"/>
  <c r="L671" i="9"/>
  <c r="N671" i="9" s="1"/>
  <c r="K671" i="9"/>
  <c r="M670" i="9"/>
  <c r="L670" i="9"/>
  <c r="N670" i="9" s="1"/>
  <c r="K670" i="9"/>
  <c r="M669" i="9"/>
  <c r="L669" i="9"/>
  <c r="N669" i="9" s="1"/>
  <c r="K669" i="9"/>
  <c r="N668" i="9"/>
  <c r="M668" i="9"/>
  <c r="L668" i="9"/>
  <c r="K668" i="9"/>
  <c r="N667" i="9"/>
  <c r="M667" i="9"/>
  <c r="L667" i="9"/>
  <c r="K667" i="9"/>
  <c r="N666" i="9"/>
  <c r="M666" i="9"/>
  <c r="L666" i="9"/>
  <c r="K666" i="9"/>
  <c r="M665" i="9"/>
  <c r="L665" i="9"/>
  <c r="N665" i="9" s="1"/>
  <c r="K665" i="9"/>
  <c r="M664" i="9"/>
  <c r="L664" i="9"/>
  <c r="N664" i="9" s="1"/>
  <c r="K664" i="9"/>
  <c r="M663" i="9"/>
  <c r="L663" i="9"/>
  <c r="N663" i="9" s="1"/>
  <c r="K663" i="9"/>
  <c r="M662" i="9"/>
  <c r="L662" i="9"/>
  <c r="N662" i="9" s="1"/>
  <c r="K662" i="9"/>
  <c r="N661" i="9"/>
  <c r="M661" i="9"/>
  <c r="L661" i="9"/>
  <c r="K661" i="9"/>
  <c r="N660" i="9"/>
  <c r="M660" i="9"/>
  <c r="L660" i="9"/>
  <c r="K660" i="9"/>
  <c r="N659" i="9"/>
  <c r="M659" i="9"/>
  <c r="L659" i="9"/>
  <c r="K659" i="9"/>
  <c r="M658" i="9"/>
  <c r="L658" i="9"/>
  <c r="N658" i="9" s="1"/>
  <c r="K658" i="9"/>
  <c r="M657" i="9"/>
  <c r="L657" i="9"/>
  <c r="N657" i="9" s="1"/>
  <c r="K657" i="9"/>
  <c r="M656" i="9"/>
  <c r="L656" i="9"/>
  <c r="N656" i="9" s="1"/>
  <c r="K656" i="9"/>
  <c r="M655" i="9"/>
  <c r="L655" i="9"/>
  <c r="N655" i="9" s="1"/>
  <c r="K655" i="9"/>
  <c r="N654" i="9"/>
  <c r="M654" i="9"/>
  <c r="L654" i="9"/>
  <c r="K654" i="9"/>
  <c r="N653" i="9"/>
  <c r="M653" i="9"/>
  <c r="L653" i="9"/>
  <c r="K653" i="9"/>
  <c r="N652" i="9"/>
  <c r="M652" i="9"/>
  <c r="L652" i="9"/>
  <c r="K652" i="9"/>
  <c r="M651" i="9"/>
  <c r="L651" i="9"/>
  <c r="N651" i="9" s="1"/>
  <c r="K651" i="9"/>
  <c r="M650" i="9"/>
  <c r="L650" i="9"/>
  <c r="N650" i="9" s="1"/>
  <c r="K650" i="9"/>
  <c r="M649" i="9"/>
  <c r="L649" i="9"/>
  <c r="N649" i="9" s="1"/>
  <c r="K649" i="9"/>
  <c r="M648" i="9"/>
  <c r="L648" i="9"/>
  <c r="N648" i="9" s="1"/>
  <c r="K648" i="9"/>
  <c r="N647" i="9"/>
  <c r="M647" i="9"/>
  <c r="L647" i="9"/>
  <c r="K647" i="9"/>
  <c r="N646" i="9"/>
  <c r="M646" i="9"/>
  <c r="L646" i="9"/>
  <c r="K646" i="9"/>
  <c r="N645" i="9"/>
  <c r="M645" i="9"/>
  <c r="L645" i="9"/>
  <c r="K645" i="9"/>
  <c r="N644" i="9"/>
  <c r="M644" i="9"/>
  <c r="L644" i="9"/>
  <c r="K644" i="9"/>
  <c r="M643" i="9"/>
  <c r="L643" i="9"/>
  <c r="N643" i="9" s="1"/>
  <c r="K643" i="9"/>
  <c r="M642" i="9"/>
  <c r="L642" i="9"/>
  <c r="N642" i="9" s="1"/>
  <c r="K642" i="9"/>
  <c r="M641" i="9"/>
  <c r="L641" i="9"/>
  <c r="N641" i="9" s="1"/>
  <c r="K641" i="9"/>
  <c r="N640" i="9"/>
  <c r="M640" i="9"/>
  <c r="L640" i="9"/>
  <c r="K640" i="9"/>
  <c r="N639" i="9"/>
  <c r="M639" i="9"/>
  <c r="L639" i="9"/>
  <c r="K639" i="9"/>
  <c r="N638" i="9"/>
  <c r="M638" i="9"/>
  <c r="L638" i="9"/>
  <c r="K638" i="9"/>
  <c r="N637" i="9"/>
  <c r="M637" i="9"/>
  <c r="L637" i="9"/>
  <c r="K637" i="9"/>
  <c r="M636" i="9"/>
  <c r="L636" i="9"/>
  <c r="N636" i="9" s="1"/>
  <c r="K636" i="9"/>
  <c r="M635" i="9"/>
  <c r="L635" i="9"/>
  <c r="N635" i="9" s="1"/>
  <c r="K635" i="9"/>
  <c r="M634" i="9"/>
  <c r="L634" i="9"/>
  <c r="N634" i="9" s="1"/>
  <c r="K634" i="9"/>
  <c r="N633" i="9"/>
  <c r="M633" i="9"/>
  <c r="L633" i="9"/>
  <c r="K633" i="9"/>
  <c r="N632" i="9"/>
  <c r="M632" i="9"/>
  <c r="L632" i="9"/>
  <c r="K632" i="9"/>
  <c r="N631" i="9"/>
  <c r="M631" i="9"/>
  <c r="L631" i="9"/>
  <c r="K631" i="9"/>
  <c r="N630" i="9"/>
  <c r="M630" i="9"/>
  <c r="L630" i="9"/>
  <c r="K630" i="9"/>
  <c r="M629" i="9"/>
  <c r="L629" i="9"/>
  <c r="N629" i="9" s="1"/>
  <c r="K629" i="9"/>
  <c r="M628" i="9"/>
  <c r="L628" i="9"/>
  <c r="N628" i="9" s="1"/>
  <c r="K628" i="9"/>
  <c r="M627" i="9"/>
  <c r="L627" i="9"/>
  <c r="N627" i="9" s="1"/>
  <c r="K627" i="9"/>
  <c r="N626" i="9"/>
  <c r="M626" i="9"/>
  <c r="L626" i="9"/>
  <c r="K626" i="9"/>
  <c r="N625" i="9"/>
  <c r="M625" i="9"/>
  <c r="L625" i="9"/>
  <c r="K625" i="9"/>
  <c r="N624" i="9"/>
  <c r="M624" i="9"/>
  <c r="L624" i="9"/>
  <c r="K624" i="9"/>
  <c r="N623" i="9"/>
  <c r="M623" i="9"/>
  <c r="L623" i="9"/>
  <c r="K623" i="9"/>
  <c r="M622" i="9"/>
  <c r="L622" i="9"/>
  <c r="N622" i="9" s="1"/>
  <c r="K622" i="9"/>
  <c r="M621" i="9"/>
  <c r="L621" i="9"/>
  <c r="N621" i="9" s="1"/>
  <c r="K621" i="9"/>
  <c r="M620" i="9"/>
  <c r="L620" i="9"/>
  <c r="N620" i="9" s="1"/>
  <c r="K620" i="9"/>
  <c r="N619" i="9"/>
  <c r="M619" i="9"/>
  <c r="L619" i="9"/>
  <c r="K619" i="9"/>
  <c r="N618" i="9"/>
  <c r="M618" i="9"/>
  <c r="L618" i="9"/>
  <c r="K618" i="9"/>
  <c r="N617" i="9"/>
  <c r="M617" i="9"/>
  <c r="L617" i="9"/>
  <c r="K617" i="9"/>
  <c r="N616" i="9"/>
  <c r="M616" i="9"/>
  <c r="L616" i="9"/>
  <c r="K616" i="9"/>
  <c r="M615" i="9"/>
  <c r="L615" i="9"/>
  <c r="N615" i="9" s="1"/>
  <c r="K615" i="9"/>
  <c r="M614" i="9"/>
  <c r="L614" i="9"/>
  <c r="N614" i="9" s="1"/>
  <c r="K614" i="9"/>
  <c r="M613" i="9"/>
  <c r="L613" i="9"/>
  <c r="N613" i="9" s="1"/>
  <c r="K613" i="9"/>
  <c r="N612" i="9"/>
  <c r="M612" i="9"/>
  <c r="L612" i="9"/>
  <c r="K612" i="9"/>
  <c r="N611" i="9"/>
  <c r="M611" i="9"/>
  <c r="L611" i="9"/>
  <c r="K611" i="9"/>
  <c r="N610" i="9"/>
  <c r="M610" i="9"/>
  <c r="L610" i="9"/>
  <c r="K610" i="9"/>
  <c r="N609" i="9"/>
  <c r="M609" i="9"/>
  <c r="L609" i="9"/>
  <c r="K609" i="9"/>
  <c r="M608" i="9"/>
  <c r="L608" i="9"/>
  <c r="N608" i="9" s="1"/>
  <c r="K608" i="9"/>
  <c r="M607" i="9"/>
  <c r="L607" i="9"/>
  <c r="N607" i="9" s="1"/>
  <c r="K607" i="9"/>
  <c r="M606" i="9"/>
  <c r="L606" i="9"/>
  <c r="N606" i="9" s="1"/>
  <c r="K606" i="9"/>
  <c r="N605" i="9"/>
  <c r="M605" i="9"/>
  <c r="L605" i="9"/>
  <c r="K605" i="9"/>
  <c r="N604" i="9"/>
  <c r="M604" i="9"/>
  <c r="L604" i="9"/>
  <c r="K604" i="9"/>
  <c r="N603" i="9"/>
  <c r="M603" i="9"/>
  <c r="L603" i="9"/>
  <c r="K603" i="9"/>
  <c r="N602" i="9"/>
  <c r="M602" i="9"/>
  <c r="L602" i="9"/>
  <c r="K602" i="9"/>
  <c r="M601" i="9"/>
  <c r="L601" i="9"/>
  <c r="N601" i="9" s="1"/>
  <c r="K601" i="9"/>
  <c r="M600" i="9"/>
  <c r="L600" i="9"/>
  <c r="N600" i="9" s="1"/>
  <c r="K600" i="9"/>
  <c r="M599" i="9"/>
  <c r="L599" i="9"/>
  <c r="N599" i="9" s="1"/>
  <c r="K599" i="9"/>
  <c r="N598" i="9"/>
  <c r="M598" i="9"/>
  <c r="L598" i="9"/>
  <c r="K598" i="9"/>
  <c r="N597" i="9"/>
  <c r="M597" i="9"/>
  <c r="L597" i="9"/>
  <c r="K597" i="9"/>
  <c r="N596" i="9"/>
  <c r="M596" i="9"/>
  <c r="L596" i="9"/>
  <c r="K596" i="9"/>
  <c r="N595" i="9"/>
  <c r="M595" i="9"/>
  <c r="L595" i="9"/>
  <c r="K595" i="9"/>
  <c r="M594" i="9"/>
  <c r="L594" i="9"/>
  <c r="N594" i="9" s="1"/>
  <c r="K594" i="9"/>
  <c r="M593" i="9"/>
  <c r="L593" i="9"/>
  <c r="N593" i="9" s="1"/>
  <c r="K593" i="9"/>
  <c r="M592" i="9"/>
  <c r="L592" i="9"/>
  <c r="N592" i="9" s="1"/>
  <c r="K592" i="9"/>
  <c r="N591" i="9"/>
  <c r="M591" i="9"/>
  <c r="L591" i="9"/>
  <c r="K591" i="9"/>
  <c r="N590" i="9"/>
  <c r="M590" i="9"/>
  <c r="L590" i="9"/>
  <c r="K590" i="9"/>
  <c r="N589" i="9"/>
  <c r="M589" i="9"/>
  <c r="L589" i="9"/>
  <c r="K589" i="9"/>
  <c r="N588" i="9"/>
  <c r="M588" i="9"/>
  <c r="L588" i="9"/>
  <c r="K588" i="9"/>
  <c r="M587" i="9"/>
  <c r="L587" i="9"/>
  <c r="N587" i="9" s="1"/>
  <c r="K587" i="9"/>
  <c r="M586" i="9"/>
  <c r="L586" i="9"/>
  <c r="N586" i="9" s="1"/>
  <c r="K586" i="9"/>
  <c r="M585" i="9"/>
  <c r="L585" i="9"/>
  <c r="N585" i="9" s="1"/>
  <c r="K585" i="9"/>
  <c r="N584" i="9"/>
  <c r="M584" i="9"/>
  <c r="L584" i="9"/>
  <c r="K584" i="9"/>
  <c r="N583" i="9"/>
  <c r="M583" i="9"/>
  <c r="L583" i="9"/>
  <c r="K583" i="9"/>
  <c r="N582" i="9"/>
  <c r="M582" i="9"/>
  <c r="L582" i="9"/>
  <c r="K582" i="9"/>
  <c r="N581" i="9"/>
  <c r="M581" i="9"/>
  <c r="L581" i="9"/>
  <c r="K581" i="9"/>
  <c r="M580" i="9"/>
  <c r="L580" i="9"/>
  <c r="N580" i="9" s="1"/>
  <c r="K580" i="9"/>
  <c r="M579" i="9"/>
  <c r="L579" i="9"/>
  <c r="N579" i="9" s="1"/>
  <c r="K579" i="9"/>
  <c r="M578" i="9"/>
  <c r="L578" i="9"/>
  <c r="N578" i="9" s="1"/>
  <c r="K578" i="9"/>
  <c r="N577" i="9"/>
  <c r="M577" i="9"/>
  <c r="L577" i="9"/>
  <c r="K577" i="9"/>
  <c r="N576" i="9"/>
  <c r="M576" i="9"/>
  <c r="L576" i="9"/>
  <c r="K576" i="9"/>
  <c r="N575" i="9"/>
  <c r="M575" i="9"/>
  <c r="L575" i="9"/>
  <c r="K575" i="9"/>
  <c r="N574" i="9"/>
  <c r="M574" i="9"/>
  <c r="L574" i="9"/>
  <c r="K574" i="9"/>
  <c r="M573" i="9"/>
  <c r="L573" i="9"/>
  <c r="N573" i="9" s="1"/>
  <c r="K573" i="9"/>
  <c r="M572" i="9"/>
  <c r="L572" i="9"/>
  <c r="N572" i="9" s="1"/>
  <c r="K572" i="9"/>
  <c r="N571" i="9"/>
  <c r="M571" i="9"/>
  <c r="L571" i="9"/>
  <c r="K571" i="9"/>
  <c r="N570" i="9"/>
  <c r="M570" i="9"/>
  <c r="L570" i="9"/>
  <c r="K570" i="9"/>
  <c r="N569" i="9"/>
  <c r="M569" i="9"/>
  <c r="L569" i="9"/>
  <c r="K569" i="9"/>
  <c r="N568" i="9"/>
  <c r="M568" i="9"/>
  <c r="L568" i="9"/>
  <c r="K568" i="9"/>
  <c r="N567" i="9"/>
  <c r="M567" i="9"/>
  <c r="L567" i="9"/>
  <c r="K567" i="9"/>
  <c r="M566" i="9"/>
  <c r="L566" i="9"/>
  <c r="N566" i="9" s="1"/>
  <c r="K566" i="9"/>
  <c r="M565" i="9"/>
  <c r="L565" i="9"/>
  <c r="N565" i="9" s="1"/>
  <c r="K565" i="9"/>
  <c r="M564" i="9"/>
  <c r="L564" i="9"/>
  <c r="N564" i="9" s="1"/>
  <c r="K564" i="9"/>
  <c r="N563" i="9"/>
  <c r="M563" i="9"/>
  <c r="L563" i="9"/>
  <c r="K563" i="9"/>
  <c r="N562" i="9"/>
  <c r="M562" i="9"/>
  <c r="L562" i="9"/>
  <c r="K562" i="9"/>
  <c r="N561" i="9"/>
  <c r="M561" i="9"/>
  <c r="L561" i="9"/>
  <c r="K561" i="9"/>
  <c r="N560" i="9"/>
  <c r="M560" i="9"/>
  <c r="L560" i="9"/>
  <c r="K560" i="9"/>
  <c r="N559" i="9"/>
  <c r="M559" i="9"/>
  <c r="L559" i="9"/>
  <c r="K559" i="9"/>
  <c r="M558" i="9"/>
  <c r="L558" i="9"/>
  <c r="N558" i="9" s="1"/>
  <c r="K558" i="9"/>
  <c r="N557" i="9"/>
  <c r="M557" i="9"/>
  <c r="L557" i="9"/>
  <c r="K557" i="9"/>
  <c r="N556" i="9"/>
  <c r="M556" i="9"/>
  <c r="L556" i="9"/>
  <c r="K556" i="9"/>
  <c r="N555" i="9"/>
  <c r="M555" i="9"/>
  <c r="L555" i="9"/>
  <c r="K555" i="9"/>
  <c r="N554" i="9"/>
  <c r="M554" i="9"/>
  <c r="L554" i="9"/>
  <c r="K554" i="9"/>
  <c r="N553" i="9"/>
  <c r="M553" i="9"/>
  <c r="L553" i="9"/>
  <c r="K553" i="9"/>
  <c r="M552" i="9"/>
  <c r="L552" i="9"/>
  <c r="N552" i="9" s="1"/>
  <c r="K552" i="9"/>
  <c r="N551" i="9"/>
  <c r="M551" i="9"/>
  <c r="L551" i="9"/>
  <c r="K551" i="9"/>
  <c r="M550" i="9"/>
  <c r="L550" i="9"/>
  <c r="N550" i="9" s="1"/>
  <c r="K550" i="9"/>
  <c r="N549" i="9"/>
  <c r="M549" i="9"/>
  <c r="L549" i="9"/>
  <c r="K549" i="9"/>
  <c r="N548" i="9"/>
  <c r="M548" i="9"/>
  <c r="L548" i="9"/>
  <c r="K548" i="9"/>
  <c r="N547" i="9"/>
  <c r="M547" i="9"/>
  <c r="L547" i="9"/>
  <c r="K547" i="9"/>
  <c r="N546" i="9"/>
  <c r="M546" i="9"/>
  <c r="L546" i="9"/>
  <c r="K546" i="9"/>
  <c r="N545" i="9"/>
  <c r="M545" i="9"/>
  <c r="L545" i="9"/>
  <c r="K545" i="9"/>
  <c r="N544" i="9"/>
  <c r="M544" i="9"/>
  <c r="L544" i="9"/>
  <c r="K544" i="9"/>
  <c r="N543" i="9"/>
  <c r="M543" i="9"/>
  <c r="L543" i="9"/>
  <c r="K543" i="9"/>
  <c r="N542" i="9"/>
  <c r="M542" i="9"/>
  <c r="L542" i="9"/>
  <c r="K542" i="9"/>
  <c r="N541" i="9"/>
  <c r="M541" i="9"/>
  <c r="L541" i="9"/>
  <c r="K541" i="9"/>
  <c r="N540" i="9"/>
  <c r="M540" i="9"/>
  <c r="L540" i="9"/>
  <c r="K540" i="9"/>
  <c r="N539" i="9"/>
  <c r="M539" i="9"/>
  <c r="L539" i="9"/>
  <c r="K539" i="9"/>
  <c r="M538" i="9"/>
  <c r="L538" i="9"/>
  <c r="N538" i="9" s="1"/>
  <c r="K538" i="9"/>
  <c r="M537" i="9"/>
  <c r="L537" i="9"/>
  <c r="N537" i="9" s="1"/>
  <c r="K537" i="9"/>
  <c r="M536" i="9"/>
  <c r="L536" i="9"/>
  <c r="N536" i="9" s="1"/>
  <c r="K536" i="9"/>
  <c r="N535" i="9"/>
  <c r="M535" i="9"/>
  <c r="L535" i="9"/>
  <c r="K535" i="9"/>
  <c r="N534" i="9"/>
  <c r="M534" i="9"/>
  <c r="L534" i="9"/>
  <c r="K534" i="9"/>
  <c r="N533" i="9"/>
  <c r="M533" i="9"/>
  <c r="L533" i="9"/>
  <c r="K533" i="9"/>
  <c r="N532" i="9"/>
  <c r="M532" i="9"/>
  <c r="L532" i="9"/>
  <c r="K532" i="9"/>
  <c r="M531" i="9"/>
  <c r="L531" i="9"/>
  <c r="N531" i="9" s="1"/>
  <c r="K531" i="9"/>
  <c r="N530" i="9"/>
  <c r="M530" i="9"/>
  <c r="L530" i="9"/>
  <c r="K530" i="9"/>
  <c r="M529" i="9"/>
  <c r="L529" i="9"/>
  <c r="N529" i="9" s="1"/>
  <c r="K529" i="9"/>
  <c r="N528" i="9"/>
  <c r="M528" i="9"/>
  <c r="L528" i="9"/>
  <c r="K528" i="9"/>
  <c r="N527" i="9"/>
  <c r="M527" i="9"/>
  <c r="L527" i="9"/>
  <c r="K527" i="9"/>
  <c r="N526" i="9"/>
  <c r="M526" i="9"/>
  <c r="L526" i="9"/>
  <c r="K526" i="9"/>
  <c r="N525" i="9"/>
  <c r="M525" i="9"/>
  <c r="L525" i="9"/>
  <c r="K525" i="9"/>
  <c r="N524" i="9"/>
  <c r="M524" i="9"/>
  <c r="L524" i="9"/>
  <c r="K524" i="9"/>
  <c r="M523" i="9"/>
  <c r="L523" i="9"/>
  <c r="N523" i="9" s="1"/>
  <c r="K523" i="9"/>
  <c r="M522" i="9"/>
  <c r="L522" i="9"/>
  <c r="N522" i="9" s="1"/>
  <c r="K522" i="9"/>
  <c r="N521" i="9"/>
  <c r="M521" i="9"/>
  <c r="L521" i="9"/>
  <c r="K521" i="9"/>
  <c r="N520" i="9"/>
  <c r="M520" i="9"/>
  <c r="L520" i="9"/>
  <c r="K520" i="9"/>
  <c r="N519" i="9"/>
  <c r="M519" i="9"/>
  <c r="L519" i="9"/>
  <c r="K519" i="9"/>
  <c r="N518" i="9"/>
  <c r="M518" i="9"/>
  <c r="L518" i="9"/>
  <c r="K518" i="9"/>
  <c r="N517" i="9"/>
  <c r="M517" i="9"/>
  <c r="L517" i="9"/>
  <c r="K517" i="9"/>
  <c r="M516" i="9"/>
  <c r="L516" i="9"/>
  <c r="N516" i="9" s="1"/>
  <c r="K516" i="9"/>
  <c r="M515" i="9"/>
  <c r="L515" i="9"/>
  <c r="N515" i="9" s="1"/>
  <c r="K515" i="9"/>
  <c r="N514" i="9"/>
  <c r="M514" i="9"/>
  <c r="L514" i="9"/>
  <c r="K514" i="9"/>
  <c r="N513" i="9"/>
  <c r="M513" i="9"/>
  <c r="L513" i="9"/>
  <c r="K513" i="9"/>
  <c r="N512" i="9"/>
  <c r="M512" i="9"/>
  <c r="L512" i="9"/>
  <c r="K512" i="9"/>
  <c r="N511" i="9"/>
  <c r="M511" i="9"/>
  <c r="L511" i="9"/>
  <c r="K511" i="9"/>
  <c r="M510" i="9"/>
  <c r="L510" i="9"/>
  <c r="N510" i="9" s="1"/>
  <c r="K510" i="9"/>
  <c r="M509" i="9"/>
  <c r="L509" i="9"/>
  <c r="N509" i="9" s="1"/>
  <c r="K509" i="9"/>
  <c r="M508" i="9"/>
  <c r="L508" i="9"/>
  <c r="N508" i="9" s="1"/>
  <c r="K508" i="9"/>
  <c r="N507" i="9"/>
  <c r="M507" i="9"/>
  <c r="L507" i="9"/>
  <c r="K507" i="9"/>
  <c r="N506" i="9"/>
  <c r="M506" i="9"/>
  <c r="L506" i="9"/>
  <c r="K506" i="9"/>
  <c r="N505" i="9"/>
  <c r="M505" i="9"/>
  <c r="L505" i="9"/>
  <c r="K505" i="9"/>
  <c r="N504" i="9"/>
  <c r="M504" i="9"/>
  <c r="L504" i="9"/>
  <c r="K504" i="9"/>
  <c r="N503" i="9"/>
  <c r="M503" i="9"/>
  <c r="L503" i="9"/>
  <c r="K503" i="9"/>
  <c r="M502" i="9"/>
  <c r="L502" i="9"/>
  <c r="N502" i="9" s="1"/>
  <c r="K502" i="9"/>
  <c r="N501" i="9"/>
  <c r="M501" i="9"/>
  <c r="L501" i="9"/>
  <c r="K501" i="9"/>
  <c r="N500" i="9"/>
  <c r="M500" i="9"/>
  <c r="L500" i="9"/>
  <c r="K500" i="9"/>
  <c r="N499" i="9"/>
  <c r="M499" i="9"/>
  <c r="L499" i="9"/>
  <c r="K499" i="9"/>
  <c r="N498" i="9"/>
  <c r="M498" i="9"/>
  <c r="L498" i="9"/>
  <c r="K498" i="9"/>
  <c r="N497" i="9"/>
  <c r="M497" i="9"/>
  <c r="L497" i="9"/>
  <c r="K497" i="9"/>
  <c r="M496" i="9"/>
  <c r="L496" i="9"/>
  <c r="N496" i="9" s="1"/>
  <c r="K496" i="9"/>
  <c r="M495" i="9"/>
  <c r="L495" i="9"/>
  <c r="N495" i="9" s="1"/>
  <c r="K495" i="9"/>
  <c r="M494" i="9"/>
  <c r="L494" i="9"/>
  <c r="N494" i="9" s="1"/>
  <c r="K494" i="9"/>
  <c r="N493" i="9"/>
  <c r="M493" i="9"/>
  <c r="L493" i="9"/>
  <c r="K493" i="9"/>
  <c r="N492" i="9"/>
  <c r="M492" i="9"/>
  <c r="L492" i="9"/>
  <c r="K492" i="9"/>
  <c r="N491" i="9"/>
  <c r="M491" i="9"/>
  <c r="L491" i="9"/>
  <c r="K491" i="9"/>
  <c r="N490" i="9"/>
  <c r="M490" i="9"/>
  <c r="L490" i="9"/>
  <c r="K490" i="9"/>
  <c r="M489" i="9"/>
  <c r="L489" i="9"/>
  <c r="N489" i="9" s="1"/>
  <c r="K489" i="9"/>
  <c r="M488" i="9"/>
  <c r="L488" i="9"/>
  <c r="N488" i="9" s="1"/>
  <c r="K488" i="9"/>
  <c r="M487" i="9"/>
  <c r="L487" i="9"/>
  <c r="N487" i="9" s="1"/>
  <c r="K487" i="9"/>
  <c r="N486" i="9"/>
  <c r="M486" i="9"/>
  <c r="L486" i="9"/>
  <c r="K486" i="9"/>
  <c r="N485" i="9"/>
  <c r="M485" i="9"/>
  <c r="L485" i="9"/>
  <c r="K485" i="9"/>
  <c r="N484" i="9"/>
  <c r="M484" i="9"/>
  <c r="L484" i="9"/>
  <c r="K484" i="9"/>
  <c r="N483" i="9"/>
  <c r="M483" i="9"/>
  <c r="L483" i="9"/>
  <c r="K483" i="9"/>
  <c r="N482" i="9"/>
  <c r="M482" i="9"/>
  <c r="L482" i="9"/>
  <c r="K482" i="9"/>
  <c r="N481" i="9"/>
  <c r="M481" i="9"/>
  <c r="L481" i="9"/>
  <c r="K481" i="9"/>
  <c r="M480" i="9"/>
  <c r="L480" i="9"/>
  <c r="N480" i="9" s="1"/>
  <c r="K480" i="9"/>
  <c r="N479" i="9"/>
  <c r="M479" i="9"/>
  <c r="L479" i="9"/>
  <c r="K479" i="9"/>
  <c r="N478" i="9"/>
  <c r="M478" i="9"/>
  <c r="L478" i="9"/>
  <c r="K478" i="9"/>
  <c r="N477" i="9"/>
  <c r="M477" i="9"/>
  <c r="L477" i="9"/>
  <c r="K477" i="9"/>
  <c r="N476" i="9"/>
  <c r="M476" i="9"/>
  <c r="L476" i="9"/>
  <c r="K476" i="9"/>
  <c r="N475" i="9"/>
  <c r="M475" i="9"/>
  <c r="L475" i="9"/>
  <c r="K475" i="9"/>
  <c r="M474" i="9"/>
  <c r="L474" i="9"/>
  <c r="N474" i="9" s="1"/>
  <c r="K474" i="9"/>
  <c r="M473" i="9"/>
  <c r="L473" i="9"/>
  <c r="N473" i="9" s="1"/>
  <c r="K473" i="9"/>
  <c r="N472" i="9"/>
  <c r="M472" i="9"/>
  <c r="L472" i="9"/>
  <c r="K472" i="9"/>
  <c r="N471" i="9"/>
  <c r="M471" i="9"/>
  <c r="L471" i="9"/>
  <c r="K471" i="9"/>
  <c r="N470" i="9"/>
  <c r="M470" i="9"/>
  <c r="L470" i="9"/>
  <c r="K470" i="9"/>
  <c r="N469" i="9"/>
  <c r="M469" i="9"/>
  <c r="L469" i="9"/>
  <c r="K469" i="9"/>
  <c r="N468" i="9"/>
  <c r="M468" i="9"/>
  <c r="L468" i="9"/>
  <c r="K468" i="9"/>
  <c r="M467" i="9"/>
  <c r="L467" i="9"/>
  <c r="N467" i="9" s="1"/>
  <c r="K467" i="9"/>
  <c r="M466" i="9"/>
  <c r="L466" i="9"/>
  <c r="N466" i="9" s="1"/>
  <c r="K466" i="9"/>
  <c r="N465" i="9"/>
  <c r="M465" i="9"/>
  <c r="L465" i="9"/>
  <c r="K465" i="9"/>
  <c r="N464" i="9"/>
  <c r="M464" i="9"/>
  <c r="L464" i="9"/>
  <c r="K464" i="9"/>
  <c r="N463" i="9"/>
  <c r="M463" i="9"/>
  <c r="L463" i="9"/>
  <c r="K463" i="9"/>
  <c r="N462" i="9"/>
  <c r="M462" i="9"/>
  <c r="L462" i="9"/>
  <c r="K462" i="9"/>
  <c r="M461" i="9"/>
  <c r="L461" i="9"/>
  <c r="N461" i="9" s="1"/>
  <c r="K461" i="9"/>
  <c r="M460" i="9"/>
  <c r="L460" i="9"/>
  <c r="N460" i="9" s="1"/>
  <c r="K460" i="9"/>
  <c r="M459" i="9"/>
  <c r="L459" i="9"/>
  <c r="N459" i="9" s="1"/>
  <c r="K459" i="9"/>
  <c r="N458" i="9"/>
  <c r="M458" i="9"/>
  <c r="L458" i="9"/>
  <c r="K458" i="9"/>
  <c r="N457" i="9"/>
  <c r="M457" i="9"/>
  <c r="L457" i="9"/>
  <c r="K457" i="9"/>
  <c r="N456" i="9"/>
  <c r="M456" i="9"/>
  <c r="L456" i="9"/>
  <c r="K456" i="9"/>
  <c r="N455" i="9"/>
  <c r="M455" i="9"/>
  <c r="L455" i="9"/>
  <c r="K455" i="9"/>
  <c r="N454" i="9"/>
  <c r="M454" i="9"/>
  <c r="L454" i="9"/>
  <c r="K454" i="9"/>
  <c r="M453" i="9"/>
  <c r="L453" i="9"/>
  <c r="N453" i="9" s="1"/>
  <c r="K453" i="9"/>
  <c r="M452" i="9"/>
  <c r="L452" i="9"/>
  <c r="N452" i="9" s="1"/>
  <c r="K452" i="9"/>
  <c r="M451" i="9"/>
  <c r="L451" i="9"/>
  <c r="N451" i="9" s="1"/>
  <c r="K451" i="9"/>
  <c r="N450" i="9"/>
  <c r="M450" i="9"/>
  <c r="L450" i="9"/>
  <c r="K450" i="9"/>
  <c r="N449" i="9"/>
  <c r="M449" i="9"/>
  <c r="L449" i="9"/>
  <c r="K449" i="9"/>
  <c r="N448" i="9"/>
  <c r="M448" i="9"/>
  <c r="L448" i="9"/>
  <c r="K448" i="9"/>
  <c r="N447" i="9"/>
  <c r="M447" i="9"/>
  <c r="L447" i="9"/>
  <c r="K447" i="9"/>
  <c r="M446" i="9"/>
  <c r="L446" i="9"/>
  <c r="N446" i="9" s="1"/>
  <c r="K446" i="9"/>
  <c r="M445" i="9"/>
  <c r="L445" i="9"/>
  <c r="N445" i="9" s="1"/>
  <c r="K445" i="9"/>
  <c r="N444" i="9"/>
  <c r="M444" i="9"/>
  <c r="L444" i="9"/>
  <c r="K444" i="9"/>
  <c r="N443" i="9"/>
  <c r="M443" i="9"/>
  <c r="L443" i="9"/>
  <c r="K443" i="9"/>
  <c r="N442" i="9"/>
  <c r="M442" i="9"/>
  <c r="L442" i="9"/>
  <c r="K442" i="9"/>
  <c r="N441" i="9"/>
  <c r="M441" i="9"/>
  <c r="L441" i="9"/>
  <c r="K441" i="9"/>
  <c r="N440" i="9"/>
  <c r="M440" i="9"/>
  <c r="L440" i="9"/>
  <c r="K440" i="9"/>
  <c r="M439" i="9"/>
  <c r="L439" i="9"/>
  <c r="N439" i="9" s="1"/>
  <c r="K439" i="9"/>
  <c r="M438" i="9"/>
  <c r="L438" i="9"/>
  <c r="N438" i="9" s="1"/>
  <c r="K438" i="9"/>
  <c r="M437" i="9"/>
  <c r="L437" i="9"/>
  <c r="N437" i="9" s="1"/>
  <c r="K437" i="9"/>
  <c r="N436" i="9"/>
  <c r="M436" i="9"/>
  <c r="L436" i="9"/>
  <c r="K436" i="9"/>
  <c r="N435" i="9"/>
  <c r="M435" i="9"/>
  <c r="L435" i="9"/>
  <c r="K435" i="9"/>
  <c r="N434" i="9"/>
  <c r="M434" i="9"/>
  <c r="L434" i="9"/>
  <c r="K434" i="9"/>
  <c r="N433" i="9"/>
  <c r="M433" i="9"/>
  <c r="L433" i="9"/>
  <c r="K433" i="9"/>
  <c r="M432" i="9"/>
  <c r="L432" i="9"/>
  <c r="N432" i="9" s="1"/>
  <c r="K432" i="9"/>
  <c r="M431" i="9"/>
  <c r="L431" i="9"/>
  <c r="N431" i="9" s="1"/>
  <c r="K431" i="9"/>
  <c r="M430" i="9"/>
  <c r="L430" i="9"/>
  <c r="N430" i="9" s="1"/>
  <c r="K430" i="9"/>
  <c r="N429" i="9"/>
  <c r="M429" i="9"/>
  <c r="L429" i="9"/>
  <c r="K429" i="9"/>
  <c r="N428" i="9"/>
  <c r="M428" i="9"/>
  <c r="L428" i="9"/>
  <c r="K428" i="9"/>
  <c r="N427" i="9"/>
  <c r="M427" i="9"/>
  <c r="L427" i="9"/>
  <c r="K427" i="9"/>
  <c r="N426" i="9"/>
  <c r="M426" i="9"/>
  <c r="L426" i="9"/>
  <c r="K426" i="9"/>
  <c r="M425" i="9"/>
  <c r="L425" i="9"/>
  <c r="N425" i="9" s="1"/>
  <c r="K425" i="9"/>
  <c r="M424" i="9"/>
  <c r="L424" i="9"/>
  <c r="N424" i="9" s="1"/>
  <c r="K424" i="9"/>
  <c r="M423" i="9"/>
  <c r="L423" i="9"/>
  <c r="N423" i="9" s="1"/>
  <c r="K423" i="9"/>
  <c r="N422" i="9"/>
  <c r="M422" i="9"/>
  <c r="L422" i="9"/>
  <c r="K422" i="9"/>
  <c r="N421" i="9"/>
  <c r="M421" i="9"/>
  <c r="L421" i="9"/>
  <c r="K421" i="9"/>
  <c r="N420" i="9"/>
  <c r="M420" i="9"/>
  <c r="L420" i="9"/>
  <c r="K420" i="9"/>
  <c r="N419" i="9"/>
  <c r="M419" i="9"/>
  <c r="L419" i="9"/>
  <c r="K419" i="9"/>
  <c r="M418" i="9"/>
  <c r="L418" i="9"/>
  <c r="N418" i="9" s="1"/>
  <c r="K418" i="9"/>
  <c r="M417" i="9"/>
  <c r="L417" i="9"/>
  <c r="N417" i="9" s="1"/>
  <c r="K417" i="9"/>
  <c r="M416" i="9"/>
  <c r="L416" i="9"/>
  <c r="N416" i="9" s="1"/>
  <c r="K416" i="9"/>
  <c r="N415" i="9"/>
  <c r="M415" i="9"/>
  <c r="L415" i="9"/>
  <c r="K415" i="9"/>
  <c r="N414" i="9"/>
  <c r="M414" i="9"/>
  <c r="L414" i="9"/>
  <c r="K414" i="9"/>
  <c r="N413" i="9"/>
  <c r="M413" i="9"/>
  <c r="L413" i="9"/>
  <c r="K413" i="9"/>
  <c r="N412" i="9"/>
  <c r="M412" i="9"/>
  <c r="L412" i="9"/>
  <c r="K412" i="9"/>
  <c r="M411" i="9"/>
  <c r="L411" i="9"/>
  <c r="N411" i="9" s="1"/>
  <c r="K411" i="9"/>
  <c r="M410" i="9"/>
  <c r="L410" i="9"/>
  <c r="N410" i="9" s="1"/>
  <c r="K410" i="9"/>
  <c r="M409" i="9"/>
  <c r="L409" i="9"/>
  <c r="N409" i="9" s="1"/>
  <c r="K409" i="9"/>
  <c r="N408" i="9"/>
  <c r="M408" i="9"/>
  <c r="L408" i="9"/>
  <c r="K408" i="9"/>
  <c r="N407" i="9"/>
  <c r="M407" i="9"/>
  <c r="L407" i="9"/>
  <c r="K407" i="9"/>
  <c r="N406" i="9"/>
  <c r="M406" i="9"/>
  <c r="L406" i="9"/>
  <c r="K406" i="9"/>
  <c r="N405" i="9"/>
  <c r="M405" i="9"/>
  <c r="L405" i="9"/>
  <c r="K405" i="9"/>
  <c r="M404" i="9"/>
  <c r="L404" i="9"/>
  <c r="N404" i="9" s="1"/>
  <c r="K404" i="9"/>
  <c r="M403" i="9"/>
  <c r="L403" i="9"/>
  <c r="N403" i="9" s="1"/>
  <c r="K403" i="9"/>
  <c r="M402" i="9"/>
  <c r="L402" i="9"/>
  <c r="N402" i="9" s="1"/>
  <c r="K402" i="9"/>
  <c r="N401" i="9"/>
  <c r="M401" i="9"/>
  <c r="L401" i="9"/>
  <c r="K401" i="9"/>
  <c r="N400" i="9"/>
  <c r="M400" i="9"/>
  <c r="L400" i="9"/>
  <c r="K400" i="9"/>
  <c r="N399" i="9"/>
  <c r="M399" i="9"/>
  <c r="L399" i="9"/>
  <c r="K399" i="9"/>
  <c r="N398" i="9"/>
  <c r="M398" i="9"/>
  <c r="L398" i="9"/>
  <c r="K398" i="9"/>
  <c r="M397" i="9"/>
  <c r="L397" i="9"/>
  <c r="N397" i="9" s="1"/>
  <c r="K397" i="9"/>
  <c r="M396" i="9"/>
  <c r="L396" i="9"/>
  <c r="N396" i="9" s="1"/>
  <c r="K396" i="9"/>
  <c r="M395" i="9"/>
  <c r="L395" i="9"/>
  <c r="N395" i="9" s="1"/>
  <c r="K395" i="9"/>
  <c r="N394" i="9"/>
  <c r="M394" i="9"/>
  <c r="L394" i="9"/>
  <c r="K394" i="9"/>
  <c r="N393" i="9"/>
  <c r="M393" i="9"/>
  <c r="L393" i="9"/>
  <c r="K393" i="9"/>
  <c r="N392" i="9"/>
  <c r="M392" i="9"/>
  <c r="L392" i="9"/>
  <c r="K392" i="9"/>
  <c r="N391" i="9"/>
  <c r="M391" i="9"/>
  <c r="L391" i="9"/>
  <c r="K391" i="9"/>
  <c r="M390" i="9"/>
  <c r="L390" i="9"/>
  <c r="N390" i="9" s="1"/>
  <c r="K390" i="9"/>
  <c r="M389" i="9"/>
  <c r="L389" i="9"/>
  <c r="N389" i="9" s="1"/>
  <c r="K389" i="9"/>
  <c r="M388" i="9"/>
  <c r="L388" i="9"/>
  <c r="N388" i="9" s="1"/>
  <c r="K388" i="9"/>
  <c r="N387" i="9"/>
  <c r="M387" i="9"/>
  <c r="L387" i="9"/>
  <c r="K387" i="9"/>
  <c r="N386" i="9"/>
  <c r="M386" i="9"/>
  <c r="L386" i="9"/>
  <c r="K386" i="9"/>
  <c r="N385" i="9"/>
  <c r="M385" i="9"/>
  <c r="L385" i="9"/>
  <c r="K385" i="9"/>
  <c r="N384" i="9"/>
  <c r="M384" i="9"/>
  <c r="L384" i="9"/>
  <c r="K384" i="9"/>
  <c r="M383" i="9"/>
  <c r="L383" i="9"/>
  <c r="N383" i="9" s="1"/>
  <c r="K383" i="9"/>
  <c r="M382" i="9"/>
  <c r="L382" i="9"/>
  <c r="N382" i="9" s="1"/>
  <c r="K382" i="9"/>
  <c r="M381" i="9"/>
  <c r="L381" i="9"/>
  <c r="N381" i="9" s="1"/>
  <c r="K381" i="9"/>
  <c r="N380" i="9"/>
  <c r="M380" i="9"/>
  <c r="L380" i="9"/>
  <c r="K380" i="9"/>
  <c r="N379" i="9"/>
  <c r="M379" i="9"/>
  <c r="L379" i="9"/>
  <c r="K379" i="9"/>
  <c r="N378" i="9"/>
  <c r="M378" i="9"/>
  <c r="L378" i="9"/>
  <c r="K378" i="9"/>
  <c r="N377" i="9"/>
  <c r="M377" i="9"/>
  <c r="L377" i="9"/>
  <c r="K377" i="9"/>
  <c r="M376" i="9"/>
  <c r="L376" i="9"/>
  <c r="N376" i="9" s="1"/>
  <c r="K376" i="9"/>
  <c r="M375" i="9"/>
  <c r="L375" i="9"/>
  <c r="N375" i="9" s="1"/>
  <c r="K375" i="9"/>
  <c r="M374" i="9"/>
  <c r="L374" i="9"/>
  <c r="N374" i="9" s="1"/>
  <c r="K374" i="9"/>
  <c r="N373" i="9"/>
  <c r="M373" i="9"/>
  <c r="L373" i="9"/>
  <c r="K373" i="9"/>
  <c r="N372" i="9"/>
  <c r="M372" i="9"/>
  <c r="L372" i="9"/>
  <c r="K372" i="9"/>
  <c r="N371" i="9"/>
  <c r="M371" i="9"/>
  <c r="L371" i="9"/>
  <c r="K371" i="9"/>
  <c r="N370" i="9"/>
  <c r="M370" i="9"/>
  <c r="L370" i="9"/>
  <c r="K370" i="9"/>
  <c r="M369" i="9"/>
  <c r="L369" i="9"/>
  <c r="N369" i="9" s="1"/>
  <c r="K369" i="9"/>
  <c r="M368" i="9"/>
  <c r="L368" i="9"/>
  <c r="N368" i="9" s="1"/>
  <c r="K368" i="9"/>
  <c r="M367" i="9"/>
  <c r="L367" i="9"/>
  <c r="N367" i="9" s="1"/>
  <c r="K367" i="9"/>
  <c r="N366" i="9"/>
  <c r="M366" i="9"/>
  <c r="L366" i="9"/>
  <c r="K366" i="9"/>
  <c r="N365" i="9"/>
  <c r="M365" i="9"/>
  <c r="L365" i="9"/>
  <c r="K365" i="9"/>
  <c r="N364" i="9"/>
  <c r="M364" i="9"/>
  <c r="L364" i="9"/>
  <c r="K364" i="9"/>
  <c r="N363" i="9"/>
  <c r="M363" i="9"/>
  <c r="L363" i="9"/>
  <c r="K363" i="9"/>
  <c r="M362" i="9"/>
  <c r="L362" i="9"/>
  <c r="N362" i="9" s="1"/>
  <c r="K362" i="9"/>
  <c r="M361" i="9"/>
  <c r="L361" i="9"/>
  <c r="N361" i="9" s="1"/>
  <c r="K361" i="9"/>
  <c r="M360" i="9"/>
  <c r="L360" i="9"/>
  <c r="N360" i="9" s="1"/>
  <c r="K360" i="9"/>
  <c r="N359" i="9"/>
  <c r="M359" i="9"/>
  <c r="L359" i="9"/>
  <c r="K359" i="9"/>
  <c r="N358" i="9"/>
  <c r="M358" i="9"/>
  <c r="L358" i="9"/>
  <c r="K358" i="9"/>
  <c r="N357" i="9"/>
  <c r="M357" i="9"/>
  <c r="L357" i="9"/>
  <c r="K357" i="9"/>
  <c r="N356" i="9"/>
  <c r="M356" i="9"/>
  <c r="L356" i="9"/>
  <c r="K356" i="9"/>
  <c r="M355" i="9"/>
  <c r="L355" i="9"/>
  <c r="N355" i="9" s="1"/>
  <c r="K355" i="9"/>
  <c r="N354" i="9"/>
  <c r="M354" i="9"/>
  <c r="L354" i="9"/>
  <c r="K354" i="9"/>
  <c r="M353" i="9"/>
  <c r="L353" i="9"/>
  <c r="N353" i="9" s="1"/>
  <c r="K353" i="9"/>
  <c r="N352" i="9"/>
  <c r="M352" i="9"/>
  <c r="L352" i="9"/>
  <c r="K352" i="9"/>
  <c r="N351" i="9"/>
  <c r="M351" i="9"/>
  <c r="L351" i="9"/>
  <c r="K351" i="9"/>
  <c r="N350" i="9"/>
  <c r="M350" i="9"/>
  <c r="L350" i="9"/>
  <c r="K350" i="9"/>
  <c r="N349" i="9"/>
  <c r="M349" i="9"/>
  <c r="L349" i="9"/>
  <c r="K349" i="9"/>
  <c r="M348" i="9"/>
  <c r="L348" i="9"/>
  <c r="N348" i="9" s="1"/>
  <c r="K348" i="9"/>
  <c r="M347" i="9"/>
  <c r="L347" i="9"/>
  <c r="N347" i="9" s="1"/>
  <c r="K347" i="9"/>
  <c r="N346" i="9"/>
  <c r="M346" i="9"/>
  <c r="L346" i="9"/>
  <c r="K346" i="9"/>
  <c r="N345" i="9"/>
  <c r="M345" i="9"/>
  <c r="L345" i="9"/>
  <c r="K345" i="9"/>
  <c r="N344" i="9"/>
  <c r="M344" i="9"/>
  <c r="L344" i="9"/>
  <c r="K344" i="9"/>
  <c r="N343" i="9"/>
  <c r="M343" i="9"/>
  <c r="L343" i="9"/>
  <c r="K343" i="9"/>
  <c r="N342" i="9"/>
  <c r="M342" i="9"/>
  <c r="L342" i="9"/>
  <c r="K342" i="9"/>
  <c r="M341" i="9"/>
  <c r="L341" i="9"/>
  <c r="N341" i="9" s="1"/>
  <c r="K341" i="9"/>
  <c r="M340" i="9"/>
  <c r="L340" i="9"/>
  <c r="N340" i="9" s="1"/>
  <c r="K340" i="9"/>
  <c r="M339" i="9"/>
  <c r="L339" i="9"/>
  <c r="N339" i="9" s="1"/>
  <c r="K339" i="9"/>
  <c r="N338" i="9"/>
  <c r="M338" i="9"/>
  <c r="L338" i="9"/>
  <c r="K338" i="9"/>
  <c r="N337" i="9"/>
  <c r="M337" i="9"/>
  <c r="L337" i="9"/>
  <c r="K337" i="9"/>
  <c r="N336" i="9"/>
  <c r="M336" i="9"/>
  <c r="L336" i="9"/>
  <c r="K336" i="9"/>
  <c r="N335" i="9"/>
  <c r="M335" i="9"/>
  <c r="L335" i="9"/>
  <c r="K335" i="9"/>
  <c r="M334" i="9"/>
  <c r="L334" i="9"/>
  <c r="N334" i="9" s="1"/>
  <c r="K334" i="9"/>
  <c r="M333" i="9"/>
  <c r="L333" i="9"/>
  <c r="N333" i="9" s="1"/>
  <c r="K333" i="9"/>
  <c r="M332" i="9"/>
  <c r="L332" i="9"/>
  <c r="N332" i="9" s="1"/>
  <c r="K332" i="9"/>
  <c r="N331" i="9"/>
  <c r="M331" i="9"/>
  <c r="L331" i="9"/>
  <c r="K331" i="9"/>
  <c r="N330" i="9"/>
  <c r="M330" i="9"/>
  <c r="L330" i="9"/>
  <c r="K330" i="9"/>
  <c r="N329" i="9"/>
  <c r="M329" i="9"/>
  <c r="L329" i="9"/>
  <c r="K329" i="9"/>
  <c r="N328" i="9"/>
  <c r="M328" i="9"/>
  <c r="L328" i="9"/>
  <c r="K328" i="9"/>
  <c r="M327" i="9"/>
  <c r="L327" i="9"/>
  <c r="N327" i="9" s="1"/>
  <c r="K327" i="9"/>
  <c r="M326" i="9"/>
  <c r="L326" i="9"/>
  <c r="N326" i="9" s="1"/>
  <c r="K326" i="9"/>
  <c r="M325" i="9"/>
  <c r="L325" i="9"/>
  <c r="N325" i="9" s="1"/>
  <c r="K325" i="9"/>
  <c r="N324" i="9"/>
  <c r="M324" i="9"/>
  <c r="L324" i="9"/>
  <c r="K324" i="9"/>
  <c r="N323" i="9"/>
  <c r="M323" i="9"/>
  <c r="L323" i="9"/>
  <c r="K323" i="9"/>
  <c r="N322" i="9"/>
  <c r="M322" i="9"/>
  <c r="L322" i="9"/>
  <c r="K322" i="9"/>
  <c r="N321" i="9"/>
  <c r="M321" i="9"/>
  <c r="L321" i="9"/>
  <c r="K321" i="9"/>
  <c r="N320" i="9"/>
  <c r="M320" i="9"/>
  <c r="L320" i="9"/>
  <c r="K320" i="9"/>
  <c r="M319" i="9"/>
  <c r="L319" i="9"/>
  <c r="N319" i="9" s="1"/>
  <c r="K319" i="9"/>
  <c r="M318" i="9"/>
  <c r="L318" i="9"/>
  <c r="N318" i="9" s="1"/>
  <c r="K318" i="9"/>
  <c r="N317" i="9"/>
  <c r="M317" i="9"/>
  <c r="L317" i="9"/>
  <c r="K317" i="9"/>
  <c r="N316" i="9"/>
  <c r="M316" i="9"/>
  <c r="L316" i="9"/>
  <c r="K316" i="9"/>
  <c r="N315" i="9"/>
  <c r="M315" i="9"/>
  <c r="L315" i="9"/>
  <c r="K315" i="9"/>
  <c r="N314" i="9"/>
  <c r="M314" i="9"/>
  <c r="L314" i="9"/>
  <c r="K314" i="9"/>
  <c r="M313" i="9"/>
  <c r="L313" i="9"/>
  <c r="N313" i="9" s="1"/>
  <c r="K313" i="9"/>
  <c r="M312" i="9"/>
  <c r="L312" i="9"/>
  <c r="K312" i="9"/>
  <c r="N311" i="9"/>
  <c r="M311" i="9"/>
  <c r="L311" i="9"/>
  <c r="K311" i="9"/>
  <c r="N310" i="9"/>
  <c r="M310" i="9"/>
  <c r="L310" i="9"/>
  <c r="K310" i="9"/>
  <c r="N309" i="9"/>
  <c r="M309" i="9"/>
  <c r="L309" i="9"/>
  <c r="K309" i="9"/>
  <c r="N308" i="9"/>
  <c r="M308" i="9"/>
  <c r="L308" i="9"/>
  <c r="K308" i="9"/>
  <c r="N307" i="9"/>
  <c r="M307" i="9"/>
  <c r="L307" i="9"/>
  <c r="K307" i="9"/>
  <c r="M306" i="9"/>
  <c r="L306" i="9"/>
  <c r="N306" i="9" s="1"/>
  <c r="K306" i="9"/>
  <c r="M305" i="9"/>
  <c r="L305" i="9"/>
  <c r="N305" i="9" s="1"/>
  <c r="K305" i="9"/>
  <c r="M304" i="9"/>
  <c r="L304" i="9"/>
  <c r="N304" i="9" s="1"/>
  <c r="K304" i="9"/>
  <c r="N303" i="9"/>
  <c r="M303" i="9"/>
  <c r="L303" i="9"/>
  <c r="K303" i="9"/>
  <c r="N302" i="9"/>
  <c r="M302" i="9"/>
  <c r="L302" i="9"/>
  <c r="K302" i="9"/>
  <c r="N301" i="9"/>
  <c r="M301" i="9"/>
  <c r="L301" i="9"/>
  <c r="K301" i="9"/>
  <c r="N300" i="9"/>
  <c r="M300" i="9"/>
  <c r="L300" i="9"/>
  <c r="K300" i="9"/>
  <c r="M299" i="9"/>
  <c r="L299" i="9"/>
  <c r="N299" i="9" s="1"/>
  <c r="K299" i="9"/>
  <c r="M298" i="9"/>
  <c r="L298" i="9"/>
  <c r="N298" i="9" s="1"/>
  <c r="K298" i="9"/>
  <c r="M297" i="9"/>
  <c r="L297" i="9"/>
  <c r="N297" i="9" s="1"/>
  <c r="K297" i="9"/>
  <c r="N296" i="9"/>
  <c r="M296" i="9"/>
  <c r="L296" i="9"/>
  <c r="K296" i="9"/>
  <c r="N295" i="9"/>
  <c r="M295" i="9"/>
  <c r="L295" i="9"/>
  <c r="K295" i="9"/>
  <c r="N294" i="9"/>
  <c r="M294" i="9"/>
  <c r="L294" i="9"/>
  <c r="K294" i="9"/>
  <c r="N293" i="9"/>
  <c r="M293" i="9"/>
  <c r="L293" i="9"/>
  <c r="K293" i="9"/>
  <c r="M292" i="9"/>
  <c r="L292" i="9"/>
  <c r="N292" i="9" s="1"/>
  <c r="K292" i="9"/>
  <c r="M291" i="9"/>
  <c r="L291" i="9"/>
  <c r="N291" i="9" s="1"/>
  <c r="K291" i="9"/>
  <c r="N290" i="9"/>
  <c r="M290" i="9"/>
  <c r="L290" i="9"/>
  <c r="K290" i="9"/>
  <c r="N289" i="9"/>
  <c r="M289" i="9"/>
  <c r="L289" i="9"/>
  <c r="K289" i="9"/>
  <c r="N288" i="9"/>
  <c r="M288" i="9"/>
  <c r="L288" i="9"/>
  <c r="K288" i="9"/>
  <c r="N287" i="9"/>
  <c r="M287" i="9"/>
  <c r="L287" i="9"/>
  <c r="K287" i="9"/>
  <c r="N286" i="9"/>
  <c r="M286" i="9"/>
  <c r="L286" i="9"/>
  <c r="K286" i="9"/>
  <c r="M285" i="9"/>
  <c r="L285" i="9"/>
  <c r="N285" i="9" s="1"/>
  <c r="K285" i="9"/>
  <c r="M284" i="9"/>
  <c r="L284" i="9"/>
  <c r="N284" i="9" s="1"/>
  <c r="K284" i="9"/>
  <c r="M283" i="9"/>
  <c r="L283" i="9"/>
  <c r="N283" i="9" s="1"/>
  <c r="K283" i="9"/>
  <c r="N282" i="9"/>
  <c r="M282" i="9"/>
  <c r="L282" i="9"/>
  <c r="K282" i="9"/>
  <c r="N281" i="9"/>
  <c r="M281" i="9"/>
  <c r="L281" i="9"/>
  <c r="K281" i="9"/>
  <c r="N280" i="9"/>
  <c r="M280" i="9"/>
  <c r="L280" i="9"/>
  <c r="K280" i="9"/>
  <c r="N279" i="9"/>
  <c r="M279" i="9"/>
  <c r="L279" i="9"/>
  <c r="K279" i="9"/>
  <c r="M278" i="9"/>
  <c r="L278" i="9"/>
  <c r="N278" i="9" s="1"/>
  <c r="K278" i="9"/>
  <c r="M277" i="9"/>
  <c r="L277" i="9"/>
  <c r="N277" i="9" s="1"/>
  <c r="K277" i="9"/>
  <c r="M276" i="9"/>
  <c r="L276" i="9"/>
  <c r="N276" i="9" s="1"/>
  <c r="K276" i="9"/>
  <c r="N275" i="9"/>
  <c r="M275" i="9"/>
  <c r="L275" i="9"/>
  <c r="K275" i="9"/>
  <c r="N274" i="9"/>
  <c r="M274" i="9"/>
  <c r="L274" i="9"/>
  <c r="K274" i="9"/>
  <c r="N273" i="9"/>
  <c r="M273" i="9"/>
  <c r="L273" i="9"/>
  <c r="K273" i="9"/>
  <c r="N272" i="9"/>
  <c r="M272" i="9"/>
  <c r="L272" i="9"/>
  <c r="K272" i="9"/>
  <c r="M271" i="9"/>
  <c r="L271" i="9"/>
  <c r="N271" i="9" s="1"/>
  <c r="K271" i="9"/>
  <c r="M270" i="9"/>
  <c r="L270" i="9"/>
  <c r="N270" i="9" s="1"/>
  <c r="K270" i="9"/>
  <c r="M269" i="9"/>
  <c r="L269" i="9"/>
  <c r="N269" i="9" s="1"/>
  <c r="K269" i="9"/>
  <c r="N268" i="9"/>
  <c r="M268" i="9"/>
  <c r="L268" i="9"/>
  <c r="K268" i="9"/>
  <c r="N267" i="9"/>
  <c r="M267" i="9"/>
  <c r="L267" i="9"/>
  <c r="K267" i="9"/>
  <c r="N266" i="9"/>
  <c r="M266" i="9"/>
  <c r="L266" i="9"/>
  <c r="K266" i="9"/>
  <c r="N265" i="9"/>
  <c r="M265" i="9"/>
  <c r="L265" i="9"/>
  <c r="K265" i="9"/>
  <c r="M264" i="9"/>
  <c r="L264" i="9"/>
  <c r="N264" i="9" s="1"/>
  <c r="K264" i="9"/>
  <c r="M263" i="9"/>
  <c r="L263" i="9"/>
  <c r="N263" i="9" s="1"/>
  <c r="K263" i="9"/>
  <c r="M262" i="9"/>
  <c r="L262" i="9"/>
  <c r="N262" i="9" s="1"/>
  <c r="K262" i="9"/>
  <c r="N261" i="9"/>
  <c r="M261" i="9"/>
  <c r="L261" i="9"/>
  <c r="K261" i="9"/>
  <c r="N260" i="9"/>
  <c r="M260" i="9"/>
  <c r="L260" i="9"/>
  <c r="K260" i="9"/>
  <c r="N259" i="9"/>
  <c r="M259" i="9"/>
  <c r="L259" i="9"/>
  <c r="K259" i="9"/>
  <c r="N258" i="9"/>
  <c r="M258" i="9"/>
  <c r="L258" i="9"/>
  <c r="K258" i="9"/>
  <c r="M257" i="9"/>
  <c r="L257" i="9"/>
  <c r="N257" i="9" s="1"/>
  <c r="K257" i="9"/>
  <c r="N256" i="9"/>
  <c r="M256" i="9"/>
  <c r="L256" i="9"/>
  <c r="K256" i="9"/>
  <c r="M255" i="9"/>
  <c r="L255" i="9"/>
  <c r="N255" i="9" s="1"/>
  <c r="K255" i="9"/>
  <c r="N254" i="9"/>
  <c r="M254" i="9"/>
  <c r="L254" i="9"/>
  <c r="K254" i="9"/>
  <c r="N253" i="9"/>
  <c r="M253" i="9"/>
  <c r="L253" i="9"/>
  <c r="K253" i="9"/>
  <c r="N252" i="9"/>
  <c r="M252" i="9"/>
  <c r="L252" i="9"/>
  <c r="K252" i="9"/>
  <c r="N251" i="9"/>
  <c r="M251" i="9"/>
  <c r="L251" i="9"/>
  <c r="K251" i="9"/>
  <c r="M250" i="9"/>
  <c r="L250" i="9"/>
  <c r="N250" i="9" s="1"/>
  <c r="K250" i="9"/>
  <c r="M249" i="9"/>
  <c r="L249" i="9"/>
  <c r="N249" i="9" s="1"/>
  <c r="K249" i="9"/>
  <c r="M248" i="9"/>
  <c r="L248" i="9"/>
  <c r="N248" i="9" s="1"/>
  <c r="K248" i="9"/>
  <c r="N247" i="9"/>
  <c r="M247" i="9"/>
  <c r="L247" i="9"/>
  <c r="K247" i="9"/>
  <c r="N246" i="9"/>
  <c r="M246" i="9"/>
  <c r="L246" i="9"/>
  <c r="K246" i="9"/>
  <c r="N245" i="9"/>
  <c r="M245" i="9"/>
  <c r="L245" i="9"/>
  <c r="K245" i="9"/>
  <c r="N244" i="9"/>
  <c r="M244" i="9"/>
  <c r="L244" i="9"/>
  <c r="K244" i="9"/>
  <c r="M243" i="9"/>
  <c r="L243" i="9"/>
  <c r="N243" i="9" s="1"/>
  <c r="K243" i="9"/>
  <c r="M242" i="9"/>
  <c r="L242" i="9"/>
  <c r="N242" i="9" s="1"/>
  <c r="K242" i="9"/>
  <c r="M241" i="9"/>
  <c r="L241" i="9"/>
  <c r="N241" i="9" s="1"/>
  <c r="K241" i="9"/>
  <c r="N240" i="9"/>
  <c r="M240" i="9"/>
  <c r="L240" i="9"/>
  <c r="K240" i="9"/>
  <c r="N239" i="9"/>
  <c r="M239" i="9"/>
  <c r="L239" i="9"/>
  <c r="K239" i="9"/>
  <c r="N238" i="9"/>
  <c r="M238" i="9"/>
  <c r="L238" i="9"/>
  <c r="K238" i="9"/>
  <c r="N237" i="9"/>
  <c r="M237" i="9"/>
  <c r="L237" i="9"/>
  <c r="K237" i="9"/>
  <c r="N236" i="9"/>
  <c r="M236" i="9"/>
  <c r="L236" i="9"/>
  <c r="K236" i="9"/>
  <c r="N235" i="9"/>
  <c r="M235" i="9"/>
  <c r="L235" i="9"/>
  <c r="K235" i="9"/>
  <c r="N234" i="9"/>
  <c r="M234" i="9"/>
  <c r="L234" i="9"/>
  <c r="K234" i="9"/>
  <c r="N233" i="9"/>
  <c r="M233" i="9"/>
  <c r="L233" i="9"/>
  <c r="K233" i="9"/>
  <c r="N232" i="9"/>
  <c r="M232" i="9"/>
  <c r="L232" i="9"/>
  <c r="K232" i="9"/>
  <c r="N231" i="9"/>
  <c r="M231" i="9"/>
  <c r="L231" i="9"/>
  <c r="K231" i="9"/>
  <c r="N230" i="9"/>
  <c r="M230" i="9"/>
  <c r="L230" i="9"/>
  <c r="K230" i="9"/>
  <c r="N229" i="9"/>
  <c r="M229" i="9"/>
  <c r="L229" i="9"/>
  <c r="K229" i="9"/>
  <c r="N228" i="9"/>
  <c r="M228" i="9"/>
  <c r="L228" i="9"/>
  <c r="K228" i="9"/>
  <c r="N227" i="9"/>
  <c r="M227" i="9"/>
  <c r="L227" i="9"/>
  <c r="K227" i="9"/>
  <c r="N226" i="9"/>
  <c r="M226" i="9"/>
  <c r="L226" i="9"/>
  <c r="K226" i="9"/>
  <c r="N225" i="9"/>
  <c r="M225" i="9"/>
  <c r="L225" i="9"/>
  <c r="K225" i="9"/>
  <c r="N224" i="9"/>
  <c r="M224" i="9"/>
  <c r="L224" i="9"/>
  <c r="K224" i="9"/>
  <c r="N223" i="9"/>
  <c r="M223" i="9"/>
  <c r="L223" i="9"/>
  <c r="K223" i="9"/>
  <c r="N222" i="9"/>
  <c r="M222" i="9"/>
  <c r="L222" i="9"/>
  <c r="K222" i="9"/>
  <c r="N221" i="9"/>
  <c r="M221" i="9"/>
  <c r="L221" i="9"/>
  <c r="K221" i="9"/>
  <c r="N220" i="9"/>
  <c r="M220" i="9"/>
  <c r="L220" i="9"/>
  <c r="K220" i="9"/>
  <c r="N219" i="9"/>
  <c r="M219" i="9"/>
  <c r="L219" i="9"/>
  <c r="K219" i="9"/>
  <c r="N218" i="9"/>
  <c r="M218" i="9"/>
  <c r="L218" i="9"/>
  <c r="K218" i="9"/>
  <c r="N217" i="9"/>
  <c r="M217" i="9"/>
  <c r="L217" i="9"/>
  <c r="K217" i="9"/>
  <c r="N216" i="9"/>
  <c r="M216" i="9"/>
  <c r="L216" i="9"/>
  <c r="K216" i="9"/>
  <c r="N215" i="9"/>
  <c r="M215" i="9"/>
  <c r="L215" i="9"/>
  <c r="K215" i="9"/>
  <c r="N214" i="9"/>
  <c r="M214" i="9"/>
  <c r="L214" i="9"/>
  <c r="K214" i="9"/>
  <c r="N213" i="9"/>
  <c r="M213" i="9"/>
  <c r="L213" i="9"/>
  <c r="K213" i="9"/>
  <c r="N212" i="9"/>
  <c r="M212" i="9"/>
  <c r="L212" i="9"/>
  <c r="K212" i="9"/>
  <c r="N211" i="9"/>
  <c r="M211" i="9"/>
  <c r="L211" i="9"/>
  <c r="K211" i="9"/>
  <c r="N210" i="9"/>
  <c r="M210" i="9"/>
  <c r="L210" i="9"/>
  <c r="K210" i="9"/>
  <c r="N209" i="9"/>
  <c r="M209" i="9"/>
  <c r="L209" i="9"/>
  <c r="K209" i="9"/>
  <c r="N208" i="9"/>
  <c r="M208" i="9"/>
  <c r="L208" i="9"/>
  <c r="K208" i="9"/>
  <c r="N207" i="9"/>
  <c r="M207" i="9"/>
  <c r="L207" i="9"/>
  <c r="K207" i="9"/>
  <c r="N206" i="9"/>
  <c r="M206" i="9"/>
  <c r="L206" i="9"/>
  <c r="K206" i="9"/>
  <c r="N205" i="9"/>
  <c r="M205" i="9"/>
  <c r="L205" i="9"/>
  <c r="K205" i="9"/>
  <c r="N204" i="9"/>
  <c r="M204" i="9"/>
  <c r="L204" i="9"/>
  <c r="K204" i="9"/>
  <c r="N203" i="9"/>
  <c r="M203" i="9"/>
  <c r="L203" i="9"/>
  <c r="K203" i="9"/>
  <c r="N202" i="9"/>
  <c r="M202" i="9"/>
  <c r="L202" i="9"/>
  <c r="K202" i="9"/>
  <c r="N201" i="9"/>
  <c r="M201" i="9"/>
  <c r="L201" i="9"/>
  <c r="K201" i="9"/>
  <c r="N200" i="9"/>
  <c r="M200" i="9"/>
  <c r="L200" i="9"/>
  <c r="K200" i="9"/>
  <c r="N199" i="9"/>
  <c r="M199" i="9"/>
  <c r="L199" i="9"/>
  <c r="K199" i="9"/>
  <c r="N198" i="9"/>
  <c r="M198" i="9"/>
  <c r="L198" i="9"/>
  <c r="K198" i="9"/>
  <c r="N197" i="9"/>
  <c r="M197" i="9"/>
  <c r="L197" i="9"/>
  <c r="K197" i="9"/>
  <c r="N196" i="9"/>
  <c r="M196" i="9"/>
  <c r="L196" i="9"/>
  <c r="K196" i="9"/>
  <c r="N195" i="9"/>
  <c r="M195" i="9"/>
  <c r="L195" i="9"/>
  <c r="K195" i="9"/>
  <c r="N194" i="9"/>
  <c r="M194" i="9"/>
  <c r="L194" i="9"/>
  <c r="K194" i="9"/>
  <c r="N193" i="9"/>
  <c r="M193" i="9"/>
  <c r="L193" i="9"/>
  <c r="K193" i="9"/>
  <c r="N192" i="9"/>
  <c r="M192" i="9"/>
  <c r="L192" i="9"/>
  <c r="K192" i="9"/>
  <c r="N191" i="9"/>
  <c r="M191" i="9"/>
  <c r="L191" i="9"/>
  <c r="K191" i="9"/>
  <c r="N190" i="9"/>
  <c r="M190" i="9"/>
  <c r="L190" i="9"/>
  <c r="K190" i="9"/>
  <c r="N189" i="9"/>
  <c r="M189" i="9"/>
  <c r="L189" i="9"/>
  <c r="K189" i="9"/>
  <c r="N188" i="9"/>
  <c r="M188" i="9"/>
  <c r="L188" i="9"/>
  <c r="K188" i="9"/>
  <c r="N187" i="9"/>
  <c r="M187" i="9"/>
  <c r="L187" i="9"/>
  <c r="K187" i="9"/>
  <c r="N186" i="9"/>
  <c r="M186" i="9"/>
  <c r="L186" i="9"/>
  <c r="K186" i="9"/>
  <c r="N185" i="9"/>
  <c r="M185" i="9"/>
  <c r="L185" i="9"/>
  <c r="K185" i="9"/>
  <c r="N184" i="9"/>
  <c r="M184" i="9"/>
  <c r="L184" i="9"/>
  <c r="K184" i="9"/>
  <c r="N183" i="9"/>
  <c r="M183" i="9"/>
  <c r="L183" i="9"/>
  <c r="K183" i="9"/>
  <c r="N182" i="9"/>
  <c r="M182" i="9"/>
  <c r="L182" i="9"/>
  <c r="K182" i="9"/>
  <c r="N181" i="9"/>
  <c r="M181" i="9"/>
  <c r="L181" i="9"/>
  <c r="K181" i="9"/>
  <c r="N180" i="9"/>
  <c r="M180" i="9"/>
  <c r="L180" i="9"/>
  <c r="K180" i="9"/>
  <c r="N179" i="9"/>
  <c r="M179" i="9"/>
  <c r="L179" i="9"/>
  <c r="K179" i="9"/>
  <c r="N178" i="9"/>
  <c r="M178" i="9"/>
  <c r="L178" i="9"/>
  <c r="K178" i="9"/>
  <c r="N177" i="9"/>
  <c r="M177" i="9"/>
  <c r="L177" i="9"/>
  <c r="K177" i="9"/>
  <c r="N176" i="9"/>
  <c r="M176" i="9"/>
  <c r="L176" i="9"/>
  <c r="K176" i="9"/>
  <c r="N175" i="9"/>
  <c r="M175" i="9"/>
  <c r="L175" i="9"/>
  <c r="K175" i="9"/>
  <c r="N174" i="9"/>
  <c r="M174" i="9"/>
  <c r="L174" i="9"/>
  <c r="K174" i="9"/>
  <c r="N173" i="9"/>
  <c r="M173" i="9"/>
  <c r="L173" i="9"/>
  <c r="K173" i="9"/>
  <c r="N172" i="9"/>
  <c r="M172" i="9"/>
  <c r="L172" i="9"/>
  <c r="K172" i="9"/>
  <c r="N171" i="9"/>
  <c r="M171" i="9"/>
  <c r="L171" i="9"/>
  <c r="K171" i="9"/>
  <c r="N170" i="9"/>
  <c r="M170" i="9"/>
  <c r="L170" i="9"/>
  <c r="K170" i="9"/>
  <c r="N169" i="9"/>
  <c r="M169" i="9"/>
  <c r="L169" i="9"/>
  <c r="K169" i="9"/>
  <c r="N168" i="9"/>
  <c r="M168" i="9"/>
  <c r="L168" i="9"/>
  <c r="K168" i="9"/>
  <c r="N167" i="9"/>
  <c r="M167" i="9"/>
  <c r="L167" i="9"/>
  <c r="K167" i="9"/>
  <c r="N166" i="9"/>
  <c r="M166" i="9"/>
  <c r="L166" i="9"/>
  <c r="K166" i="9"/>
  <c r="N165" i="9"/>
  <c r="M165" i="9"/>
  <c r="L165" i="9"/>
  <c r="K165" i="9"/>
  <c r="N164" i="9"/>
  <c r="M164" i="9"/>
  <c r="L164" i="9"/>
  <c r="K164" i="9"/>
  <c r="N163" i="9"/>
  <c r="M163" i="9"/>
  <c r="L163" i="9"/>
  <c r="K163" i="9"/>
  <c r="N162" i="9"/>
  <c r="M162" i="9"/>
  <c r="L162" i="9"/>
  <c r="K162" i="9"/>
  <c r="N161" i="9"/>
  <c r="M161" i="9"/>
  <c r="L161" i="9"/>
  <c r="K161" i="9"/>
  <c r="N160" i="9"/>
  <c r="M160" i="9"/>
  <c r="L160" i="9"/>
  <c r="K160" i="9"/>
  <c r="N159" i="9"/>
  <c r="M159" i="9"/>
  <c r="L159" i="9"/>
  <c r="K159" i="9"/>
  <c r="N158" i="9"/>
  <c r="M158" i="9"/>
  <c r="L158" i="9"/>
  <c r="K158" i="9"/>
  <c r="N157" i="9"/>
  <c r="M157" i="9"/>
  <c r="L157" i="9"/>
  <c r="K157" i="9"/>
  <c r="N156" i="9"/>
  <c r="M156" i="9"/>
  <c r="L156" i="9"/>
  <c r="K156" i="9"/>
  <c r="N155" i="9"/>
  <c r="M155" i="9"/>
  <c r="L155" i="9"/>
  <c r="K155" i="9"/>
  <c r="N154" i="9"/>
  <c r="M154" i="9"/>
  <c r="L154" i="9"/>
  <c r="K154" i="9"/>
  <c r="N153" i="9"/>
  <c r="M153" i="9"/>
  <c r="L153" i="9"/>
  <c r="K153" i="9"/>
  <c r="N152" i="9"/>
  <c r="M152" i="9"/>
  <c r="L152" i="9"/>
  <c r="K152" i="9"/>
  <c r="N151" i="9"/>
  <c r="M151" i="9"/>
  <c r="L151" i="9"/>
  <c r="K151" i="9"/>
  <c r="N150" i="9"/>
  <c r="M150" i="9"/>
  <c r="L150" i="9"/>
  <c r="K150" i="9"/>
  <c r="N149" i="9"/>
  <c r="M149" i="9"/>
  <c r="L149" i="9"/>
  <c r="K149" i="9"/>
  <c r="N148" i="9"/>
  <c r="M148" i="9"/>
  <c r="L148" i="9"/>
  <c r="K148" i="9"/>
  <c r="N147" i="9"/>
  <c r="M147" i="9"/>
  <c r="L147" i="9"/>
  <c r="K147" i="9"/>
  <c r="N146" i="9"/>
  <c r="M146" i="9"/>
  <c r="L146" i="9"/>
  <c r="K146" i="9"/>
  <c r="N145" i="9"/>
  <c r="M145" i="9"/>
  <c r="L145" i="9"/>
  <c r="K145" i="9"/>
  <c r="N144" i="9"/>
  <c r="M144" i="9"/>
  <c r="L144" i="9"/>
  <c r="K144" i="9"/>
  <c r="N143" i="9"/>
  <c r="M143" i="9"/>
  <c r="L143" i="9"/>
  <c r="K143" i="9"/>
  <c r="N142" i="9"/>
  <c r="M142" i="9"/>
  <c r="L142" i="9"/>
  <c r="K142" i="9"/>
  <c r="N141" i="9"/>
  <c r="M141" i="9"/>
  <c r="L141" i="9"/>
  <c r="K141" i="9"/>
  <c r="N140" i="9"/>
  <c r="M140" i="9"/>
  <c r="L140" i="9"/>
  <c r="K140" i="9"/>
  <c r="N139" i="9"/>
  <c r="M139" i="9"/>
  <c r="L139" i="9"/>
  <c r="K139" i="9"/>
  <c r="N138" i="9"/>
  <c r="M138" i="9"/>
  <c r="L138" i="9"/>
  <c r="K138" i="9"/>
  <c r="N137" i="9"/>
  <c r="M137" i="9"/>
  <c r="L137" i="9"/>
  <c r="K137" i="9"/>
  <c r="N136" i="9"/>
  <c r="M136" i="9"/>
  <c r="L136" i="9"/>
  <c r="K136" i="9"/>
  <c r="N135" i="9"/>
  <c r="M135" i="9"/>
  <c r="L135" i="9"/>
  <c r="K135" i="9"/>
  <c r="N134" i="9"/>
  <c r="M134" i="9"/>
  <c r="L134" i="9"/>
  <c r="K134" i="9"/>
  <c r="N133" i="9"/>
  <c r="M133" i="9"/>
  <c r="L133" i="9"/>
  <c r="K133" i="9"/>
  <c r="N132" i="9"/>
  <c r="M132" i="9"/>
  <c r="L132" i="9"/>
  <c r="K132" i="9"/>
  <c r="N131" i="9"/>
  <c r="M131" i="9"/>
  <c r="L131" i="9"/>
  <c r="K131" i="9"/>
  <c r="N130" i="9"/>
  <c r="M130" i="9"/>
  <c r="L130" i="9"/>
  <c r="K130" i="9"/>
  <c r="N129" i="9"/>
  <c r="M129" i="9"/>
  <c r="L129" i="9"/>
  <c r="K129" i="9"/>
  <c r="N128" i="9"/>
  <c r="M128" i="9"/>
  <c r="L128" i="9"/>
  <c r="K128" i="9"/>
  <c r="N127" i="9"/>
  <c r="M127" i="9"/>
  <c r="L127" i="9"/>
  <c r="K127" i="9"/>
  <c r="N126" i="9"/>
  <c r="M126" i="9"/>
  <c r="L126" i="9"/>
  <c r="K126" i="9"/>
  <c r="N125" i="9"/>
  <c r="M125" i="9"/>
  <c r="L125" i="9"/>
  <c r="K125" i="9"/>
  <c r="N124" i="9"/>
  <c r="M124" i="9"/>
  <c r="L124" i="9"/>
  <c r="K124" i="9"/>
  <c r="N123" i="9"/>
  <c r="M123" i="9"/>
  <c r="L123" i="9"/>
  <c r="K123" i="9"/>
  <c r="N122" i="9"/>
  <c r="M122" i="9"/>
  <c r="L122" i="9"/>
  <c r="K122" i="9"/>
  <c r="N121" i="9"/>
  <c r="M121" i="9"/>
  <c r="L121" i="9"/>
  <c r="K121" i="9"/>
  <c r="N120" i="9"/>
  <c r="M120" i="9"/>
  <c r="L120" i="9"/>
  <c r="K120" i="9"/>
  <c r="N119" i="9"/>
  <c r="M119" i="9"/>
  <c r="L119" i="9"/>
  <c r="K119" i="9"/>
  <c r="N118" i="9"/>
  <c r="M118" i="9"/>
  <c r="L118" i="9"/>
  <c r="K118" i="9"/>
  <c r="N117" i="9"/>
  <c r="M117" i="9"/>
  <c r="L117" i="9"/>
  <c r="K117" i="9"/>
  <c r="N116" i="9"/>
  <c r="M116" i="9"/>
  <c r="L116" i="9"/>
  <c r="K116" i="9"/>
  <c r="N115" i="9"/>
  <c r="M115" i="9"/>
  <c r="L115" i="9"/>
  <c r="K115" i="9"/>
  <c r="N114" i="9"/>
  <c r="M114" i="9"/>
  <c r="L114" i="9"/>
  <c r="K114" i="9"/>
  <c r="N113" i="9"/>
  <c r="M113" i="9"/>
  <c r="L113" i="9"/>
  <c r="K113" i="9"/>
  <c r="N112" i="9"/>
  <c r="M112" i="9"/>
  <c r="L112" i="9"/>
  <c r="K112" i="9"/>
  <c r="N111" i="9"/>
  <c r="M111" i="9"/>
  <c r="L111" i="9"/>
  <c r="K111" i="9"/>
  <c r="N110" i="9"/>
  <c r="M110" i="9"/>
  <c r="L110" i="9"/>
  <c r="K110" i="9"/>
  <c r="N109" i="9"/>
  <c r="M109" i="9"/>
  <c r="L109" i="9"/>
  <c r="K109" i="9"/>
  <c r="N108" i="9"/>
  <c r="M108" i="9"/>
  <c r="L108" i="9"/>
  <c r="K108" i="9"/>
  <c r="N107" i="9"/>
  <c r="M107" i="9"/>
  <c r="L107" i="9"/>
  <c r="K107" i="9"/>
  <c r="N106" i="9"/>
  <c r="M106" i="9"/>
  <c r="L106" i="9"/>
  <c r="K106" i="9"/>
  <c r="N105" i="9"/>
  <c r="M105" i="9"/>
  <c r="L105" i="9"/>
  <c r="K105" i="9"/>
  <c r="N104" i="9"/>
  <c r="M104" i="9"/>
  <c r="L104" i="9"/>
  <c r="K104" i="9"/>
  <c r="N103" i="9"/>
  <c r="M103" i="9"/>
  <c r="L103" i="9"/>
  <c r="K103" i="9"/>
  <c r="N102" i="9"/>
  <c r="M102" i="9"/>
  <c r="L102" i="9"/>
  <c r="K102" i="9"/>
  <c r="N101" i="9"/>
  <c r="M101" i="9"/>
  <c r="L101" i="9"/>
  <c r="K101" i="9"/>
  <c r="N100" i="9"/>
  <c r="M100" i="9"/>
  <c r="L100" i="9"/>
  <c r="K100" i="9"/>
  <c r="N99" i="9"/>
  <c r="M99" i="9"/>
  <c r="L99" i="9"/>
  <c r="K99" i="9"/>
  <c r="N98" i="9"/>
  <c r="M98" i="9"/>
  <c r="L98" i="9"/>
  <c r="K98" i="9"/>
  <c r="N97" i="9"/>
  <c r="M97" i="9"/>
  <c r="L97" i="9"/>
  <c r="K97" i="9"/>
  <c r="N96" i="9"/>
  <c r="M96" i="9"/>
  <c r="L96" i="9"/>
  <c r="K96" i="9"/>
  <c r="N95" i="9"/>
  <c r="M95" i="9"/>
  <c r="L95" i="9"/>
  <c r="K95" i="9"/>
  <c r="N94" i="9"/>
  <c r="M94" i="9"/>
  <c r="L94" i="9"/>
  <c r="K94" i="9"/>
  <c r="N93" i="9"/>
  <c r="M93" i="9"/>
  <c r="L93" i="9"/>
  <c r="K93" i="9"/>
  <c r="N92" i="9"/>
  <c r="M92" i="9"/>
  <c r="L92" i="9"/>
  <c r="K92" i="9"/>
  <c r="N91" i="9"/>
  <c r="M91" i="9"/>
  <c r="L91" i="9"/>
  <c r="K91" i="9"/>
  <c r="N90" i="9"/>
  <c r="M90" i="9"/>
  <c r="L90" i="9"/>
  <c r="K90" i="9"/>
  <c r="N89" i="9"/>
  <c r="M89" i="9"/>
  <c r="L89" i="9"/>
  <c r="K89" i="9"/>
  <c r="N88" i="9"/>
  <c r="M88" i="9"/>
  <c r="L88" i="9"/>
  <c r="K88" i="9"/>
  <c r="N87" i="9"/>
  <c r="M87" i="9"/>
  <c r="L87" i="9"/>
  <c r="K87" i="9"/>
  <c r="N86" i="9"/>
  <c r="M86" i="9"/>
  <c r="L86" i="9"/>
  <c r="K86" i="9"/>
  <c r="N85" i="9"/>
  <c r="M85" i="9"/>
  <c r="L85" i="9"/>
  <c r="K85" i="9"/>
  <c r="N84" i="9"/>
  <c r="M84" i="9"/>
  <c r="L84" i="9"/>
  <c r="K84" i="9"/>
  <c r="N83" i="9"/>
  <c r="M83" i="9"/>
  <c r="L83" i="9"/>
  <c r="K83" i="9"/>
  <c r="N82" i="9"/>
  <c r="M82" i="9"/>
  <c r="L82" i="9"/>
  <c r="K82" i="9"/>
  <c r="N81" i="9"/>
  <c r="M81" i="9"/>
  <c r="L81" i="9"/>
  <c r="K81" i="9"/>
  <c r="N80" i="9"/>
  <c r="M80" i="9"/>
  <c r="L80" i="9"/>
  <c r="K80" i="9"/>
  <c r="N79" i="9"/>
  <c r="M79" i="9"/>
  <c r="L79" i="9"/>
  <c r="K79" i="9"/>
  <c r="N78" i="9"/>
  <c r="M78" i="9"/>
  <c r="L78" i="9"/>
  <c r="K78" i="9"/>
  <c r="N77" i="9"/>
  <c r="M77" i="9"/>
  <c r="L77" i="9"/>
  <c r="K77" i="9"/>
  <c r="N76" i="9"/>
  <c r="M76" i="9"/>
  <c r="L76" i="9"/>
  <c r="K76" i="9"/>
  <c r="N75" i="9"/>
  <c r="M75" i="9"/>
  <c r="L75" i="9"/>
  <c r="K75" i="9"/>
  <c r="N74" i="9"/>
  <c r="M74" i="9"/>
  <c r="L74" i="9"/>
  <c r="K74" i="9"/>
  <c r="N73" i="9"/>
  <c r="M73" i="9"/>
  <c r="L73" i="9"/>
  <c r="K73" i="9"/>
  <c r="N72" i="9"/>
  <c r="M72" i="9"/>
  <c r="L72" i="9"/>
  <c r="K72" i="9"/>
  <c r="N71" i="9"/>
  <c r="M71" i="9"/>
  <c r="L71" i="9"/>
  <c r="K71" i="9"/>
  <c r="N70" i="9"/>
  <c r="M70" i="9"/>
  <c r="L70" i="9"/>
  <c r="K70" i="9"/>
  <c r="N69" i="9"/>
  <c r="M69" i="9"/>
  <c r="L69" i="9"/>
  <c r="K69" i="9"/>
  <c r="N68" i="9"/>
  <c r="M68" i="9"/>
  <c r="L68" i="9"/>
  <c r="K68" i="9"/>
  <c r="N67" i="9"/>
  <c r="M67" i="9"/>
  <c r="L67" i="9"/>
  <c r="K67" i="9"/>
  <c r="N66" i="9"/>
  <c r="M66" i="9"/>
  <c r="L66" i="9"/>
  <c r="K66" i="9"/>
  <c r="N65" i="9"/>
  <c r="M65" i="9"/>
  <c r="L65" i="9"/>
  <c r="K65" i="9"/>
  <c r="N64" i="9"/>
  <c r="M64" i="9"/>
  <c r="L64" i="9"/>
  <c r="K64" i="9"/>
  <c r="N63" i="9"/>
  <c r="M63" i="9"/>
  <c r="L63" i="9"/>
  <c r="K63" i="9"/>
  <c r="N62" i="9"/>
  <c r="M62" i="9"/>
  <c r="L62" i="9"/>
  <c r="K62" i="9"/>
  <c r="N61" i="9"/>
  <c r="M61" i="9"/>
  <c r="L61" i="9"/>
  <c r="K61" i="9"/>
  <c r="N60" i="9"/>
  <c r="M60" i="9"/>
  <c r="L60" i="9"/>
  <c r="K60" i="9"/>
  <c r="N59" i="9"/>
  <c r="M59" i="9"/>
  <c r="L59" i="9"/>
  <c r="K59" i="9"/>
  <c r="N58" i="9"/>
  <c r="M58" i="9"/>
  <c r="L58" i="9"/>
  <c r="K58" i="9"/>
  <c r="N57" i="9"/>
  <c r="M57" i="9"/>
  <c r="L57" i="9"/>
  <c r="K57" i="9"/>
  <c r="N56" i="9"/>
  <c r="M56" i="9"/>
  <c r="L56" i="9"/>
  <c r="K56" i="9"/>
  <c r="N55" i="9"/>
  <c r="M55" i="9"/>
  <c r="L55" i="9"/>
  <c r="K55" i="9"/>
  <c r="N54" i="9"/>
  <c r="M54" i="9"/>
  <c r="L54" i="9"/>
  <c r="K54" i="9"/>
  <c r="N53" i="9"/>
  <c r="M53" i="9"/>
  <c r="L53" i="9"/>
  <c r="K53" i="9"/>
  <c r="N52" i="9"/>
  <c r="M52" i="9"/>
  <c r="L52" i="9"/>
  <c r="K52" i="9"/>
  <c r="N51" i="9"/>
  <c r="M51" i="9"/>
  <c r="L51" i="9"/>
  <c r="K51" i="9"/>
  <c r="N50" i="9"/>
  <c r="M50" i="9"/>
  <c r="L50" i="9"/>
  <c r="K50" i="9"/>
  <c r="N49" i="9"/>
  <c r="M49" i="9"/>
  <c r="L49" i="9"/>
  <c r="K49" i="9"/>
  <c r="N48" i="9"/>
  <c r="M48" i="9"/>
  <c r="L48" i="9"/>
  <c r="K48" i="9"/>
  <c r="N47" i="9"/>
  <c r="M47" i="9"/>
  <c r="L47" i="9"/>
  <c r="K47" i="9"/>
  <c r="N46" i="9"/>
  <c r="M46" i="9"/>
  <c r="L46" i="9"/>
  <c r="K46" i="9"/>
  <c r="N45" i="9"/>
  <c r="M45" i="9"/>
  <c r="L45" i="9"/>
  <c r="K45" i="9"/>
  <c r="N44" i="9"/>
  <c r="M44" i="9"/>
  <c r="L44" i="9"/>
  <c r="K44" i="9"/>
  <c r="N43" i="9"/>
  <c r="M43" i="9"/>
  <c r="L43" i="9"/>
  <c r="K43" i="9"/>
  <c r="N42" i="9"/>
  <c r="M42" i="9"/>
  <c r="L42" i="9"/>
  <c r="K42" i="9"/>
  <c r="N41" i="9"/>
  <c r="M41" i="9"/>
  <c r="L41" i="9"/>
  <c r="K41" i="9"/>
  <c r="N40" i="9"/>
  <c r="M40" i="9"/>
  <c r="L40" i="9"/>
  <c r="K40" i="9"/>
  <c r="N39" i="9"/>
  <c r="M39" i="9"/>
  <c r="L39" i="9"/>
  <c r="K39" i="9"/>
  <c r="N38" i="9"/>
  <c r="M38" i="9"/>
  <c r="L38" i="9"/>
  <c r="K38" i="9"/>
  <c r="N37" i="9"/>
  <c r="M37" i="9"/>
  <c r="L37" i="9"/>
  <c r="K37" i="9"/>
  <c r="N36" i="9"/>
  <c r="M36" i="9"/>
  <c r="L36" i="9"/>
  <c r="K36" i="9"/>
  <c r="N35" i="9"/>
  <c r="M35" i="9"/>
  <c r="L35" i="9"/>
  <c r="K35" i="9"/>
  <c r="N34" i="9"/>
  <c r="M34" i="9"/>
  <c r="L34" i="9"/>
  <c r="K34" i="9"/>
  <c r="N33" i="9"/>
  <c r="M33" i="9"/>
  <c r="L33" i="9"/>
  <c r="K33" i="9"/>
  <c r="N32" i="9"/>
  <c r="M32" i="9"/>
  <c r="L32" i="9"/>
  <c r="K32" i="9"/>
  <c r="N31" i="9"/>
  <c r="M31" i="9"/>
  <c r="L31" i="9"/>
  <c r="K31" i="9"/>
  <c r="N30" i="9"/>
  <c r="M30" i="9"/>
  <c r="L30" i="9"/>
  <c r="K30" i="9"/>
  <c r="N29" i="9"/>
  <c r="M29" i="9"/>
  <c r="L29" i="9"/>
  <c r="K29" i="9"/>
  <c r="N28" i="9"/>
  <c r="M28" i="9"/>
  <c r="L28" i="9"/>
  <c r="K28" i="9"/>
  <c r="N27" i="9"/>
  <c r="M27" i="9"/>
  <c r="L27" i="9"/>
  <c r="K27" i="9"/>
  <c r="N26" i="9"/>
  <c r="M26" i="9"/>
  <c r="L26" i="9"/>
  <c r="K26" i="9"/>
  <c r="N25" i="9"/>
  <c r="M25" i="9"/>
  <c r="L25" i="9"/>
  <c r="K25" i="9"/>
  <c r="N24" i="9"/>
  <c r="M24" i="9"/>
  <c r="L24" i="9"/>
  <c r="K24" i="9"/>
  <c r="N23" i="9"/>
  <c r="M23" i="9"/>
  <c r="L23" i="9"/>
  <c r="K23" i="9"/>
  <c r="N22" i="9"/>
  <c r="M22" i="9"/>
  <c r="L22" i="9"/>
  <c r="K22" i="9"/>
  <c r="N21" i="9"/>
  <c r="M21" i="9"/>
  <c r="L21" i="9"/>
  <c r="K21" i="9"/>
  <c r="N20" i="9"/>
  <c r="M20" i="9"/>
  <c r="L20" i="9"/>
  <c r="K20" i="9"/>
  <c r="N19" i="9"/>
  <c r="M19" i="9"/>
  <c r="L19" i="9"/>
  <c r="K19" i="9"/>
  <c r="N18" i="9"/>
  <c r="M18" i="9"/>
  <c r="L18" i="9"/>
  <c r="K18" i="9"/>
  <c r="N17" i="9"/>
  <c r="M17" i="9"/>
  <c r="L17" i="9"/>
  <c r="K17" i="9"/>
  <c r="N16" i="9"/>
  <c r="M16" i="9"/>
  <c r="L16" i="9"/>
  <c r="K16" i="9"/>
  <c r="N15" i="9"/>
  <c r="M15" i="9"/>
  <c r="L15" i="9"/>
  <c r="K15" i="9"/>
  <c r="N14" i="9"/>
  <c r="M14" i="9"/>
  <c r="L14" i="9"/>
  <c r="K14" i="9"/>
  <c r="N13" i="9"/>
  <c r="M13" i="9"/>
  <c r="L13" i="9"/>
  <c r="K13" i="9"/>
  <c r="N12" i="9"/>
  <c r="M12" i="9"/>
  <c r="L12" i="9"/>
  <c r="K12" i="9"/>
  <c r="N11" i="9"/>
  <c r="M11" i="9"/>
  <c r="L11" i="9"/>
  <c r="K11" i="9"/>
  <c r="N10" i="9"/>
  <c r="M10" i="9"/>
  <c r="L10" i="9"/>
  <c r="K10" i="9"/>
  <c r="N9" i="9"/>
  <c r="M9" i="9"/>
  <c r="L9" i="9"/>
  <c r="K9" i="9"/>
  <c r="N8" i="9"/>
  <c r="M8" i="9"/>
  <c r="L8" i="9"/>
  <c r="K8" i="9"/>
  <c r="N7" i="9"/>
  <c r="M7" i="9"/>
  <c r="L7" i="9"/>
  <c r="K7" i="9"/>
  <c r="F4" i="9"/>
  <c r="C4" i="9"/>
  <c r="G20" i="6"/>
  <c r="G19" i="6"/>
  <c r="E19" i="6"/>
  <c r="D19" i="6"/>
  <c r="C19" i="6"/>
  <c r="F19" i="6" s="1"/>
  <c r="B19" i="6"/>
  <c r="G18" i="6"/>
  <c r="D18" i="6"/>
  <c r="C18" i="6"/>
  <c r="F18" i="6" s="1"/>
  <c r="B18" i="6"/>
  <c r="G17" i="6"/>
  <c r="D17" i="6"/>
  <c r="C17" i="6"/>
  <c r="F17" i="6" s="1"/>
  <c r="B17" i="6"/>
  <c r="G16" i="6"/>
  <c r="D16" i="6"/>
  <c r="C16" i="6"/>
  <c r="F16" i="6" s="1"/>
  <c r="B16" i="6"/>
  <c r="G15" i="6"/>
  <c r="E15" i="6"/>
  <c r="D15" i="6"/>
  <c r="C15" i="6"/>
  <c r="F15" i="6" s="1"/>
  <c r="B15" i="6"/>
  <c r="G14" i="6"/>
  <c r="D14" i="6"/>
  <c r="C14" i="6"/>
  <c r="F14" i="6" s="1"/>
  <c r="B14" i="6"/>
  <c r="G13" i="6"/>
  <c r="E13" i="6"/>
  <c r="D13" i="6"/>
  <c r="D20" i="6" s="1"/>
  <c r="C13" i="6"/>
  <c r="F13" i="6" s="1"/>
  <c r="B13" i="6"/>
  <c r="G12" i="6"/>
  <c r="E12" i="6"/>
  <c r="D12" i="6"/>
  <c r="C12" i="6"/>
  <c r="F12" i="6" s="1"/>
  <c r="B12" i="6"/>
  <c r="G11" i="6"/>
  <c r="D11" i="6"/>
  <c r="C11" i="6"/>
  <c r="F11" i="6" s="1"/>
  <c r="B11" i="6"/>
  <c r="B20" i="6" s="1"/>
  <c r="G10" i="6"/>
  <c r="E10" i="6"/>
  <c r="D10" i="6"/>
  <c r="C10" i="6"/>
  <c r="F10" i="6" s="1"/>
  <c r="B10" i="6"/>
  <c r="G9" i="6"/>
  <c r="E9" i="6"/>
  <c r="D9" i="6"/>
  <c r="C9" i="6"/>
  <c r="B9" i="6"/>
  <c r="G8" i="6"/>
  <c r="D8" i="6"/>
  <c r="C8" i="6"/>
  <c r="B8" i="6"/>
  <c r="G5" i="6"/>
  <c r="C5" i="6"/>
  <c r="H16" i="5"/>
  <c r="H12" i="5"/>
  <c r="H8" i="5"/>
  <c r="F18" i="4"/>
  <c r="H18" i="5" s="1"/>
  <c r="E18" i="4"/>
  <c r="C18" i="4"/>
  <c r="B18" i="4"/>
  <c r="F17" i="4"/>
  <c r="H17" i="5" s="1"/>
  <c r="E17" i="4"/>
  <c r="C17" i="4"/>
  <c r="B17" i="4"/>
  <c r="F16" i="4"/>
  <c r="E16" i="4"/>
  <c r="C16" i="4"/>
  <c r="B16" i="4"/>
  <c r="F15" i="4"/>
  <c r="E15" i="4"/>
  <c r="C15" i="4"/>
  <c r="B15" i="4"/>
  <c r="F14" i="4"/>
  <c r="E14" i="4"/>
  <c r="C14" i="4"/>
  <c r="B14" i="4"/>
  <c r="F13" i="4"/>
  <c r="E13" i="4"/>
  <c r="C13" i="4"/>
  <c r="B13" i="4"/>
  <c r="F12" i="4"/>
  <c r="J53" i="3" s="1"/>
  <c r="E12" i="4"/>
  <c r="C12" i="4"/>
  <c r="B12" i="4"/>
  <c r="F11" i="4"/>
  <c r="E11" i="4"/>
  <c r="C11" i="4"/>
  <c r="B11" i="4"/>
  <c r="F10" i="4"/>
  <c r="J34" i="3" s="1"/>
  <c r="E10" i="4"/>
  <c r="C10" i="4"/>
  <c r="B10" i="4"/>
  <c r="F9" i="4"/>
  <c r="E9" i="4"/>
  <c r="C9" i="4"/>
  <c r="B9" i="4"/>
  <c r="F8" i="4"/>
  <c r="E8" i="4"/>
  <c r="C8" i="4"/>
  <c r="B8" i="4"/>
  <c r="F7" i="4"/>
  <c r="E7" i="4"/>
  <c r="C7" i="4"/>
  <c r="B7" i="4"/>
  <c r="P99" i="3"/>
  <c r="I99" i="3"/>
  <c r="P98" i="3"/>
  <c r="J98" i="3"/>
  <c r="I98" i="3"/>
  <c r="P97" i="3"/>
  <c r="I97" i="3"/>
  <c r="P96" i="3"/>
  <c r="L96" i="3"/>
  <c r="J96" i="3"/>
  <c r="K96" i="3" s="1"/>
  <c r="I96" i="3"/>
  <c r="P95" i="3"/>
  <c r="I95" i="3"/>
  <c r="P94" i="3"/>
  <c r="J94" i="3"/>
  <c r="I94" i="3"/>
  <c r="K94" i="3" s="1"/>
  <c r="L94" i="3" s="1"/>
  <c r="P93" i="3"/>
  <c r="J93" i="3"/>
  <c r="I93" i="3"/>
  <c r="K93" i="3" s="1"/>
  <c r="L93" i="3" s="1"/>
  <c r="P92" i="3"/>
  <c r="J92" i="3"/>
  <c r="I92" i="3"/>
  <c r="P91" i="3"/>
  <c r="J91" i="3"/>
  <c r="I91" i="3"/>
  <c r="K91" i="3" s="1"/>
  <c r="L91" i="3" s="1"/>
  <c r="P90" i="3"/>
  <c r="K90" i="3"/>
  <c r="L90" i="3" s="1"/>
  <c r="J90" i="3"/>
  <c r="I90" i="3"/>
  <c r="P89" i="3"/>
  <c r="J89" i="3"/>
  <c r="I89" i="3"/>
  <c r="K89" i="3" s="1"/>
  <c r="L89" i="3" s="1"/>
  <c r="P88" i="3"/>
  <c r="L88" i="3"/>
  <c r="J88" i="3"/>
  <c r="I88" i="3"/>
  <c r="K88" i="3" s="1"/>
  <c r="P87" i="3"/>
  <c r="I87" i="3"/>
  <c r="P86" i="3"/>
  <c r="K86" i="3"/>
  <c r="L86" i="3" s="1"/>
  <c r="J86" i="3"/>
  <c r="I86" i="3"/>
  <c r="P85" i="3"/>
  <c r="J85" i="3"/>
  <c r="I85" i="3"/>
  <c r="P84" i="3"/>
  <c r="J84" i="3"/>
  <c r="I84" i="3"/>
  <c r="P83" i="3"/>
  <c r="I83" i="3"/>
  <c r="P82" i="3"/>
  <c r="J82" i="3"/>
  <c r="I82" i="3"/>
  <c r="K82" i="3" s="1"/>
  <c r="L82" i="3" s="1"/>
  <c r="P81" i="3"/>
  <c r="I81" i="3"/>
  <c r="P80" i="3"/>
  <c r="J80" i="3"/>
  <c r="I80" i="3"/>
  <c r="P79" i="3"/>
  <c r="J79" i="3"/>
  <c r="I79" i="3"/>
  <c r="K79" i="3" s="1"/>
  <c r="L79" i="3" s="1"/>
  <c r="P78" i="3"/>
  <c r="J78" i="3"/>
  <c r="I78" i="3"/>
  <c r="K78" i="3" s="1"/>
  <c r="L78" i="3" s="1"/>
  <c r="P77" i="3"/>
  <c r="K77" i="3"/>
  <c r="L77" i="3" s="1"/>
  <c r="J77" i="3"/>
  <c r="I77" i="3"/>
  <c r="P76" i="3"/>
  <c r="J76" i="3"/>
  <c r="K76" i="3" s="1"/>
  <c r="L76" i="3" s="1"/>
  <c r="I76" i="3"/>
  <c r="P75" i="3"/>
  <c r="J75" i="3"/>
  <c r="I75" i="3"/>
  <c r="K75" i="3" s="1"/>
  <c r="L75" i="3" s="1"/>
  <c r="P74" i="3"/>
  <c r="J74" i="3"/>
  <c r="I74" i="3"/>
  <c r="K74" i="3" s="1"/>
  <c r="L74" i="3" s="1"/>
  <c r="P73" i="3"/>
  <c r="I73" i="3"/>
  <c r="P72" i="3"/>
  <c r="J72" i="3"/>
  <c r="K72" i="3" s="1"/>
  <c r="L72" i="3" s="1"/>
  <c r="I72" i="3"/>
  <c r="P71" i="3"/>
  <c r="K71" i="3"/>
  <c r="L71" i="3" s="1"/>
  <c r="J71" i="3"/>
  <c r="I71" i="3"/>
  <c r="P70" i="3"/>
  <c r="L70" i="3"/>
  <c r="J70" i="3"/>
  <c r="I70" i="3"/>
  <c r="K70" i="3" s="1"/>
  <c r="P69" i="3"/>
  <c r="I69" i="3"/>
  <c r="P68" i="3"/>
  <c r="J68" i="3"/>
  <c r="I68" i="3"/>
  <c r="K68" i="3" s="1"/>
  <c r="L68" i="3" s="1"/>
  <c r="P67" i="3"/>
  <c r="I67" i="3"/>
  <c r="P66" i="3"/>
  <c r="I66" i="3"/>
  <c r="P65" i="3"/>
  <c r="J65" i="3"/>
  <c r="K65" i="3" s="1"/>
  <c r="L65" i="3" s="1"/>
  <c r="I65" i="3"/>
  <c r="P64" i="3"/>
  <c r="J64" i="3"/>
  <c r="I64" i="3"/>
  <c r="P63" i="3"/>
  <c r="J63" i="3"/>
  <c r="K63" i="3" s="1"/>
  <c r="L63" i="3" s="1"/>
  <c r="I63" i="3"/>
  <c r="P62" i="3"/>
  <c r="I62" i="3"/>
  <c r="P61" i="3"/>
  <c r="I61" i="3"/>
  <c r="P60" i="3"/>
  <c r="J60" i="3"/>
  <c r="K60" i="3" s="1"/>
  <c r="L60" i="3" s="1"/>
  <c r="I60" i="3"/>
  <c r="P59" i="3"/>
  <c r="I59" i="3"/>
  <c r="P58" i="3"/>
  <c r="I58" i="3"/>
  <c r="P57" i="3"/>
  <c r="L57" i="3"/>
  <c r="J57" i="3"/>
  <c r="K57" i="3" s="1"/>
  <c r="I57" i="3"/>
  <c r="P56" i="3"/>
  <c r="J56" i="3"/>
  <c r="I56" i="3"/>
  <c r="P55" i="3"/>
  <c r="I55" i="3"/>
  <c r="P54" i="3"/>
  <c r="K54" i="3"/>
  <c r="L54" i="3" s="1"/>
  <c r="J54" i="3"/>
  <c r="I54" i="3"/>
  <c r="P53" i="3"/>
  <c r="K53" i="3"/>
  <c r="L53" i="3" s="1"/>
  <c r="I53" i="3"/>
  <c r="P52" i="3"/>
  <c r="J52" i="3"/>
  <c r="I52" i="3"/>
  <c r="P51" i="3"/>
  <c r="J51" i="3"/>
  <c r="I51" i="3"/>
  <c r="K51" i="3" s="1"/>
  <c r="L51" i="3" s="1"/>
  <c r="P50" i="3"/>
  <c r="L50" i="3"/>
  <c r="J50" i="3"/>
  <c r="I50" i="3"/>
  <c r="K50" i="3" s="1"/>
  <c r="P49" i="3"/>
  <c r="K49" i="3"/>
  <c r="L49" i="3" s="1"/>
  <c r="J49" i="3"/>
  <c r="I49" i="3"/>
  <c r="P48" i="3"/>
  <c r="J48" i="3"/>
  <c r="K48" i="3" s="1"/>
  <c r="L48" i="3" s="1"/>
  <c r="I48" i="3"/>
  <c r="P47" i="3"/>
  <c r="J47" i="3"/>
  <c r="K47" i="3" s="1"/>
  <c r="L47" i="3" s="1"/>
  <c r="I47" i="3"/>
  <c r="P46" i="3"/>
  <c r="K46" i="3"/>
  <c r="L46" i="3" s="1"/>
  <c r="J46" i="3"/>
  <c r="I46" i="3"/>
  <c r="P45" i="3"/>
  <c r="I45" i="3"/>
  <c r="P44" i="3"/>
  <c r="J44" i="3"/>
  <c r="K44" i="3" s="1"/>
  <c r="L44" i="3" s="1"/>
  <c r="I44" i="3"/>
  <c r="P43" i="3"/>
  <c r="J43" i="3"/>
  <c r="I43" i="3"/>
  <c r="K43" i="3" s="1"/>
  <c r="L43" i="3" s="1"/>
  <c r="P42" i="3"/>
  <c r="J42" i="3"/>
  <c r="I42" i="3"/>
  <c r="K42" i="3" s="1"/>
  <c r="L42" i="3" s="1"/>
  <c r="P41" i="3"/>
  <c r="I41" i="3"/>
  <c r="P40" i="3"/>
  <c r="L40" i="3"/>
  <c r="J40" i="3"/>
  <c r="I40" i="3"/>
  <c r="K40" i="3" s="1"/>
  <c r="P39" i="3"/>
  <c r="I39" i="3"/>
  <c r="P38" i="3"/>
  <c r="L38" i="3"/>
  <c r="J38" i="3"/>
  <c r="I38" i="3"/>
  <c r="K38" i="3" s="1"/>
  <c r="P37" i="3"/>
  <c r="L37" i="3"/>
  <c r="J37" i="3"/>
  <c r="K37" i="3" s="1"/>
  <c r="I37" i="3"/>
  <c r="P36" i="3"/>
  <c r="J36" i="3"/>
  <c r="I36" i="3"/>
  <c r="P35" i="3"/>
  <c r="J35" i="3"/>
  <c r="I35" i="3"/>
  <c r="K35" i="3" s="1"/>
  <c r="L35" i="3" s="1"/>
  <c r="P34" i="3"/>
  <c r="K34" i="3"/>
  <c r="L34" i="3" s="1"/>
  <c r="I34" i="3"/>
  <c r="P33" i="3"/>
  <c r="I33" i="3"/>
  <c r="P32" i="3"/>
  <c r="L32" i="3"/>
  <c r="J32" i="3"/>
  <c r="I32" i="3"/>
  <c r="K32" i="3" s="1"/>
  <c r="P31" i="3"/>
  <c r="I31" i="3"/>
  <c r="P30" i="3"/>
  <c r="K30" i="3"/>
  <c r="L30" i="3" s="1"/>
  <c r="J30" i="3"/>
  <c r="I30" i="3"/>
  <c r="P29" i="3"/>
  <c r="J29" i="3"/>
  <c r="I29" i="3"/>
  <c r="P28" i="3"/>
  <c r="J28" i="3"/>
  <c r="I28" i="3"/>
  <c r="P27" i="3"/>
  <c r="I27" i="3"/>
  <c r="P26" i="3"/>
  <c r="K26" i="3"/>
  <c r="L26" i="3" s="1"/>
  <c r="J26" i="3"/>
  <c r="I26" i="3"/>
  <c r="P25" i="3"/>
  <c r="K25" i="3"/>
  <c r="L25" i="3" s="1"/>
  <c r="J25" i="3"/>
  <c r="I25" i="3"/>
  <c r="P24" i="3"/>
  <c r="J24" i="3"/>
  <c r="I24" i="3"/>
  <c r="K24" i="3" s="1"/>
  <c r="L24" i="3" s="1"/>
  <c r="P23" i="3"/>
  <c r="J23" i="3"/>
  <c r="I23" i="3"/>
  <c r="P22" i="3"/>
  <c r="J22" i="3"/>
  <c r="I22" i="3"/>
  <c r="P21" i="3"/>
  <c r="J21" i="3"/>
  <c r="K21" i="3" s="1"/>
  <c r="L21" i="3" s="1"/>
  <c r="I21" i="3"/>
  <c r="P20" i="3"/>
  <c r="K20" i="3"/>
  <c r="L20" i="3" s="1"/>
  <c r="J20" i="3"/>
  <c r="I20" i="3"/>
  <c r="P19" i="3"/>
  <c r="J19" i="3"/>
  <c r="I19" i="3"/>
  <c r="K19" i="3" s="1"/>
  <c r="L19" i="3" s="1"/>
  <c r="P18" i="3"/>
  <c r="L18" i="3"/>
  <c r="J18" i="3"/>
  <c r="K18" i="3" s="1"/>
  <c r="I18" i="3"/>
  <c r="P17" i="3"/>
  <c r="I17" i="3"/>
  <c r="P16" i="3"/>
  <c r="K16" i="3"/>
  <c r="L16" i="3" s="1"/>
  <c r="J16" i="3"/>
  <c r="I16" i="3"/>
  <c r="P15" i="3"/>
  <c r="J15" i="3"/>
  <c r="I15" i="3"/>
  <c r="K15" i="3" s="1"/>
  <c r="L15" i="3" s="1"/>
  <c r="P14" i="3"/>
  <c r="J14" i="3"/>
  <c r="I14" i="3"/>
  <c r="P13" i="3"/>
  <c r="I13" i="3"/>
  <c r="P12" i="3"/>
  <c r="K12" i="3"/>
  <c r="L12" i="3" s="1"/>
  <c r="J12" i="3"/>
  <c r="I12" i="3"/>
  <c r="P11" i="3"/>
  <c r="I11" i="3"/>
  <c r="P10" i="3"/>
  <c r="J10" i="3"/>
  <c r="I10" i="3"/>
  <c r="P9" i="3"/>
  <c r="K9" i="3"/>
  <c r="L9" i="3" s="1"/>
  <c r="J9" i="3"/>
  <c r="I9" i="3"/>
  <c r="P8" i="3"/>
  <c r="L8" i="3"/>
  <c r="J8" i="3"/>
  <c r="I8" i="3"/>
  <c r="K8" i="3" s="1"/>
  <c r="P7" i="3"/>
  <c r="J7" i="3"/>
  <c r="I7" i="3"/>
  <c r="K7" i="3" s="1"/>
  <c r="L7" i="3" s="1"/>
  <c r="H59" i="2"/>
  <c r="L42" i="2"/>
  <c r="K42" i="2"/>
  <c r="J42" i="2"/>
  <c r="H42" i="2"/>
  <c r="G42" i="2"/>
  <c r="F42" i="2"/>
  <c r="D42" i="2"/>
  <c r="C42" i="2"/>
  <c r="B42" i="2"/>
  <c r="P41" i="2"/>
  <c r="O41" i="2"/>
  <c r="N41" i="2"/>
  <c r="I41" i="2"/>
  <c r="F59" i="2" s="1"/>
  <c r="P40" i="2"/>
  <c r="O40" i="2"/>
  <c r="N40" i="2"/>
  <c r="I40" i="2"/>
  <c r="P39" i="2"/>
  <c r="O39" i="2"/>
  <c r="N39" i="2"/>
  <c r="I39" i="2"/>
  <c r="F57" i="2" s="1"/>
  <c r="P38" i="2"/>
  <c r="O38" i="2"/>
  <c r="N38" i="2"/>
  <c r="I38" i="2"/>
  <c r="P37" i="2"/>
  <c r="O37" i="2"/>
  <c r="N37" i="2"/>
  <c r="I37" i="2"/>
  <c r="F55" i="2" s="1"/>
  <c r="P36" i="2"/>
  <c r="O36" i="2"/>
  <c r="N36" i="2"/>
  <c r="I36" i="2"/>
  <c r="P35" i="2"/>
  <c r="O35" i="2"/>
  <c r="N35" i="2"/>
  <c r="I35" i="2"/>
  <c r="P34" i="2"/>
  <c r="O34" i="2"/>
  <c r="N34" i="2"/>
  <c r="I34" i="2"/>
  <c r="P33" i="2"/>
  <c r="O33" i="2"/>
  <c r="N33" i="2"/>
  <c r="I33" i="2"/>
  <c r="F51" i="2" s="1"/>
  <c r="I51" i="2" s="1"/>
  <c r="P32" i="2"/>
  <c r="O32" i="2"/>
  <c r="N32" i="2"/>
  <c r="I32" i="2"/>
  <c r="F50" i="2" s="1"/>
  <c r="P31" i="2"/>
  <c r="O31" i="2"/>
  <c r="N31" i="2"/>
  <c r="I31" i="2"/>
  <c r="P30" i="2"/>
  <c r="O30" i="2"/>
  <c r="N30" i="2"/>
  <c r="I30" i="2"/>
  <c r="F48" i="2" s="1"/>
  <c r="D26" i="2"/>
  <c r="C26" i="2"/>
  <c r="F26" i="2" s="1"/>
  <c r="B26" i="2"/>
  <c r="D25" i="2"/>
  <c r="I25" i="2" s="1"/>
  <c r="C25" i="2"/>
  <c r="C27" i="2" s="1"/>
  <c r="B25" i="2"/>
  <c r="D24" i="2"/>
  <c r="C24" i="2"/>
  <c r="B24" i="2"/>
  <c r="G24" i="2" s="1"/>
  <c r="A15" i="2"/>
  <c r="A7" i="2"/>
  <c r="S5" i="2"/>
  <c r="F10" i="2" s="1"/>
  <c r="AE52" i="10"/>
  <c r="AC52" i="10"/>
  <c r="AA52" i="10"/>
  <c r="AA44" i="10" s="1"/>
  <c r="Y52" i="10"/>
  <c r="X52" i="10"/>
  <c r="X45" i="10" s="1"/>
  <c r="W52" i="10"/>
  <c r="T52" i="10"/>
  <c r="R52" i="10"/>
  <c r="P52" i="10"/>
  <c r="M52" i="10"/>
  <c r="J52" i="10"/>
  <c r="I52" i="10"/>
  <c r="I43" i="10" s="1"/>
  <c r="G52" i="10"/>
  <c r="F52" i="10"/>
  <c r="E52" i="10"/>
  <c r="C52" i="10"/>
  <c r="W48" i="10"/>
  <c r="U48" i="10"/>
  <c r="P48" i="10"/>
  <c r="M48" i="10"/>
  <c r="F48" i="10"/>
  <c r="AC46" i="10"/>
  <c r="AC53" i="10" s="1"/>
  <c r="AA46" i="10"/>
  <c r="AA53" i="10" s="1"/>
  <c r="Y46" i="10"/>
  <c r="Y53" i="10" s="1"/>
  <c r="F46" i="10"/>
  <c r="F53" i="10" s="1"/>
  <c r="AA45" i="10"/>
  <c r="Y45" i="10"/>
  <c r="I45" i="10"/>
  <c r="Y44" i="10"/>
  <c r="C44" i="10"/>
  <c r="AE43" i="10"/>
  <c r="Y43" i="10"/>
  <c r="W43" i="10"/>
  <c r="U43" i="10"/>
  <c r="F43" i="10"/>
  <c r="C43" i="10"/>
  <c r="AH4" i="10"/>
  <c r="U52" i="10" s="1"/>
  <c r="K4" i="10"/>
  <c r="C57" i="8"/>
  <c r="B57" i="8"/>
  <c r="G56" i="8"/>
  <c r="D56" i="8"/>
  <c r="C56" i="8"/>
  <c r="H56" i="8" s="1"/>
  <c r="B56" i="8"/>
  <c r="C55" i="8"/>
  <c r="B55" i="8"/>
  <c r="G54" i="8"/>
  <c r="C54" i="8"/>
  <c r="H54" i="8" s="1"/>
  <c r="B54" i="8"/>
  <c r="G53" i="8"/>
  <c r="C53" i="8"/>
  <c r="B53" i="8"/>
  <c r="G52" i="8"/>
  <c r="C52" i="8"/>
  <c r="H52" i="8" s="1"/>
  <c r="B52" i="8"/>
  <c r="C51" i="8"/>
  <c r="B51" i="8"/>
  <c r="G50" i="8"/>
  <c r="C50" i="8"/>
  <c r="H50" i="8" s="1"/>
  <c r="B50" i="8"/>
  <c r="G49" i="8"/>
  <c r="C49" i="8"/>
  <c r="B49" i="8"/>
  <c r="G48" i="8"/>
  <c r="C48" i="8"/>
  <c r="B48" i="8"/>
  <c r="H47" i="8"/>
  <c r="G47" i="8"/>
  <c r="C47" i="8"/>
  <c r="B47" i="8"/>
  <c r="G46" i="8"/>
  <c r="C46" i="8"/>
  <c r="H46" i="8" s="1"/>
  <c r="B46" i="8"/>
  <c r="A40" i="8"/>
  <c r="E40" i="8" s="1"/>
  <c r="I39" i="8"/>
  <c r="G39" i="8"/>
  <c r="C39" i="8"/>
  <c r="D39" i="8" s="1"/>
  <c r="A39" i="8"/>
  <c r="H39" i="8" s="1"/>
  <c r="A38" i="8"/>
  <c r="G37" i="8"/>
  <c r="A37" i="8"/>
  <c r="A36" i="8"/>
  <c r="I36" i="8" s="1"/>
  <c r="F35" i="8"/>
  <c r="Y35" i="8" s="1"/>
  <c r="A35" i="8"/>
  <c r="A34" i="8"/>
  <c r="A33" i="8"/>
  <c r="I32" i="8"/>
  <c r="H32" i="8"/>
  <c r="G32" i="8"/>
  <c r="C32" i="8"/>
  <c r="A32" i="8"/>
  <c r="H31" i="8"/>
  <c r="B31" i="8"/>
  <c r="A31" i="8"/>
  <c r="I30" i="8"/>
  <c r="H30" i="8"/>
  <c r="G30" i="8"/>
  <c r="B30" i="8"/>
  <c r="A30" i="8"/>
  <c r="H29" i="8"/>
  <c r="A29" i="8"/>
  <c r="F28" i="8"/>
  <c r="Y28" i="8" s="1"/>
  <c r="B28" i="8"/>
  <c r="A28" i="8"/>
  <c r="H26" i="8"/>
  <c r="C26" i="8"/>
  <c r="B26" i="8"/>
  <c r="A26" i="8"/>
  <c r="Y25" i="8"/>
  <c r="I25" i="8"/>
  <c r="H25" i="8"/>
  <c r="F25" i="8"/>
  <c r="D25" i="8"/>
  <c r="C25" i="8"/>
  <c r="B25" i="8"/>
  <c r="A25" i="8"/>
  <c r="G25" i="8" s="1"/>
  <c r="H24" i="8"/>
  <c r="G24" i="8"/>
  <c r="F24" i="8"/>
  <c r="E24" i="8"/>
  <c r="D24" i="8"/>
  <c r="C24" i="8"/>
  <c r="B24" i="8"/>
  <c r="A24" i="8"/>
  <c r="H23" i="8"/>
  <c r="E23" i="8"/>
  <c r="B23" i="8"/>
  <c r="A23" i="8"/>
  <c r="I22" i="8"/>
  <c r="G22" i="8"/>
  <c r="A22" i="8"/>
  <c r="H21" i="8"/>
  <c r="F21" i="8"/>
  <c r="C21" i="8"/>
  <c r="D21" i="8" s="1"/>
  <c r="B21" i="8"/>
  <c r="A21" i="8"/>
  <c r="E21" i="8" s="1"/>
  <c r="G20" i="8"/>
  <c r="E20" i="8"/>
  <c r="C20" i="8"/>
  <c r="B20" i="8"/>
  <c r="A20" i="8"/>
  <c r="I20" i="8" s="1"/>
  <c r="I19" i="8"/>
  <c r="H19" i="8"/>
  <c r="F19" i="8"/>
  <c r="Y19" i="8" s="1"/>
  <c r="E19" i="8"/>
  <c r="C19" i="8"/>
  <c r="A19" i="8"/>
  <c r="G19" i="8" s="1"/>
  <c r="H18" i="8"/>
  <c r="A18" i="8"/>
  <c r="I17" i="8"/>
  <c r="H17" i="8"/>
  <c r="G17" i="8"/>
  <c r="E17" i="8"/>
  <c r="B17" i="8"/>
  <c r="A17" i="8"/>
  <c r="G16" i="8"/>
  <c r="E16" i="8"/>
  <c r="D16" i="8"/>
  <c r="C16" i="8"/>
  <c r="B16" i="8"/>
  <c r="A16" i="8"/>
  <c r="H15" i="8"/>
  <c r="F15" i="8"/>
  <c r="A15" i="8"/>
  <c r="G13" i="8"/>
  <c r="E13" i="8"/>
  <c r="C13" i="8"/>
  <c r="D13" i="8" s="1"/>
  <c r="B13" i="8"/>
  <c r="A13" i="8"/>
  <c r="A12" i="8"/>
  <c r="F12" i="8" s="1"/>
  <c r="I11" i="8"/>
  <c r="H11" i="8"/>
  <c r="G11" i="8"/>
  <c r="F11" i="8"/>
  <c r="Y11" i="8" s="1"/>
  <c r="E11" i="8"/>
  <c r="C11" i="8"/>
  <c r="B11" i="8"/>
  <c r="A11" i="8"/>
  <c r="G10" i="8"/>
  <c r="E10" i="8"/>
  <c r="C10" i="8"/>
  <c r="A10" i="8"/>
  <c r="Z4" i="8"/>
  <c r="G7" i="8" s="1"/>
  <c r="O4" i="8"/>
  <c r="I4" i="8"/>
  <c r="A44" i="7"/>
  <c r="H40" i="7"/>
  <c r="U39" i="7"/>
  <c r="L39" i="7" s="1"/>
  <c r="R39" i="7"/>
  <c r="P39" i="7"/>
  <c r="J39" i="7"/>
  <c r="H39" i="7"/>
  <c r="F39" i="7"/>
  <c r="E39" i="7"/>
  <c r="D39" i="7"/>
  <c r="U38" i="7"/>
  <c r="U37" i="7"/>
  <c r="S37" i="7" s="1"/>
  <c r="Q37" i="7"/>
  <c r="O37" i="7"/>
  <c r="N37" i="7"/>
  <c r="F37" i="7"/>
  <c r="D37" i="7"/>
  <c r="U36" i="7"/>
  <c r="P36" i="7" s="1"/>
  <c r="S36" i="7"/>
  <c r="I36" i="7"/>
  <c r="H36" i="7"/>
  <c r="B36" i="7"/>
  <c r="U35" i="7"/>
  <c r="P35" i="7"/>
  <c r="N35" i="7"/>
  <c r="M35" i="7"/>
  <c r="U34" i="7"/>
  <c r="Q34" i="7" s="1"/>
  <c r="N34" i="7"/>
  <c r="L34" i="7"/>
  <c r="K34" i="7"/>
  <c r="J34" i="7"/>
  <c r="I34" i="7"/>
  <c r="F34" i="7"/>
  <c r="D34" i="7"/>
  <c r="B34" i="7"/>
  <c r="U32" i="7"/>
  <c r="Q32" i="7"/>
  <c r="L32" i="7"/>
  <c r="J32" i="7"/>
  <c r="H32" i="7"/>
  <c r="G32" i="7"/>
  <c r="B32" i="7"/>
  <c r="U31" i="7"/>
  <c r="O31" i="7" s="1"/>
  <c r="E31" i="7"/>
  <c r="D31" i="7"/>
  <c r="B31" i="7"/>
  <c r="U29" i="7"/>
  <c r="R29" i="7" s="1"/>
  <c r="S29" i="7"/>
  <c r="O29" i="7"/>
  <c r="N29" i="7"/>
  <c r="L29" i="7"/>
  <c r="F29" i="7"/>
  <c r="D29" i="7"/>
  <c r="U28" i="7"/>
  <c r="O28" i="7" s="1"/>
  <c r="S28" i="7"/>
  <c r="J28" i="7"/>
  <c r="I28" i="7"/>
  <c r="E28" i="7"/>
  <c r="B28" i="7"/>
  <c r="U26" i="7"/>
  <c r="K26" i="7"/>
  <c r="I26" i="7"/>
  <c r="H26" i="7"/>
  <c r="U23" i="7"/>
  <c r="K23" i="7"/>
  <c r="I23" i="7"/>
  <c r="H23" i="7"/>
  <c r="F23" i="7"/>
  <c r="E23" i="7"/>
  <c r="D23" i="7"/>
  <c r="A23" i="7"/>
  <c r="U22" i="7"/>
  <c r="M22" i="7"/>
  <c r="K22" i="7"/>
  <c r="I22" i="7"/>
  <c r="G22" i="7"/>
  <c r="F22" i="7"/>
  <c r="E22" i="7"/>
  <c r="C22" i="7"/>
  <c r="A22" i="7"/>
  <c r="U19" i="7"/>
  <c r="K19" i="7"/>
  <c r="I19" i="7"/>
  <c r="H19" i="7"/>
  <c r="F19" i="7"/>
  <c r="M19" i="7" s="1"/>
  <c r="E19" i="7"/>
  <c r="D19" i="7"/>
  <c r="C19" i="7"/>
  <c r="A19" i="7"/>
  <c r="U17" i="7"/>
  <c r="G17" i="7"/>
  <c r="F17" i="7"/>
  <c r="M17" i="7" s="1"/>
  <c r="A17" i="7"/>
  <c r="U16" i="7"/>
  <c r="L16" i="7"/>
  <c r="K16" i="7"/>
  <c r="F16" i="7"/>
  <c r="E16" i="7"/>
  <c r="U15" i="7"/>
  <c r="U14" i="7"/>
  <c r="J14" i="7"/>
  <c r="H14" i="7"/>
  <c r="U12" i="7"/>
  <c r="J12" i="7" s="1"/>
  <c r="U11" i="7"/>
  <c r="U10" i="7"/>
  <c r="L10" i="7"/>
  <c r="K10" i="7"/>
  <c r="I10" i="7"/>
  <c r="H10" i="7"/>
  <c r="Q7" i="7"/>
  <c r="A7" i="7"/>
  <c r="L4" i="7"/>
  <c r="I4" i="7"/>
  <c r="V21" i="1"/>
  <c r="K21" i="1"/>
  <c r="N20" i="1"/>
  <c r="M20" i="1"/>
  <c r="L20" i="1"/>
  <c r="K20" i="1"/>
  <c r="J20" i="1"/>
  <c r="U20" i="1" s="1"/>
  <c r="I20" i="1"/>
  <c r="F20" i="1"/>
  <c r="E20" i="1"/>
  <c r="G20" i="1" s="1"/>
  <c r="D20" i="1"/>
  <c r="C20" i="1"/>
  <c r="B20" i="1"/>
  <c r="E41" i="2" s="1"/>
  <c r="B59" i="2" s="1"/>
  <c r="M19" i="1"/>
  <c r="L19" i="1"/>
  <c r="K19" i="1"/>
  <c r="J19" i="1"/>
  <c r="I19" i="1"/>
  <c r="F19" i="1"/>
  <c r="E19" i="1"/>
  <c r="D19" i="1"/>
  <c r="C19" i="1"/>
  <c r="B19" i="1"/>
  <c r="S20" i="1" s="1"/>
  <c r="M18" i="1"/>
  <c r="L18" i="1"/>
  <c r="K18" i="1"/>
  <c r="J18" i="1"/>
  <c r="I18" i="1"/>
  <c r="F18" i="1"/>
  <c r="G18" i="1" s="1"/>
  <c r="E18" i="1"/>
  <c r="D18" i="1"/>
  <c r="C18" i="1"/>
  <c r="B18" i="1"/>
  <c r="S17" i="1"/>
  <c r="M17" i="1"/>
  <c r="E4" i="7" s="1"/>
  <c r="L17" i="1"/>
  <c r="K17" i="1"/>
  <c r="U17" i="1" s="1"/>
  <c r="J17" i="1"/>
  <c r="I17" i="1"/>
  <c r="F17" i="1"/>
  <c r="E17" i="1"/>
  <c r="D17" i="1"/>
  <c r="C17" i="1"/>
  <c r="B17" i="1"/>
  <c r="E38" i="2" s="1"/>
  <c r="S16" i="1"/>
  <c r="M16" i="1"/>
  <c r="L16" i="1"/>
  <c r="K16" i="1"/>
  <c r="J16" i="1"/>
  <c r="U16" i="1" s="1"/>
  <c r="I16" i="1"/>
  <c r="F16" i="1"/>
  <c r="E16" i="1"/>
  <c r="G16" i="1" s="1"/>
  <c r="N16" i="1" s="1"/>
  <c r="D16" i="1"/>
  <c r="C16" i="1"/>
  <c r="B16" i="1"/>
  <c r="E37" i="2" s="1"/>
  <c r="B55" i="2" s="1"/>
  <c r="U15" i="1"/>
  <c r="N15" i="1"/>
  <c r="W15" i="1" s="1"/>
  <c r="X15" i="1" s="1"/>
  <c r="Y15" i="1" s="1"/>
  <c r="M15" i="1"/>
  <c r="L15" i="1"/>
  <c r="K15" i="1"/>
  <c r="J15" i="1"/>
  <c r="I15" i="1"/>
  <c r="F15" i="1"/>
  <c r="E15" i="1"/>
  <c r="G15" i="1" s="1"/>
  <c r="D15" i="1"/>
  <c r="C15" i="1"/>
  <c r="B15" i="1"/>
  <c r="E36" i="2" s="1"/>
  <c r="B54" i="2" s="1"/>
  <c r="D54" i="2" s="1"/>
  <c r="U14" i="1"/>
  <c r="M14" i="1"/>
  <c r="L14" i="1"/>
  <c r="K14" i="1"/>
  <c r="J14" i="1"/>
  <c r="I14" i="1"/>
  <c r="F14" i="1"/>
  <c r="E14" i="1"/>
  <c r="D14" i="1"/>
  <c r="C14" i="1"/>
  <c r="B14" i="1"/>
  <c r="E35" i="2" s="1"/>
  <c r="B53" i="2" s="1"/>
  <c r="M13" i="1"/>
  <c r="L13" i="1"/>
  <c r="K13" i="1"/>
  <c r="J13" i="1"/>
  <c r="I13" i="1"/>
  <c r="F13" i="1"/>
  <c r="E13" i="1"/>
  <c r="D13" i="1"/>
  <c r="C13" i="1"/>
  <c r="B13" i="1"/>
  <c r="E34" i="2" s="1"/>
  <c r="B52" i="2" s="1"/>
  <c r="M12" i="1"/>
  <c r="L12" i="1"/>
  <c r="K12" i="1"/>
  <c r="J12" i="1"/>
  <c r="U12" i="1" s="1"/>
  <c r="I12" i="1"/>
  <c r="F12" i="1"/>
  <c r="E12" i="1"/>
  <c r="D12" i="1"/>
  <c r="C12" i="1"/>
  <c r="B12" i="1"/>
  <c r="M11" i="1"/>
  <c r="L11" i="1"/>
  <c r="K11" i="1"/>
  <c r="J11" i="1"/>
  <c r="I11" i="1"/>
  <c r="F11" i="1"/>
  <c r="G11" i="1" s="1"/>
  <c r="N11" i="1" s="1"/>
  <c r="E11" i="1"/>
  <c r="D11" i="1"/>
  <c r="C11" i="1"/>
  <c r="B11" i="1"/>
  <c r="E32" i="2" s="1"/>
  <c r="B50" i="2" s="1"/>
  <c r="M10" i="1"/>
  <c r="L10" i="1"/>
  <c r="K10" i="1"/>
  <c r="J10" i="1"/>
  <c r="I10" i="1"/>
  <c r="F10" i="1"/>
  <c r="E10" i="1"/>
  <c r="G10" i="1" s="1"/>
  <c r="N10" i="1" s="1"/>
  <c r="D10" i="1"/>
  <c r="D21" i="1" s="1"/>
  <c r="C10" i="1"/>
  <c r="B10" i="1"/>
  <c r="T9" i="1"/>
  <c r="S9" i="1"/>
  <c r="M9" i="1"/>
  <c r="L9" i="1"/>
  <c r="K9" i="1"/>
  <c r="U9" i="1" s="1"/>
  <c r="J9" i="1"/>
  <c r="I9" i="1"/>
  <c r="F9" i="1"/>
  <c r="F21" i="1" s="1"/>
  <c r="E9" i="1"/>
  <c r="E21" i="1" s="1"/>
  <c r="D9" i="1"/>
  <c r="C9" i="1"/>
  <c r="B9" i="1"/>
  <c r="E30" i="2" s="1"/>
  <c r="F24" i="2" l="1"/>
  <c r="O42" i="2"/>
  <c r="N42" i="2"/>
  <c r="G26" i="2"/>
  <c r="F9" i="2"/>
  <c r="C9" i="2"/>
  <c r="I9" i="2"/>
  <c r="F18" i="2"/>
  <c r="I18" i="2"/>
  <c r="C10" i="2"/>
  <c r="C19" i="2"/>
  <c r="I19" i="2"/>
  <c r="I10" i="2"/>
  <c r="C20" i="2"/>
  <c r="C21" i="2" s="1"/>
  <c r="F11" i="2"/>
  <c r="C11" i="2"/>
  <c r="I11" i="2"/>
  <c r="C12" i="2"/>
  <c r="F12" i="2"/>
  <c r="C17" i="2"/>
  <c r="F17" i="2"/>
  <c r="I17" i="2"/>
  <c r="C18" i="2"/>
  <c r="M32" i="2"/>
  <c r="J50" i="2" s="1"/>
  <c r="T11" i="1"/>
  <c r="P11" i="1"/>
  <c r="O11" i="1"/>
  <c r="H11" i="1"/>
  <c r="Q11" i="1"/>
  <c r="W11" i="1"/>
  <c r="X11" i="1" s="1"/>
  <c r="Y11" i="1" s="1"/>
  <c r="M31" i="2"/>
  <c r="J49" i="2" s="1"/>
  <c r="H10" i="1"/>
  <c r="O10" i="1"/>
  <c r="W10" i="1"/>
  <c r="X10" i="1" s="1"/>
  <c r="Y10" i="1" s="1"/>
  <c r="Q10" i="1"/>
  <c r="R11" i="1"/>
  <c r="M37" i="2"/>
  <c r="J55" i="2" s="1"/>
  <c r="W16" i="1"/>
  <c r="X16" i="1" s="1"/>
  <c r="Y16" i="1" s="1"/>
  <c r="H16" i="1"/>
  <c r="T16" i="1"/>
  <c r="O16" i="1"/>
  <c r="Q15" i="1"/>
  <c r="E31" i="2"/>
  <c r="B21" i="1"/>
  <c r="K5" i="1"/>
  <c r="C5" i="1"/>
  <c r="S38" i="7"/>
  <c r="E38" i="7"/>
  <c r="R38" i="7"/>
  <c r="C38" i="7"/>
  <c r="D38" i="7"/>
  <c r="G38" i="7"/>
  <c r="J38" i="7"/>
  <c r="N38" i="7"/>
  <c r="I38" i="7"/>
  <c r="O38" i="7"/>
  <c r="M38" i="7"/>
  <c r="H38" i="7"/>
  <c r="G14" i="1"/>
  <c r="N14" i="1" s="1"/>
  <c r="N18" i="1"/>
  <c r="G19" i="1"/>
  <c r="N19" i="1" s="1"/>
  <c r="E59" i="2"/>
  <c r="C59" i="2"/>
  <c r="D59" i="2"/>
  <c r="C12" i="7"/>
  <c r="H16" i="7"/>
  <c r="F28" i="7"/>
  <c r="G31" i="7"/>
  <c r="R32" i="7"/>
  <c r="D32" i="7"/>
  <c r="K32" i="7"/>
  <c r="M32" i="7"/>
  <c r="P32" i="7"/>
  <c r="C32" i="7"/>
  <c r="S32" i="7"/>
  <c r="A32" i="7"/>
  <c r="O32" i="7"/>
  <c r="N32" i="7"/>
  <c r="I32" i="7"/>
  <c r="D36" i="7"/>
  <c r="F36" i="8"/>
  <c r="Y36" i="8" s="1"/>
  <c r="D54" i="8"/>
  <c r="E50" i="2"/>
  <c r="C50" i="2"/>
  <c r="D50" i="2"/>
  <c r="S11" i="1"/>
  <c r="I5" i="1"/>
  <c r="U10" i="1"/>
  <c r="R10" i="1"/>
  <c r="P16" i="1"/>
  <c r="I14" i="7"/>
  <c r="K14" i="7"/>
  <c r="N14" i="7" s="1"/>
  <c r="O14" i="7" s="1"/>
  <c r="L14" i="7"/>
  <c r="M14" i="7"/>
  <c r="G14" i="7"/>
  <c r="C14" i="7"/>
  <c r="B14" i="7"/>
  <c r="R43" i="10"/>
  <c r="R47" i="10"/>
  <c r="R46" i="10"/>
  <c r="R53" i="10" s="1"/>
  <c r="R48" i="10"/>
  <c r="R45" i="10"/>
  <c r="R44" i="10"/>
  <c r="D50" i="8"/>
  <c r="M36" i="2"/>
  <c r="J54" i="2" s="1"/>
  <c r="T15" i="1"/>
  <c r="H15" i="1"/>
  <c r="H36" i="8"/>
  <c r="E36" i="8"/>
  <c r="G36" i="8"/>
  <c r="B36" i="8"/>
  <c r="E5" i="1"/>
  <c r="J11" i="7"/>
  <c r="R11" i="7" s="1"/>
  <c r="C11" i="7"/>
  <c r="H11" i="7"/>
  <c r="D11" i="7"/>
  <c r="B11" i="7"/>
  <c r="E12" i="7"/>
  <c r="L26" i="7"/>
  <c r="J26" i="7"/>
  <c r="M26" i="7"/>
  <c r="N26" i="7" s="1"/>
  <c r="O26" i="7" s="1"/>
  <c r="S26" i="7" s="1"/>
  <c r="R26" i="7"/>
  <c r="A26" i="7"/>
  <c r="G26" i="7"/>
  <c r="F26" i="7"/>
  <c r="C26" i="7"/>
  <c r="I31" i="7"/>
  <c r="K37" i="7"/>
  <c r="H37" i="7"/>
  <c r="G37" i="7"/>
  <c r="J37" i="7"/>
  <c r="L37" i="7"/>
  <c r="P37" i="7"/>
  <c r="E37" i="7"/>
  <c r="R37" i="7"/>
  <c r="M37" i="7"/>
  <c r="I37" i="7"/>
  <c r="C37" i="7"/>
  <c r="D46" i="8"/>
  <c r="E33" i="2"/>
  <c r="B51" i="2" s="1"/>
  <c r="S12" i="1"/>
  <c r="U18" i="1"/>
  <c r="A11" i="7"/>
  <c r="I12" i="7"/>
  <c r="E15" i="7"/>
  <c r="M16" i="7"/>
  <c r="N16" i="7" s="1"/>
  <c r="O16" i="7" s="1"/>
  <c r="J17" i="7"/>
  <c r="P17" i="7" s="1"/>
  <c r="Q17" i="7" s="1"/>
  <c r="I17" i="7"/>
  <c r="L17" i="7"/>
  <c r="D17" i="7"/>
  <c r="H17" i="7"/>
  <c r="K17" i="7"/>
  <c r="N17" i="7" s="1"/>
  <c r="O17" i="7" s="1"/>
  <c r="S17" i="7" s="1"/>
  <c r="C17" i="7"/>
  <c r="B17" i="7"/>
  <c r="K28" i="7"/>
  <c r="N31" i="7"/>
  <c r="L36" i="7"/>
  <c r="B38" i="7"/>
  <c r="I18" i="8"/>
  <c r="E18" i="8"/>
  <c r="G18" i="8"/>
  <c r="B18" i="8"/>
  <c r="F18" i="8"/>
  <c r="Y18" i="8" s="1"/>
  <c r="C18" i="8"/>
  <c r="D18" i="8" s="1"/>
  <c r="B10" i="7"/>
  <c r="D10" i="7"/>
  <c r="G10" i="7"/>
  <c r="J10" i="7"/>
  <c r="E10" i="7"/>
  <c r="C10" i="7"/>
  <c r="G12" i="7"/>
  <c r="C15" i="7"/>
  <c r="H29" i="7"/>
  <c r="K29" i="7"/>
  <c r="M29" i="7"/>
  <c r="E29" i="7"/>
  <c r="J29" i="7"/>
  <c r="Q29" i="7"/>
  <c r="P29" i="7"/>
  <c r="I29" i="7"/>
  <c r="G29" i="7"/>
  <c r="C29" i="7"/>
  <c r="K31" i="7"/>
  <c r="A38" i="7"/>
  <c r="I12" i="8"/>
  <c r="G12" i="8"/>
  <c r="E12" i="8"/>
  <c r="B12" i="8"/>
  <c r="C12" i="8"/>
  <c r="D12" i="8" s="1"/>
  <c r="H12" i="8"/>
  <c r="E11" i="7"/>
  <c r="G15" i="7"/>
  <c r="O34" i="7"/>
  <c r="A34" i="7"/>
  <c r="H34" i="7"/>
  <c r="S34" i="7"/>
  <c r="C34" i="7"/>
  <c r="E34" i="7"/>
  <c r="M34" i="7"/>
  <c r="R34" i="7"/>
  <c r="G34" i="7"/>
  <c r="P34" i="7"/>
  <c r="F38" i="7"/>
  <c r="Y12" i="8"/>
  <c r="B38" i="8"/>
  <c r="E38" i="8"/>
  <c r="I38" i="8"/>
  <c r="G38" i="8"/>
  <c r="H38" i="8"/>
  <c r="F38" i="8"/>
  <c r="Y38" i="8" s="1"/>
  <c r="C38" i="8"/>
  <c r="D38" i="8" s="1"/>
  <c r="L12" i="7"/>
  <c r="D12" i="7"/>
  <c r="F12" i="7"/>
  <c r="H12" i="7"/>
  <c r="B12" i="7"/>
  <c r="A12" i="7"/>
  <c r="R16" i="1"/>
  <c r="M41" i="2"/>
  <c r="O20" i="1"/>
  <c r="W20" i="1"/>
  <c r="X20" i="1" s="1"/>
  <c r="Y20" i="1" s="1"/>
  <c r="H20" i="1"/>
  <c r="Y40" i="8"/>
  <c r="F40" i="8"/>
  <c r="B40" i="8"/>
  <c r="I40" i="8"/>
  <c r="G40" i="8"/>
  <c r="D40" i="8"/>
  <c r="C40" i="8"/>
  <c r="H40" i="8"/>
  <c r="P15" i="1"/>
  <c r="G17" i="1"/>
  <c r="N17" i="1" s="1"/>
  <c r="P17" i="1" s="1"/>
  <c r="P20" i="1"/>
  <c r="I35" i="7"/>
  <c r="R35" i="7"/>
  <c r="C35" i="7"/>
  <c r="O35" i="7"/>
  <c r="Q35" i="7"/>
  <c r="A35" i="7"/>
  <c r="L35" i="7"/>
  <c r="S35" i="7"/>
  <c r="D35" i="7"/>
  <c r="J35" i="7"/>
  <c r="E35" i="7"/>
  <c r="B35" i="7"/>
  <c r="Y33" i="8"/>
  <c r="E33" i="8"/>
  <c r="B33" i="8"/>
  <c r="I33" i="8"/>
  <c r="G33" i="8"/>
  <c r="H33" i="8"/>
  <c r="F33" i="8"/>
  <c r="I21" i="1"/>
  <c r="O15" i="1"/>
  <c r="R20" i="1"/>
  <c r="U11" i="1"/>
  <c r="G11" i="7"/>
  <c r="M12" i="7"/>
  <c r="D14" i="7"/>
  <c r="M15" i="7"/>
  <c r="Q36" i="7"/>
  <c r="C36" i="7"/>
  <c r="M36" i="7"/>
  <c r="K36" i="7"/>
  <c r="N36" i="7"/>
  <c r="J36" i="7"/>
  <c r="R36" i="7"/>
  <c r="E36" i="7"/>
  <c r="O36" i="7"/>
  <c r="G36" i="7"/>
  <c r="F36" i="7"/>
  <c r="A36" i="7"/>
  <c r="C33" i="8"/>
  <c r="D33" i="8" s="1"/>
  <c r="E39" i="2"/>
  <c r="B57" i="2" s="1"/>
  <c r="S18" i="1"/>
  <c r="A5" i="1"/>
  <c r="C36" i="8"/>
  <c r="D36" i="8" s="1"/>
  <c r="I48" i="2"/>
  <c r="G48" i="2"/>
  <c r="H48" i="2"/>
  <c r="R15" i="1"/>
  <c r="F11" i="7"/>
  <c r="M11" i="7" s="1"/>
  <c r="K12" i="7"/>
  <c r="N12" i="7" s="1"/>
  <c r="O12" i="7" s="1"/>
  <c r="A14" i="7"/>
  <c r="K15" i="7"/>
  <c r="J31" i="7"/>
  <c r="P31" i="7"/>
  <c r="A31" i="7"/>
  <c r="R31" i="7"/>
  <c r="C31" i="7"/>
  <c r="S31" i="7"/>
  <c r="F31" i="7"/>
  <c r="Q31" i="7"/>
  <c r="M31" i="7"/>
  <c r="L31" i="7"/>
  <c r="H31" i="7"/>
  <c r="F35" i="7"/>
  <c r="K38" i="7"/>
  <c r="A10" i="7"/>
  <c r="I11" i="7"/>
  <c r="E14" i="7"/>
  <c r="D26" i="7"/>
  <c r="A29" i="7"/>
  <c r="E32" i="7"/>
  <c r="H35" i="7"/>
  <c r="A37" i="7"/>
  <c r="P38" i="7"/>
  <c r="S10" i="1"/>
  <c r="A3" i="1"/>
  <c r="Q13" i="1"/>
  <c r="E40" i="2"/>
  <c r="B58" i="2" s="1"/>
  <c r="U19" i="1"/>
  <c r="S19" i="1"/>
  <c r="H15" i="7"/>
  <c r="D15" i="7"/>
  <c r="F15" i="7"/>
  <c r="J15" i="7"/>
  <c r="I15" i="7"/>
  <c r="B15" i="7"/>
  <c r="A15" i="7"/>
  <c r="B16" i="7"/>
  <c r="A16" i="7"/>
  <c r="G16" i="7"/>
  <c r="J16" i="7"/>
  <c r="R16" i="7" s="1"/>
  <c r="I16" i="7"/>
  <c r="D16" i="7"/>
  <c r="C16" i="7"/>
  <c r="B26" i="7"/>
  <c r="N28" i="7"/>
  <c r="P28" i="7"/>
  <c r="A28" i="7"/>
  <c r="R28" i="7"/>
  <c r="C28" i="7"/>
  <c r="L28" i="7"/>
  <c r="Q28" i="7"/>
  <c r="M28" i="7"/>
  <c r="H28" i="7"/>
  <c r="G28" i="7"/>
  <c r="D28" i="7"/>
  <c r="G35" i="7"/>
  <c r="L38" i="7"/>
  <c r="P10" i="1"/>
  <c r="Q12" i="1"/>
  <c r="E52" i="2"/>
  <c r="C52" i="2"/>
  <c r="D52" i="2"/>
  <c r="S13" i="1"/>
  <c r="G9" i="1"/>
  <c r="G12" i="1"/>
  <c r="N12" i="1" s="1"/>
  <c r="U13" i="1"/>
  <c r="Q18" i="1"/>
  <c r="F10" i="7"/>
  <c r="K11" i="7"/>
  <c r="R12" i="7"/>
  <c r="F14" i="7"/>
  <c r="R14" i="7" s="1"/>
  <c r="E17" i="7"/>
  <c r="E26" i="7"/>
  <c r="B29" i="7"/>
  <c r="F32" i="7"/>
  <c r="K35" i="7"/>
  <c r="B37" i="7"/>
  <c r="Q38" i="7"/>
  <c r="B22" i="8"/>
  <c r="E22" i="8"/>
  <c r="C22" i="8"/>
  <c r="D22" i="8" s="1"/>
  <c r="H22" i="8"/>
  <c r="F22" i="8"/>
  <c r="Y22" i="8" s="1"/>
  <c r="D52" i="8"/>
  <c r="N822" i="9"/>
  <c r="C28" i="8"/>
  <c r="I28" i="8"/>
  <c r="G28" i="8"/>
  <c r="E28" i="8"/>
  <c r="E37" i="8"/>
  <c r="B37" i="8"/>
  <c r="C37" i="8"/>
  <c r="D37" i="8" s="1"/>
  <c r="H37" i="8"/>
  <c r="F37" i="8"/>
  <c r="Y37" i="8" s="1"/>
  <c r="I55" i="2"/>
  <c r="G55" i="2"/>
  <c r="H55" i="2"/>
  <c r="E54" i="2"/>
  <c r="C54" i="2"/>
  <c r="S15" i="1"/>
  <c r="L19" i="7"/>
  <c r="N19" i="7" s="1"/>
  <c r="O19" i="7" s="1"/>
  <c r="S19" i="7" s="1"/>
  <c r="B19" i="7"/>
  <c r="R19" i="7"/>
  <c r="G19" i="7"/>
  <c r="H22" i="7"/>
  <c r="B22" i="7"/>
  <c r="J22" i="7"/>
  <c r="D22" i="7"/>
  <c r="B23" i="7"/>
  <c r="J23" i="7"/>
  <c r="R23" i="7" s="1"/>
  <c r="G23" i="7"/>
  <c r="C23" i="7"/>
  <c r="D28" i="8"/>
  <c r="E31" i="8"/>
  <c r="I31" i="8"/>
  <c r="G31" i="8"/>
  <c r="F31" i="8"/>
  <c r="Y31" i="8" s="1"/>
  <c r="D31" i="8"/>
  <c r="Y34" i="8"/>
  <c r="B34" i="8"/>
  <c r="I34" i="8"/>
  <c r="C34" i="8"/>
  <c r="D34" i="8" s="1"/>
  <c r="G34" i="8"/>
  <c r="H34" i="8"/>
  <c r="E34" i="8"/>
  <c r="I37" i="8"/>
  <c r="F52" i="2"/>
  <c r="H28" i="8"/>
  <c r="C31" i="8"/>
  <c r="F34" i="8"/>
  <c r="F49" i="2"/>
  <c r="Q31" i="2"/>
  <c r="N49" i="2" s="1"/>
  <c r="H35" i="8"/>
  <c r="G35" i="8"/>
  <c r="E35" i="8"/>
  <c r="B35" i="8"/>
  <c r="I35" i="8"/>
  <c r="M39" i="7"/>
  <c r="N39" i="7"/>
  <c r="Q39" i="7"/>
  <c r="A39" i="7"/>
  <c r="G39" i="7"/>
  <c r="S39" i="7"/>
  <c r="C39" i="7"/>
  <c r="I39" i="7"/>
  <c r="O39" i="7"/>
  <c r="K39" i="7"/>
  <c r="H57" i="8"/>
  <c r="D57" i="8"/>
  <c r="G57" i="8"/>
  <c r="K66" i="3"/>
  <c r="L66" i="3" s="1"/>
  <c r="D26" i="8"/>
  <c r="E26" i="8"/>
  <c r="G26" i="8"/>
  <c r="I26" i="8"/>
  <c r="F26" i="8"/>
  <c r="Y26" i="8" s="1"/>
  <c r="B29" i="8"/>
  <c r="E29" i="8"/>
  <c r="I29" i="8"/>
  <c r="F29" i="8"/>
  <c r="Y29" i="8" s="1"/>
  <c r="G29" i="8"/>
  <c r="C29" i="8"/>
  <c r="D29" i="8" s="1"/>
  <c r="C35" i="8"/>
  <c r="D35" i="8" s="1"/>
  <c r="E47" i="10"/>
  <c r="E43" i="10"/>
  <c r="E48" i="10"/>
  <c r="E45" i="10"/>
  <c r="E46" i="10"/>
  <c r="E53" i="10" s="1"/>
  <c r="E44" i="10"/>
  <c r="AE48" i="10"/>
  <c r="AE46" i="10"/>
  <c r="AE53" i="10" s="1"/>
  <c r="AE45" i="10"/>
  <c r="AE44" i="10"/>
  <c r="AE47" i="10" s="1"/>
  <c r="F53" i="2"/>
  <c r="U33" i="7"/>
  <c r="U25" i="7"/>
  <c r="D47" i="8"/>
  <c r="I50" i="2"/>
  <c r="G50" i="2"/>
  <c r="H50" i="2"/>
  <c r="I12" i="2"/>
  <c r="I20" i="2"/>
  <c r="N312" i="9"/>
  <c r="G13" i="1"/>
  <c r="N13" i="1" s="1"/>
  <c r="D53" i="2"/>
  <c r="E53" i="2"/>
  <c r="C53" i="2"/>
  <c r="S14" i="1"/>
  <c r="Q16" i="1"/>
  <c r="J21" i="1"/>
  <c r="J19" i="7"/>
  <c r="L22" i="7"/>
  <c r="N22" i="7" s="1"/>
  <c r="O22" i="7" s="1"/>
  <c r="S22" i="7" s="1"/>
  <c r="M23" i="7"/>
  <c r="B39" i="7"/>
  <c r="Y10" i="8"/>
  <c r="D10" i="8"/>
  <c r="H10" i="8"/>
  <c r="F10" i="8"/>
  <c r="B10" i="8"/>
  <c r="I10" i="8"/>
  <c r="Q36" i="2"/>
  <c r="N54" i="2" s="1"/>
  <c r="F54" i="2"/>
  <c r="G46" i="10"/>
  <c r="G53" i="10" s="1"/>
  <c r="G48" i="10"/>
  <c r="G43" i="10"/>
  <c r="G44" i="10"/>
  <c r="G45" i="10"/>
  <c r="G47" i="10" s="1"/>
  <c r="J45" i="10"/>
  <c r="J47" i="10"/>
  <c r="J44" i="10"/>
  <c r="J48" i="10"/>
  <c r="I57" i="2"/>
  <c r="G57" i="2"/>
  <c r="H57" i="2"/>
  <c r="U30" i="7"/>
  <c r="P43" i="10"/>
  <c r="P45" i="10"/>
  <c r="P44" i="10"/>
  <c r="P47" i="10" s="1"/>
  <c r="P46" i="10"/>
  <c r="P53" i="10" s="1"/>
  <c r="C55" i="2"/>
  <c r="E55" i="2"/>
  <c r="D55" i="2"/>
  <c r="Q20" i="1"/>
  <c r="F16" i="8"/>
  <c r="Y16" i="8" s="1"/>
  <c r="I16" i="8"/>
  <c r="H16" i="8"/>
  <c r="F32" i="8"/>
  <c r="Y32" i="8" s="1"/>
  <c r="E32" i="8"/>
  <c r="B32" i="8"/>
  <c r="D32" i="8"/>
  <c r="T45" i="10"/>
  <c r="T43" i="10"/>
  <c r="T48" i="10"/>
  <c r="T46" i="10"/>
  <c r="T53" i="10" s="1"/>
  <c r="T44" i="10"/>
  <c r="T47" i="10" s="1"/>
  <c r="K26" i="2"/>
  <c r="I26" i="2"/>
  <c r="H26" i="2"/>
  <c r="D51" i="8"/>
  <c r="H51" i="8"/>
  <c r="G51" i="8"/>
  <c r="J43" i="10"/>
  <c r="J26" i="2"/>
  <c r="J46" i="10"/>
  <c r="J53" i="10" s="1"/>
  <c r="H13" i="8"/>
  <c r="F13" i="8"/>
  <c r="Y13" i="8" s="1"/>
  <c r="I13" i="8"/>
  <c r="B15" i="8"/>
  <c r="I15" i="8"/>
  <c r="C15" i="8"/>
  <c r="D15" i="8" s="1"/>
  <c r="Y15" i="8"/>
  <c r="G15" i="8"/>
  <c r="E15" i="8"/>
  <c r="D49" i="8"/>
  <c r="H49" i="8"/>
  <c r="B10" i="2"/>
  <c r="F56" i="2"/>
  <c r="U27" i="7"/>
  <c r="U20" i="7"/>
  <c r="U13" i="7"/>
  <c r="U24" i="7"/>
  <c r="U21" i="7"/>
  <c r="U18" i="7"/>
  <c r="K23" i="3"/>
  <c r="L23" i="3" s="1"/>
  <c r="K97" i="3"/>
  <c r="L97" i="3" s="1"/>
  <c r="K33" i="3"/>
  <c r="L33" i="3" s="1"/>
  <c r="E11" i="6"/>
  <c r="E17" i="6"/>
  <c r="D19" i="8"/>
  <c r="B19" i="8"/>
  <c r="I21" i="8"/>
  <c r="G21" i="8"/>
  <c r="Y21" i="8"/>
  <c r="F23" i="8"/>
  <c r="Y23" i="8" s="1"/>
  <c r="D23" i="8"/>
  <c r="C23" i="8"/>
  <c r="I23" i="8"/>
  <c r="G23" i="8"/>
  <c r="F39" i="8"/>
  <c r="Y39" i="8" s="1"/>
  <c r="E39" i="8"/>
  <c r="B39" i="8"/>
  <c r="H48" i="8"/>
  <c r="D48" i="8"/>
  <c r="F9" i="6"/>
  <c r="C20" i="6"/>
  <c r="F20" i="6" s="1"/>
  <c r="B56" i="2"/>
  <c r="B9" i="2"/>
  <c r="Y17" i="8"/>
  <c r="D17" i="8"/>
  <c r="F30" i="8"/>
  <c r="Y30" i="8"/>
  <c r="B27" i="2"/>
  <c r="F27" i="2" s="1"/>
  <c r="F25" i="2"/>
  <c r="F58" i="2"/>
  <c r="E5" i="6"/>
  <c r="A14" i="8"/>
  <c r="C17" i="8"/>
  <c r="F20" i="8"/>
  <c r="Y20" i="8" s="1"/>
  <c r="E25" i="8"/>
  <c r="A27" i="8"/>
  <c r="C30" i="8"/>
  <c r="D30" i="8" s="1"/>
  <c r="F56" i="8"/>
  <c r="E56" i="8"/>
  <c r="K25" i="2"/>
  <c r="J25" i="2"/>
  <c r="D27" i="2"/>
  <c r="H25" i="2"/>
  <c r="P42" i="2"/>
  <c r="D11" i="8"/>
  <c r="F17" i="8"/>
  <c r="Y24" i="8"/>
  <c r="I24" i="8"/>
  <c r="E30" i="8"/>
  <c r="M44" i="10"/>
  <c r="M46" i="10"/>
  <c r="M53" i="10" s="1"/>
  <c r="M43" i="10"/>
  <c r="M45" i="10"/>
  <c r="I59" i="2"/>
  <c r="G59" i="2"/>
  <c r="U46" i="10"/>
  <c r="U53" i="10" s="1"/>
  <c r="U44" i="10"/>
  <c r="U47" i="10" s="1"/>
  <c r="U45" i="10"/>
  <c r="F13" i="2"/>
  <c r="B48" i="2"/>
  <c r="H20" i="8"/>
  <c r="D20" i="8"/>
  <c r="H51" i="2"/>
  <c r="G51" i="2"/>
  <c r="H55" i="8"/>
  <c r="D55" i="8"/>
  <c r="W46" i="10"/>
  <c r="W53" i="10" s="1"/>
  <c r="W44" i="10"/>
  <c r="W47" i="10" s="1"/>
  <c r="W45" i="10"/>
  <c r="I24" i="2"/>
  <c r="K24" i="2"/>
  <c r="H24" i="2"/>
  <c r="G55" i="8"/>
  <c r="Y48" i="10"/>
  <c r="Y47" i="10"/>
  <c r="J24" i="2"/>
  <c r="C48" i="10"/>
  <c r="C46" i="10"/>
  <c r="C53" i="10" s="1"/>
  <c r="C45" i="10"/>
  <c r="C47" i="10" s="1"/>
  <c r="AC44" i="10"/>
  <c r="AC48" i="10"/>
  <c r="AC45" i="10"/>
  <c r="AC43" i="10"/>
  <c r="I42" i="2"/>
  <c r="E25" i="2"/>
  <c r="K85" i="3"/>
  <c r="L85" i="3" s="1"/>
  <c r="H53" i="8"/>
  <c r="D53" i="8"/>
  <c r="K29" i="3"/>
  <c r="L29" i="3" s="1"/>
  <c r="K45" i="3"/>
  <c r="L45" i="3" s="1"/>
  <c r="X43" i="10"/>
  <c r="Q52" i="10"/>
  <c r="K22" i="3"/>
  <c r="L22" i="3" s="1"/>
  <c r="J59" i="3"/>
  <c r="K59" i="3" s="1"/>
  <c r="L59" i="3" s="1"/>
  <c r="J67" i="3"/>
  <c r="K67" i="3" s="1"/>
  <c r="L67" i="3" s="1"/>
  <c r="J55" i="3"/>
  <c r="K55" i="3" s="1"/>
  <c r="L55" i="3" s="1"/>
  <c r="H13" i="5"/>
  <c r="AA43" i="10"/>
  <c r="X46" i="10"/>
  <c r="X53" i="10" s="1"/>
  <c r="AA47" i="10"/>
  <c r="B52" i="10"/>
  <c r="S52" i="10"/>
  <c r="K64" i="3"/>
  <c r="L64" i="3" s="1"/>
  <c r="K80" i="3"/>
  <c r="L80" i="3" s="1"/>
  <c r="A5" i="6"/>
  <c r="F8" i="6"/>
  <c r="E16" i="6"/>
  <c r="D52" i="10"/>
  <c r="K10" i="3"/>
  <c r="L10" i="3" s="1"/>
  <c r="J58" i="3"/>
  <c r="K58" i="3" s="1"/>
  <c r="L58" i="3" s="1"/>
  <c r="J61" i="3"/>
  <c r="K61" i="3" s="1"/>
  <c r="L61" i="3" s="1"/>
  <c r="K84" i="3"/>
  <c r="L84" i="3" s="1"/>
  <c r="H7" i="5"/>
  <c r="J17" i="3"/>
  <c r="K17" i="3" s="1"/>
  <c r="L17" i="3" s="1"/>
  <c r="J11" i="3"/>
  <c r="K11" i="3" s="1"/>
  <c r="L11" i="3" s="1"/>
  <c r="J13" i="3"/>
  <c r="K13" i="3" s="1"/>
  <c r="L13" i="3" s="1"/>
  <c r="J73" i="3"/>
  <c r="K73" i="3" s="1"/>
  <c r="L73" i="3" s="1"/>
  <c r="J81" i="3"/>
  <c r="K81" i="3" s="1"/>
  <c r="L81" i="3" s="1"/>
  <c r="J69" i="3"/>
  <c r="K69" i="3" s="1"/>
  <c r="L69" i="3" s="1"/>
  <c r="E8" i="6"/>
  <c r="F45" i="10"/>
  <c r="K14" i="3"/>
  <c r="L14" i="3" s="1"/>
  <c r="K36" i="3"/>
  <c r="L36" i="3" s="1"/>
  <c r="K52" i="3"/>
  <c r="L52" i="3" s="1"/>
  <c r="J45" i="3"/>
  <c r="J39" i="3"/>
  <c r="K39" i="3" s="1"/>
  <c r="L39" i="3" s="1"/>
  <c r="J41" i="3"/>
  <c r="K41" i="3" s="1"/>
  <c r="L41" i="3" s="1"/>
  <c r="H11" i="5"/>
  <c r="E14" i="6"/>
  <c r="I46" i="10"/>
  <c r="I53" i="10" s="1"/>
  <c r="I44" i="10"/>
  <c r="I47" i="10" s="1"/>
  <c r="J33" i="3"/>
  <c r="K56" i="3"/>
  <c r="L56" i="3" s="1"/>
  <c r="J62" i="3"/>
  <c r="K62" i="3" s="1"/>
  <c r="L62" i="3" s="1"/>
  <c r="K98" i="3"/>
  <c r="L98" i="3" s="1"/>
  <c r="J87" i="3"/>
  <c r="K87" i="3" s="1"/>
  <c r="L87" i="3" s="1"/>
  <c r="J95" i="3"/>
  <c r="L23" i="7" s="1"/>
  <c r="N23" i="7" s="1"/>
  <c r="O23" i="7" s="1"/>
  <c r="S23" i="7" s="1"/>
  <c r="H15" i="5"/>
  <c r="J97" i="3"/>
  <c r="J83" i="3"/>
  <c r="K83" i="3" s="1"/>
  <c r="L83" i="3" s="1"/>
  <c r="J99" i="3"/>
  <c r="K99" i="3" s="1"/>
  <c r="L99" i="3" s="1"/>
  <c r="H10" i="5"/>
  <c r="AB52" i="10"/>
  <c r="N52" i="10"/>
  <c r="Z52" i="10"/>
  <c r="L52" i="10"/>
  <c r="V52" i="10"/>
  <c r="H52" i="10"/>
  <c r="F44" i="10"/>
  <c r="F47" i="10" s="1"/>
  <c r="X44" i="10"/>
  <c r="X47" i="10" s="1"/>
  <c r="X48" i="10"/>
  <c r="K52" i="10"/>
  <c r="AD52" i="10"/>
  <c r="H14" i="5"/>
  <c r="I48" i="10"/>
  <c r="AA48" i="10"/>
  <c r="O52" i="10"/>
  <c r="AF52" i="10"/>
  <c r="G25" i="2"/>
  <c r="K28" i="3"/>
  <c r="L28" i="3" s="1"/>
  <c r="J66" i="3"/>
  <c r="K92" i="3"/>
  <c r="L92" i="3" s="1"/>
  <c r="J31" i="3"/>
  <c r="K31" i="3" s="1"/>
  <c r="L31" i="3" s="1"/>
  <c r="J27" i="3"/>
  <c r="K27" i="3" s="1"/>
  <c r="L27" i="3" s="1"/>
  <c r="H9" i="5"/>
  <c r="E18" i="6"/>
  <c r="F20" i="2"/>
  <c r="B18" i="2"/>
  <c r="F19" i="2"/>
  <c r="F21" i="2" l="1"/>
  <c r="E24" i="2"/>
  <c r="F60" i="2"/>
  <c r="E42" i="2"/>
  <c r="C13" i="2"/>
  <c r="I13" i="2"/>
  <c r="Q32" i="2"/>
  <c r="N50" i="2" s="1"/>
  <c r="Q50" i="2" s="1"/>
  <c r="I21" i="2"/>
  <c r="P14" i="7"/>
  <c r="Q14" i="7" s="1"/>
  <c r="S14" i="7"/>
  <c r="S12" i="7"/>
  <c r="P12" i="7"/>
  <c r="Q12" i="7" s="1"/>
  <c r="P16" i="7"/>
  <c r="Q16" i="7" s="1"/>
  <c r="S16" i="7"/>
  <c r="P30" i="7"/>
  <c r="B30" i="7"/>
  <c r="F30" i="7"/>
  <c r="H30" i="7"/>
  <c r="C30" i="7"/>
  <c r="I30" i="7"/>
  <c r="Q30" i="7"/>
  <c r="R30" i="7"/>
  <c r="L30" i="7"/>
  <c r="K30" i="7"/>
  <c r="E30" i="7"/>
  <c r="N30" i="7"/>
  <c r="J30" i="7"/>
  <c r="M30" i="7"/>
  <c r="G30" i="7"/>
  <c r="S30" i="7"/>
  <c r="O30" i="7"/>
  <c r="D30" i="7"/>
  <c r="A30" i="7"/>
  <c r="I54" i="2"/>
  <c r="H54" i="2"/>
  <c r="G54" i="2"/>
  <c r="G33" i="7"/>
  <c r="M33" i="7"/>
  <c r="F33" i="7"/>
  <c r="I33" i="7"/>
  <c r="O33" i="7"/>
  <c r="S33" i="7"/>
  <c r="A33" i="7"/>
  <c r="C33" i="7"/>
  <c r="R33" i="7"/>
  <c r="Q33" i="7"/>
  <c r="L33" i="7"/>
  <c r="P33" i="7"/>
  <c r="K33" i="7"/>
  <c r="N33" i="7"/>
  <c r="J33" i="7"/>
  <c r="H33" i="7"/>
  <c r="D33" i="7"/>
  <c r="E33" i="7"/>
  <c r="B33" i="7"/>
  <c r="F57" i="8"/>
  <c r="E57" i="8"/>
  <c r="M10" i="7"/>
  <c r="L15" i="7"/>
  <c r="N15" i="7" s="1"/>
  <c r="O15" i="7" s="1"/>
  <c r="M39" i="2"/>
  <c r="T18" i="1"/>
  <c r="W18" i="1"/>
  <c r="X18" i="1" s="1"/>
  <c r="Y18" i="1" s="1"/>
  <c r="P18" i="1"/>
  <c r="O18" i="1"/>
  <c r="R18" i="1"/>
  <c r="H18" i="1"/>
  <c r="M40" i="2"/>
  <c r="O19" i="1"/>
  <c r="T19" i="1"/>
  <c r="Q19" i="1"/>
  <c r="R19" i="1"/>
  <c r="W19" i="1"/>
  <c r="X19" i="1" s="1"/>
  <c r="Y19" i="1" s="1"/>
  <c r="H19" i="1"/>
  <c r="M55" i="2"/>
  <c r="K55" i="2"/>
  <c r="L55" i="2"/>
  <c r="O44" i="10"/>
  <c r="O47" i="10" s="1"/>
  <c r="O48" i="10"/>
  <c r="O46" i="10"/>
  <c r="O53" i="10" s="1"/>
  <c r="O45" i="10"/>
  <c r="O43" i="10"/>
  <c r="AB46" i="10"/>
  <c r="AB53" i="10" s="1"/>
  <c r="AB48" i="10"/>
  <c r="AB44" i="10"/>
  <c r="AB47" i="10" s="1"/>
  <c r="AB45" i="10"/>
  <c r="AB43" i="10"/>
  <c r="S44" i="10"/>
  <c r="S47" i="10" s="1"/>
  <c r="S43" i="10"/>
  <c r="S46" i="10"/>
  <c r="S53" i="10" s="1"/>
  <c r="S48" i="10"/>
  <c r="S45" i="10"/>
  <c r="J27" i="2"/>
  <c r="H27" i="2"/>
  <c r="I27" i="2"/>
  <c r="K27" i="2"/>
  <c r="H58" i="2"/>
  <c r="I58" i="2"/>
  <c r="G58" i="2"/>
  <c r="K95" i="3"/>
  <c r="L95" i="3" s="1"/>
  <c r="E49" i="8"/>
  <c r="F49" i="8"/>
  <c r="B43" i="10"/>
  <c r="B47" i="10"/>
  <c r="B48" i="10"/>
  <c r="B44" i="10"/>
  <c r="B46" i="10"/>
  <c r="B53" i="10" s="1"/>
  <c r="B45" i="10"/>
  <c r="F53" i="8"/>
  <c r="E53" i="8"/>
  <c r="P54" i="2"/>
  <c r="O54" i="2"/>
  <c r="Q54" i="2"/>
  <c r="P19" i="1"/>
  <c r="R15" i="7"/>
  <c r="P26" i="7"/>
  <c r="Q26" i="7" s="1"/>
  <c r="M35" i="2"/>
  <c r="O14" i="1"/>
  <c r="H14" i="1"/>
  <c r="T14" i="1"/>
  <c r="W14" i="1"/>
  <c r="X14" i="1" s="1"/>
  <c r="Y14" i="1" s="1"/>
  <c r="Q14" i="1"/>
  <c r="G53" i="2"/>
  <c r="I53" i="2"/>
  <c r="H53" i="2"/>
  <c r="G5" i="1"/>
  <c r="AD43" i="10"/>
  <c r="AD46" i="10"/>
  <c r="AD53" i="10" s="1"/>
  <c r="AD48" i="10"/>
  <c r="AD44" i="10"/>
  <c r="AD45" i="10"/>
  <c r="AD47" i="10" s="1"/>
  <c r="R18" i="7"/>
  <c r="D18" i="7"/>
  <c r="E18" i="7"/>
  <c r="G18" i="7"/>
  <c r="A18" i="7"/>
  <c r="I18" i="7"/>
  <c r="K18" i="7"/>
  <c r="C18" i="7"/>
  <c r="B18" i="7"/>
  <c r="L18" i="7"/>
  <c r="H18" i="7"/>
  <c r="J18" i="7"/>
  <c r="F18" i="7"/>
  <c r="M18" i="7" s="1"/>
  <c r="M34" i="2"/>
  <c r="W13" i="1"/>
  <c r="X13" i="1" s="1"/>
  <c r="Y13" i="1" s="1"/>
  <c r="H13" i="1"/>
  <c r="T13" i="1"/>
  <c r="R13" i="1"/>
  <c r="P13" i="1"/>
  <c r="O13" i="1"/>
  <c r="Q37" i="2"/>
  <c r="N55" i="2" s="1"/>
  <c r="P23" i="7"/>
  <c r="Q23" i="7" s="1"/>
  <c r="M33" i="2"/>
  <c r="H12" i="1"/>
  <c r="T12" i="1"/>
  <c r="W12" i="1"/>
  <c r="X12" i="1" s="1"/>
  <c r="Y12" i="1" s="1"/>
  <c r="P12" i="1"/>
  <c r="O12" i="1"/>
  <c r="R10" i="7"/>
  <c r="R17" i="7"/>
  <c r="R12" i="1"/>
  <c r="L49" i="2"/>
  <c r="K49" i="2"/>
  <c r="M49" i="2"/>
  <c r="E47" i="8"/>
  <c r="F47" i="8"/>
  <c r="AF43" i="10"/>
  <c r="AF47" i="10"/>
  <c r="AF44" i="10"/>
  <c r="AF45" i="10"/>
  <c r="AF48" i="10"/>
  <c r="AF46" i="10"/>
  <c r="AF53" i="10" s="1"/>
  <c r="N47" i="10"/>
  <c r="N45" i="10"/>
  <c r="N43" i="10"/>
  <c r="N48" i="10"/>
  <c r="N44" i="10"/>
  <c r="N46" i="10"/>
  <c r="N53" i="10" s="1"/>
  <c r="F51" i="8"/>
  <c r="E51" i="8"/>
  <c r="O49" i="2"/>
  <c r="Q49" i="2"/>
  <c r="P49" i="2"/>
  <c r="G21" i="1"/>
  <c r="H21" i="1" s="1"/>
  <c r="N9" i="1"/>
  <c r="B49" i="2"/>
  <c r="B17" i="2"/>
  <c r="E57" i="2"/>
  <c r="C57" i="2"/>
  <c r="D57" i="2"/>
  <c r="T20" i="1"/>
  <c r="C51" i="2"/>
  <c r="D51" i="2"/>
  <c r="E51" i="2"/>
  <c r="F54" i="8"/>
  <c r="E54" i="8"/>
  <c r="P14" i="1"/>
  <c r="Z45" i="10"/>
  <c r="Z43" i="10"/>
  <c r="Z44" i="10"/>
  <c r="Z47" i="10" s="1"/>
  <c r="Z46" i="10"/>
  <c r="Z53" i="10" s="1"/>
  <c r="Z48" i="10"/>
  <c r="C58" i="2"/>
  <c r="D58" i="2"/>
  <c r="E58" i="2"/>
  <c r="F46" i="8"/>
  <c r="E46" i="8"/>
  <c r="K54" i="2"/>
  <c r="L54" i="2"/>
  <c r="M54" i="2"/>
  <c r="D25" i="7"/>
  <c r="B25" i="7"/>
  <c r="C25" i="7"/>
  <c r="L25" i="7"/>
  <c r="H25" i="7"/>
  <c r="G25" i="7"/>
  <c r="A25" i="7"/>
  <c r="F25" i="7"/>
  <c r="M25" i="7" s="1"/>
  <c r="E25" i="7"/>
  <c r="K25" i="7"/>
  <c r="I25" i="7"/>
  <c r="J25" i="7"/>
  <c r="D18" i="2"/>
  <c r="J18" i="2"/>
  <c r="H18" i="2"/>
  <c r="G18" i="2"/>
  <c r="K18" i="2"/>
  <c r="E18" i="2"/>
  <c r="E56" i="2"/>
  <c r="D56" i="2"/>
  <c r="C56" i="2"/>
  <c r="F20" i="7"/>
  <c r="J20" i="7"/>
  <c r="P20" i="7" s="1"/>
  <c r="Q20" i="7" s="1"/>
  <c r="L20" i="7"/>
  <c r="E20" i="7"/>
  <c r="K20" i="7"/>
  <c r="N20" i="7" s="1"/>
  <c r="O20" i="7" s="1"/>
  <c r="S20" i="7" s="1"/>
  <c r="D20" i="7"/>
  <c r="C20" i="7"/>
  <c r="A20" i="7"/>
  <c r="B20" i="7"/>
  <c r="R20" i="7"/>
  <c r="G20" i="7"/>
  <c r="M20" i="7"/>
  <c r="I20" i="7"/>
  <c r="H20" i="7"/>
  <c r="H44" i="10"/>
  <c r="H45" i="10"/>
  <c r="H46" i="10"/>
  <c r="H53" i="10" s="1"/>
  <c r="H47" i="10"/>
  <c r="H43" i="10"/>
  <c r="H48" i="10"/>
  <c r="F50" i="8"/>
  <c r="E50" i="8"/>
  <c r="F55" i="8"/>
  <c r="E55" i="8"/>
  <c r="V43" i="10"/>
  <c r="V48" i="10"/>
  <c r="V44" i="10"/>
  <c r="V47" i="10" s="1"/>
  <c r="V45" i="10"/>
  <c r="V46" i="10"/>
  <c r="V53" i="10" s="1"/>
  <c r="Q48" i="10"/>
  <c r="Q46" i="10"/>
  <c r="Q53" i="10" s="1"/>
  <c r="Q47" i="10"/>
  <c r="Q43" i="10"/>
  <c r="Q44" i="10"/>
  <c r="Q45" i="10"/>
  <c r="C14" i="8"/>
  <c r="G14" i="8"/>
  <c r="G41" i="8" s="1"/>
  <c r="F14" i="8"/>
  <c r="F41" i="8" s="1"/>
  <c r="E14" i="8"/>
  <c r="B14" i="8"/>
  <c r="H14" i="8"/>
  <c r="H41" i="8" s="1"/>
  <c r="I14" i="8"/>
  <c r="I41" i="8" s="1"/>
  <c r="O7" i="8" s="1"/>
  <c r="G56" i="2"/>
  <c r="H56" i="2"/>
  <c r="I56" i="2"/>
  <c r="I52" i="2"/>
  <c r="G52" i="2"/>
  <c r="H52" i="2"/>
  <c r="F52" i="8"/>
  <c r="E52" i="8"/>
  <c r="M38" i="2"/>
  <c r="W17" i="1"/>
  <c r="X17" i="1" s="1"/>
  <c r="Y17" i="1" s="1"/>
  <c r="O17" i="1"/>
  <c r="M5" i="1" s="1"/>
  <c r="T17" i="1"/>
  <c r="R17" i="1"/>
  <c r="Q17" i="1"/>
  <c r="H17" i="1"/>
  <c r="J59" i="2"/>
  <c r="Q41" i="2"/>
  <c r="N59" i="2" s="1"/>
  <c r="K48" i="10"/>
  <c r="K45" i="10"/>
  <c r="K46" i="10"/>
  <c r="K53" i="10" s="1"/>
  <c r="K43" i="10"/>
  <c r="K44" i="10"/>
  <c r="K47" i="10"/>
  <c r="G27" i="2"/>
  <c r="M47" i="10"/>
  <c r="E21" i="7"/>
  <c r="G21" i="7"/>
  <c r="L21" i="7"/>
  <c r="N21" i="7" s="1"/>
  <c r="O21" i="7" s="1"/>
  <c r="D21" i="7"/>
  <c r="K21" i="7"/>
  <c r="F21" i="7"/>
  <c r="C21" i="7"/>
  <c r="B21" i="7"/>
  <c r="H21" i="7"/>
  <c r="A21" i="7"/>
  <c r="I21" i="7"/>
  <c r="R21" i="7"/>
  <c r="M21" i="7"/>
  <c r="J21" i="7"/>
  <c r="C48" i="2"/>
  <c r="E48" i="2"/>
  <c r="B60" i="2"/>
  <c r="D48" i="2"/>
  <c r="H27" i="8"/>
  <c r="Y27" i="8"/>
  <c r="C27" i="8"/>
  <c r="D27" i="8"/>
  <c r="I27" i="8"/>
  <c r="B27" i="8"/>
  <c r="E27" i="8"/>
  <c r="G27" i="8"/>
  <c r="F27" i="8"/>
  <c r="J24" i="7"/>
  <c r="E24" i="7"/>
  <c r="G24" i="7"/>
  <c r="D24" i="7"/>
  <c r="A24" i="7"/>
  <c r="H24" i="7"/>
  <c r="F24" i="7"/>
  <c r="M24" i="7" s="1"/>
  <c r="L24" i="7"/>
  <c r="K24" i="7"/>
  <c r="I24" i="7"/>
  <c r="C24" i="7"/>
  <c r="B24" i="7"/>
  <c r="G49" i="2"/>
  <c r="H49" i="2"/>
  <c r="I49" i="2"/>
  <c r="R22" i="7"/>
  <c r="P22" i="7"/>
  <c r="Q22" i="7" s="1"/>
  <c r="D9" i="2"/>
  <c r="J9" i="2"/>
  <c r="H9" i="2"/>
  <c r="E9" i="2"/>
  <c r="G9" i="2"/>
  <c r="K9" i="2"/>
  <c r="F13" i="7"/>
  <c r="F40" i="7" s="1"/>
  <c r="C7" i="7" s="1"/>
  <c r="A13" i="7"/>
  <c r="L13" i="7"/>
  <c r="H13" i="7"/>
  <c r="C13" i="7"/>
  <c r="B13" i="7"/>
  <c r="I13" i="7"/>
  <c r="E13" i="7"/>
  <c r="D13" i="7"/>
  <c r="K13" i="7"/>
  <c r="K40" i="7" s="1"/>
  <c r="G13" i="7"/>
  <c r="G40" i="7" s="1"/>
  <c r="J13" i="7"/>
  <c r="R13" i="7" s="1"/>
  <c r="D43" i="10"/>
  <c r="D44" i="10"/>
  <c r="D47" i="10" s="1"/>
  <c r="D48" i="10"/>
  <c r="D46" i="10"/>
  <c r="D53" i="10" s="1"/>
  <c r="D45" i="10"/>
  <c r="F27" i="7"/>
  <c r="E27" i="7"/>
  <c r="H27" i="7"/>
  <c r="M27" i="7"/>
  <c r="I27" i="7"/>
  <c r="G27" i="7"/>
  <c r="B27" i="7"/>
  <c r="L27" i="7"/>
  <c r="N27" i="7" s="1"/>
  <c r="O27" i="7" s="1"/>
  <c r="J27" i="7"/>
  <c r="R27" i="7" s="1"/>
  <c r="K27" i="7"/>
  <c r="D27" i="7"/>
  <c r="C27" i="7"/>
  <c r="A27" i="7"/>
  <c r="L45" i="10"/>
  <c r="L43" i="10"/>
  <c r="L48" i="10"/>
  <c r="L44" i="10"/>
  <c r="L47" i="10" s="1"/>
  <c r="L46" i="10"/>
  <c r="L53" i="10" s="1"/>
  <c r="AC47" i="10"/>
  <c r="E20" i="6"/>
  <c r="F48" i="8"/>
  <c r="E48" i="8"/>
  <c r="J10" i="2"/>
  <c r="H10" i="2"/>
  <c r="D10" i="2"/>
  <c r="K10" i="2"/>
  <c r="G10" i="2"/>
  <c r="E10" i="2"/>
  <c r="P19" i="7"/>
  <c r="Q19" i="7" s="1"/>
  <c r="L11" i="7"/>
  <c r="L40" i="7" s="1"/>
  <c r="R14" i="1"/>
  <c r="M50" i="2"/>
  <c r="K50" i="2"/>
  <c r="L50" i="2"/>
  <c r="H60" i="2" l="1"/>
  <c r="P50" i="2"/>
  <c r="O50" i="2"/>
  <c r="I60" i="2"/>
  <c r="G60" i="2"/>
  <c r="N25" i="7"/>
  <c r="O25" i="7" s="1"/>
  <c r="S25" i="7" s="1"/>
  <c r="S15" i="7"/>
  <c r="P15" i="7"/>
  <c r="Q15" i="7" s="1"/>
  <c r="N24" i="7"/>
  <c r="O24" i="7" s="1"/>
  <c r="N18" i="7"/>
  <c r="O18" i="7" s="1"/>
  <c r="S18" i="7" s="1"/>
  <c r="P27" i="7"/>
  <c r="Q27" i="7" s="1"/>
  <c r="S27" i="7"/>
  <c r="P25" i="7"/>
  <c r="Q25" i="7" s="1"/>
  <c r="P21" i="7"/>
  <c r="Q21" i="7" s="1"/>
  <c r="S21" i="7"/>
  <c r="M13" i="7"/>
  <c r="N13" i="7" s="1"/>
  <c r="O13" i="7" s="1"/>
  <c r="Y14" i="8"/>
  <c r="Q39" i="2"/>
  <c r="N57" i="2" s="1"/>
  <c r="J57" i="2"/>
  <c r="J40" i="7"/>
  <c r="E41" i="8"/>
  <c r="K7" i="8"/>
  <c r="J51" i="2"/>
  <c r="Q33" i="2"/>
  <c r="N51" i="2" s="1"/>
  <c r="N10" i="7"/>
  <c r="C41" i="8"/>
  <c r="N11" i="7"/>
  <c r="O11" i="7" s="1"/>
  <c r="D14" i="8"/>
  <c r="J58" i="2"/>
  <c r="Q40" i="2"/>
  <c r="N58" i="2" s="1"/>
  <c r="Q55" i="2"/>
  <c r="O55" i="2"/>
  <c r="P55" i="2"/>
  <c r="O59" i="2"/>
  <c r="P59" i="2"/>
  <c r="Q59" i="2"/>
  <c r="R25" i="7"/>
  <c r="H17" i="2"/>
  <c r="G17" i="2"/>
  <c r="E17" i="2"/>
  <c r="J17" i="2"/>
  <c r="K17" i="2"/>
  <c r="D17" i="2"/>
  <c r="J53" i="2"/>
  <c r="Q35" i="2"/>
  <c r="N53" i="2" s="1"/>
  <c r="AA4" i="10"/>
  <c r="J56" i="2"/>
  <c r="B11" i="2"/>
  <c r="Q38" i="2"/>
  <c r="B19" i="2"/>
  <c r="R24" i="7"/>
  <c r="M59" i="2"/>
  <c r="L59" i="2"/>
  <c r="K59" i="2"/>
  <c r="E49" i="2"/>
  <c r="E60" i="2" s="1"/>
  <c r="D49" i="2"/>
  <c r="D60" i="2" s="1"/>
  <c r="C49" i="2"/>
  <c r="C60" i="2" s="1"/>
  <c r="U4" i="10"/>
  <c r="M30" i="2"/>
  <c r="H9" i="1"/>
  <c r="N21" i="1"/>
  <c r="W9" i="1"/>
  <c r="Q9" i="1"/>
  <c r="O9" i="1"/>
  <c r="P9" i="1"/>
  <c r="R9" i="1"/>
  <c r="T10" i="1"/>
  <c r="J52" i="2"/>
  <c r="Q34" i="2"/>
  <c r="N52" i="2" s="1"/>
  <c r="P13" i="7" l="1"/>
  <c r="Q13" i="7" s="1"/>
  <c r="S13" i="7"/>
  <c r="Q57" i="2"/>
  <c r="P57" i="2"/>
  <c r="O57" i="2"/>
  <c r="S11" i="7"/>
  <c r="P11" i="7"/>
  <c r="Q11" i="7" s="1"/>
  <c r="O52" i="2"/>
  <c r="P52" i="2"/>
  <c r="Q52" i="2"/>
  <c r="H19" i="2"/>
  <c r="E19" i="2"/>
  <c r="K19" i="2"/>
  <c r="D19" i="2"/>
  <c r="J19" i="2"/>
  <c r="G19" i="2"/>
  <c r="N40" i="7"/>
  <c r="O10" i="7"/>
  <c r="K58" i="2"/>
  <c r="M58" i="2"/>
  <c r="L58" i="2"/>
  <c r="M40" i="7"/>
  <c r="X9" i="1"/>
  <c r="Y9" i="1" s="1"/>
  <c r="W21" i="1"/>
  <c r="X21" i="1" s="1"/>
  <c r="Y21" i="1" s="1"/>
  <c r="H11" i="2"/>
  <c r="J11" i="2"/>
  <c r="G11" i="2"/>
  <c r="E11" i="2"/>
  <c r="D11" i="2"/>
  <c r="K11" i="2"/>
  <c r="Q51" i="2"/>
  <c r="O51" i="2"/>
  <c r="P51" i="2"/>
  <c r="Q58" i="2"/>
  <c r="O58" i="2"/>
  <c r="P58" i="2"/>
  <c r="B12" i="2"/>
  <c r="N56" i="2"/>
  <c r="R21" i="1"/>
  <c r="O21" i="1"/>
  <c r="P21" i="1"/>
  <c r="Q21" i="1"/>
  <c r="L56" i="2"/>
  <c r="K56" i="2"/>
  <c r="M56" i="2"/>
  <c r="K51" i="2"/>
  <c r="M51" i="2"/>
  <c r="L51" i="2"/>
  <c r="M52" i="2"/>
  <c r="L52" i="2"/>
  <c r="K52" i="2"/>
  <c r="E26" i="2"/>
  <c r="E27" i="2" s="1"/>
  <c r="J48" i="2"/>
  <c r="M42" i="2"/>
  <c r="Q30" i="2"/>
  <c r="O53" i="2"/>
  <c r="Q53" i="2"/>
  <c r="P53" i="2"/>
  <c r="P18" i="7"/>
  <c r="Q18" i="7" s="1"/>
  <c r="M7" i="8"/>
  <c r="A7" i="8"/>
  <c r="I7" i="8"/>
  <c r="D41" i="8"/>
  <c r="M53" i="2"/>
  <c r="K53" i="2"/>
  <c r="L53" i="2"/>
  <c r="P24" i="7"/>
  <c r="Q24" i="7" s="1"/>
  <c r="S24" i="7"/>
  <c r="P4" i="7"/>
  <c r="R40" i="7"/>
  <c r="M7" i="7" s="1"/>
  <c r="E7" i="7"/>
  <c r="M57" i="2"/>
  <c r="K57" i="2"/>
  <c r="L57" i="2"/>
  <c r="N48" i="2" l="1"/>
  <c r="Q42" i="2"/>
  <c r="D12" i="2"/>
  <c r="B13" i="2"/>
  <c r="H12" i="2"/>
  <c r="J12" i="2"/>
  <c r="K12" i="2"/>
  <c r="G12" i="2"/>
  <c r="E12" i="2"/>
  <c r="M48" i="2"/>
  <c r="M60" i="2" s="1"/>
  <c r="K48" i="2"/>
  <c r="K60" i="2" s="1"/>
  <c r="L48" i="2"/>
  <c r="L60" i="2" s="1"/>
  <c r="J60" i="2"/>
  <c r="B20" i="2"/>
  <c r="O56" i="2"/>
  <c r="Q56" i="2"/>
  <c r="P56" i="2"/>
  <c r="C7" i="8"/>
  <c r="E7" i="8"/>
  <c r="O40" i="7"/>
  <c r="P10" i="7"/>
  <c r="S10" i="7"/>
  <c r="B21" i="2" l="1"/>
  <c r="J20" i="2"/>
  <c r="K20" i="2"/>
  <c r="H20" i="2"/>
  <c r="E20" i="2"/>
  <c r="D20" i="2"/>
  <c r="G20" i="2"/>
  <c r="Q48" i="2"/>
  <c r="Q60" i="2" s="1"/>
  <c r="O48" i="2"/>
  <c r="O60" i="2" s="1"/>
  <c r="N60" i="2"/>
  <c r="P48" i="2"/>
  <c r="P60" i="2" s="1"/>
  <c r="P40" i="7"/>
  <c r="Q10" i="7"/>
  <c r="S40" i="7"/>
  <c r="O7" i="7" s="1"/>
  <c r="G7" i="7"/>
  <c r="J13" i="2"/>
  <c r="G13" i="2"/>
  <c r="D13" i="2"/>
  <c r="Q40" i="7" l="1"/>
  <c r="K7" i="7" s="1"/>
  <c r="I7" i="7"/>
  <c r="D21" i="2"/>
  <c r="J21" i="2"/>
  <c r="G21" i="2"/>
</calcChain>
</file>

<file path=xl/sharedStrings.xml><?xml version="1.0" encoding="utf-8"?>
<sst xmlns="http://schemas.openxmlformats.org/spreadsheetml/2006/main" count="20790" uniqueCount="3801">
  <si>
    <t>REPORTE REEFER — COSTOS REALES 2026</t>
  </si>
  <si>
    <t>Costos reales PPK y SITRANS en CLP. Combustible total mensual en USD, sin distribución por nave.</t>
  </si>
  <si>
    <t>REEFERS</t>
  </si>
  <si>
    <t>PPK ÚNICOS</t>
  </si>
  <si>
    <t>DÍAS-PPK</t>
  </si>
  <si>
    <t>PPK + SITRANS CLP</t>
  </si>
  <si>
    <t>COMBUSTIBLE USD</t>
  </si>
  <si>
    <t>ESTADO EDP</t>
  </si>
  <si>
    <t>COSTO TOTAL CLP/REEFER</t>
  </si>
  <si>
    <t>Mes</t>
  </si>
  <si>
    <t>Reefers</t>
  </si>
  <si>
    <t>PPK únicos</t>
  </si>
  <si>
    <t>Días-PPK</t>
  </si>
  <si>
    <t>SITRANS CLP</t>
  </si>
  <si>
    <t>PPK CLP</t>
  </si>
  <si>
    <t>Total CLP</t>
  </si>
  <si>
    <t>CLP/reefer</t>
  </si>
  <si>
    <t>Combustible L</t>
  </si>
  <si>
    <t>Combustible USD</t>
  </si>
  <si>
    <t>Estadía prom. días</t>
  </si>
  <si>
    <t>Estado EDP</t>
  </si>
  <si>
    <t>TC CLP/USD</t>
  </si>
  <si>
    <t>Costo total CLP</t>
  </si>
  <si>
    <t>Costo total CLP/reefer</t>
  </si>
  <si>
    <t>% SITRANS</t>
  </si>
  <si>
    <t>% PPK</t>
  </si>
  <si>
    <t>% Combustible</t>
  </si>
  <si>
    <t>Var. reefers %</t>
  </si>
  <si>
    <t>Var. costo total %</t>
  </si>
  <si>
    <t>US$ combustible/reefer-día</t>
  </si>
  <si>
    <t>Venta real USD</t>
  </si>
  <si>
    <t>Costo real USD</t>
  </si>
  <si>
    <t>Margen real USD</t>
  </si>
  <si>
    <t>Margen real %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</si>
  <si>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</si>
  <si>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</si>
  <si>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</si>
  <si>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</si>
  <si>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</si>
  <si>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</si>
  <si>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</si>
  <si>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</si>
  <si>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</si>
  <si>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</si>
  <si>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</si>
  <si>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</si>
  <si>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ENE–SEP</t>
  </si>
  <si>
    <t>Ene–Sep con EDP</t>
  </si>
  <si>
    <t>Indicador anual</t>
  </si>
  <si>
    <t>Budget 2026</t>
  </si>
  <si>
    <t>FCST 2</t>
  </si>
  <si>
    <t>Real (Ene-Sep)</t>
  </si>
  <si>
    <t>Cantidad de reefers</t>
  </si>
  <si>
    <t>Venta (USD)</t>
  </si>
  <si>
    <t>Costo (USD)</t>
  </si>
  <si>
    <t>Margen (USD)</t>
  </si>
  <si>
    <t>Cant. Budget</t>
  </si>
  <si>
    <t>Cant. FCST 2</t>
  </si>
  <si>
    <t>Cant. Real</t>
  </si>
  <si>
    <t>Venta Budget USD</t>
  </si>
  <si>
    <t>Venta FCST 2 USD</t>
  </si>
  <si>
    <t>Venta Real USD</t>
  </si>
  <si>
    <t>Costo Budget USD</t>
  </si>
  <si>
    <t>Costo FCST 2 USD</t>
  </si>
  <si>
    <t>Costo Real USD</t>
  </si>
  <si>
    <t>Margen Budget USD</t>
  </si>
  <si>
    <t>Margen FCST 2 USD</t>
  </si>
  <si>
    <t>Margen Real USD</t>
  </si>
  <si>
    <t>TOTAL / PROM.</t>
  </si>
  <si>
    <t>REEFERS, ESTADÍA Y COSTOS ASIGNADOS POR NAVE</t>
  </si>
  <si>
    <t>Costos reales PPK y SITRANS por nave. El combustible permanece únicamente a nivel mensual.</t>
  </si>
  <si>
    <t>Usa los filtros para elegir mes, línea o nave. “EDP válidos” muestra la cobertura usada para calcular la estadía.</t>
  </si>
  <si>
    <t>CI</t>
  </si>
  <si>
    <t>Línea</t>
  </si>
  <si>
    <t>Nave</t>
  </si>
  <si>
    <t>EDP válidos</t>
  </si>
  <si>
    <t>SITRANS asignado CLP</t>
  </si>
  <si>
    <t>PPK asignado CLP</t>
  </si>
  <si>
    <t>Total asignado CLP</t>
  </si>
  <si>
    <t>8263</t>
  </si>
  <si>
    <t>HAPAG LLOYD / ON</t>
  </si>
  <si>
    <t>ONE SAPHIRE</t>
  </si>
  <si>
    <t>Disponible</t>
  </si>
  <si>
    <t>8268</t>
  </si>
  <si>
    <t>HAPAG LLOYD / MSC / ON</t>
  </si>
  <si>
    <t>MONTEVIDEO EXPRESS</t>
  </si>
  <si>
    <t>8273</t>
  </si>
  <si>
    <t>ONE SPHERE</t>
  </si>
  <si>
    <t>8278</t>
  </si>
  <si>
    <t>HMM BLESSING</t>
  </si>
  <si>
    <t>8262</t>
  </si>
  <si>
    <t>MAERSK</t>
  </si>
  <si>
    <t>POLAR ARGENTINA</t>
  </si>
  <si>
    <t>Sin registro</t>
  </si>
  <si>
    <t>8267</t>
  </si>
  <si>
    <t>POLAR PERU</t>
  </si>
  <si>
    <t>8271</t>
  </si>
  <si>
    <t>POLAR COLOMBIA</t>
  </si>
  <si>
    <t>8277</t>
  </si>
  <si>
    <t>POLAR CHILE</t>
  </si>
  <si>
    <t>8282</t>
  </si>
  <si>
    <t>8261</t>
  </si>
  <si>
    <t>Pendiente</t>
  </si>
  <si>
    <t>LITTLE GRACE</t>
  </si>
  <si>
    <t>8265</t>
  </si>
  <si>
    <t>HAPAG LLOYD</t>
  </si>
  <si>
    <t>CAPE BRUNO</t>
  </si>
  <si>
    <t>8275</t>
  </si>
  <si>
    <t>8283</t>
  </si>
  <si>
    <t>ON</t>
  </si>
  <si>
    <t>MANZANILLO EXPRESS</t>
  </si>
  <si>
    <t>8288</t>
  </si>
  <si>
    <t>ITAJAI EXPRESS</t>
  </si>
  <si>
    <t>8293</t>
  </si>
  <si>
    <t>RIO DE JANEIRO EXPRESS</t>
  </si>
  <si>
    <t>8299</t>
  </si>
  <si>
    <t>BUENAVENTURA EXPRESS</t>
  </si>
  <si>
    <t>Parcial</t>
  </si>
  <si>
    <t>8292</t>
  </si>
  <si>
    <t>8295</t>
  </si>
  <si>
    <t>Disponible (solo EDP)</t>
  </si>
  <si>
    <t>8304</t>
  </si>
  <si>
    <t>LIMA EXPRESS</t>
  </si>
  <si>
    <t>8313</t>
  </si>
  <si>
    <t>HUMBOLDT EXPRESS</t>
  </si>
  <si>
    <t>8318</t>
  </si>
  <si>
    <t>ONE SINCERITY</t>
  </si>
  <si>
    <t>8322</t>
  </si>
  <si>
    <t>8311</t>
  </si>
  <si>
    <t>8308</t>
  </si>
  <si>
    <t>CMA CGM</t>
  </si>
  <si>
    <t>MEDKON DON</t>
  </si>
  <si>
    <t>8315</t>
  </si>
  <si>
    <t>MSC</t>
  </si>
  <si>
    <t>MSC ANZU</t>
  </si>
  <si>
    <t>8327</t>
  </si>
  <si>
    <t>8331</t>
  </si>
  <si>
    <t>8333</t>
  </si>
  <si>
    <t>8336</t>
  </si>
  <si>
    <t>8341</t>
  </si>
  <si>
    <t>8342</t>
  </si>
  <si>
    <t>8344</t>
  </si>
  <si>
    <t>SEABOARD</t>
  </si>
  <si>
    <t>EA GATUN</t>
  </si>
  <si>
    <t>8359</t>
  </si>
  <si>
    <t>LAKONIA</t>
  </si>
  <si>
    <t>8345</t>
  </si>
  <si>
    <t>8352</t>
  </si>
  <si>
    <t>8358</t>
  </si>
  <si>
    <t>8362</t>
  </si>
  <si>
    <t>8357</t>
  </si>
  <si>
    <t>8368</t>
  </si>
  <si>
    <t>ON / HAPAG LLOYD</t>
  </si>
  <si>
    <t>BUENOS AIRES EXPRESS</t>
  </si>
  <si>
    <t>8387</t>
  </si>
  <si>
    <t>8377</t>
  </si>
  <si>
    <t>8374</t>
  </si>
  <si>
    <t>8376</t>
  </si>
  <si>
    <t>MSC ABUJA VI</t>
  </si>
  <si>
    <t>8380</t>
  </si>
  <si>
    <t>8379</t>
  </si>
  <si>
    <t>MSC TIANPING</t>
  </si>
  <si>
    <t>8384</t>
  </si>
  <si>
    <t>MSC CONAKRY IV</t>
  </si>
  <si>
    <t>8386</t>
  </si>
  <si>
    <t>8390</t>
  </si>
  <si>
    <t>ON / SEABOARD</t>
  </si>
  <si>
    <t>CHARM C</t>
  </si>
  <si>
    <t>8391</t>
  </si>
  <si>
    <t>8389</t>
  </si>
  <si>
    <t>8395</t>
  </si>
  <si>
    <t>8394</t>
  </si>
  <si>
    <t>CATHERINE C</t>
  </si>
  <si>
    <t>8399</t>
  </si>
  <si>
    <t>8404</t>
  </si>
  <si>
    <t>8393</t>
  </si>
  <si>
    <t>8398</t>
  </si>
  <si>
    <t>8397</t>
  </si>
  <si>
    <t>MSC LILY</t>
  </si>
  <si>
    <t>8406</t>
  </si>
  <si>
    <t>MSC SENEGAL</t>
  </si>
  <si>
    <t>8403</t>
  </si>
  <si>
    <t>8407</t>
  </si>
  <si>
    <t>8411</t>
  </si>
  <si>
    <t>8415</t>
  </si>
  <si>
    <t>8420</t>
  </si>
  <si>
    <t>8412</t>
  </si>
  <si>
    <t>8414</t>
  </si>
  <si>
    <t>MSC JUDITH</t>
  </si>
  <si>
    <t>8416</t>
  </si>
  <si>
    <t>8421</t>
  </si>
  <si>
    <t>8425</t>
  </si>
  <si>
    <t>8417</t>
  </si>
  <si>
    <t>MSC KRYSTAL</t>
  </si>
  <si>
    <t>8422</t>
  </si>
  <si>
    <t>MOLLY SCHULTE</t>
  </si>
  <si>
    <t>8424</t>
  </si>
  <si>
    <t>8423</t>
  </si>
  <si>
    <t>MSC QINGDAO</t>
  </si>
  <si>
    <t>8410</t>
  </si>
  <si>
    <t>Por confirmar</t>
  </si>
  <si>
    <t>CAPE BRUNO 1</t>
  </si>
  <si>
    <t>8418</t>
  </si>
  <si>
    <t>CAPE BRUNO 2</t>
  </si>
  <si>
    <t>PPK — EQUIPOS, DÍAS Y COSTO REAL 2026</t>
  </si>
  <si>
    <t>Resumen mensual y detalle por equipo. Una fila por PPK y mes; los periodos múltiples quedan consolidados.</t>
  </si>
  <si>
    <t>RESUMEN MENSUAL</t>
  </si>
  <si>
    <t>Arriendo CLP</t>
  </si>
  <si>
    <t>Camioneta CLP</t>
  </si>
  <si>
    <t>PPK total CLP</t>
  </si>
  <si>
    <t>DETALLE POR PPK — agrega los meses nuevos en la primera fila libre debajo de la tabla</t>
  </si>
  <si>
    <t>PPK</t>
  </si>
  <si>
    <t>Tipo</t>
  </si>
  <si>
    <t>Períodos utilizados</t>
  </si>
  <si>
    <t>Días</t>
  </si>
  <si>
    <t>Costo arriendo CLP</t>
  </si>
  <si>
    <t>PPK 16</t>
  </si>
  <si>
    <t>Principal</t>
  </si>
  <si>
    <t>01–05 ene</t>
  </si>
  <si>
    <t>PPK 99</t>
  </si>
  <si>
    <t>06–31 ene</t>
  </si>
  <si>
    <t>Backup</t>
  </si>
  <si>
    <t>31 ene–05 feb</t>
  </si>
  <si>
    <t>01–28 feb</t>
  </si>
  <si>
    <t>01–16 mar</t>
  </si>
  <si>
    <t>PPK 96</t>
  </si>
  <si>
    <t>17–31 mar</t>
  </si>
  <si>
    <t>01–30 abr</t>
  </si>
  <si>
    <t>01–03 may</t>
  </si>
  <si>
    <t>04–31 may</t>
  </si>
  <si>
    <t>26–30 jun</t>
  </si>
  <si>
    <t>PPK 79</t>
  </si>
  <si>
    <t>19–20 jun</t>
  </si>
  <si>
    <t>01–25 jun</t>
  </si>
  <si>
    <t>PPK 15</t>
  </si>
  <si>
    <t>20–31 jul</t>
  </si>
  <si>
    <t>01–19 jul</t>
  </si>
  <si>
    <t>03–04 jul</t>
  </si>
  <si>
    <t>PPK 80</t>
  </si>
  <si>
    <t>01–31 ago</t>
  </si>
  <si>
    <t>22–31 ago</t>
  </si>
  <si>
    <t>PPK 19</t>
  </si>
  <si>
    <t>06–09 ago</t>
  </si>
  <si>
    <t>PPK 47</t>
  </si>
  <si>
    <t>29–31 ago</t>
  </si>
  <si>
    <t>PPK 48</t>
  </si>
  <si>
    <t>24–31 ago</t>
  </si>
  <si>
    <t>06–08 ago; 23–26 ago</t>
  </si>
  <si>
    <t>31 jul; 01 ago; 22–24 ago</t>
  </si>
  <si>
    <t>PPK 83</t>
  </si>
  <si>
    <t>06–08 ago</t>
  </si>
  <si>
    <t>PPK 90</t>
  </si>
  <si>
    <t>ACTUALIZAR MESES — COSTOS REALES REEFER 2026</t>
  </si>
  <si>
    <t>Completa las celdas amarillas para octubre–diciembre; después agrega los PPK y las naves en sus tablas.</t>
  </si>
  <si>
    <t>Combustible: total mensual en litros y USD. Se mantiene separado y no se distribuye por nave.</t>
  </si>
  <si>
    <t>Reefers reales</t>
  </si>
  <si>
    <t>Camioneta PPK CLP</t>
  </si>
  <si>
    <t>Estado costos</t>
  </si>
  <si>
    <t>Disponible incompleto</t>
  </si>
  <si>
    <t>Orden de actualización: 1) completa esta tabla, 2) agrega una fila por PPK y mes, 3) agrega una fila por nave y completa la estadía cuando llegue el EDP.</t>
  </si>
  <si>
    <t>COMBUSTIBLE — ANÁLISIS REEFER 2026</t>
  </si>
  <si>
    <t>Seguimiento mensual de litros, costo USD y consumo unitario por reefer. Los datos se alimentan automáticamente desde ACTUALIZAR.</t>
  </si>
  <si>
    <t>TOTAL LITROS</t>
  </si>
  <si>
    <t>TOTAL USD</t>
  </si>
  <si>
    <t>USD/L PROM.</t>
  </si>
  <si>
    <t>REEFERS TOTAL</t>
  </si>
  <si>
    <t>USD/L</t>
  </si>
  <si>
    <t>L/reefer</t>
  </si>
  <si>
    <t>USD/reefer</t>
  </si>
  <si>
    <t>VISTA POR MES — NAVES, VENTA Y MARGEN REEFER 2026</t>
  </si>
  <si>
    <t>Elige el mes en la celda amarilla. Reefers = OC SITRANS. Venta por nave: Naves por Servicios (Servicio Reefer). SITRANS y PPK se asignan por reefers; el combustible del mes se prorratea por reefers.</t>
  </si>
  <si>
    <t>MES</t>
  </si>
  <si>
    <t>Combustible mes USD</t>
  </si>
  <si>
    <t>Control venta vs RESUMEN</t>
  </si>
  <si>
    <t>NAVES</t>
  </si>
  <si>
    <t>REEFERS OC</t>
  </si>
  <si>
    <t>VENTA USD</t>
  </si>
  <si>
    <t>COSTO USD</t>
  </si>
  <si>
    <t>MARGEN USD</t>
  </si>
  <si>
    <t>MARGEN %</t>
  </si>
  <si>
    <t>VENTA/REEFER</t>
  </si>
  <si>
    <t>COSTO/REEFER</t>
  </si>
  <si>
    <t>ESTADÍA PROM.</t>
  </si>
  <si>
    <t>#</t>
  </si>
  <si>
    <t>Correlativo</t>
  </si>
  <si>
    <t>Reefers OC</t>
  </si>
  <si>
    <t>Venta USD</t>
  </si>
  <si>
    <t>Combustible CLP</t>
  </si>
  <si>
    <t>Costo total USD</t>
  </si>
  <si>
    <t>Margen USD</t>
  </si>
  <si>
    <t>Margen %</t>
  </si>
  <si>
    <t>Venta/reefer USD</t>
  </si>
  <si>
    <t>Costo/reefer USD</t>
  </si>
  <si>
    <t>TOTAL MES</t>
  </si>
  <si>
    <t>Notas: venta por nave según "Servicio Reefer" de Naves por Servicios (cuadra con RESUMEN; ver control en P4). Naves sin venta (descargas, EDP pendiente) muestran margen negativo por el costo asignado. Columna U: auxiliar.</t>
  </si>
  <si>
    <t>CONEXIONES SIMULTÁNEAS REEFER 2026 — POR DÍA Y POR MES</t>
  </si>
  <si>
    <t>Elige el mes en la celda amarilla. Máx. simultáneo = mayor cantidad de reefers conectados al mismo tiempo en el día (al minuto), según el detalle de los EDP (pestaña DATOS_CONEX). PPK = equipos arrendados ese día según pestaña PPK.</t>
  </si>
  <si>
    <t>Umbral peak</t>
  </si>
  <si>
    <t>EDP del mes</t>
  </si>
  <si>
    <t>Excluidos del EDP</t>
  </si>
  <si>
    <t>MÁX. SIMULTÁNEO</t>
  </si>
  <si>
    <t>FECHA / HORA DEL MÁX.</t>
  </si>
  <si>
    <t>NAVE AL MÁX.</t>
  </si>
  <si>
    <t>PROMEDIO EN PARALELO</t>
  </si>
  <si>
    <t>DÍAS ≥ UMBRAL</t>
  </si>
  <si>
    <t>MÁX. PPK EN UN DÍA</t>
  </si>
  <si>
    <t>PROM. MÁX. DIARIO</t>
  </si>
  <si>
    <t>REEFER-DÍAS DEL MES</t>
  </si>
  <si>
    <t>Fecha</t>
  </si>
  <si>
    <t>Día</t>
  </si>
  <si>
    <t>Conectados 00:00</t>
  </si>
  <si>
    <t>Máx. simultáneo</t>
  </si>
  <si>
    <t>Conexiones</t>
  </si>
  <si>
    <t>Desconexiones</t>
  </si>
  <si>
    <t>PPK arrendados</t>
  </si>
  <si>
    <t>Reefers conectados en el día</t>
  </si>
  <si>
    <t>Reefer-días (equiv. 24 h)</t>
  </si>
  <si>
    <t>Fila MES: C = promedio a las 00:00; D y G = máximo del mes; E, F, H, I = suma del mes. H = reefers que estuvieron enchufados en algún momento del día; I = horas reales conectadas ÷ 24.</t>
  </si>
  <si>
    <t>RESUMEN ANUAL</t>
  </si>
  <si>
    <t>EDP</t>
  </si>
  <si>
    <t>Reefers EDP (válidos)</t>
  </si>
  <si>
    <t>Fecha / hora del máx.</t>
  </si>
  <si>
    <t>Nave al máx.</t>
  </si>
  <si>
    <t>Promedio en paralelo</t>
  </si>
  <si>
    <t>Reefer-días</t>
  </si>
  <si>
    <t>FLUJO DIARIO DE REEFERS Y PPK 2026</t>
  </si>
  <si>
    <t>Total del día = conectados a las 00:00 + nuevas conexiones · hacia abajo: desconexiones · abajo: PPK arrendados por día. Fuente: detalle EDP (DATOS_CONEX) y pestaña PPK.</t>
  </si>
  <si>
    <t>Máx. total del día</t>
  </si>
  <si>
    <t>Máx. PPK en un día</t>
  </si>
  <si>
    <t>TABLA DEL MES</t>
  </si>
  <si>
    <t>Nuevas conexiones</t>
  </si>
  <si>
    <t>Total del día</t>
  </si>
  <si>
    <t>Las desconexiones de 20 o más se marcan en color. Filas 52-53 ocultas: fechas del mes y desconexiones en negativo para el gráfico.</t>
  </si>
  <si>
    <t>Desc. negativo</t>
  </si>
  <si>
    <t>COMPARATIVO REEFER 2026 — BUDGET vs FCST 2 vs FCST 3</t>
  </si>
  <si>
    <t>Mes a comparar</t>
  </si>
  <si>
    <t>Elige el mes en la celda amarilla. Verde = a favor del real, rojo = en contra (en costo, gastar más que el plan es rojo). Acumulado = enero hasta el mes elegido.</t>
  </si>
  <si>
    <t>Indicador</t>
  </si>
  <si>
    <t>Real</t>
  </si>
  <si>
    <t>Budget</t>
  </si>
  <si>
    <t>Dif. vs Budget</t>
  </si>
  <si>
    <t>Var. %</t>
  </si>
  <si>
    <t>Dif. vs FCST 2</t>
  </si>
  <si>
    <t>FCST 3</t>
  </si>
  <si>
    <t>Dif. vs FCST 3</t>
  </si>
  <si>
    <t>Dif. FCST 2-Budget</t>
  </si>
  <si>
    <t>Var. FCST 2 %</t>
  </si>
  <si>
    <t>Dif. FCST 3-Budget</t>
  </si>
  <si>
    <t>Var. FCST 3 %</t>
  </si>
  <si>
    <t>Dif. FCST 3-FCST 2</t>
  </si>
  <si>
    <t>Var. FCST 3 vs FCST 2 %</t>
  </si>
  <si>
    <t>Cant. FCST 3</t>
  </si>
  <si>
    <t>Venta FCST 3 USD</t>
  </si>
  <si>
    <t>Costo FCST 3 USD</t>
  </si>
  <si>
    <t>Margen FCST 3 USD</t>
  </si>
  <si>
    <t>FCST 3: enero–agosto corresponden al real de contabilidad; septiembre–diciembre son proyección.</t>
  </si>
  <si>
    <t>VISTA MENSUAL — REAL Y DIFERENCIA CONTRA CADA PLAN</t>
  </si>
  <si>
    <t>Costo USD</t>
  </si>
  <si>
    <t>vs Budget</t>
  </si>
  <si>
    <t>vs FCST 2</t>
  </si>
  <si>
    <t>vs FCST 3</t>
  </si>
  <si>
    <t>Acum. con real</t>
  </si>
  <si>
    <t>Venta reefer USD</t>
  </si>
  <si>
    <t>Aux vista mes</t>
  </si>
  <si>
    <t>2025-313</t>
  </si>
  <si>
    <t>2025-322</t>
  </si>
  <si>
    <t>2026-7</t>
  </si>
  <si>
    <t>2026-9</t>
  </si>
  <si>
    <t>2025-319</t>
  </si>
  <si>
    <t>2026-10</t>
  </si>
  <si>
    <t>2026-17</t>
  </si>
  <si>
    <t>2026-28</t>
  </si>
  <si>
    <t>2026-34</t>
  </si>
  <si>
    <t>2026-30</t>
  </si>
  <si>
    <t>2026-16</t>
  </si>
  <si>
    <t>2026-45</t>
  </si>
  <si>
    <t>2026-36</t>
  </si>
  <si>
    <t>2026-38</t>
  </si>
  <si>
    <t>2026-40</t>
  </si>
  <si>
    <t>2026-41</t>
  </si>
  <si>
    <t>2026-50</t>
  </si>
  <si>
    <t>2026-52</t>
  </si>
  <si>
    <t>2026-56</t>
  </si>
  <si>
    <t>2026-68</t>
  </si>
  <si>
    <t>2026-72</t>
  </si>
  <si>
    <t>2026-79</t>
  </si>
  <si>
    <t>2026-80</t>
  </si>
  <si>
    <t>2026-84</t>
  </si>
  <si>
    <t>2026-93</t>
  </si>
  <si>
    <t>2026-86</t>
  </si>
  <si>
    <t>2026-90</t>
  </si>
  <si>
    <t>2026-91</t>
  </si>
  <si>
    <t>2026-97</t>
  </si>
  <si>
    <t>2026-101</t>
  </si>
  <si>
    <t>2026-102</t>
  </si>
  <si>
    <t>2026-104</t>
  </si>
  <si>
    <t>2026-113</t>
  </si>
  <si>
    <t>2026-120</t>
  </si>
  <si>
    <t>2026-122</t>
  </si>
  <si>
    <t>2026-123</t>
  </si>
  <si>
    <t>2026-124</t>
  </si>
  <si>
    <t>2026-126</t>
  </si>
  <si>
    <t>2026-130</t>
  </si>
  <si>
    <t>2026-131</t>
  </si>
  <si>
    <t>2026-133</t>
  </si>
  <si>
    <t>2026-129</t>
  </si>
  <si>
    <t>2026-132</t>
  </si>
  <si>
    <t>2026-134</t>
  </si>
  <si>
    <t>2026-139</t>
  </si>
  <si>
    <t>2026-140</t>
  </si>
  <si>
    <t>2026-141</t>
  </si>
  <si>
    <t>2026-142</t>
  </si>
  <si>
    <t>2026-145</t>
  </si>
  <si>
    <t>2026-146</t>
  </si>
  <si>
    <t>2026-147</t>
  </si>
  <si>
    <t>2026-150</t>
  </si>
  <si>
    <t>2026-152</t>
  </si>
  <si>
    <t>2026-153</t>
  </si>
  <si>
    <t>2026-143</t>
  </si>
  <si>
    <t>2026-154</t>
  </si>
  <si>
    <t>2026-155</t>
  </si>
  <si>
    <t>2026-158</t>
  </si>
  <si>
    <t>2026-162</t>
  </si>
  <si>
    <t>2026-164</t>
  </si>
  <si>
    <t>2026-167</t>
  </si>
  <si>
    <t>2026-169</t>
  </si>
  <si>
    <t>2026-170</t>
  </si>
  <si>
    <t>2026-171</t>
  </si>
  <si>
    <t>2026-175</t>
  </si>
  <si>
    <t>2026-179</t>
  </si>
  <si>
    <t>8426</t>
  </si>
  <si>
    <t>ALIOTH 1</t>
  </si>
  <si>
    <t>2026-182</t>
  </si>
  <si>
    <t>8427</t>
  </si>
  <si>
    <t>2026-181</t>
  </si>
  <si>
    <t>8428</t>
  </si>
  <si>
    <t>2026-185</t>
  </si>
  <si>
    <t>8429</t>
  </si>
  <si>
    <t>LITTLE ATHINA</t>
  </si>
  <si>
    <t>8430</t>
  </si>
  <si>
    <t>2026-186</t>
  </si>
  <si>
    <t>8431</t>
  </si>
  <si>
    <t>2026-177</t>
  </si>
  <si>
    <t>8432</t>
  </si>
  <si>
    <t>MOLLY SCHULTE 1</t>
  </si>
  <si>
    <t>2026-192</t>
  </si>
  <si>
    <t>8433</t>
  </si>
  <si>
    <t>MSC YOKOHAMA</t>
  </si>
  <si>
    <t>2026-188</t>
  </si>
  <si>
    <t>8434</t>
  </si>
  <si>
    <t>2026-187</t>
  </si>
  <si>
    <t>8436</t>
  </si>
  <si>
    <t>ALIOTH 2</t>
  </si>
  <si>
    <t>2026-196</t>
  </si>
  <si>
    <t>8437</t>
  </si>
  <si>
    <t>8438</t>
  </si>
  <si>
    <t>2026-190</t>
  </si>
  <si>
    <t>8439</t>
  </si>
  <si>
    <t>2026-200</t>
  </si>
  <si>
    <t>8440</t>
  </si>
  <si>
    <t>MSC FLORIANA VI</t>
  </si>
  <si>
    <t>2026-199</t>
  </si>
  <si>
    <t>8442</t>
  </si>
  <si>
    <t>2026-191</t>
  </si>
  <si>
    <t>8443</t>
  </si>
  <si>
    <t>2026-204</t>
  </si>
  <si>
    <t>8444</t>
  </si>
  <si>
    <t>ALIOTH 3</t>
  </si>
  <si>
    <t>2026-198</t>
  </si>
  <si>
    <t>8445</t>
  </si>
  <si>
    <t>CAPE BRUNO 3</t>
  </si>
  <si>
    <t>2026-202</t>
  </si>
  <si>
    <t>PPK 13</t>
  </si>
  <si>
    <t>02–06 sep; 25–26 sep</t>
  </si>
  <si>
    <t>01–30 sep</t>
  </si>
  <si>
    <t>25–27 sep</t>
  </si>
  <si>
    <t>03–04 sep; 25–26 sep</t>
  </si>
  <si>
    <t>01–12 sep; 17–19 sep; 24–26 sep</t>
  </si>
  <si>
    <t>03–06 sep; 17–18 sep; 25–27 sep</t>
  </si>
  <si>
    <t>10–12 sep; 25–26 sep</t>
  </si>
  <si>
    <t>10–12 sep; 24–27 sep</t>
  </si>
  <si>
    <t>10–13 sep; 17–19 sep</t>
  </si>
  <si>
    <t>DATOS CONEXIONES — DETALLE EDP SERVICIO REEFER (UNA FILA POR CONTENEDOR)</t>
  </si>
  <si>
    <t>Para agregar un mes: pega el detalle del EDP nuevo debajo de la última fila (columnas A a J). Las columnas K a O se calculan solas (hasta la fila 4000). Válido = tiene conexión y desconexión coherentes.</t>
  </si>
  <si>
    <t>Registros cargados</t>
  </si>
  <si>
    <t>Válidos</t>
  </si>
  <si>
    <t>Períodos PPK →</t>
  </si>
  <si>
    <t>columnas Q a T</t>
  </si>
  <si>
    <t>N° EDP</t>
  </si>
  <si>
    <t>Mes EDP</t>
  </si>
  <si>
    <t>Viaje</t>
  </si>
  <si>
    <t>Contenedor</t>
  </si>
  <si>
    <t>Conexión</t>
  </si>
  <si>
    <t>Desconexión</t>
  </si>
  <si>
    <t>Observaciones</t>
  </si>
  <si>
    <t>Válido</t>
  </si>
  <si>
    <t>Nota de limpieza</t>
  </si>
  <si>
    <t>Horas conectado</t>
  </si>
  <si>
    <t>Simultáneos al conectar</t>
  </si>
  <si>
    <t>Mes conexión</t>
  </si>
  <si>
    <t>Clave máx</t>
  </si>
  <si>
    <t>Inicio arriendo</t>
  </si>
  <si>
    <t>Fin arriendo</t>
  </si>
  <si>
    <t>Mes PPK</t>
  </si>
  <si>
    <t>Diciembre 2025</t>
  </si>
  <si>
    <t>2542 EW</t>
  </si>
  <si>
    <t>TRIU 849502-2</t>
  </si>
  <si>
    <t>EMBARQUE</t>
  </si>
  <si>
    <t>Sí</t>
  </si>
  <si>
    <t>ONEU 931089-4</t>
  </si>
  <si>
    <t>HLBU 630999-0</t>
  </si>
  <si>
    <t>TTNU 802887-2</t>
  </si>
  <si>
    <t>ONEU 931082-6</t>
  </si>
  <si>
    <t>CXRU 114019-4</t>
  </si>
  <si>
    <t>MEDU 919064-5</t>
  </si>
  <si>
    <t>MSDU 973874-1</t>
  </si>
  <si>
    <t>HLBU 957496-1</t>
  </si>
  <si>
    <t>HLBU 631140-5</t>
  </si>
  <si>
    <t>TTNU 833536-0</t>
  </si>
  <si>
    <t>HLBU 630947-6</t>
  </si>
  <si>
    <t>BUENAVENTUR EXPRESS</t>
  </si>
  <si>
    <t>2542EW</t>
  </si>
  <si>
    <t>BMOU 979074-1</t>
  </si>
  <si>
    <t>Desconexión a bordo. Descarga Iqq</t>
  </si>
  <si>
    <t>2543 EW</t>
  </si>
  <si>
    <t>MSDU 902328-6</t>
  </si>
  <si>
    <t>MSC JAPAN III</t>
  </si>
  <si>
    <t>PM548 R</t>
  </si>
  <si>
    <t>SEGU 916724-0</t>
  </si>
  <si>
    <t>CAAU 401678-7</t>
  </si>
  <si>
    <t>HLBU 630949-7</t>
  </si>
  <si>
    <t>HLBU 965845-0</t>
  </si>
  <si>
    <t>SZLU 969481-5</t>
  </si>
  <si>
    <t>OTPU 639549-1</t>
  </si>
  <si>
    <t>ONEU 921593-7</t>
  </si>
  <si>
    <t>HLBU 630937-3</t>
  </si>
  <si>
    <t>SEGU 924345-9</t>
  </si>
  <si>
    <t>HLBU 607665-1</t>
  </si>
  <si>
    <t>TTNU 881065-0</t>
  </si>
  <si>
    <t>2544 EW</t>
  </si>
  <si>
    <t>HLBU 995262-9</t>
  </si>
  <si>
    <t>HLBU 957025-1</t>
  </si>
  <si>
    <t>TTNU 848570-8</t>
  </si>
  <si>
    <t>ONEU 920067-0</t>
  </si>
  <si>
    <t>BMOU 930323-1</t>
  </si>
  <si>
    <t>HLBU 943252-4</t>
  </si>
  <si>
    <t>CAAU 403442-0</t>
  </si>
  <si>
    <t>ONEU 929829-5</t>
  </si>
  <si>
    <t>HLBU 630921-8</t>
  </si>
  <si>
    <t>550 -551</t>
  </si>
  <si>
    <t>MNBU 338306-2</t>
  </si>
  <si>
    <t>SUDU 622573-9</t>
  </si>
  <si>
    <t>550 N</t>
  </si>
  <si>
    <t>UACU 479314-7</t>
  </si>
  <si>
    <t>Desconexión a bordo. Descarga Iqq.</t>
  </si>
  <si>
    <t>No</t>
  </si>
  <si>
    <t>Sin fecha de conexión</t>
  </si>
  <si>
    <t>HLBU 616340-0</t>
  </si>
  <si>
    <t>HLBU 600799-0</t>
  </si>
  <si>
    <t>MNBU 416870-0</t>
  </si>
  <si>
    <t>2545 EW</t>
  </si>
  <si>
    <t>MORU 130590-6</t>
  </si>
  <si>
    <t>MSCU 743478-8</t>
  </si>
  <si>
    <t>MNBU 371353-9</t>
  </si>
  <si>
    <t>MNBU 340691-2</t>
  </si>
  <si>
    <t>MNBU 419337-0</t>
  </si>
  <si>
    <t>MNBU 906902-2</t>
  </si>
  <si>
    <t>MNBU 008654-3</t>
  </si>
  <si>
    <t>MNBU 310738-3</t>
  </si>
  <si>
    <t>MMAU 123223-7</t>
  </si>
  <si>
    <t>MNBU 416432-5</t>
  </si>
  <si>
    <t>MNBU 342247-2</t>
  </si>
  <si>
    <t>MWCU 529801-7</t>
  </si>
  <si>
    <t>MNBU 366088-7</t>
  </si>
  <si>
    <t>MWCU 523536-4</t>
  </si>
  <si>
    <t>MNBU 445283-0</t>
  </si>
  <si>
    <t>MNBU 308448-3</t>
  </si>
  <si>
    <t>MNBU 313167-2</t>
  </si>
  <si>
    <t>MNBU 325297-2</t>
  </si>
  <si>
    <t>SUDU 808425-0</t>
  </si>
  <si>
    <t>MNBU 310311-4</t>
  </si>
  <si>
    <t>MMAU 105558-0</t>
  </si>
  <si>
    <t>MNBU 323808-5</t>
  </si>
  <si>
    <t>SUDU 603810-5</t>
  </si>
  <si>
    <t>MNBU 349967-0</t>
  </si>
  <si>
    <t>SUDU 802581-1</t>
  </si>
  <si>
    <t>MNBU 336226-5</t>
  </si>
  <si>
    <t>MNBU 308015-3</t>
  </si>
  <si>
    <t>MNBU 011491-7</t>
  </si>
  <si>
    <t>MNBU 328788-1</t>
  </si>
  <si>
    <t>MMAU 05284-7</t>
  </si>
  <si>
    <t>MMAU 127078-8</t>
  </si>
  <si>
    <t>MNBU 431906-8</t>
  </si>
  <si>
    <t>MNBU 404380-6</t>
  </si>
  <si>
    <t>MNBU 354352-0</t>
  </si>
  <si>
    <t>MNBU 027030-8</t>
  </si>
  <si>
    <t>SUDU 816946-5</t>
  </si>
  <si>
    <t>MNBU 463616-5</t>
  </si>
  <si>
    <t>MWCU 531608-6</t>
  </si>
  <si>
    <t>MNBU 368738-4</t>
  </si>
  <si>
    <t>MNBU 320144-5</t>
  </si>
  <si>
    <t>MNBU 042436-3</t>
  </si>
  <si>
    <t>TLLU 120003-6</t>
  </si>
  <si>
    <t>MNBU 037088-4</t>
  </si>
  <si>
    <t>MNBU 910437-6</t>
  </si>
  <si>
    <t>MNBU 312205-3</t>
  </si>
  <si>
    <t>MNBU 026008-5</t>
  </si>
  <si>
    <t>MNBU 353523-1</t>
  </si>
  <si>
    <t>MNBU 424432-8</t>
  </si>
  <si>
    <t>SUDU 820556-2</t>
  </si>
  <si>
    <t>MNBU 062344-7</t>
  </si>
  <si>
    <t>MNBU 059190-4</t>
  </si>
  <si>
    <t>MNBU 021231-7</t>
  </si>
  <si>
    <t>MNBU 904863-1</t>
  </si>
  <si>
    <t>MNBU 006138-1</t>
  </si>
  <si>
    <t>MMAU 105822-8</t>
  </si>
  <si>
    <t>MNBU 332337-7</t>
  </si>
  <si>
    <t>SUDU 803909-7</t>
  </si>
  <si>
    <t>MMAU 125263-4</t>
  </si>
  <si>
    <t>MNBU 341036-3</t>
  </si>
  <si>
    <t>SUDU 629871-4</t>
  </si>
  <si>
    <t>MMAU 121758-8</t>
  </si>
  <si>
    <t>SUDU 628236-4</t>
  </si>
  <si>
    <t>MNBU 310294-6</t>
  </si>
  <si>
    <t>MNBU 302582-9</t>
  </si>
  <si>
    <t>MNBU 010500-5</t>
  </si>
  <si>
    <t>MWCU 530077-3</t>
  </si>
  <si>
    <t>MNBU 006376-4</t>
  </si>
  <si>
    <t>SUDU 623746-8</t>
  </si>
  <si>
    <t>SUDU 804862-7</t>
  </si>
  <si>
    <t>MNBU 011431-0</t>
  </si>
  <si>
    <t>MMAU 115161-8</t>
  </si>
  <si>
    <t>MNBU 903174-7</t>
  </si>
  <si>
    <t>MMAU 121623-6</t>
  </si>
  <si>
    <t>MSWU 006129-7</t>
  </si>
  <si>
    <t>MWCU 532710-0</t>
  </si>
  <si>
    <t>MWCU 526625-7</t>
  </si>
  <si>
    <t>MSWU 007734-9</t>
  </si>
  <si>
    <t>MNBU 008607-6</t>
  </si>
  <si>
    <t>MMAU 107135-9</t>
  </si>
  <si>
    <t>MNBU 332018-8</t>
  </si>
  <si>
    <t>SUDU 813473-0</t>
  </si>
  <si>
    <t>MMAU 119874-4</t>
  </si>
  <si>
    <t>MNBU 012796-1</t>
  </si>
  <si>
    <t>MNBU 311559-0</t>
  </si>
  <si>
    <t>MNBU 306854-3</t>
  </si>
  <si>
    <t>SUDU 617882-7</t>
  </si>
  <si>
    <t>MNBU 329644-0</t>
  </si>
  <si>
    <t>MWCU 533236-4</t>
  </si>
  <si>
    <t>MMAU 104994-6</t>
  </si>
  <si>
    <t>SUDU 613438-8</t>
  </si>
  <si>
    <t>MMAU 126535-4</t>
  </si>
  <si>
    <t>MMAU 105588-8</t>
  </si>
  <si>
    <t>2546 E00</t>
  </si>
  <si>
    <t>SEGU 989936-5</t>
  </si>
  <si>
    <t>MMAU 140406-4</t>
  </si>
  <si>
    <t>MMAU 911128-8</t>
  </si>
  <si>
    <t>MNBU 019226-8</t>
  </si>
  <si>
    <t>MNBU 377615-7</t>
  </si>
  <si>
    <t>MMAU 105156-3</t>
  </si>
  <si>
    <t>MNBU 362537-7</t>
  </si>
  <si>
    <t>MNBU 305464-2</t>
  </si>
  <si>
    <t>MWCU 527408-3</t>
  </si>
  <si>
    <t>MNBU 006655-2</t>
  </si>
  <si>
    <t>SZLU 955513-1</t>
  </si>
  <si>
    <t>HLBU 621543-8</t>
  </si>
  <si>
    <t>HLBU 989791-7</t>
  </si>
  <si>
    <t>TLLU 700898-8</t>
  </si>
  <si>
    <t>OTPU 604539-0</t>
  </si>
  <si>
    <t>HLBU 600562-1</t>
  </si>
  <si>
    <t>HLBU 965629-4</t>
  </si>
  <si>
    <t>MNBU 359115-3</t>
  </si>
  <si>
    <t>MWCU 523774-7</t>
  </si>
  <si>
    <t>FSCU 573498-4</t>
  </si>
  <si>
    <t>OTPU 623271-9</t>
  </si>
  <si>
    <t>MNBU 349629-0</t>
  </si>
  <si>
    <t>HLBU 937560-9</t>
  </si>
  <si>
    <t>MNBU 009538-1</t>
  </si>
  <si>
    <t>MNBU 331681-9</t>
  </si>
  <si>
    <t>MMAU 113615-1</t>
  </si>
  <si>
    <t>MNBU 333171-0</t>
  </si>
  <si>
    <t>MWCU 530203-7</t>
  </si>
  <si>
    <t>551  S</t>
  </si>
  <si>
    <t>HLBU 968234-9</t>
  </si>
  <si>
    <t>HLXU 877924-4</t>
  </si>
  <si>
    <t>ONEU 929861-2</t>
  </si>
  <si>
    <t>OTPU 623354-6</t>
  </si>
  <si>
    <t>FBIU 525842-3</t>
  </si>
  <si>
    <t>MMAU 527631-2</t>
  </si>
  <si>
    <t>HLBU 617828-9</t>
  </si>
  <si>
    <t>MNBU 007185-7</t>
  </si>
  <si>
    <t>MNBU 005252-2</t>
  </si>
  <si>
    <t>MNBU 101740-2</t>
  </si>
  <si>
    <t>HLBU 969089-5</t>
  </si>
  <si>
    <t>TEMU 956684-3</t>
  </si>
  <si>
    <t>TLLU 116052-4</t>
  </si>
  <si>
    <t>SUDU 610179-0</t>
  </si>
  <si>
    <t>TLLU 110959-0</t>
  </si>
  <si>
    <t>HLBU 988938-3</t>
  </si>
  <si>
    <t>HLBU 952874-0</t>
  </si>
  <si>
    <t>ONEU 920389-6</t>
  </si>
  <si>
    <t>CXRU 118200-8</t>
  </si>
  <si>
    <t>MMAU 110783-1</t>
  </si>
  <si>
    <t>MNBU 304541-9</t>
  </si>
  <si>
    <t>MNBU 335136-3</t>
  </si>
  <si>
    <t>SUDU 622215-4</t>
  </si>
  <si>
    <t>HLBU 628288-4</t>
  </si>
  <si>
    <t>HLBU 964749-8</t>
  </si>
  <si>
    <t>UACU 473926-0</t>
  </si>
  <si>
    <t>HLBU 602399-1</t>
  </si>
  <si>
    <t>MNBU 300414-8</t>
  </si>
  <si>
    <t>551-552</t>
  </si>
  <si>
    <t>MNBU 354172-2</t>
  </si>
  <si>
    <t>MMAU 117872-7</t>
  </si>
  <si>
    <t>MNBU 376243-0</t>
  </si>
  <si>
    <t>ONE SHAPPIRE</t>
  </si>
  <si>
    <t>2547</t>
  </si>
  <si>
    <t>IKSU 400642-6</t>
  </si>
  <si>
    <t>Embarque</t>
  </si>
  <si>
    <t>SUDU 800712-4</t>
  </si>
  <si>
    <t>MMAU 124317-2</t>
  </si>
  <si>
    <t>MNBU 373328-4</t>
  </si>
  <si>
    <t>MNBU 342955-9</t>
  </si>
  <si>
    <t>CAIU 553754-5</t>
  </si>
  <si>
    <t>ONEU 915719-4</t>
  </si>
  <si>
    <t>ONEU 915055-9</t>
  </si>
  <si>
    <t>ONEU 909007-0</t>
  </si>
  <si>
    <t>ONEU 929881-8</t>
  </si>
  <si>
    <t>ONEU 904724-2</t>
  </si>
  <si>
    <t>OTPU 631425-2</t>
  </si>
  <si>
    <t>IKSU 520660-3</t>
  </si>
  <si>
    <t>ONEU 912382-5</t>
  </si>
  <si>
    <t>ONEU 903394-8</t>
  </si>
  <si>
    <t>TTNU 885988-1</t>
  </si>
  <si>
    <t>HLBU 617956-2</t>
  </si>
  <si>
    <t>OTPU 631713-8</t>
  </si>
  <si>
    <t>TTNU 886552-3</t>
  </si>
  <si>
    <t>ONEU 901788-6</t>
  </si>
  <si>
    <t>HLBU 957217-2</t>
  </si>
  <si>
    <t>TCLU 135056-8</t>
  </si>
  <si>
    <t>HLBU 948384-0</t>
  </si>
  <si>
    <t>TTNU 874820-8</t>
  </si>
  <si>
    <t>HLBU 996689-6</t>
  </si>
  <si>
    <t>ONEU 902821-6</t>
  </si>
  <si>
    <t>HLBU 609281-6</t>
  </si>
  <si>
    <t>HLBU 906194-8</t>
  </si>
  <si>
    <t>HLBU 985252-7</t>
  </si>
  <si>
    <t>HLBU 995330-6</t>
  </si>
  <si>
    <t>MORU 131697-9</t>
  </si>
  <si>
    <t>HLBU 959747-9</t>
  </si>
  <si>
    <t>ONEU 918069-8</t>
  </si>
  <si>
    <t>LITLE GRACE</t>
  </si>
  <si>
    <t>553 S</t>
  </si>
  <si>
    <t>HLBU 902578-7</t>
  </si>
  <si>
    <t>Reestiba vía muelle</t>
  </si>
  <si>
    <t>Desconexión anterior a la conexión</t>
  </si>
  <si>
    <t>552 S-553 N</t>
  </si>
  <si>
    <t>MNBU 335539-5</t>
  </si>
  <si>
    <t>2548 EW</t>
  </si>
  <si>
    <t>HLBU 972348-0</t>
  </si>
  <si>
    <t>HLBU 952094-4</t>
  </si>
  <si>
    <t>ONE SHPERE</t>
  </si>
  <si>
    <t>2549</t>
  </si>
  <si>
    <t>IKSU 400558-5</t>
  </si>
  <si>
    <t>FSCU 578766-5</t>
  </si>
  <si>
    <t>HLBU 603577-6</t>
  </si>
  <si>
    <t>HLBU 991903-0</t>
  </si>
  <si>
    <t>HLBU 955018-9</t>
  </si>
  <si>
    <t>FBIU 540194-0</t>
  </si>
  <si>
    <t>HLBU 939849-8</t>
  </si>
  <si>
    <t>ONEU 936971-6</t>
  </si>
  <si>
    <t>TTNU 877415-1</t>
  </si>
  <si>
    <t>HLBU 618910-7</t>
  </si>
  <si>
    <t>TLLU 106346-3</t>
  </si>
  <si>
    <t>ONEU 909015-1</t>
  </si>
  <si>
    <t>MEDU 919148-8</t>
  </si>
  <si>
    <t>ONEU 939805-7</t>
  </si>
  <si>
    <t>HLBU 962950-8</t>
  </si>
  <si>
    <t>601 S</t>
  </si>
  <si>
    <t>HLBU 911146-3</t>
  </si>
  <si>
    <t>601 S - 602 N</t>
  </si>
  <si>
    <t>SUDU 822215-3</t>
  </si>
  <si>
    <t>SEGU 989370-5</t>
  </si>
  <si>
    <t>HLBU 945188-5</t>
  </si>
  <si>
    <t>HLBU 952175-0</t>
  </si>
  <si>
    <t>OTPU 605371-3</t>
  </si>
  <si>
    <t>ONEU 930108-5</t>
  </si>
  <si>
    <t>OTPU 626370-4</t>
  </si>
  <si>
    <t>602-603</t>
  </si>
  <si>
    <t>MNBU 375573-0</t>
  </si>
  <si>
    <t>037 EW</t>
  </si>
  <si>
    <t>CAAU 401095-8</t>
  </si>
  <si>
    <t>HLBU 985199-0</t>
  </si>
  <si>
    <t>HLBU 979546-9</t>
  </si>
  <si>
    <t>SZLU 966671-0</t>
  </si>
  <si>
    <t>HLBU 915004-8</t>
  </si>
  <si>
    <t>BEAU 972548-5</t>
  </si>
  <si>
    <t>HLBU 944014-0</t>
  </si>
  <si>
    <t>HLBU 947197-9</t>
  </si>
  <si>
    <t>HLBU 981486-7</t>
  </si>
  <si>
    <t>HLBU 606186-2</t>
  </si>
  <si>
    <t>HLBU 951248-7</t>
  </si>
  <si>
    <t>HLBU 605728-7</t>
  </si>
  <si>
    <t>HLBU 990167-9</t>
  </si>
  <si>
    <t>TTNU 834420-6</t>
  </si>
  <si>
    <t>TLLU 700359-0</t>
  </si>
  <si>
    <t>TTNU 877404-3</t>
  </si>
  <si>
    <t>KKFU 677600-5</t>
  </si>
  <si>
    <t>MEDU 968042-6</t>
  </si>
  <si>
    <t>ONEU 938953-8</t>
  </si>
  <si>
    <t>HLBU 982775-6</t>
  </si>
  <si>
    <t>ONEU 925774-2</t>
  </si>
  <si>
    <t>TCLU 127102-6</t>
  </si>
  <si>
    <t>CAAU 406396-3</t>
  </si>
  <si>
    <t>603 S</t>
  </si>
  <si>
    <t>HLBU 601082-3</t>
  </si>
  <si>
    <t>NIDU 650887-5</t>
  </si>
  <si>
    <t>HLBU 610246-3</t>
  </si>
  <si>
    <t>603 S - 604N</t>
  </si>
  <si>
    <t>MNBU 057370-5</t>
  </si>
  <si>
    <t>2551</t>
  </si>
  <si>
    <t>FSCU 585842-9</t>
  </si>
  <si>
    <t>Año de conexión corregido (2025-01-23→2026-01-23)</t>
  </si>
  <si>
    <t>FSCU 586330-1</t>
  </si>
  <si>
    <t>FSCU 585897-0</t>
  </si>
  <si>
    <t>FSCU 583346-2</t>
  </si>
  <si>
    <t>SEGU 984466-0</t>
  </si>
  <si>
    <t>UACU 477887-8</t>
  </si>
  <si>
    <t>KKFU 675059-3</t>
  </si>
  <si>
    <t>ONEU 926279-6</t>
  </si>
  <si>
    <t>SEGU 918629-8</t>
  </si>
  <si>
    <t>TTNU 845218-1</t>
  </si>
  <si>
    <t>ONEU 934987-5</t>
  </si>
  <si>
    <t>CXRU 105608-3</t>
  </si>
  <si>
    <t>CXRU 115836-2</t>
  </si>
  <si>
    <t>IKSU 400322-1</t>
  </si>
  <si>
    <t>604-605</t>
  </si>
  <si>
    <t>MNBU 17500-2</t>
  </si>
  <si>
    <t>MMAU 126753-1</t>
  </si>
  <si>
    <t>605 S</t>
  </si>
  <si>
    <t>HLBU 989767-1</t>
  </si>
  <si>
    <t>2552 S</t>
  </si>
  <si>
    <t>KKFU 678599-0</t>
  </si>
  <si>
    <t>FSCU 588078-3</t>
  </si>
  <si>
    <t>ONEU 936846-9</t>
  </si>
  <si>
    <t>TTNU 875183-4</t>
  </si>
  <si>
    <t>HLBU 610807-0</t>
  </si>
  <si>
    <t>HLBU 603895-0</t>
  </si>
  <si>
    <t>FSCU 575441-9</t>
  </si>
  <si>
    <t>MSC JUSTICE VIII</t>
  </si>
  <si>
    <t>GY 604 R</t>
  </si>
  <si>
    <t>MEDU 927148-0</t>
  </si>
  <si>
    <t>HLBU 989204-7</t>
  </si>
  <si>
    <t>TRIU 887494-1</t>
  </si>
  <si>
    <t>2601 E</t>
  </si>
  <si>
    <t>CXRU 114110-1</t>
  </si>
  <si>
    <t>BMOU 931815-0</t>
  </si>
  <si>
    <t>FSCU 573394-6</t>
  </si>
  <si>
    <t>ONEU 907398-2</t>
  </si>
  <si>
    <t>ONEU 933565-5</t>
  </si>
  <si>
    <t>HLBU 979023-5</t>
  </si>
  <si>
    <t>CAAU 406296-7</t>
  </si>
  <si>
    <t>TLLU 103799-4</t>
  </si>
  <si>
    <t>HLBU 995196-2</t>
  </si>
  <si>
    <t>HLBU 613341-1</t>
  </si>
  <si>
    <t>HLBU 602422-0</t>
  </si>
  <si>
    <t>BMOU 931131-9</t>
  </si>
  <si>
    <t>2602 E</t>
  </si>
  <si>
    <t>TRIU 889420-7</t>
  </si>
  <si>
    <t>ONEU 948388-4</t>
  </si>
  <si>
    <t>KKFU 667218-7</t>
  </si>
  <si>
    <t>TLLU 106607-7</t>
  </si>
  <si>
    <t>SZLU 913110-7</t>
  </si>
  <si>
    <t>MEDU 972829-0</t>
  </si>
  <si>
    <t>606- 607</t>
  </si>
  <si>
    <t>MNBU 035105-6</t>
  </si>
  <si>
    <t>MNBU 444605-7</t>
  </si>
  <si>
    <t>TTNU 877049-6</t>
  </si>
  <si>
    <t>MNBU 408855-0</t>
  </si>
  <si>
    <t>MNBU 370720-1</t>
  </si>
  <si>
    <t>MNBU 61431-6</t>
  </si>
  <si>
    <t>TTNU 880174-5</t>
  </si>
  <si>
    <t>MORU 130797-7</t>
  </si>
  <si>
    <t>SZLU 917505-0</t>
  </si>
  <si>
    <t>HLBU 961672-7</t>
  </si>
  <si>
    <t>HLBU 602661-9</t>
  </si>
  <si>
    <t>HLBU 984357-2</t>
  </si>
  <si>
    <t>ONEU 934594-6</t>
  </si>
  <si>
    <t>OTPU 628059-5</t>
  </si>
  <si>
    <t>SEGU 917677-2</t>
  </si>
  <si>
    <t>HLBU 906770-9</t>
  </si>
  <si>
    <t>HLBU 970502-2</t>
  </si>
  <si>
    <t>607 S</t>
  </si>
  <si>
    <t>HLBU 618749-1</t>
  </si>
  <si>
    <t>HLBU 971335-2</t>
  </si>
  <si>
    <t>SEGU 983711-0</t>
  </si>
  <si>
    <t>2603 E</t>
  </si>
  <si>
    <t>OTPU 635984-8</t>
  </si>
  <si>
    <t>SZLU 952688-0</t>
  </si>
  <si>
    <t>607-608</t>
  </si>
  <si>
    <t>MNBU 020953-0</t>
  </si>
  <si>
    <t>608 -609</t>
  </si>
  <si>
    <t>MNBU 914831-1</t>
  </si>
  <si>
    <t>ONEU 942048-5</t>
  </si>
  <si>
    <t>HLBU 935958-9</t>
  </si>
  <si>
    <t>HLBU 958667-0</t>
  </si>
  <si>
    <t>HLBU 960409-5</t>
  </si>
  <si>
    <t>OTPU 623595-5</t>
  </si>
  <si>
    <t>SEGU 990504-6</t>
  </si>
  <si>
    <t>HLBU 617388-3</t>
  </si>
  <si>
    <t>OTPU 639243-0</t>
  </si>
  <si>
    <t>FBIU 525864-0</t>
  </si>
  <si>
    <t>FSCU 596084-7</t>
  </si>
  <si>
    <t>ONEU 925728-0</t>
  </si>
  <si>
    <t>HLBU 619146-5</t>
  </si>
  <si>
    <t>FSCU 582959-1</t>
  </si>
  <si>
    <t>609 S</t>
  </si>
  <si>
    <t>HLBU 615466-7</t>
  </si>
  <si>
    <t>ONEU 925898-6</t>
  </si>
  <si>
    <t>ONEU 914434-5</t>
  </si>
  <si>
    <t>FBIU 519026-2</t>
  </si>
  <si>
    <t>HLBU 616619-0</t>
  </si>
  <si>
    <t>HLBU 988480-1</t>
  </si>
  <si>
    <t>MNBU 451982-6</t>
  </si>
  <si>
    <t>MMAU 143926-6</t>
  </si>
  <si>
    <t>329</t>
  </si>
  <si>
    <t>CGMU 802257-0</t>
  </si>
  <si>
    <t>2606</t>
  </si>
  <si>
    <t>SEGU 938406-1</t>
  </si>
  <si>
    <t>CGMU 508627-3</t>
  </si>
  <si>
    <t>TTNU 881320-0</t>
  </si>
  <si>
    <t>HLBU 610707-4</t>
  </si>
  <si>
    <t>HLBU 965513-2</t>
  </si>
  <si>
    <t>610S-611N</t>
  </si>
  <si>
    <t>HUMBOLTD EXPRESS</t>
  </si>
  <si>
    <t>2604 E</t>
  </si>
  <si>
    <t>CAIU 567849-8</t>
  </si>
  <si>
    <t>SEKU 906824-2</t>
  </si>
  <si>
    <t>OTPU 629966-7</t>
  </si>
  <si>
    <t>SEGU 925154-1</t>
  </si>
  <si>
    <t>ONEU 942871-6</t>
  </si>
  <si>
    <t>FSCU 594487-2</t>
  </si>
  <si>
    <t>TLLU 120489-6</t>
  </si>
  <si>
    <t>OTPU 640189-2</t>
  </si>
  <si>
    <t>TTNU 861061-0</t>
  </si>
  <si>
    <t>HLBU 920529-0</t>
  </si>
  <si>
    <t>HLBU 625099-5</t>
  </si>
  <si>
    <t>ONEU 912548-0</t>
  </si>
  <si>
    <t>TTNU 851523-2</t>
  </si>
  <si>
    <t>ONEU 948701-0</t>
  </si>
  <si>
    <t>HLBU 995595-2</t>
  </si>
  <si>
    <t>HLBU 946931-2</t>
  </si>
  <si>
    <t>ONEU 935597-0</t>
  </si>
  <si>
    <t>HLBU 940318-8</t>
  </si>
  <si>
    <t>HLBU 920016-0</t>
  </si>
  <si>
    <t>HLBU 605675-8</t>
  </si>
  <si>
    <t>HLBU 911560-1</t>
  </si>
  <si>
    <t>BMOU 986903-9</t>
  </si>
  <si>
    <t>TCLU 123904-5</t>
  </si>
  <si>
    <t>HLBU 988050-8</t>
  </si>
  <si>
    <t>HLBU 622566-8</t>
  </si>
  <si>
    <t>ONEU 937276-7</t>
  </si>
  <si>
    <t>TTNU 831778-8</t>
  </si>
  <si>
    <t>ONEU 915030-6</t>
  </si>
  <si>
    <t>GY 610 R</t>
  </si>
  <si>
    <t>OTPU 658347-8</t>
  </si>
  <si>
    <t>MWCU 531778-1</t>
  </si>
  <si>
    <t>HLBU 951610-0</t>
  </si>
  <si>
    <t>KKFU 676653-7</t>
  </si>
  <si>
    <t>KKFU 673651-1</t>
  </si>
  <si>
    <t>HLBU 609609-3</t>
  </si>
  <si>
    <t>SZLU 944528-4</t>
  </si>
  <si>
    <t>HLBU 924966-3</t>
  </si>
  <si>
    <t>HLBU 610113-7</t>
  </si>
  <si>
    <t>HLBU 620353-0</t>
  </si>
  <si>
    <t>ONE SAPPHIRE</t>
  </si>
  <si>
    <t>2607</t>
  </si>
  <si>
    <t>TTNU 879881-0</t>
  </si>
  <si>
    <t>SEGU 939183-6</t>
  </si>
  <si>
    <t>SZLU 908253-2</t>
  </si>
  <si>
    <t>BMOU 983265-7</t>
  </si>
  <si>
    <t>OTPU 623888-8</t>
  </si>
  <si>
    <t>KKFU 673953-1</t>
  </si>
  <si>
    <t>611-612</t>
  </si>
  <si>
    <t>MNBU 399502-6</t>
  </si>
  <si>
    <t>HLBU 954107-9</t>
  </si>
  <si>
    <t>SUDU 809965-0</t>
  </si>
  <si>
    <t>MNBU 413246-2</t>
  </si>
  <si>
    <t>TCLU 137345-5</t>
  </si>
  <si>
    <t>ONEU 924101-0</t>
  </si>
  <si>
    <t>HLBU 623383-2</t>
  </si>
  <si>
    <t>2608 E</t>
  </si>
  <si>
    <t>ONEU 947842-4</t>
  </si>
  <si>
    <t>HLBU 987667-9</t>
  </si>
  <si>
    <t>HLBU 996501-4</t>
  </si>
  <si>
    <t>ONEU 920895-9</t>
  </si>
  <si>
    <t>IKSU 250934-0</t>
  </si>
  <si>
    <t>HLBU 982916-8</t>
  </si>
  <si>
    <t>TTNU 873765-1</t>
  </si>
  <si>
    <t>Reestiba</t>
  </si>
  <si>
    <t>FSCU 582610-2</t>
  </si>
  <si>
    <t>HLBU 997204-0</t>
  </si>
  <si>
    <t>2609</t>
  </si>
  <si>
    <t>KKFU 676744-6</t>
  </si>
  <si>
    <t>KKFU 675271-8</t>
  </si>
  <si>
    <t>SEGU 925493-6</t>
  </si>
  <si>
    <t>0038 E</t>
  </si>
  <si>
    <t>SEGU 983971-0</t>
  </si>
  <si>
    <t>FSCU 583049-0</t>
  </si>
  <si>
    <t>615 S</t>
  </si>
  <si>
    <t>HLBU 971874-0</t>
  </si>
  <si>
    <t>CXRU 105534-3</t>
  </si>
  <si>
    <t>CAAU 401384-9</t>
  </si>
  <si>
    <t>OTPU 604371-5</t>
  </si>
  <si>
    <t>IKSU 400606-7</t>
  </si>
  <si>
    <t>TGHU 999395-5</t>
  </si>
  <si>
    <t>HLBU 973380-5</t>
  </si>
  <si>
    <t>Desconexión a bordo.</t>
  </si>
  <si>
    <t>HLBU 975522-9</t>
  </si>
  <si>
    <t>HLBU 904341-4</t>
  </si>
  <si>
    <t>Desconexión a bordo</t>
  </si>
  <si>
    <t>TTNU 847686-1</t>
  </si>
  <si>
    <t>TRIU 844122-1</t>
  </si>
  <si>
    <t>2611E</t>
  </si>
  <si>
    <t>FSCU 596001-9</t>
  </si>
  <si>
    <t>TCLU 125696-8</t>
  </si>
  <si>
    <t>26017</t>
  </si>
  <si>
    <t>SZLU 500835-2</t>
  </si>
  <si>
    <t>2612 EW</t>
  </si>
  <si>
    <t>MORU 131970-4</t>
  </si>
  <si>
    <t>FSCU 575212-3</t>
  </si>
  <si>
    <t>616-617</t>
  </si>
  <si>
    <t>MMAU 138050-6</t>
  </si>
  <si>
    <t>MRFU 000797-3</t>
  </si>
  <si>
    <t>ONEU 918620-6</t>
  </si>
  <si>
    <t>TLLU 117875-5</t>
  </si>
  <si>
    <t>KKFU 675808-5</t>
  </si>
  <si>
    <t>SEGU 990548-9</t>
  </si>
  <si>
    <t>ONEU 902310-6</t>
  </si>
  <si>
    <t>HLBU 609533-2</t>
  </si>
  <si>
    <t>617 S</t>
  </si>
  <si>
    <t>HLBU 601401-1</t>
  </si>
  <si>
    <t>TLLU 111412-8</t>
  </si>
  <si>
    <t>HLBU 960616-4</t>
  </si>
  <si>
    <t>HLBU 922413-5</t>
  </si>
  <si>
    <t>TLLU 103843-4</t>
  </si>
  <si>
    <t>BMOU 983192-2</t>
  </si>
  <si>
    <t>HLBU 931896-0</t>
  </si>
  <si>
    <t>ONEU 926413-0</t>
  </si>
  <si>
    <t>HLBU 625026-0</t>
  </si>
  <si>
    <t>IKSU 250930-8</t>
  </si>
  <si>
    <t>617-618</t>
  </si>
  <si>
    <t>TLLU 119940-2</t>
  </si>
  <si>
    <t>MNBU 378410-5</t>
  </si>
  <si>
    <t>RIO JANEIRO EXPRESS</t>
  </si>
  <si>
    <t>2613 E</t>
  </si>
  <si>
    <t>SEGU 925172-6</t>
  </si>
  <si>
    <t>ONEU 911868-6</t>
  </si>
  <si>
    <t>TRIU 802023-8</t>
  </si>
  <si>
    <t>HLBU 962431-6</t>
  </si>
  <si>
    <t>TTNU 841298-0</t>
  </si>
  <si>
    <t>TTNU 848554-4</t>
  </si>
  <si>
    <t>OTPU 628437-4</t>
  </si>
  <si>
    <t>TLLU 110759-8</t>
  </si>
  <si>
    <t>CXRU 113485-9</t>
  </si>
  <si>
    <t>622-623</t>
  </si>
  <si>
    <t>MNBU 390885-0</t>
  </si>
  <si>
    <t>Desconexión a bordo. Descarga</t>
  </si>
  <si>
    <t>CXRU 115010-3</t>
  </si>
  <si>
    <t>CXRU 113167-5</t>
  </si>
  <si>
    <t>TCLU 135484-0</t>
  </si>
  <si>
    <t>MSC SILVANA VIII</t>
  </si>
  <si>
    <t>GY614 A</t>
  </si>
  <si>
    <t>TRIU 804326-0</t>
  </si>
  <si>
    <t>Reestiba via nave</t>
  </si>
  <si>
    <t>MSDU 986897-7</t>
  </si>
  <si>
    <t>2614 E</t>
  </si>
  <si>
    <t>TRIU 862906-0</t>
  </si>
  <si>
    <t>SEGU 927831-0</t>
  </si>
  <si>
    <t>CXRU 113218-3</t>
  </si>
  <si>
    <t>TLLU 116208-6</t>
  </si>
  <si>
    <t>TTNU 814257-1</t>
  </si>
  <si>
    <t>618-619</t>
  </si>
  <si>
    <t>MNBU 302490-4</t>
  </si>
  <si>
    <t>TEMU 968110-6</t>
  </si>
  <si>
    <t>MORU 112137-0</t>
  </si>
  <si>
    <t>HLBU 600956-6</t>
  </si>
  <si>
    <t>ONEU 941556-0</t>
  </si>
  <si>
    <t>BMOU 940209-1</t>
  </si>
  <si>
    <t>SZLU 956220-7</t>
  </si>
  <si>
    <t>CAIU 567478-5</t>
  </si>
  <si>
    <t>334</t>
  </si>
  <si>
    <t>SEKU 938188-0</t>
  </si>
  <si>
    <t>TTNU 819096-5</t>
  </si>
  <si>
    <t>TLLU 103687-4</t>
  </si>
  <si>
    <t>619-620</t>
  </si>
  <si>
    <t>MNBU 911128-8</t>
  </si>
  <si>
    <t>MEDU 970464-1</t>
  </si>
  <si>
    <t>261 E</t>
  </si>
  <si>
    <t>OTPU 625929-0</t>
  </si>
  <si>
    <t>HLBU 992590-0</t>
  </si>
  <si>
    <t>TLLU 118169-8</t>
  </si>
  <si>
    <t>620-621</t>
  </si>
  <si>
    <t>MNBU 420760-1</t>
  </si>
  <si>
    <t>MNBU 387429-8</t>
  </si>
  <si>
    <t>MNBU 421271-6</t>
  </si>
  <si>
    <t>MNBU 006130-8</t>
  </si>
  <si>
    <t>MMAU 115962-4</t>
  </si>
  <si>
    <t>MMAU 119476-0</t>
  </si>
  <si>
    <t>TRIU 858241-0</t>
  </si>
  <si>
    <t>TRIU 86858241-0</t>
  </si>
  <si>
    <t>2616</t>
  </si>
  <si>
    <t>TLLU 111329-2</t>
  </si>
  <si>
    <t>621 S</t>
  </si>
  <si>
    <t>HLBU 982090-0</t>
  </si>
  <si>
    <t>UACU 476219-3</t>
  </si>
  <si>
    <t>HLBU 629249-7</t>
  </si>
  <si>
    <t>TEMU 903896-0</t>
  </si>
  <si>
    <t>621-622</t>
  </si>
  <si>
    <t>MNBU 919515-0</t>
  </si>
  <si>
    <t>SUDU 527290-5</t>
  </si>
  <si>
    <t>GY619A</t>
  </si>
  <si>
    <t>MEDU 972400-0</t>
  </si>
  <si>
    <t>623 -624</t>
  </si>
  <si>
    <t>MNBU 444326-9</t>
  </si>
  <si>
    <t>MNBU 045801-8</t>
  </si>
  <si>
    <t>MNBU 034084-8</t>
  </si>
  <si>
    <t>HLBU 622808-1</t>
  </si>
  <si>
    <t>HLBU 982590-1</t>
  </si>
  <si>
    <t>HLBU 910157-3</t>
  </si>
  <si>
    <t>HLBU 978085-4</t>
  </si>
  <si>
    <t>2618</t>
  </si>
  <si>
    <t>HDMU 564562-1</t>
  </si>
  <si>
    <t>HDMU 564694-7</t>
  </si>
  <si>
    <t>HMMU 543505-3</t>
  </si>
  <si>
    <t>GY620A</t>
  </si>
  <si>
    <t>SZLU 931420-0</t>
  </si>
  <si>
    <t>Reestiva vía muelle Cp</t>
  </si>
  <si>
    <t>624-625</t>
  </si>
  <si>
    <t>MWCU 525332-6</t>
  </si>
  <si>
    <t>MMAU 124024-8</t>
  </si>
  <si>
    <t>MNBU 326979-0</t>
  </si>
  <si>
    <t>MNBU 919998-3</t>
  </si>
  <si>
    <t>MNBU 460926-2</t>
  </si>
  <si>
    <t>MNBU 427967-0</t>
  </si>
  <si>
    <t>MNBU 012627-1</t>
  </si>
  <si>
    <t>MNBU 373856-3</t>
  </si>
  <si>
    <t>MNBU 438321-5</t>
  </si>
  <si>
    <t>MNBU 449895-5</t>
  </si>
  <si>
    <t>MMAU 126615-5</t>
  </si>
  <si>
    <t>SZLU 500436-2</t>
  </si>
  <si>
    <t>TLLU 122334-5</t>
  </si>
  <si>
    <t>SUDU 801295-9</t>
  </si>
  <si>
    <t>MNBU 365092-9</t>
  </si>
  <si>
    <t>MNBU 463413-6</t>
  </si>
  <si>
    <t>MMAU 128417-0</t>
  </si>
  <si>
    <t>MNBU 442157-3</t>
  </si>
  <si>
    <t>SUDU 624942-7</t>
  </si>
  <si>
    <t>MNBU 462304-4</t>
  </si>
  <si>
    <t>MNBU 438465-4</t>
  </si>
  <si>
    <t>MNBU 415721-8</t>
  </si>
  <si>
    <t>SUDU 811909-0</t>
  </si>
  <si>
    <t>MNBU 057225-2</t>
  </si>
  <si>
    <t>MNBU 462368-2</t>
  </si>
  <si>
    <t>MNBU 436714-8</t>
  </si>
  <si>
    <t>MNBU 339833-4</t>
  </si>
  <si>
    <t>MNBU 437890-2</t>
  </si>
  <si>
    <t>MNBU 424390-7</t>
  </si>
  <si>
    <t>MNBU 438101-7</t>
  </si>
  <si>
    <t>SUDU 617613-0</t>
  </si>
  <si>
    <t>MNBU 391393-8</t>
  </si>
  <si>
    <t>SUDU 610705-8</t>
  </si>
  <si>
    <t>MNBU 416784-9</t>
  </si>
  <si>
    <t>MNBU 918139-3</t>
  </si>
  <si>
    <t>MNBU 041708-7</t>
  </si>
  <si>
    <t>MNBU 452187-0</t>
  </si>
  <si>
    <t>MNBU 441186-8</t>
  </si>
  <si>
    <t>MNBU 059758-5</t>
  </si>
  <si>
    <t>MNBU 008926-5</t>
  </si>
  <si>
    <t>MNBU 022982-9</t>
  </si>
  <si>
    <t>MNBU 443859-7</t>
  </si>
  <si>
    <t>MNBU 444836-3</t>
  </si>
  <si>
    <t>MNBU 414641-9</t>
  </si>
  <si>
    <t>MNBU 447381-2</t>
  </si>
  <si>
    <t>TLLU 120712-8</t>
  </si>
  <si>
    <t>MNBU 459559-6</t>
  </si>
  <si>
    <t>MMAU 114916-4</t>
  </si>
  <si>
    <t>SUDU 618350-4</t>
  </si>
  <si>
    <t>MNBU 437209-9</t>
  </si>
  <si>
    <t>MNBU 453885-2</t>
  </si>
  <si>
    <t>SUDU 812445-5</t>
  </si>
  <si>
    <t>MNBU 432385-4</t>
  </si>
  <si>
    <t>SUDU 813894-7</t>
  </si>
  <si>
    <t>MNBU 029398-3</t>
  </si>
  <si>
    <t>MNBU 465045-6</t>
  </si>
  <si>
    <t>MNBU 466082-9</t>
  </si>
  <si>
    <t>MNBU 437720-7</t>
  </si>
  <si>
    <t>MNBU 052062-3</t>
  </si>
  <si>
    <t>MNBU 015108-4</t>
  </si>
  <si>
    <t>MNBU 048125-5</t>
  </si>
  <si>
    <t>SUDU 611203-3</t>
  </si>
  <si>
    <t>SUDU 804044-1</t>
  </si>
  <si>
    <t>MNBU 383731-3</t>
  </si>
  <si>
    <t>MNBU 916911-9</t>
  </si>
  <si>
    <t>MNBU 441656-1</t>
  </si>
  <si>
    <t>MNBU 416252-8</t>
  </si>
  <si>
    <t>MNBU 301676-6</t>
  </si>
  <si>
    <t>MNBU 415409-7</t>
  </si>
  <si>
    <t>MNBU 441828-7</t>
  </si>
  <si>
    <t>MNBU 428913-2</t>
  </si>
  <si>
    <t>MNBU 409804-9</t>
  </si>
  <si>
    <t>TLLU 116449-5</t>
  </si>
  <si>
    <t>MNBU 409155-3</t>
  </si>
  <si>
    <t>MNBU 403663-8</t>
  </si>
  <si>
    <t>MNBU 411487-5</t>
  </si>
  <si>
    <t>MNBU 446032-7</t>
  </si>
  <si>
    <t>MNBU 383461-2</t>
  </si>
  <si>
    <t>SUDU 801527-0</t>
  </si>
  <si>
    <t>SUDU 617083-1</t>
  </si>
  <si>
    <t>MNBU 424069-9</t>
  </si>
  <si>
    <t>MNBU 062775-6</t>
  </si>
  <si>
    <t>MNBU 443161-1</t>
  </si>
  <si>
    <t>MNBU 910654-8</t>
  </si>
  <si>
    <t>MNBU 385598-1</t>
  </si>
  <si>
    <t>MNBU 449218-1</t>
  </si>
  <si>
    <t>MNBU 349659-9</t>
  </si>
  <si>
    <t>MNBU 911711-5</t>
  </si>
  <si>
    <t>MNBU 465356-3</t>
  </si>
  <si>
    <t>MNBU 426171-0</t>
  </si>
  <si>
    <t>MNBU 033333-0</t>
  </si>
  <si>
    <t>MNBU 406405-4</t>
  </si>
  <si>
    <t>MNBU 049450-3</t>
  </si>
  <si>
    <t>MNBU 046832-0</t>
  </si>
  <si>
    <t>TLLU 120089-0</t>
  </si>
  <si>
    <t>TEMU 978431-5</t>
  </si>
  <si>
    <t>MNBU 434986-4</t>
  </si>
  <si>
    <t>MNBU 439367-7</t>
  </si>
  <si>
    <t>MNBU 313053-1</t>
  </si>
  <si>
    <t>MNBU 432021-7</t>
  </si>
  <si>
    <t>MNBU 363647-4</t>
  </si>
  <si>
    <t>MNBU 448978-4</t>
  </si>
  <si>
    <t>MNBU 354566-7</t>
  </si>
  <si>
    <t>MNBU 371118-2</t>
  </si>
  <si>
    <t>MNBU 916396-0</t>
  </si>
  <si>
    <t>MNBU 366824-0</t>
  </si>
  <si>
    <t>TEMU 975933-3</t>
  </si>
  <si>
    <t>TLLU 119267-1</t>
  </si>
  <si>
    <t>MNBU 047150-8</t>
  </si>
  <si>
    <t>MNBU 048748-5</t>
  </si>
  <si>
    <t>SUDU 821519-6</t>
  </si>
  <si>
    <t>SUDU 810019-7</t>
  </si>
  <si>
    <t>MNBU 468197-1</t>
  </si>
  <si>
    <t>MNBU 054540-5</t>
  </si>
  <si>
    <t>MNBU 371436-6</t>
  </si>
  <si>
    <t>TLLU 121377-4</t>
  </si>
  <si>
    <t>SUDU 920098-7</t>
  </si>
  <si>
    <t>MNBU 058656-0</t>
  </si>
  <si>
    <t>MNBU 387775-9</t>
  </si>
  <si>
    <t>MNBU 355008-8</t>
  </si>
  <si>
    <t>MNBU 439122-6</t>
  </si>
  <si>
    <t>TTNU 875695-0</t>
  </si>
  <si>
    <t>MNBU 361523-4</t>
  </si>
  <si>
    <t>TLLU 121675-2</t>
  </si>
  <si>
    <t>MNBU 051632-5</t>
  </si>
  <si>
    <t>MNBU 348474-6</t>
  </si>
  <si>
    <t>MNBU 432365-9</t>
  </si>
  <si>
    <t>MNBU 340146-4</t>
  </si>
  <si>
    <t>MNBU 906893-6</t>
  </si>
  <si>
    <t>MNBU 390090-4</t>
  </si>
  <si>
    <t>MNBU 421875-6</t>
  </si>
  <si>
    <t>MNBU 444673-5</t>
  </si>
  <si>
    <t>MNBU 375647-0</t>
  </si>
  <si>
    <t>TEMU 975408-0</t>
  </si>
  <si>
    <t>SUDU 624369-2</t>
  </si>
  <si>
    <t>MNBU 361003-7</t>
  </si>
  <si>
    <t>MNBU 631385-9</t>
  </si>
  <si>
    <t>MNBU 404669-9</t>
  </si>
  <si>
    <t>MNBU 913463-7</t>
  </si>
  <si>
    <t>MNBU 462181-7</t>
  </si>
  <si>
    <t>TLLU 119538-8</t>
  </si>
  <si>
    <t>MNBU 064398-9</t>
  </si>
  <si>
    <t>MNBU 400650-4</t>
  </si>
  <si>
    <t>MNBU 343701-9</t>
  </si>
  <si>
    <t>MNBU 358598-9</t>
  </si>
  <si>
    <t>MNBU 409779-9</t>
  </si>
  <si>
    <t>MNBU 447511-6</t>
  </si>
  <si>
    <t>MNBU 426451-4</t>
  </si>
  <si>
    <t>TLLU 116352-3</t>
  </si>
  <si>
    <t>MNBU 906212-0</t>
  </si>
  <si>
    <t>MNBU 063303-9</t>
  </si>
  <si>
    <t>SUDU 624314-1</t>
  </si>
  <si>
    <t>SUDU 811276-8</t>
  </si>
  <si>
    <t>MNBU 422653-5</t>
  </si>
  <si>
    <t>MNBU 390957-9</t>
  </si>
  <si>
    <t>MNBU 064022-8</t>
  </si>
  <si>
    <t>MNBU 448769-4</t>
  </si>
  <si>
    <t>MNBU 411408-9</t>
  </si>
  <si>
    <t>MNBU 379404-2</t>
  </si>
  <si>
    <t>MNBU 411229-7</t>
  </si>
  <si>
    <t>MNBU 366572-3</t>
  </si>
  <si>
    <t>MMAU 105661-0</t>
  </si>
  <si>
    <t>MNBU 393956-8</t>
  </si>
  <si>
    <t>MNBU 026849-2</t>
  </si>
  <si>
    <t>MNBU 409382-8</t>
  </si>
  <si>
    <t>MNBU 055545-0</t>
  </si>
  <si>
    <t>MNBU 459863-5</t>
  </si>
  <si>
    <t>MNBU 017862-9</t>
  </si>
  <si>
    <t>MNBU 374654-8</t>
  </si>
  <si>
    <t>MNBU 467458-7</t>
  </si>
  <si>
    <t>MNBU 412294-7</t>
  </si>
  <si>
    <t>MNBU 357020-6</t>
  </si>
  <si>
    <t>MNBU 301110-5</t>
  </si>
  <si>
    <t>MNBU 911802-4</t>
  </si>
  <si>
    <t>MNBU 334148-9</t>
  </si>
  <si>
    <t>MNBU 033706-3</t>
  </si>
  <si>
    <t>MSC COMAKARY IV</t>
  </si>
  <si>
    <t>GY621A</t>
  </si>
  <si>
    <t>MEDU 965710-7</t>
  </si>
  <si>
    <t>2620</t>
  </si>
  <si>
    <t>CAIU 567252-4</t>
  </si>
  <si>
    <t>2619</t>
  </si>
  <si>
    <t>CAAU 407092-0</t>
  </si>
  <si>
    <t>HLBU 601485-5</t>
  </si>
  <si>
    <t>HLBU 941263-6</t>
  </si>
  <si>
    <t>23</t>
  </si>
  <si>
    <t>BMOU 984429-9</t>
  </si>
  <si>
    <t>625-626</t>
  </si>
  <si>
    <t>MNBU 417689-8</t>
  </si>
  <si>
    <t>MNBU 032384-0</t>
  </si>
  <si>
    <t>OTPU 604077-9</t>
  </si>
  <si>
    <t>MORU 132687-4</t>
  </si>
  <si>
    <t>MNBU 061364-4</t>
  </si>
  <si>
    <t>MMAU 144211-0</t>
  </si>
  <si>
    <t>MNBU 362652-1</t>
  </si>
  <si>
    <t>MNBU 025595-7</t>
  </si>
  <si>
    <t>MMAU 118209-6</t>
  </si>
  <si>
    <t>MNBU 900493-1</t>
  </si>
  <si>
    <t>MNBU 370171-2</t>
  </si>
  <si>
    <t>MMAU 127317-5</t>
  </si>
  <si>
    <t>MNBU 356377-9</t>
  </si>
  <si>
    <t>MNBU 004250-3</t>
  </si>
  <si>
    <t>MNBU 414918-8</t>
  </si>
  <si>
    <t>MNBU 051139-1</t>
  </si>
  <si>
    <t>SUDU 604181-3</t>
  </si>
  <si>
    <t>627 S 628 N</t>
  </si>
  <si>
    <t>HLBU 616356-6</t>
  </si>
  <si>
    <t>SEKU 925209-6</t>
  </si>
  <si>
    <t>OTPU 628857-5</t>
  </si>
  <si>
    <t>MNBU 377304-0</t>
  </si>
  <si>
    <t>TCLU 138975-0</t>
  </si>
  <si>
    <t>SZLU 955663-1</t>
  </si>
  <si>
    <t>HLBU 980895-1</t>
  </si>
  <si>
    <t>FBIU 527942-6</t>
  </si>
  <si>
    <t>OTPU 631802-6</t>
  </si>
  <si>
    <t>MMAU 105006-3</t>
  </si>
  <si>
    <t>ONEU 933706-7</t>
  </si>
  <si>
    <t>625 S</t>
  </si>
  <si>
    <t>UAEU 125798-1</t>
  </si>
  <si>
    <t>NIDU 650604-4</t>
  </si>
  <si>
    <t>OTPU 638271-9</t>
  </si>
  <si>
    <t>SZLU 964060-8</t>
  </si>
  <si>
    <t>2621</t>
  </si>
  <si>
    <t>CAIU 568136-2</t>
  </si>
  <si>
    <t>MORU 112349-7</t>
  </si>
  <si>
    <t>OTPU 635613-4</t>
  </si>
  <si>
    <t>OTPU 604364-9</t>
  </si>
  <si>
    <t>TCLU 127305-5</t>
  </si>
  <si>
    <t>MORU 111617-9</t>
  </si>
  <si>
    <t>MORU 131428-2</t>
  </si>
  <si>
    <t>MNBU 063105-7</t>
  </si>
  <si>
    <t>630-631</t>
  </si>
  <si>
    <t>MNBU 037117-6</t>
  </si>
  <si>
    <t>627-628</t>
  </si>
  <si>
    <t>MNBU 435145-5</t>
  </si>
  <si>
    <t>OTPU 625850-2</t>
  </si>
  <si>
    <t>TTNU 887058-2</t>
  </si>
  <si>
    <t>FSCU 588373-5</t>
  </si>
  <si>
    <t>MNBU 327289-7</t>
  </si>
  <si>
    <t>MNBU 440639-4</t>
  </si>
  <si>
    <t>KKFU 675819-3</t>
  </si>
  <si>
    <t>TLLU 112103-0</t>
  </si>
  <si>
    <t>TEMU 920477-8</t>
  </si>
  <si>
    <t>ONEU 926665-7</t>
  </si>
  <si>
    <t>ONEU 940352-8</t>
  </si>
  <si>
    <t>CXRU 113520-1</t>
  </si>
  <si>
    <t>MWCU 698153-7</t>
  </si>
  <si>
    <t>MNBU 908381-7</t>
  </si>
  <si>
    <t>FSCU 588000-0</t>
  </si>
  <si>
    <t>HLBU 607971-1</t>
  </si>
  <si>
    <t>SUDU 814378-0</t>
  </si>
  <si>
    <t>HLBU 966046-3</t>
  </si>
  <si>
    <t>KKFU 677630-3</t>
  </si>
  <si>
    <t>MNBU 040598-0</t>
  </si>
  <si>
    <t>MORU 110795-8</t>
  </si>
  <si>
    <t>MNBU 375455-9</t>
  </si>
  <si>
    <t>2623E</t>
  </si>
  <si>
    <t>ONEU 915873-4</t>
  </si>
  <si>
    <t>MNBU 914371-0</t>
  </si>
  <si>
    <t>MNBU 431900-5</t>
  </si>
  <si>
    <t>MNBU 017332-9</t>
  </si>
  <si>
    <t>MNBU 414702-0</t>
  </si>
  <si>
    <t>MNBU 374386-8</t>
  </si>
  <si>
    <t>TLLU 119573-1</t>
  </si>
  <si>
    <t>MNBU 311509-6</t>
  </si>
  <si>
    <t>MNBU 322222-1</t>
  </si>
  <si>
    <t>MNBU 353787-2</t>
  </si>
  <si>
    <t>MNBU 301584-1</t>
  </si>
  <si>
    <t>MNBU 015317-4</t>
  </si>
  <si>
    <t>MNBU 360454-3</t>
  </si>
  <si>
    <t>MNBU 034928-0</t>
  </si>
  <si>
    <t>MNBU 361346-3</t>
  </si>
  <si>
    <t>MNBU 420010-3</t>
  </si>
  <si>
    <t>MMAU 120021-9</t>
  </si>
  <si>
    <t>MNBU 435311-8</t>
  </si>
  <si>
    <t>MNBU 045659-2</t>
  </si>
  <si>
    <t>MNBU 426777-1</t>
  </si>
  <si>
    <t>MNBU 430461-7</t>
  </si>
  <si>
    <t>MNBU 906409-9</t>
  </si>
  <si>
    <t>MNBU 457073-0</t>
  </si>
  <si>
    <t>MNBU 425616-5</t>
  </si>
  <si>
    <t>TLLU 115650-3</t>
  </si>
  <si>
    <t>MNBU 911712-0</t>
  </si>
  <si>
    <t>MNBU 910476-1</t>
  </si>
  <si>
    <t>MNBU 060256-8</t>
  </si>
  <si>
    <t>MNBU 438074-6</t>
  </si>
  <si>
    <t>MNBU 067774-1</t>
  </si>
  <si>
    <t>MNBU 910170-0</t>
  </si>
  <si>
    <t>MNBU 008969-2</t>
  </si>
  <si>
    <t>TTNU 875616-3</t>
  </si>
  <si>
    <t>FSCU 571887-5</t>
  </si>
  <si>
    <t>MNBU 318845-1</t>
  </si>
  <si>
    <t>MNBU 394271-0</t>
  </si>
  <si>
    <t>SUDU 803805-9</t>
  </si>
  <si>
    <t>MNBU 051768-2</t>
  </si>
  <si>
    <t>MNBU 901198-8</t>
  </si>
  <si>
    <t>SUDU 820155-1</t>
  </si>
  <si>
    <t>MNBU 424460-5</t>
  </si>
  <si>
    <t>SUDU 610247-8</t>
  </si>
  <si>
    <t>SUDU 610721-1</t>
  </si>
  <si>
    <t>TEMU 975384-4</t>
  </si>
  <si>
    <t>SUDU 627072-2</t>
  </si>
  <si>
    <t>MNBU 909637-3</t>
  </si>
  <si>
    <t>MNBU 401576-4</t>
  </si>
  <si>
    <t>MNBU 434246-9</t>
  </si>
  <si>
    <t>MNBU 055743-2</t>
  </si>
  <si>
    <t>MNBU 377441-0</t>
  </si>
  <si>
    <t>MNBU 052298-7</t>
  </si>
  <si>
    <t>MNBU 033491-1</t>
  </si>
  <si>
    <t>MNBU 460707-0</t>
  </si>
  <si>
    <t>MMAU 126012-0</t>
  </si>
  <si>
    <t>MMAU 113769-3</t>
  </si>
  <si>
    <t>MNBU 013812-2</t>
  </si>
  <si>
    <t>MNBU 037346-1</t>
  </si>
  <si>
    <t>MNBU 047638-8</t>
  </si>
  <si>
    <t>MNBU 390562-9</t>
  </si>
  <si>
    <t>MMAU 109131-3</t>
  </si>
  <si>
    <t>MNBU 420395-1</t>
  </si>
  <si>
    <t>MNBU 396817-0</t>
  </si>
  <si>
    <t>MNBU 382824-5</t>
  </si>
  <si>
    <t>TLLU 119578-9</t>
  </si>
  <si>
    <t>MNBU 380249-3</t>
  </si>
  <si>
    <t>MNBU 396990-0</t>
  </si>
  <si>
    <t>MNBU 038068-7</t>
  </si>
  <si>
    <t>MNBU 910275-3</t>
  </si>
  <si>
    <t>MNBU 383560-3</t>
  </si>
  <si>
    <t>SUDU810261-0</t>
  </si>
  <si>
    <t>MNBU 905632-3</t>
  </si>
  <si>
    <t>MNBU 908006-3</t>
  </si>
  <si>
    <t>MNBU 377942-8</t>
  </si>
  <si>
    <t>MNBU 030421-8</t>
  </si>
  <si>
    <t>SUDU 620086-0</t>
  </si>
  <si>
    <t>MNBU 331595-7</t>
  </si>
  <si>
    <t>MNBU 356156-5</t>
  </si>
  <si>
    <t>MNBU 053320-9</t>
  </si>
  <si>
    <t>MNBU 360570-3</t>
  </si>
  <si>
    <t>MNBU 346349-2</t>
  </si>
  <si>
    <t>MNBU 446235-6</t>
  </si>
  <si>
    <t>MNBU 396572-0</t>
  </si>
  <si>
    <t>SUDU 802308-5</t>
  </si>
  <si>
    <t>MNBU 426131-0</t>
  </si>
  <si>
    <t>MNBU 357822-8</t>
  </si>
  <si>
    <t>TLLU 121912-9</t>
  </si>
  <si>
    <t>MNBU 464097-2</t>
  </si>
  <si>
    <t>MNBU 452395-5</t>
  </si>
  <si>
    <t>TLLU 119701-4</t>
  </si>
  <si>
    <t>MNBU 435097-3</t>
  </si>
  <si>
    <t>MNBU 397270-9</t>
  </si>
  <si>
    <t>MNBU 022084-2</t>
  </si>
  <si>
    <t>MNBU 409477-9</t>
  </si>
  <si>
    <t>MNBU 456293-0</t>
  </si>
  <si>
    <t>MNBU 335366-4</t>
  </si>
  <si>
    <t>MNBU 311249-8</t>
  </si>
  <si>
    <t>MNBU 366738-8</t>
  </si>
  <si>
    <t>MNBU 053014-9</t>
  </si>
  <si>
    <t>MNBU 449531-8</t>
  </si>
  <si>
    <t>MNBU 377450-8</t>
  </si>
  <si>
    <t>MNBU 043884-0</t>
  </si>
  <si>
    <t>MNBU 416674-0</t>
  </si>
  <si>
    <t>MNBU 392112-6</t>
  </si>
  <si>
    <t>MNBU 427820-4</t>
  </si>
  <si>
    <t>MNBU 453261-7</t>
  </si>
  <si>
    <t>MNBU 390603-4</t>
  </si>
  <si>
    <t>MNBU 354766-0</t>
  </si>
  <si>
    <t>MMAU 109437-5</t>
  </si>
  <si>
    <t>MNBU 452543-3</t>
  </si>
  <si>
    <t>MNBU 403831-1</t>
  </si>
  <si>
    <t>MNBU 394901-5</t>
  </si>
  <si>
    <t>MNBU 012396-6</t>
  </si>
  <si>
    <t>MNBU 033876-9</t>
  </si>
  <si>
    <t>MNBU 002824-9</t>
  </si>
  <si>
    <t>MNBU 409455-2</t>
  </si>
  <si>
    <t>MNBU 053676-4</t>
  </si>
  <si>
    <t>MNBU 025302-3</t>
  </si>
  <si>
    <t>MNBU 433467-4</t>
  </si>
  <si>
    <t>MNBU 406757-8</t>
  </si>
  <si>
    <t>MNBU 421145-3</t>
  </si>
  <si>
    <t>SUDU 622453-7</t>
  </si>
  <si>
    <t>MNBU 375358-9</t>
  </si>
  <si>
    <t>MNBU 432140-3</t>
  </si>
  <si>
    <t>MNBU 364352-9</t>
  </si>
  <si>
    <t>MNBU 445290-7</t>
  </si>
  <si>
    <t>MMAU 105780-7</t>
  </si>
  <si>
    <t>MNBU 031128-5</t>
  </si>
  <si>
    <t>MNBU 908901-3</t>
  </si>
  <si>
    <t>MNBU 394173-4</t>
  </si>
  <si>
    <t>SUDU 621028-2</t>
  </si>
  <si>
    <t>MNBU 910605-0</t>
  </si>
  <si>
    <t>MNBU 353976-7</t>
  </si>
  <si>
    <t>MNBU 903054-5</t>
  </si>
  <si>
    <t>MNBU 423553-7</t>
  </si>
  <si>
    <t>MNBU 402777-0</t>
  </si>
  <si>
    <t>MNBU 407821-1</t>
  </si>
  <si>
    <t>MNBU 344398-4</t>
  </si>
  <si>
    <t>MNBU 036077-8</t>
  </si>
  <si>
    <t>TEMU 975559-6</t>
  </si>
  <si>
    <t>MNBU 418423-4</t>
  </si>
  <si>
    <t>SUDU 629748-8</t>
  </si>
  <si>
    <t>MNBU 391382-0</t>
  </si>
  <si>
    <t>MNBU 315258-8</t>
  </si>
  <si>
    <t>SUDU 627371-6</t>
  </si>
  <si>
    <t>MNBU 362487-4</t>
  </si>
  <si>
    <t>MMAU 117817-8</t>
  </si>
  <si>
    <t>SUDU 607355-4</t>
  </si>
  <si>
    <t>MNBU 363918-0</t>
  </si>
  <si>
    <t>MNBU 374489-0</t>
  </si>
  <si>
    <t>MMAU 121602-5</t>
  </si>
  <si>
    <t>SUDU 606737-7</t>
  </si>
  <si>
    <t>MNBU 304217-4</t>
  </si>
  <si>
    <t>MNBU 900441-7</t>
  </si>
  <si>
    <t>OTPU 638547-2</t>
  </si>
  <si>
    <t>BMOU 983081-8</t>
  </si>
  <si>
    <t>TEMU 954078-8</t>
  </si>
  <si>
    <t>ONEU 943438-6</t>
  </si>
  <si>
    <t>GY623A</t>
  </si>
  <si>
    <t>MEDU 918219-3</t>
  </si>
  <si>
    <t>Sin fecha de desconexión</t>
  </si>
  <si>
    <t>BMOU 975277-8</t>
  </si>
  <si>
    <t>TTNU 882462-7</t>
  </si>
  <si>
    <t>ONEU 920736-1</t>
  </si>
  <si>
    <t>TTNU 886077-4</t>
  </si>
  <si>
    <t>HLBU 624994-7</t>
  </si>
  <si>
    <t>HLBU 968063-9</t>
  </si>
  <si>
    <t>MNBU 360283-3</t>
  </si>
  <si>
    <t>ONEU 900064-6</t>
  </si>
  <si>
    <t>TTNU 877108-6</t>
  </si>
  <si>
    <t>MNBU 421488-0</t>
  </si>
  <si>
    <t>MNBU 031071-4</t>
  </si>
  <si>
    <t>ONEU 904663-1</t>
  </si>
  <si>
    <t>MNBU 912633-3</t>
  </si>
  <si>
    <t>MNBU 395627-2</t>
  </si>
  <si>
    <t>ONEU 940128-0</t>
  </si>
  <si>
    <t>HLBU 608466-2</t>
  </si>
  <si>
    <t>OTPU 628991-0</t>
  </si>
  <si>
    <t>SEGU 917030-5</t>
  </si>
  <si>
    <t>FSCU 578783-4</t>
  </si>
  <si>
    <t>ONEU 945986-7</t>
  </si>
  <si>
    <t>MNBU 053056-0</t>
  </si>
  <si>
    <t>MNBU 385705-3</t>
  </si>
  <si>
    <t>SEGU 925460-1</t>
  </si>
  <si>
    <t>HLBU 965626-8</t>
  </si>
  <si>
    <t>628 S-629N</t>
  </si>
  <si>
    <t>MNBU 051000-8</t>
  </si>
  <si>
    <t>HLBU 961663-0</t>
  </si>
  <si>
    <t>HLBU 609680-6</t>
  </si>
  <si>
    <t>MNBU 378185-2</t>
  </si>
  <si>
    <t>GY624A</t>
  </si>
  <si>
    <t>CXRU 100911-6</t>
  </si>
  <si>
    <t>MSCU 744823-0</t>
  </si>
  <si>
    <t>MNBU 916439-6</t>
  </si>
  <si>
    <t>MNBU 911113-8</t>
  </si>
  <si>
    <t>MNBU 416181-4</t>
  </si>
  <si>
    <t>MNBU 366676-1</t>
  </si>
  <si>
    <t>HLBU 619566-6</t>
  </si>
  <si>
    <t>MNBU 064386-5</t>
  </si>
  <si>
    <t>HLBU 625449-7</t>
  </si>
  <si>
    <t>TTNU 874186-2</t>
  </si>
  <si>
    <t>MNBU 343970-5</t>
  </si>
  <si>
    <t>HLBU 991337-1</t>
  </si>
  <si>
    <t>HLBU 955538-6</t>
  </si>
  <si>
    <t>HLBU 961989-7</t>
  </si>
  <si>
    <t>BMOU 983289-4</t>
  </si>
  <si>
    <t>HLBU 977750-5</t>
  </si>
  <si>
    <t>MNBU 452208-0</t>
  </si>
  <si>
    <t>MNBU 038972-4</t>
  </si>
  <si>
    <t>MNBU 318616-6</t>
  </si>
  <si>
    <t>MNBU 417643-4</t>
  </si>
  <si>
    <t>MNBU 439741-4</t>
  </si>
  <si>
    <t>MNBU 036761-7</t>
  </si>
  <si>
    <t>HLBU 630131-0</t>
  </si>
  <si>
    <t>TTNU 882016-0</t>
  </si>
  <si>
    <t>HLBU 991775-7</t>
  </si>
  <si>
    <t>629 S-630 N</t>
  </si>
  <si>
    <t>MNBU 903520-7</t>
  </si>
  <si>
    <t>MNBU 376291-3</t>
  </si>
  <si>
    <t>MNBU 396333-2</t>
  </si>
  <si>
    <t>2624E -2624W</t>
  </si>
  <si>
    <t>SEGU 917575-5</t>
  </si>
  <si>
    <t>630S-631N</t>
  </si>
  <si>
    <t>MNBU408513-9</t>
  </si>
  <si>
    <t>MNBU 060000-9</t>
  </si>
  <si>
    <t>MNBU 366933-3</t>
  </si>
  <si>
    <t>631-632</t>
  </si>
  <si>
    <t>SUDU 820521-7</t>
  </si>
  <si>
    <t>MNBU 029438-3</t>
  </si>
  <si>
    <t>MNBU 423389-5</t>
  </si>
  <si>
    <t>2625E-2625W</t>
  </si>
  <si>
    <t>TRIU 889571-2</t>
  </si>
  <si>
    <t>MNBU 367385-8</t>
  </si>
  <si>
    <t>SZLU 954241-1</t>
  </si>
  <si>
    <t>HLBU 937548-7</t>
  </si>
  <si>
    <t>MCAU 603296-7</t>
  </si>
  <si>
    <t>MNBU 910571-0</t>
  </si>
  <si>
    <t>MNBU 046434-5</t>
  </si>
  <si>
    <t>MNBU 385664-8</t>
  </si>
  <si>
    <t>MMAU 119392-7</t>
  </si>
  <si>
    <t>629 E</t>
  </si>
  <si>
    <t>HLBU 946477-4</t>
  </si>
  <si>
    <t>MNBU 420731-9</t>
  </si>
  <si>
    <t>MNBU 413062-3</t>
  </si>
  <si>
    <t>MNBU 314188-1</t>
  </si>
  <si>
    <t>MNBU 457039-2</t>
  </si>
  <si>
    <t>MNBU 919128-3</t>
  </si>
  <si>
    <t>SUDU 801481-7</t>
  </si>
  <si>
    <t>MNBU 409173-8</t>
  </si>
  <si>
    <t>MNBU 391471-8</t>
  </si>
  <si>
    <t>MMAU 125310-0</t>
  </si>
  <si>
    <t>MNBU 412737-9</t>
  </si>
  <si>
    <t>MNBU 468262-2</t>
  </si>
  <si>
    <t>MNBU 456952-9</t>
  </si>
  <si>
    <t>MNBU 001780-9</t>
  </si>
  <si>
    <t>SUDU 810194-8</t>
  </si>
  <si>
    <t>SUDU 816131-4</t>
  </si>
  <si>
    <t>MNBU 348721-5</t>
  </si>
  <si>
    <t>MNBU 404461-2</t>
  </si>
  <si>
    <t>MNBU 421204-3</t>
  </si>
  <si>
    <t>CAIU 550292-9</t>
  </si>
  <si>
    <t>TTNU 844118-7</t>
  </si>
  <si>
    <t>MNBU 466206-1</t>
  </si>
  <si>
    <t>MNBU 010386-7</t>
  </si>
  <si>
    <t>SUDU 813092-5</t>
  </si>
  <si>
    <t>MMAU 121433-6</t>
  </si>
  <si>
    <t>MNBU 911499-1</t>
  </si>
  <si>
    <t>MNBU 359580-0</t>
  </si>
  <si>
    <t>MNBU 399743-5</t>
  </si>
  <si>
    <t>MNBU 054520-0</t>
  </si>
  <si>
    <t>MNBU 014498-0</t>
  </si>
  <si>
    <t>MMAU 104880-5</t>
  </si>
  <si>
    <t>MNBU 324358-5</t>
  </si>
  <si>
    <t>SUDU 808584-7</t>
  </si>
  <si>
    <t>MNBU 061431-6</t>
  </si>
  <si>
    <t>SUDU 822371-4</t>
  </si>
  <si>
    <t>MNBU 313094-8</t>
  </si>
  <si>
    <t>MNBU 909117-6</t>
  </si>
  <si>
    <t>MMAU 126348-0</t>
  </si>
  <si>
    <t>SZLU 500304-7</t>
  </si>
  <si>
    <t>MNBU 021064-9</t>
  </si>
  <si>
    <t>MNBU 409089-7</t>
  </si>
  <si>
    <t>MNBU 408876-0</t>
  </si>
  <si>
    <t>MNBU 378794-8</t>
  </si>
  <si>
    <t>MMAU 125855-0</t>
  </si>
  <si>
    <t>MNBU 901464-7</t>
  </si>
  <si>
    <t>MWCU 526353-5</t>
  </si>
  <si>
    <t>SUDU 604415-5</t>
  </si>
  <si>
    <t>MNBU 465620-1</t>
  </si>
  <si>
    <t>MMAU 121229-3</t>
  </si>
  <si>
    <t>MMAU 107286-4</t>
  </si>
  <si>
    <t>SUDU 625304-7</t>
  </si>
  <si>
    <t>MNBU 348790-9</t>
  </si>
  <si>
    <t>MMAU 118043-1</t>
  </si>
  <si>
    <t>MMAU115962-4</t>
  </si>
  <si>
    <t>MNBU 301610-7</t>
  </si>
  <si>
    <t>MNBU 445238-4</t>
  </si>
  <si>
    <t>MNBU 331006-6</t>
  </si>
  <si>
    <t>MNBU 352617-9</t>
  </si>
  <si>
    <t>MNBU 101560-5</t>
  </si>
  <si>
    <t>MNBU 328434-7</t>
  </si>
  <si>
    <t>MNBU 019424-0</t>
  </si>
  <si>
    <t>SUDU 821546-8</t>
  </si>
  <si>
    <t>MMAU 117798-9</t>
  </si>
  <si>
    <t>MMAU 138962-7</t>
  </si>
  <si>
    <t>MNBU 303209-4</t>
  </si>
  <si>
    <t>MMAU 118936-2</t>
  </si>
  <si>
    <t>MMAU 108362-1</t>
  </si>
  <si>
    <t>MNBU 347239-1</t>
  </si>
  <si>
    <t>MRFU 000292-4</t>
  </si>
  <si>
    <t>MNBU 455480-6</t>
  </si>
  <si>
    <t>MNBU 308617-2</t>
  </si>
  <si>
    <t>MNBU 048963-6</t>
  </si>
  <si>
    <t>MNBU 058506-0</t>
  </si>
  <si>
    <t>SUDU 604204-4</t>
  </si>
  <si>
    <t>MNBU 310171-8</t>
  </si>
  <si>
    <t>CNIU 223323-2</t>
  </si>
  <si>
    <t>MNBU 014004-8</t>
  </si>
  <si>
    <t>MNBU 405867-9</t>
  </si>
  <si>
    <t>MNBU 373152-7</t>
  </si>
  <si>
    <t>SUDU 809944-0</t>
  </si>
  <si>
    <t>MNBU 382769-7</t>
  </si>
  <si>
    <t>MNBU 020033-7</t>
  </si>
  <si>
    <t>SUDU 811125-2</t>
  </si>
  <si>
    <t>MNBU435700-5</t>
  </si>
  <si>
    <t>MNBU444357-2</t>
  </si>
  <si>
    <t>TTNU 874441-3</t>
  </si>
  <si>
    <t>SZLU 952727-4</t>
  </si>
  <si>
    <t>ONEU 917048-9</t>
  </si>
  <si>
    <t>GY 626A</t>
  </si>
  <si>
    <t>SZLU 911363-3</t>
  </si>
  <si>
    <t>MNBU357732-4</t>
  </si>
  <si>
    <t>HLBU 908502-4</t>
  </si>
  <si>
    <t>HLBU 609752-5</t>
  </si>
  <si>
    <t>HLBU 978080-7</t>
  </si>
  <si>
    <t>HLBU 970877-8</t>
  </si>
  <si>
    <t>HLBU 620076-2</t>
  </si>
  <si>
    <t>ONEU 918709-6</t>
  </si>
  <si>
    <t>TTNU 844650-6</t>
  </si>
  <si>
    <t>GY627A</t>
  </si>
  <si>
    <t>FSCU 577825-7</t>
  </si>
  <si>
    <t>TEMU 956871-7</t>
  </si>
  <si>
    <t>TTNU 861164-2</t>
  </si>
  <si>
    <t>SEGU 998704-4</t>
  </si>
  <si>
    <t>MNBU336310-6</t>
  </si>
  <si>
    <t>MNBU380774-6</t>
  </si>
  <si>
    <t>MNBU60442-6</t>
  </si>
  <si>
    <t>MNBU579370</t>
  </si>
  <si>
    <t>MNBU426634-8</t>
  </si>
  <si>
    <t>MNBU302984-5</t>
  </si>
  <si>
    <t>MNBU392434-1</t>
  </si>
  <si>
    <t>MNBU908351-9</t>
  </si>
  <si>
    <t>MNBU361454-1</t>
  </si>
  <si>
    <t>SUDU625288-4</t>
  </si>
  <si>
    <t>MNBU304644-1</t>
  </si>
  <si>
    <t>MNBU457371-9</t>
  </si>
  <si>
    <t>MNBU457380-6</t>
  </si>
  <si>
    <t>MNBU456685-4</t>
  </si>
  <si>
    <t>MMAU1254600</t>
  </si>
  <si>
    <t>MNBU334937-1</t>
  </si>
  <si>
    <t>MNBU21662-6</t>
  </si>
  <si>
    <t>MNBU54713-6</t>
  </si>
  <si>
    <t>MNBU9055380</t>
  </si>
  <si>
    <t>MNBU345864-4</t>
  </si>
  <si>
    <t>MNBU914000-7</t>
  </si>
  <si>
    <t>MNBU357887-1</t>
  </si>
  <si>
    <t>MNBU127880</t>
  </si>
  <si>
    <t>MNBU341728-6</t>
  </si>
  <si>
    <t>MNBU67543-5</t>
  </si>
  <si>
    <t>MMAU104904-1</t>
  </si>
  <si>
    <t>MMAU113937-7</t>
  </si>
  <si>
    <t>MNBU58296-5</t>
  </si>
  <si>
    <t>SUDU811826-2</t>
  </si>
  <si>
    <t>MNBU9048930</t>
  </si>
  <si>
    <t>MNBU468892-9</t>
  </si>
  <si>
    <t>MNBU447146-6</t>
  </si>
  <si>
    <t>MNBU377581-8</t>
  </si>
  <si>
    <t>SUDU6278600</t>
  </si>
  <si>
    <t>MMAU142785-6</t>
  </si>
  <si>
    <t>MNBU913419-6</t>
  </si>
  <si>
    <t>MNBU321216-2</t>
  </si>
  <si>
    <t>MNBU4289620</t>
  </si>
  <si>
    <t>MNBU417268-1</t>
  </si>
  <si>
    <t>MNBU339052-3</t>
  </si>
  <si>
    <t>MNBU902037-8</t>
  </si>
  <si>
    <t>MMAU116216-6</t>
  </si>
  <si>
    <t>MMAU124749-5</t>
  </si>
  <si>
    <t>MNBU467766-8</t>
  </si>
  <si>
    <t>MNBU373585-7</t>
  </si>
  <si>
    <t>MNBU10695-3</t>
  </si>
  <si>
    <t>MNBU444773-1</t>
  </si>
  <si>
    <t>MNBU3791830</t>
  </si>
  <si>
    <t>MNBU17705-2</t>
  </si>
  <si>
    <t>SZLU5005040</t>
  </si>
  <si>
    <t>MNBU9169130</t>
  </si>
  <si>
    <t>SUDU8099650</t>
  </si>
  <si>
    <t>MNBU333711-2</t>
  </si>
  <si>
    <t>MNBU3588720</t>
  </si>
  <si>
    <t>MNBU459740-7</t>
  </si>
  <si>
    <t>MNBU913249-1</t>
  </si>
  <si>
    <t>MNBU19119-5</t>
  </si>
  <si>
    <t>MNBU4192-9</t>
  </si>
  <si>
    <t>MNBU9105520</t>
  </si>
  <si>
    <t>MNBU321426-8</t>
  </si>
  <si>
    <t>MMAU116340-8</t>
  </si>
  <si>
    <t>MNBU920680-3</t>
  </si>
  <si>
    <t>MEDU 975231-5</t>
  </si>
  <si>
    <t>MNBU3024870</t>
  </si>
  <si>
    <t>MNBU3520720</t>
  </si>
  <si>
    <t>MNBU386413-4</t>
  </si>
  <si>
    <t>TLLU115019-3</t>
  </si>
  <si>
    <t>MNBU369433-6</t>
  </si>
  <si>
    <t>633-634</t>
  </si>
  <si>
    <t>MMAU 127901-8</t>
  </si>
  <si>
    <t>MNBU382093-8</t>
  </si>
  <si>
    <t>MMAU118800-5</t>
  </si>
  <si>
    <t>MNBU357449-6</t>
  </si>
  <si>
    <t>MMAU121292-4</t>
  </si>
  <si>
    <t>MNBU341657-2</t>
  </si>
  <si>
    <t>SUDU814353-7</t>
  </si>
  <si>
    <t>SUDU920077-6</t>
  </si>
  <si>
    <t>SUDU823046-2</t>
  </si>
  <si>
    <t>MNBU443367-7</t>
  </si>
  <si>
    <t>MNBU354384-9</t>
  </si>
  <si>
    <t>MNBU302490-4</t>
  </si>
  <si>
    <t>SUDU821108-2</t>
  </si>
  <si>
    <t>SUDU813779-2</t>
  </si>
  <si>
    <t>MMAU125052-3</t>
  </si>
  <si>
    <t>MNBU393722-5</t>
  </si>
  <si>
    <t>MNBU3761780</t>
  </si>
  <si>
    <t>SUDU8219340</t>
  </si>
  <si>
    <t>MNBU4488200</t>
  </si>
  <si>
    <t>MNBU914874-9</t>
  </si>
  <si>
    <t>MNBU455201-7</t>
  </si>
  <si>
    <t>SUDU817545-2</t>
  </si>
  <si>
    <t>SUDU613699-2</t>
  </si>
  <si>
    <t>MNBU360598-2</t>
  </si>
  <si>
    <t>MNBU40442-8</t>
  </si>
  <si>
    <t>MNBU439084-7</t>
  </si>
  <si>
    <t>MNBU448996-9</t>
  </si>
  <si>
    <t>MNBU333500-1</t>
  </si>
  <si>
    <t>MNBU17500-2</t>
  </si>
  <si>
    <t>MMAU107834-8</t>
  </si>
  <si>
    <t>MNBU919469-9</t>
  </si>
  <si>
    <t>MNBU920132-9</t>
  </si>
  <si>
    <t>MNBU387723-4</t>
  </si>
  <si>
    <t>MNBU918670-7</t>
  </si>
  <si>
    <t>MNBU467910-4</t>
  </si>
  <si>
    <t>MNBU3541960</t>
  </si>
  <si>
    <t>MNBU22082-1</t>
  </si>
  <si>
    <t>MMAU104016-8</t>
  </si>
  <si>
    <t>MMAU117767-5</t>
  </si>
  <si>
    <t>MNBU441073-2</t>
  </si>
  <si>
    <t>TLLU116561-3</t>
  </si>
  <si>
    <t>MNBU441161-5</t>
  </si>
  <si>
    <t>MNBU39790-4</t>
  </si>
  <si>
    <t>MNBU903066-9</t>
  </si>
  <si>
    <t>MNBU915955-3</t>
  </si>
  <si>
    <t>MNBU386014-4</t>
  </si>
  <si>
    <t>TEMU9787130</t>
  </si>
  <si>
    <t>MMAU1255910</t>
  </si>
  <si>
    <t>MNBU27989-8</t>
  </si>
  <si>
    <t>MNBU908983-6</t>
  </si>
  <si>
    <t>MNBU297000</t>
  </si>
  <si>
    <t>MNBU30745-4</t>
  </si>
  <si>
    <t>TLLU122690-9</t>
  </si>
  <si>
    <t>MNBU478800</t>
  </si>
  <si>
    <t>MNBU454941-4</t>
  </si>
  <si>
    <t>MNBU435454-1</t>
  </si>
  <si>
    <t>MNBU43493-1</t>
  </si>
  <si>
    <t>MNBU455700-3</t>
  </si>
  <si>
    <t>MNBU411065-3</t>
  </si>
  <si>
    <t>MMAU102224-6</t>
  </si>
  <si>
    <t>MNBU60411-2</t>
  </si>
  <si>
    <t>MNBU406925-1</t>
  </si>
  <si>
    <t>MMAU123040-3</t>
  </si>
  <si>
    <t>MNBU229670</t>
  </si>
  <si>
    <t>MNBU465917-6</t>
  </si>
  <si>
    <t>MNBU440653-7</t>
  </si>
  <si>
    <t>SUDU610548-2</t>
  </si>
  <si>
    <t>MNBU363087-7</t>
  </si>
  <si>
    <t>SUDU624944-8</t>
  </si>
  <si>
    <t>MNBU358158-2</t>
  </si>
  <si>
    <t>MNBU346407-7</t>
  </si>
  <si>
    <t>MNBU4663330</t>
  </si>
  <si>
    <t>MNBU4310570</t>
  </si>
  <si>
    <t>MNBU346185-9</t>
  </si>
  <si>
    <t>MNBU385978-1</t>
  </si>
  <si>
    <t>MNBU398723-1</t>
  </si>
  <si>
    <t>MNBU347916-4</t>
  </si>
  <si>
    <t>TEMU978795-2</t>
  </si>
  <si>
    <t>MNBU466871-1</t>
  </si>
  <si>
    <t>MNBU33109-1</t>
  </si>
  <si>
    <t>MNBU366172-8</t>
  </si>
  <si>
    <t>MNBU394794-3</t>
  </si>
  <si>
    <t>MNBU11685-9</t>
  </si>
  <si>
    <t>MNBU365133-4</t>
  </si>
  <si>
    <t>MNBU409075-2</t>
  </si>
  <si>
    <t>MMAU103872-5</t>
  </si>
  <si>
    <t>MNBU432494-8</t>
  </si>
  <si>
    <t>SUDU625136-3</t>
  </si>
  <si>
    <t>MNBU315830</t>
  </si>
  <si>
    <t>MNBU351020</t>
  </si>
  <si>
    <t>MNBU3959570</t>
  </si>
  <si>
    <t>MMAU104607-9</t>
  </si>
  <si>
    <t>MNBU3889180</t>
  </si>
  <si>
    <t>MNBU426726-2</t>
  </si>
  <si>
    <t>MNBU3618640</t>
  </si>
  <si>
    <t>MNBU904719-4</t>
  </si>
  <si>
    <t>MNBU356625-3</t>
  </si>
  <si>
    <t>MNBU422138-5</t>
  </si>
  <si>
    <t>MNBU3181740</t>
  </si>
  <si>
    <t>MMAU111986-9</t>
  </si>
  <si>
    <t>MNBU398429-5</t>
  </si>
  <si>
    <t>MNBU3525450</t>
  </si>
  <si>
    <t>MNBU4373120</t>
  </si>
  <si>
    <t>DAYU 671889-0</t>
  </si>
  <si>
    <t>MNBU10740-9</t>
  </si>
  <si>
    <t>MNBU28445-1</t>
  </si>
  <si>
    <t>MNBU632330</t>
  </si>
  <si>
    <t>MNBU3201430</t>
  </si>
  <si>
    <t>MNBU3203690</t>
  </si>
  <si>
    <t>MNBU351314-5</t>
  </si>
  <si>
    <t>MNBU376115-7</t>
  </si>
  <si>
    <t>MNBU392969-9</t>
  </si>
  <si>
    <t>MNBU414846-9</t>
  </si>
  <si>
    <t>MNBU443587-5</t>
  </si>
  <si>
    <t>SUDU814818-5</t>
  </si>
  <si>
    <t>MNBU9018030</t>
  </si>
  <si>
    <t>SUDU819683-5</t>
  </si>
  <si>
    <t>MNBU920413-8</t>
  </si>
  <si>
    <t>HLBU 951411-3</t>
  </si>
  <si>
    <t>HLBU 992856-1</t>
  </si>
  <si>
    <t>TTNU 881265-2</t>
  </si>
  <si>
    <t>SZLU 955465-0</t>
  </si>
  <si>
    <t>IKSU 252262-9</t>
  </si>
  <si>
    <t>HLBU 976062-6</t>
  </si>
  <si>
    <t>CAAU 407183-0</t>
  </si>
  <si>
    <t>HLBU 948120-0</t>
  </si>
  <si>
    <t>HLBU 952310-0</t>
  </si>
  <si>
    <t>MMAU 126745-0</t>
  </si>
  <si>
    <t>MNBU 360474-9</t>
  </si>
  <si>
    <t>MNBU 920835-0</t>
  </si>
  <si>
    <t>MNBU 904930-3</t>
  </si>
  <si>
    <t>MNBU 394064-0</t>
  </si>
  <si>
    <t>SZLU 916899-7</t>
  </si>
  <si>
    <t>2626</t>
  </si>
  <si>
    <t>SZLU 923822-4</t>
  </si>
  <si>
    <t>SZLU 916980-1</t>
  </si>
  <si>
    <t>ONEU 929755-5</t>
  </si>
  <si>
    <t>UACU 473407-8</t>
  </si>
  <si>
    <t>HLBU 623593-8</t>
  </si>
  <si>
    <t>BMOU 927927-0</t>
  </si>
  <si>
    <t>SZLU 923207-8</t>
  </si>
  <si>
    <t>631 S</t>
  </si>
  <si>
    <t>HXLU 375051-0</t>
  </si>
  <si>
    <t>HLBU 986536-0</t>
  </si>
  <si>
    <t>HLBU 957084-2</t>
  </si>
  <si>
    <t>UACU 479769-3</t>
  </si>
  <si>
    <t>HLBU 620102-8</t>
  </si>
  <si>
    <t>HLBU 973590-0</t>
  </si>
  <si>
    <t>MNBU 453343-9</t>
  </si>
  <si>
    <t>MNBU 372026-6</t>
  </si>
  <si>
    <t>MNBU 434970-9</t>
  </si>
  <si>
    <t>TRIU 887343-6</t>
  </si>
  <si>
    <t>KKFU 676051-8</t>
  </si>
  <si>
    <t>SEGU 990150-2</t>
  </si>
  <si>
    <t>MNBU 357660-5</t>
  </si>
  <si>
    <t>MNBU 415590-9</t>
  </si>
  <si>
    <t>SZLU 504315-8</t>
  </si>
  <si>
    <t>SZLU 971203-5</t>
  </si>
  <si>
    <t>SUDU 802841-0</t>
  </si>
  <si>
    <t>SUDU 813734-4</t>
  </si>
  <si>
    <t>MNBU 917095-3</t>
  </si>
  <si>
    <t>MNBU 047681-3</t>
  </si>
  <si>
    <t>MNBU 396358-5</t>
  </si>
  <si>
    <t>SUDU 809907-5</t>
  </si>
  <si>
    <t>SUDU 813543-9</t>
  </si>
  <si>
    <t>MNBU 010607-0</t>
  </si>
  <si>
    <t>TTNU 875661-0</t>
  </si>
  <si>
    <t>MNBU 369744-3</t>
  </si>
  <si>
    <t>MNBU 417385-7</t>
  </si>
  <si>
    <t>SUDU 617073-9</t>
  </si>
  <si>
    <t>MNBU 309669-5</t>
  </si>
  <si>
    <t>MNBU 454574-3</t>
  </si>
  <si>
    <t>SUDU 610677-1</t>
  </si>
  <si>
    <t>632-633</t>
  </si>
  <si>
    <t>MNBU 394331-5</t>
  </si>
  <si>
    <t>MNBU 422660-1</t>
  </si>
  <si>
    <t>MNBU 445455-6</t>
  </si>
  <si>
    <t>TEMU 978673-0</t>
  </si>
  <si>
    <t>MNBU 042848-2</t>
  </si>
  <si>
    <t>MNBU 063575-1</t>
  </si>
  <si>
    <t>MNBU 347094-8</t>
  </si>
  <si>
    <t>SUDU 623102-7</t>
  </si>
  <si>
    <t>MNBU 059843-1</t>
  </si>
  <si>
    <t>MNBU 437001-2</t>
  </si>
  <si>
    <t>MNBU 062973-8</t>
  </si>
  <si>
    <t>SUDU 807173-5</t>
  </si>
  <si>
    <t>MNBU 026518-0</t>
  </si>
  <si>
    <t>MMAU 124694-5</t>
  </si>
  <si>
    <t>MNBU 438756-6</t>
  </si>
  <si>
    <t>MNBU 422581-6</t>
  </si>
  <si>
    <t>MNBU 416300-0</t>
  </si>
  <si>
    <t>MNBU 300695-8</t>
  </si>
  <si>
    <t>MNBU 064923-0</t>
  </si>
  <si>
    <t>MMAU 119156-5</t>
  </si>
  <si>
    <t>MNBU 319673-4</t>
  </si>
  <si>
    <t>TTNU 875709-3</t>
  </si>
  <si>
    <t>MNBU 102176-3</t>
  </si>
  <si>
    <t>MNBU 303297-8</t>
  </si>
  <si>
    <t>MNBU 414755-0</t>
  </si>
  <si>
    <t>MNBU 388288-4</t>
  </si>
  <si>
    <t>MNBU 432701-6</t>
  </si>
  <si>
    <t>MNBU 442866-5</t>
  </si>
  <si>
    <t>MNBU 392768-0</t>
  </si>
  <si>
    <t>MNBU 409717-1</t>
  </si>
  <si>
    <t>SUDU 622865-6</t>
  </si>
  <si>
    <t>MNBU 456700-1</t>
  </si>
  <si>
    <t>MNBU 905503-4</t>
  </si>
  <si>
    <t>MMAU 112836-7</t>
  </si>
  <si>
    <t>MNBU 447115-2</t>
  </si>
  <si>
    <t>MNBU 915174-2</t>
  </si>
  <si>
    <t>SUDU 812315-0</t>
  </si>
  <si>
    <t>MNBU 308098-1</t>
  </si>
  <si>
    <t>MNBU 356387-1</t>
  </si>
  <si>
    <t>MNBU 443404-0</t>
  </si>
  <si>
    <t>MNBU 461131-5</t>
  </si>
  <si>
    <t>MNBU 323052-5</t>
  </si>
  <si>
    <t>MMAU 104696-8</t>
  </si>
  <si>
    <t>MNBU 046457-7</t>
  </si>
  <si>
    <t>MNBU 383054-0</t>
  </si>
  <si>
    <t>MWCU 527196-8</t>
  </si>
  <si>
    <t>MNBU 386919-9</t>
  </si>
  <si>
    <t>MWCU 530542-0</t>
  </si>
  <si>
    <t>MNBU 466200-9</t>
  </si>
  <si>
    <t>MNBU 410098-0</t>
  </si>
  <si>
    <t>MNBU 057581-6</t>
  </si>
  <si>
    <t>MNBU 379501-2</t>
  </si>
  <si>
    <t>MNBU 396277-9</t>
  </si>
  <si>
    <t>MNBU 459610-2</t>
  </si>
  <si>
    <t>SUDU 820900-1</t>
  </si>
  <si>
    <t>MNBU 439184-3</t>
  </si>
  <si>
    <t>MNBU 366386-5</t>
  </si>
  <si>
    <t>MNBU 399742-0</t>
  </si>
  <si>
    <t>MNBU 462419-0</t>
  </si>
  <si>
    <t>MNBU 456667-0</t>
  </si>
  <si>
    <t>MNBU 369728-0</t>
  </si>
  <si>
    <t>MNBU 064573-9</t>
  </si>
  <si>
    <t>MNBU 333378-1</t>
  </si>
  <si>
    <t>SUDU 615416-8</t>
  </si>
  <si>
    <t>MWCU 531979-0</t>
  </si>
  <si>
    <t>MNBU 394610-3</t>
  </si>
  <si>
    <t>MNBU 919307-5</t>
  </si>
  <si>
    <t>MNBU 338756-1</t>
  </si>
  <si>
    <t>MNBU 406881-0</t>
  </si>
  <si>
    <t>MNBU 917060-8</t>
  </si>
  <si>
    <t>TLLU 118667-9</t>
  </si>
  <si>
    <t>MNBU 911619-2</t>
  </si>
  <si>
    <t>MNBU 434360-8</t>
  </si>
  <si>
    <t>TLLU 116740-5</t>
  </si>
  <si>
    <t>MNBU 041606-0</t>
  </si>
  <si>
    <t>MNBU 370732-5</t>
  </si>
  <si>
    <t>MNBU 447450-5</t>
  </si>
  <si>
    <t>MNBU 919670-5</t>
  </si>
  <si>
    <t>MNBU 420466-5</t>
  </si>
  <si>
    <t>MNBU 414374-4</t>
  </si>
  <si>
    <t>MNBU 468305-9</t>
  </si>
  <si>
    <t>MNBU 399663-4</t>
  </si>
  <si>
    <t>MNBU 430643-5</t>
  </si>
  <si>
    <t>TLLU 122296-6</t>
  </si>
  <si>
    <t>MNBU 441044-0</t>
  </si>
  <si>
    <t>MNBU 420998-6</t>
  </si>
  <si>
    <t>MNBU 449628-0</t>
  </si>
  <si>
    <t>MNBU 430672-8</t>
  </si>
  <si>
    <t>MNBU 412038-0</t>
  </si>
  <si>
    <t>SUDU 620901-8</t>
  </si>
  <si>
    <t>MNBU 319766-4</t>
  </si>
  <si>
    <t>MNBU 446449-3</t>
  </si>
  <si>
    <t>MNBU 434207-3</t>
  </si>
  <si>
    <t>MNBU 302522-2</t>
  </si>
  <si>
    <t>MNBU 383105-9</t>
  </si>
  <si>
    <t>MNBU 912932-7</t>
  </si>
  <si>
    <t>MNBU 324367-2</t>
  </si>
  <si>
    <t>MNBU 397024-4</t>
  </si>
  <si>
    <t>TEMU 978412-5</t>
  </si>
  <si>
    <t>MNBU 444497-0</t>
  </si>
  <si>
    <t>MNBU 062240-9</t>
  </si>
  <si>
    <t>MNBU 452854-0</t>
  </si>
  <si>
    <t>MNBU 913662-4</t>
  </si>
  <si>
    <t>MNBU 456115-3</t>
  </si>
  <si>
    <t>MMAU 115903-3</t>
  </si>
  <si>
    <t>MNBU 064461-9</t>
  </si>
  <si>
    <t>MNBU 447014-0</t>
  </si>
  <si>
    <t>TLLU 120150-0</t>
  </si>
  <si>
    <t>MNBU 057338-8</t>
  </si>
  <si>
    <t>MNBU 411570-0</t>
  </si>
  <si>
    <t>MNBU 468244-8</t>
  </si>
  <si>
    <t>SUDU 800670-3</t>
  </si>
  <si>
    <t>MNBU 908449-6</t>
  </si>
  <si>
    <t>MNBU 015196-8</t>
  </si>
  <si>
    <t>TTLU 116805-8</t>
  </si>
  <si>
    <t>MNBU 325947-3</t>
  </si>
  <si>
    <t>MNBU 030208-8</t>
  </si>
  <si>
    <t>MNBU 456128-2</t>
  </si>
  <si>
    <t>SUDU 623230-0</t>
  </si>
  <si>
    <t>MNBU 462071-8</t>
  </si>
  <si>
    <t>MSGU 905537-1</t>
  </si>
  <si>
    <t>MNBU 466281-6</t>
  </si>
  <si>
    <t>MNBU 459791-6</t>
  </si>
  <si>
    <t>MNBU 919692-1</t>
  </si>
  <si>
    <t>MNBU 452454-5</t>
  </si>
  <si>
    <t>MNBU 447502-9</t>
  </si>
  <si>
    <t>MNBU 456932-3</t>
  </si>
  <si>
    <t>MNBU 466075-2</t>
  </si>
  <si>
    <t>MNBU 466466-0</t>
  </si>
  <si>
    <t>MNBU 337495-0</t>
  </si>
  <si>
    <t>MNBU 050856-7</t>
  </si>
  <si>
    <t>TLLU 117371-1</t>
  </si>
  <si>
    <t>MNBU 424478-1</t>
  </si>
  <si>
    <t>MNBU 407826-9</t>
  </si>
  <si>
    <t>MNBU 464473-0</t>
  </si>
  <si>
    <t>MNBU 429901-7</t>
  </si>
  <si>
    <t>SUDU 822107-5</t>
  </si>
  <si>
    <t>MNBU 370936-0</t>
  </si>
  <si>
    <t>MNBU 010710-0</t>
  </si>
  <si>
    <t>MNBU 397381-3</t>
  </si>
  <si>
    <t>SUDU 821978-2</t>
  </si>
  <si>
    <t>SUDU 623205-0</t>
  </si>
  <si>
    <t>MNBU 006292-1</t>
  </si>
  <si>
    <t>MNBU 407938-9</t>
  </si>
  <si>
    <t>MNBU 463465-0</t>
  </si>
  <si>
    <t>MNBU 401400-6</t>
  </si>
  <si>
    <t>MNBU 435841-8</t>
  </si>
  <si>
    <t>MNBU 906732-8</t>
  </si>
  <si>
    <t>MNBU 464352-3</t>
  </si>
  <si>
    <t>MNBU 466081-3</t>
  </si>
  <si>
    <t>MNBU 416553-2</t>
  </si>
  <si>
    <t>MNBU 412354-2</t>
  </si>
  <si>
    <t>MNBU 063698-0</t>
  </si>
  <si>
    <t>MNBU 408895-0</t>
  </si>
  <si>
    <t>MNBU 304599-6</t>
  </si>
  <si>
    <t>MNBU 450896-6</t>
  </si>
  <si>
    <t>SUDU 812052-6</t>
  </si>
  <si>
    <t>MNBU 362140-6</t>
  </si>
  <si>
    <t>MNBU 457754-5</t>
  </si>
  <si>
    <t>MNBU 359776-3</t>
  </si>
  <si>
    <t>MNBU 401738-7</t>
  </si>
  <si>
    <t>MNBU 448588-1</t>
  </si>
  <si>
    <t>SUDU 930208-4</t>
  </si>
  <si>
    <t>MNBU 343960-2</t>
  </si>
  <si>
    <t>MNBU 465654-1</t>
  </si>
  <si>
    <t>MNBU 306874-9</t>
  </si>
  <si>
    <t>TEMU 975289-5</t>
  </si>
  <si>
    <t>SUDU 803399-3</t>
  </si>
  <si>
    <t>MNBU 460785-0</t>
  </si>
  <si>
    <t>TEMU 978625-7</t>
  </si>
  <si>
    <t>MNBU 912394-6</t>
  </si>
  <si>
    <t>SUDU 807321-3</t>
  </si>
  <si>
    <t>MNBU 914302-7</t>
  </si>
  <si>
    <t>CNIU 223091-1</t>
  </si>
  <si>
    <t>MNBU 915584-0</t>
  </si>
  <si>
    <t>MNBU 421262-9</t>
  </si>
  <si>
    <t>MNBU 429710-1</t>
  </si>
  <si>
    <t>MMAU 115003-6</t>
  </si>
  <si>
    <t>MNBU 449149-9</t>
  </si>
  <si>
    <t>MNBU 034044-7</t>
  </si>
  <si>
    <t>MNBU 447270-8</t>
  </si>
  <si>
    <t>MNBU 906324-0</t>
  </si>
  <si>
    <t>MNBU 462730-6</t>
  </si>
  <si>
    <t>MNBU 413028-5</t>
  </si>
  <si>
    <t>MNBU 384319-4</t>
  </si>
  <si>
    <t>MNBU 909119-7</t>
  </si>
  <si>
    <t>MMAU 127614-8</t>
  </si>
  <si>
    <t>MNBU 303709-6</t>
  </si>
  <si>
    <t>MNBU 356454-3</t>
  </si>
  <si>
    <t>MNBU 302841-1</t>
  </si>
  <si>
    <t>MNBU 387142-6</t>
  </si>
  <si>
    <t>MNBU 920711-6</t>
  </si>
  <si>
    <t>MNBU 038601-0</t>
  </si>
  <si>
    <t>MNBU 055790-0</t>
  </si>
  <si>
    <t>MNBU 033354-0</t>
  </si>
  <si>
    <t>MNBU 006472-9</t>
  </si>
  <si>
    <t>MNBU 321290-1</t>
  </si>
  <si>
    <t>MNBU 387519-1</t>
  </si>
  <si>
    <t>TEMU 925666-3</t>
  </si>
  <si>
    <t>MNBU 362469-0</t>
  </si>
  <si>
    <t>MNBU 332839-0</t>
  </si>
  <si>
    <t>MNBU 014592-3</t>
  </si>
  <si>
    <t>SUDU 809528-0</t>
  </si>
  <si>
    <t>MNBU 060729-8</t>
  </si>
  <si>
    <t>MNBU 409297-1</t>
  </si>
  <si>
    <t>MNBU 409561-0</t>
  </si>
  <si>
    <t>MNBU 316903-0</t>
  </si>
  <si>
    <t>MMAU 100533-6</t>
  </si>
  <si>
    <t>SUDU 610379-3</t>
  </si>
  <si>
    <t>MMAU 124241-0</t>
  </si>
  <si>
    <t>MNBU 453648-5</t>
  </si>
  <si>
    <t>SUDU 800544-0</t>
  </si>
  <si>
    <t>SUDU 618370-0</t>
  </si>
  <si>
    <t>TLLU 119817-6</t>
  </si>
  <si>
    <t>MNBU 454301-5</t>
  </si>
  <si>
    <t>MNBU 011319-2</t>
  </si>
  <si>
    <t>TLLU 120244-5</t>
  </si>
  <si>
    <t>MNBU 382733-6</t>
  </si>
  <si>
    <t>MNBU 460477-0</t>
  </si>
  <si>
    <t>MNBU 320913-2</t>
  </si>
  <si>
    <t>MNBU 325129-8</t>
  </si>
  <si>
    <t>MNBU 918764-2</t>
  </si>
  <si>
    <t>MNBU 330756-6</t>
  </si>
  <si>
    <t>CNIU 223596-0</t>
  </si>
  <si>
    <t>MNBU 906110-3</t>
  </si>
  <si>
    <t>MNBU 367377-6</t>
  </si>
  <si>
    <t>MNBU 350058-0</t>
  </si>
  <si>
    <t>MNBU 445641-4</t>
  </si>
  <si>
    <t>MMAU 122395-5</t>
  </si>
  <si>
    <t>MNBU 918348-3</t>
  </si>
  <si>
    <t>MNBU 338209-2</t>
  </si>
  <si>
    <t>MNBU 363422-9</t>
  </si>
  <si>
    <t>SUDU 618163-0</t>
  </si>
  <si>
    <t>SUDU 803934-8</t>
  </si>
  <si>
    <t>MNBU 914632-4</t>
  </si>
  <si>
    <t>SUDU 624741-9</t>
  </si>
  <si>
    <t>SZLU 500565-1</t>
  </si>
  <si>
    <t>MNBU 433116-6</t>
  </si>
  <si>
    <t>TCLU 127116-0</t>
  </si>
  <si>
    <t>TTNU 829398-4</t>
  </si>
  <si>
    <t>HLBU 935522-2</t>
  </si>
  <si>
    <t>HLBU 957744-6</t>
  </si>
  <si>
    <t>MMAU 114668-0</t>
  </si>
  <si>
    <t>GY628A</t>
  </si>
  <si>
    <t>MSDU 962162-6</t>
  </si>
  <si>
    <t>MNBU 446946-9</t>
  </si>
  <si>
    <t>144</t>
  </si>
  <si>
    <t>FBIU 536617-7</t>
  </si>
  <si>
    <t>2627</t>
  </si>
  <si>
    <t>BMOU 987071-8</t>
  </si>
  <si>
    <t>MNBU 351855-3</t>
  </si>
  <si>
    <t>ONEU 913620-5</t>
  </si>
  <si>
    <t>TTNU 873824-1</t>
  </si>
  <si>
    <t>HLBU 988271-1</t>
  </si>
  <si>
    <t>HLBU 600927-3</t>
  </si>
  <si>
    <t>MNBU 304865-5</t>
  </si>
  <si>
    <t>HLBU 954767-3</t>
  </si>
  <si>
    <t>MORU 131630-4</t>
  </si>
  <si>
    <t>HLBU 986221-1</t>
  </si>
  <si>
    <t>HLBU 617020-4</t>
  </si>
  <si>
    <t>TTNU 841364-7</t>
  </si>
  <si>
    <t>MNBU 417045-7</t>
  </si>
  <si>
    <t>OTPU 604779-4</t>
  </si>
  <si>
    <t>SZLU 954201-0</t>
  </si>
  <si>
    <t>OTPU 604365-4</t>
  </si>
  <si>
    <t>OTPU 190178-7</t>
  </si>
  <si>
    <t>OTPU 604273-0</t>
  </si>
  <si>
    <t>MWCU 521229-2</t>
  </si>
  <si>
    <t>MNBU 031929-1</t>
  </si>
  <si>
    <t>MNBU 064199-1</t>
  </si>
  <si>
    <t>MNBU 018900-6</t>
  </si>
  <si>
    <t>OTPU 628632-0</t>
  </si>
  <si>
    <t>SEGU 918584-0</t>
  </si>
  <si>
    <t>KKFU 675922-4</t>
  </si>
  <si>
    <t>TTNU 860892-6</t>
  </si>
  <si>
    <t>OTPU 624183-4</t>
  </si>
  <si>
    <t>MSDU 983823-1</t>
  </si>
  <si>
    <t>TEMU 957191-6</t>
  </si>
  <si>
    <t>SZLU 923800-8</t>
  </si>
  <si>
    <t>TLLU 106161-9</t>
  </si>
  <si>
    <t>FSCU 575073-2</t>
  </si>
  <si>
    <t>TTNU 847840-0</t>
  </si>
  <si>
    <t>BMOU 985854-3</t>
  </si>
  <si>
    <t>MNBU 427483-1</t>
  </si>
  <si>
    <t>MNBU 065311-7</t>
  </si>
  <si>
    <t>TTNU 860987-7</t>
  </si>
  <si>
    <t>TEMU 954136-2</t>
  </si>
  <si>
    <t>ONEU 915480-5</t>
  </si>
  <si>
    <t>CAAU 402688-8</t>
  </si>
  <si>
    <t>KKFU 674552-9</t>
  </si>
  <si>
    <t>SZLU 971188-8</t>
  </si>
  <si>
    <t>MNBU 424123-1</t>
  </si>
  <si>
    <t>MNBU 347613-9</t>
  </si>
  <si>
    <t>MNBU 374804-7</t>
  </si>
  <si>
    <t>MRFU 000934-3</t>
  </si>
  <si>
    <t>OTPU 644838-0</t>
  </si>
  <si>
    <t>MNBU 370806-5</t>
  </si>
  <si>
    <t>MNBU 394520-0</t>
  </si>
  <si>
    <t>MNBU 442931-6</t>
  </si>
  <si>
    <t>MNBU 350150-3</t>
  </si>
  <si>
    <t>MNBU 309041-8</t>
  </si>
  <si>
    <t>MNBU 059636-2</t>
  </si>
  <si>
    <t>MNBU 373437-8</t>
  </si>
  <si>
    <t>2628EW</t>
  </si>
  <si>
    <t>HLBU 931765-0</t>
  </si>
  <si>
    <t>HLBU 948867-3</t>
  </si>
  <si>
    <t>HLBU 991439-9</t>
  </si>
  <si>
    <t>HLBU 982846-0</t>
  </si>
  <si>
    <t>634-635</t>
  </si>
  <si>
    <t>MNBU 362535-6</t>
  </si>
  <si>
    <t>HLBU 964778-0</t>
  </si>
  <si>
    <t>HLBU 608227-4</t>
  </si>
  <si>
    <t>633</t>
  </si>
  <si>
    <t>HLBU 924472-2</t>
  </si>
  <si>
    <t>HLBU 605239-3</t>
  </si>
  <si>
    <t>SEGU 910472-5</t>
  </si>
  <si>
    <t>SZLU 917409-5</t>
  </si>
  <si>
    <t>HLBU 978954-8</t>
  </si>
  <si>
    <t>HLBU 905061-9</t>
  </si>
  <si>
    <t>HLBU 996926-2</t>
  </si>
  <si>
    <t>HLBU 967477-0</t>
  </si>
  <si>
    <t>HLBU 921798-5</t>
  </si>
  <si>
    <t>MORU 130514-6</t>
  </si>
  <si>
    <t>SZLU 955165-0</t>
  </si>
  <si>
    <t>SZLU 956551-0</t>
  </si>
  <si>
    <t>MMAU 118887-5</t>
  </si>
  <si>
    <t>MNBU 068033-9</t>
  </si>
  <si>
    <t>HLBU 612907-3</t>
  </si>
  <si>
    <t>CAIU 565133-1</t>
  </si>
  <si>
    <t>HLBU 625952-3</t>
  </si>
  <si>
    <t>MNBU 916411-7</t>
  </si>
  <si>
    <t>GY 629A</t>
  </si>
  <si>
    <t>SEGU 904340-3</t>
  </si>
  <si>
    <t>MNBU 387395-9</t>
  </si>
  <si>
    <t>SUDU 627074-3</t>
  </si>
  <si>
    <t>MNBU 364887-6</t>
  </si>
  <si>
    <t>MMAU 114219-6</t>
  </si>
  <si>
    <t>MNBU 309117-9</t>
  </si>
  <si>
    <t>SUDU 613855-2</t>
  </si>
  <si>
    <t>MNBU 463888-8</t>
  </si>
  <si>
    <t>MNBU 027685-7</t>
  </si>
  <si>
    <t>MNBU 426227-6</t>
  </si>
  <si>
    <t>MNBU 348145-4</t>
  </si>
  <si>
    <t>SUDU 617365-6</t>
  </si>
  <si>
    <t>MNBU 026595-5</t>
  </si>
  <si>
    <t>MMAU 111775-8</t>
  </si>
  <si>
    <t>SUDU 822068-0</t>
  </si>
  <si>
    <t>MNBU 029940-4</t>
  </si>
  <si>
    <t>MMAU 120865-2</t>
  </si>
  <si>
    <t>SUDU 613312-3</t>
  </si>
  <si>
    <t>MNBU 900247-7</t>
  </si>
  <si>
    <t>MNBU 378533-3</t>
  </si>
  <si>
    <t>SUDU 900418-2</t>
  </si>
  <si>
    <t>MNBU 412622-2</t>
  </si>
  <si>
    <t>MNBU 355737-5</t>
  </si>
  <si>
    <t>MNBU 400907-8</t>
  </si>
  <si>
    <t>MNBU 384441-5</t>
  </si>
  <si>
    <t>MNBU 349511-8</t>
  </si>
  <si>
    <t>MNBU 389004-6</t>
  </si>
  <si>
    <t>MNBU 429165-4</t>
  </si>
  <si>
    <t>MMAU 120807-7</t>
  </si>
  <si>
    <t>MNBU 356124-6</t>
  </si>
  <si>
    <t>MNBU 410019-3</t>
  </si>
  <si>
    <t>MNBU 359124-0</t>
  </si>
  <si>
    <t>MNBU 322131-2</t>
  </si>
  <si>
    <t>MNBU 352458-2</t>
  </si>
  <si>
    <t>MMAU 104963-2</t>
  </si>
  <si>
    <t>MNBU 015263-0</t>
  </si>
  <si>
    <t>MNBU 325955-5</t>
  </si>
  <si>
    <t>MNBU 311844-9</t>
  </si>
  <si>
    <t>MNBU 339490-9</t>
  </si>
  <si>
    <t>MWCU 528520-0</t>
  </si>
  <si>
    <t>MNBU 029181-0</t>
  </si>
  <si>
    <t>MNBU 030562-0</t>
  </si>
  <si>
    <t>SUDU 806305-1</t>
  </si>
  <si>
    <t>SUDU 626434-0</t>
  </si>
  <si>
    <t>SUDU 622111-6</t>
  </si>
  <si>
    <t>SUDU 618599-7</t>
  </si>
  <si>
    <t>MSWU 008050-6</t>
  </si>
  <si>
    <t>MNBU 012329-3</t>
  </si>
  <si>
    <t>MNBU 393764-7</t>
  </si>
  <si>
    <t>MNBU 313820-8</t>
  </si>
  <si>
    <t>MNBU 341782-0</t>
  </si>
  <si>
    <t>MNBU 364720-5</t>
  </si>
  <si>
    <t>SUDU 620852-0</t>
  </si>
  <si>
    <t>MNBU 362287-1</t>
  </si>
  <si>
    <t>MNBU 326486-5</t>
  </si>
  <si>
    <t>MNBU 440704-5</t>
  </si>
  <si>
    <t>MNBU 358966-5</t>
  </si>
  <si>
    <t>MNBU 002349-0</t>
  </si>
  <si>
    <t>MNBU 064922-5</t>
  </si>
  <si>
    <t>MMAU 109613-0</t>
  </si>
  <si>
    <t>MNBU 370406-0</t>
  </si>
  <si>
    <t>MNBU 026127-1</t>
  </si>
  <si>
    <t>MNBU 901459-1</t>
  </si>
  <si>
    <t>Duplicado (mismo contenedor y horario)</t>
  </si>
  <si>
    <t>MNBU 316125-5</t>
  </si>
  <si>
    <t>SUDU 600494-9</t>
  </si>
  <si>
    <t>SUDU 624775-9</t>
  </si>
  <si>
    <t>MNBU 904003-4</t>
  </si>
  <si>
    <t>MNBU 041007-7</t>
  </si>
  <si>
    <t>MNBU 307713-9</t>
  </si>
  <si>
    <t>SUDU 818101-2</t>
  </si>
  <si>
    <t>MNBU 384763-0</t>
  </si>
  <si>
    <t>MNBU 017443-3</t>
  </si>
  <si>
    <t>MNBU 451384-9</t>
  </si>
  <si>
    <t>MNBU 377527-4</t>
  </si>
  <si>
    <t>MNBU 328633-4</t>
  </si>
  <si>
    <t>MNBU 036678-1</t>
  </si>
  <si>
    <t>MNBU 314740-5</t>
  </si>
  <si>
    <t>MWCU 532090-7</t>
  </si>
  <si>
    <t>SUDU 612132-8</t>
  </si>
  <si>
    <t>MMAU 107566-8</t>
  </si>
  <si>
    <t>MMAU 106664-5</t>
  </si>
  <si>
    <t>MNBU 350315-2</t>
  </si>
  <si>
    <t>MNBU 365629-6</t>
  </si>
  <si>
    <t>MMAU 127795-1</t>
  </si>
  <si>
    <t>SUDU 800741-7</t>
  </si>
  <si>
    <t>MNBU 464364-7</t>
  </si>
  <si>
    <t>MNBU 357426-4</t>
  </si>
  <si>
    <t>MNBU 309121-9</t>
  </si>
  <si>
    <t>MNBU 365529-0</t>
  </si>
  <si>
    <t>SUDU 811326-0</t>
  </si>
  <si>
    <t>MNBU 389719-0</t>
  </si>
  <si>
    <t>MNBU 052791-0</t>
  </si>
  <si>
    <t>TLLU 119290-1</t>
  </si>
  <si>
    <t>MNBU 382334-6</t>
  </si>
  <si>
    <t>MNBU 372600-6</t>
  </si>
  <si>
    <t>MNBU 344354-1</t>
  </si>
  <si>
    <t>MNBU 403280-1</t>
  </si>
  <si>
    <t>MNBU 399976-2</t>
  </si>
  <si>
    <t>TTLU 117349-7</t>
  </si>
  <si>
    <t>MNBU 040205-0</t>
  </si>
  <si>
    <t>MMAU 125349-8</t>
  </si>
  <si>
    <t>MNBU 313514-8</t>
  </si>
  <si>
    <t>MNBU 036463-9</t>
  </si>
  <si>
    <t>MNBU 306986-9</t>
  </si>
  <si>
    <t>SUDU 802523-6</t>
  </si>
  <si>
    <t>SUDU 820802-6</t>
  </si>
  <si>
    <t>MNBU 336928-0</t>
  </si>
  <si>
    <t>MNBU 305713-2</t>
  </si>
  <si>
    <t>MNBU 305485-3</t>
  </si>
  <si>
    <t>MNBU 395754-0</t>
  </si>
  <si>
    <t>SUDU 612486-2</t>
  </si>
  <si>
    <t>MNBU 422088-2</t>
  </si>
  <si>
    <t>MNBU 353355-8</t>
  </si>
  <si>
    <t>MNBU 039752-4</t>
  </si>
  <si>
    <t>MNBU 063643-9</t>
  </si>
  <si>
    <t>SUDU 920006-1</t>
  </si>
  <si>
    <t>SZLU 500762-8</t>
  </si>
  <si>
    <t>MNBU 371740-5</t>
  </si>
  <si>
    <t>MMAU 112785-9</t>
  </si>
  <si>
    <t>MNBU 319521-3</t>
  </si>
  <si>
    <t>MNBU 452751-8</t>
  </si>
  <si>
    <t>MNBU 018105-2</t>
  </si>
  <si>
    <t>MNBU 351165-1</t>
  </si>
  <si>
    <t>MNBU 404639-0</t>
  </si>
  <si>
    <t>MMAU 107530-7</t>
  </si>
  <si>
    <t>SZLU 500658-1</t>
  </si>
  <si>
    <t>MNBU 459481-4</t>
  </si>
  <si>
    <t>MNBU 056404-6</t>
  </si>
  <si>
    <t>MNBU 024862-3</t>
  </si>
  <si>
    <t>SUDU 611065-8</t>
  </si>
  <si>
    <t>MNBU 459683-8</t>
  </si>
  <si>
    <t>MNBU 425769-1</t>
  </si>
  <si>
    <t>MNBU 014145-0</t>
  </si>
  <si>
    <t>MNBU 901028-2</t>
  </si>
  <si>
    <t>MNBU 009089-9</t>
  </si>
  <si>
    <t>SUDU 627759-0</t>
  </si>
  <si>
    <t>MNBU 377565-4</t>
  </si>
  <si>
    <t>MNBU 345865-0</t>
  </si>
  <si>
    <t>SUDU 614122-1</t>
  </si>
  <si>
    <t>MNBU 412447-2</t>
  </si>
  <si>
    <t>SUDU 821424-5</t>
  </si>
  <si>
    <t>MMAU 128323-4</t>
  </si>
  <si>
    <t>MNBU 358699-0</t>
  </si>
  <si>
    <t>MMAU 106138-7</t>
  </si>
  <si>
    <t>MSWU 102762-0</t>
  </si>
  <si>
    <t>MNBU 312933-5</t>
  </si>
  <si>
    <t>MMAU 108640-4</t>
  </si>
  <si>
    <t>MNBU 424154-5</t>
  </si>
  <si>
    <t>MNBU 392837-3</t>
  </si>
  <si>
    <t>MNBU 328462-4</t>
  </si>
  <si>
    <t>MNBU 901153-0</t>
  </si>
  <si>
    <t>MNBU 414077-1</t>
  </si>
  <si>
    <t>MNBU 047210-3</t>
  </si>
  <si>
    <t>MNBU 335022-2</t>
  </si>
  <si>
    <t>SUDU 810456-7</t>
  </si>
  <si>
    <t>MNBU 359609-4</t>
  </si>
  <si>
    <t>MNBU 913631-0</t>
  </si>
  <si>
    <t>MNBU 918773-0</t>
  </si>
  <si>
    <t>MNBU 910200-7</t>
  </si>
  <si>
    <t>MNBU 452226-5</t>
  </si>
  <si>
    <t>MNBU 451680-6</t>
  </si>
  <si>
    <t>MNBU 363127-7</t>
  </si>
  <si>
    <t>SUDU 816518-2</t>
  </si>
  <si>
    <t>SUDU 804343-5</t>
  </si>
  <si>
    <t>MNBU 904490-8</t>
  </si>
  <si>
    <t>MNBU 393858-2</t>
  </si>
  <si>
    <t>MNBU 326278-0</t>
  </si>
  <si>
    <t>MNBU 367010-2</t>
  </si>
  <si>
    <t>SUDU 809709-3</t>
  </si>
  <si>
    <t>SUDU 622044-4</t>
  </si>
  <si>
    <t>MNBU 343561-2</t>
  </si>
  <si>
    <t>MMAU 109390-7</t>
  </si>
  <si>
    <t>SUDU 800914-8</t>
  </si>
  <si>
    <t>SUDU 813044-2</t>
  </si>
  <si>
    <t>MNBU 366430-5</t>
  </si>
  <si>
    <t>MNBU 039952-7</t>
  </si>
  <si>
    <t>TEMU 978329-0</t>
  </si>
  <si>
    <t>MNBU 429098-2</t>
  </si>
  <si>
    <t>MNBU 048850-0</t>
  </si>
  <si>
    <t>MMAU 122451-9</t>
  </si>
  <si>
    <t>MNBU 909015-9</t>
  </si>
  <si>
    <t>MNBU 024543-4</t>
  </si>
  <si>
    <t>SUDU 920072-9</t>
  </si>
  <si>
    <t>MNBU 426114-0</t>
  </si>
  <si>
    <t>MNBU 448506-9</t>
  </si>
  <si>
    <t>MNBU 028719-4</t>
  </si>
  <si>
    <t>MNBU 920334-2</t>
  </si>
  <si>
    <t>MNBU 040630-7</t>
  </si>
  <si>
    <t>MNBU 461850-0</t>
  </si>
  <si>
    <t>MNBU 366375-7</t>
  </si>
  <si>
    <t>MNBU 456929-9</t>
  </si>
  <si>
    <t>MNBU 909655-8</t>
  </si>
  <si>
    <t>MNBU 446757-4</t>
  </si>
  <si>
    <t>MMAU 119956-6</t>
  </si>
  <si>
    <t>MNBU 056174-6</t>
  </si>
  <si>
    <t>MNBU 391611-4</t>
  </si>
  <si>
    <t>MNBU 408786-7</t>
  </si>
  <si>
    <t>MNBU 323978-0</t>
  </si>
  <si>
    <t>MNBU 360234-5</t>
  </si>
  <si>
    <t>SUDU 605116-0</t>
  </si>
  <si>
    <t>MMAU 118265-0</t>
  </si>
  <si>
    <t>SUDU 621514-0</t>
  </si>
  <si>
    <t>MNBU 066620-1</t>
  </si>
  <si>
    <t>MNBU 031219-4</t>
  </si>
  <si>
    <t>MMAU 110954-1</t>
  </si>
  <si>
    <t>SUDU 819868-0</t>
  </si>
  <si>
    <t>MNBU 467426-8</t>
  </si>
  <si>
    <t>MNBU 909994-2</t>
  </si>
  <si>
    <t>SUDU 618797-9</t>
  </si>
  <si>
    <t>MNBU 367411-3</t>
  </si>
  <si>
    <t>MNBU 423028-4</t>
  </si>
  <si>
    <t>MMAU 116064-6</t>
  </si>
  <si>
    <t>SUDU 816248-1</t>
  </si>
  <si>
    <t>MNBU 456520-4</t>
  </si>
  <si>
    <t>MNBU 336940-2</t>
  </si>
  <si>
    <t>MNBU 034435-5</t>
  </si>
  <si>
    <t>MNBU 365871-9</t>
  </si>
  <si>
    <t>MNBU 914475-9</t>
  </si>
  <si>
    <t>FSCU 571894-1</t>
  </si>
  <si>
    <t>MMAU 116443-0</t>
  </si>
  <si>
    <t>MNBU 389928-0</t>
  </si>
  <si>
    <t>SUDU 624846-2</t>
  </si>
  <si>
    <t>MNBU 066597-2</t>
  </si>
  <si>
    <t>MNBU 342948-2</t>
  </si>
  <si>
    <t>MNBU 318310-4</t>
  </si>
  <si>
    <t>MNBU 911500-4</t>
  </si>
  <si>
    <t>MNBU 438310-7</t>
  </si>
  <si>
    <t>SUDU 604430-3</t>
  </si>
  <si>
    <t>MNBU 433404-1</t>
  </si>
  <si>
    <t>MNBU 003849-0</t>
  </si>
  <si>
    <t>MNBU 060233-6</t>
  </si>
  <si>
    <t>MNBU 409709-0</t>
  </si>
  <si>
    <t>MNBU 902014-6</t>
  </si>
  <si>
    <t>MNBU 366470-6</t>
  </si>
  <si>
    <t>MNBU 341448-2</t>
  </si>
  <si>
    <t>MNBU 348717-5</t>
  </si>
  <si>
    <t>MNBU 039599-0</t>
  </si>
  <si>
    <t>SUDU 810499-4</t>
  </si>
  <si>
    <t>MNBU 469377-7</t>
  </si>
  <si>
    <t>MNBU 031097-2</t>
  </si>
  <si>
    <t>MMAU 102789-1</t>
  </si>
  <si>
    <t>MNBU 027938-9</t>
  </si>
  <si>
    <t>MNBU 423988-8</t>
  </si>
  <si>
    <t>MNBU 024829-0</t>
  </si>
  <si>
    <t>MMAU 106008-2</t>
  </si>
  <si>
    <t>MNBU 336887-5</t>
  </si>
  <si>
    <t>MNBU 059390-7</t>
  </si>
  <si>
    <t>MNBU 363988-0</t>
  </si>
  <si>
    <t>MNBU 393503-2</t>
  </si>
  <si>
    <t>MNBU 391253-0</t>
  </si>
  <si>
    <t>MNBU 307173-7</t>
  </si>
  <si>
    <t>MNBU 372819-0</t>
  </si>
  <si>
    <t>SUDU 808557-5</t>
  </si>
  <si>
    <t>MNBU 391917-6</t>
  </si>
  <si>
    <t>MNBU 334114-9</t>
  </si>
  <si>
    <t>SUDU 803280-5</t>
  </si>
  <si>
    <t>MNBU 329057-1</t>
  </si>
  <si>
    <t>MNBU 030707-4</t>
  </si>
  <si>
    <t>MNBU 062254-3</t>
  </si>
  <si>
    <t>MNBU 462717-9</t>
  </si>
  <si>
    <t>MNBU 301087-6</t>
  </si>
  <si>
    <t>MNBU 302438-1</t>
  </si>
  <si>
    <t>MNBU 036729-0</t>
  </si>
  <si>
    <t>MMAU 119397-4</t>
  </si>
  <si>
    <t>MNBU 342167-1</t>
  </si>
  <si>
    <t>SUDU 614191-5</t>
  </si>
  <si>
    <t>MMAU 117827-0</t>
  </si>
  <si>
    <t>SUDU 804066-8</t>
  </si>
  <si>
    <t>MNBU 443882-7</t>
  </si>
  <si>
    <t>MNBU 903892-6</t>
  </si>
  <si>
    <t>MNBU 301251-8</t>
  </si>
  <si>
    <t>MNBU 327326-0</t>
  </si>
  <si>
    <t>MNBU 406481-4</t>
  </si>
  <si>
    <t>MNBU 059793-9</t>
  </si>
  <si>
    <t>MNBU 028577-7</t>
  </si>
  <si>
    <t>MNBU 395845-0</t>
  </si>
  <si>
    <t>MNBU 030580-5</t>
  </si>
  <si>
    <t>MNBU 409939-0</t>
  </si>
  <si>
    <t>MNBU 039926-0</t>
  </si>
  <si>
    <t>SUDU 628802-2</t>
  </si>
  <si>
    <t>MNBU 356930-8</t>
  </si>
  <si>
    <t>MNBU 314692-3</t>
  </si>
  <si>
    <t>MNBU 376563-5</t>
  </si>
  <si>
    <t>MNBU 464980-9</t>
  </si>
  <si>
    <t>MNBU 356033-7</t>
  </si>
  <si>
    <t>MNBU 466791-0</t>
  </si>
  <si>
    <t>MNBU 463428-6</t>
  </si>
  <si>
    <t>MNBU 336346-7</t>
  </si>
  <si>
    <t>MNBU 394557-6</t>
  </si>
  <si>
    <t>MNBU 455110-8</t>
  </si>
  <si>
    <t>MMAU 107973-0</t>
  </si>
  <si>
    <t>MNBU 392624-1</t>
  </si>
  <si>
    <t>MNBU 013385-6</t>
  </si>
  <si>
    <t>MNBU 430398-7</t>
  </si>
  <si>
    <t>MNBU 440012-2</t>
  </si>
  <si>
    <t>MNBU 067400-1</t>
  </si>
  <si>
    <t>MNBU 461035-0</t>
  </si>
  <si>
    <t>MNBU 033793-1</t>
  </si>
  <si>
    <t>MNBU 370455-8</t>
  </si>
  <si>
    <t>MNBU 013507-8</t>
  </si>
  <si>
    <t>MNBU 379181-9</t>
  </si>
  <si>
    <t>FSCU 595492-6</t>
  </si>
  <si>
    <t>HLBU961803-6</t>
  </si>
  <si>
    <t>MNBU 384258-3</t>
  </si>
  <si>
    <t>FSCU 573231-7</t>
  </si>
  <si>
    <t>FBIU 525263-6</t>
  </si>
  <si>
    <t>IKSU 400227-2</t>
  </si>
  <si>
    <t>BMOU 985844-0</t>
  </si>
  <si>
    <t>FSCU 574012-2</t>
  </si>
  <si>
    <t>TTNU 848545-7</t>
  </si>
  <si>
    <t>TTNU 834667-8</t>
  </si>
  <si>
    <t>CXRU 118417-1</t>
  </si>
  <si>
    <t>OTPU 623099-5</t>
  </si>
  <si>
    <t>MNBU 384676-3</t>
  </si>
  <si>
    <t>MNBU 046405-2</t>
  </si>
  <si>
    <t>MSDU 986728-7</t>
  </si>
  <si>
    <t>FSCU 575391-6</t>
  </si>
  <si>
    <t>FSCU 572488-3</t>
  </si>
  <si>
    <t>SZLU 968603-9</t>
  </si>
  <si>
    <t>MSDU 901232-1</t>
  </si>
  <si>
    <t>ALIOTH</t>
  </si>
  <si>
    <t>SEKU 927172-7</t>
  </si>
  <si>
    <t>TLLU 110731-9</t>
  </si>
  <si>
    <t>MNBU 352644-0</t>
  </si>
  <si>
    <t>TLLU 106168-7</t>
  </si>
  <si>
    <t>MNBU 406926-7</t>
  </si>
  <si>
    <t>MNBU 912908-1</t>
  </si>
  <si>
    <t>2629 EW</t>
  </si>
  <si>
    <t>ONEU 924041-5</t>
  </si>
  <si>
    <t>FSCU 589843-7</t>
  </si>
  <si>
    <t>MSDU 978182-0</t>
  </si>
  <si>
    <t>OTPU 628717-8</t>
  </si>
  <si>
    <t>TCLU 139349-3</t>
  </si>
  <si>
    <t>SEGU 983986-0</t>
  </si>
  <si>
    <t>TTNU 847290-6</t>
  </si>
  <si>
    <t>HLBU 941323-1</t>
  </si>
  <si>
    <t>146</t>
  </si>
  <si>
    <t>CGMU 655493-3</t>
  </si>
  <si>
    <t>TTNU 846912-1</t>
  </si>
  <si>
    <t>CGMU 505513-8</t>
  </si>
  <si>
    <t>636-637</t>
  </si>
  <si>
    <t>MNBU 369661-6</t>
  </si>
  <si>
    <t>SZLU 955120-2</t>
  </si>
  <si>
    <t>TTNU 830201-0</t>
  </si>
  <si>
    <t>TRIU 876307-0</t>
  </si>
  <si>
    <t>AMCU 940501-8</t>
  </si>
  <si>
    <t>MNBU 905273-4</t>
  </si>
  <si>
    <t>MNBU 465339-4</t>
  </si>
  <si>
    <t>OTPU 640559-0</t>
  </si>
  <si>
    <t>MNBU 469541-9</t>
  </si>
  <si>
    <t>FSCU 574876-1</t>
  </si>
  <si>
    <t>SEGU 930697-9</t>
  </si>
  <si>
    <t>HMMU 546937-2</t>
  </si>
  <si>
    <t>MNBU 004430-0</t>
  </si>
  <si>
    <t>MMAU 145341-2</t>
  </si>
  <si>
    <t>MNBU 302324-0</t>
  </si>
  <si>
    <t>MNBU 326265-1</t>
  </si>
  <si>
    <t>MNBU 3242804-3</t>
  </si>
  <si>
    <t>MNBU 451527-1</t>
  </si>
  <si>
    <t>SUDU 618092-7</t>
  </si>
  <si>
    <t>SUDU 823902-7</t>
  </si>
  <si>
    <t>HLBU 975217-4</t>
  </si>
  <si>
    <t>HLBU 911494-5</t>
  </si>
  <si>
    <t>SZLU 953367-8</t>
  </si>
  <si>
    <t>GY631A</t>
  </si>
  <si>
    <t>OTPU 602965-6</t>
  </si>
  <si>
    <t>MNBU 469405-3</t>
  </si>
  <si>
    <t>MEDU 988143-6</t>
  </si>
  <si>
    <t>HLBU 918308-3</t>
  </si>
  <si>
    <t>HLBU 971889-0</t>
  </si>
  <si>
    <t>635S - 635N</t>
  </si>
  <si>
    <t>MNBU 051389-8</t>
  </si>
  <si>
    <t>MNBU 465810-1</t>
  </si>
  <si>
    <t>MNBU 437224-7</t>
  </si>
  <si>
    <t>MNBU 460083-5</t>
  </si>
  <si>
    <t>MNBU 448990-6</t>
  </si>
  <si>
    <t>MNBU 364695-5</t>
  </si>
  <si>
    <t>MNBU 018407-2</t>
  </si>
  <si>
    <t>MMAU 116474-4</t>
  </si>
  <si>
    <t>MNBU 427350-0</t>
  </si>
  <si>
    <t>MNBU 009415-3</t>
  </si>
  <si>
    <t>MNBU 008851-0</t>
  </si>
  <si>
    <t>MNBU 401190-1</t>
  </si>
  <si>
    <t>MNBU 033358-2</t>
  </si>
  <si>
    <t>MNBU 062348-9</t>
  </si>
  <si>
    <t>MNBU 445671-2</t>
  </si>
  <si>
    <t>MMAU 101096-5</t>
  </si>
  <si>
    <t>MNBU 357239-0</t>
  </si>
  <si>
    <t>MMAU 109293-7</t>
  </si>
  <si>
    <t>MNBU 014370-4</t>
  </si>
  <si>
    <t>MNBU 404443-8</t>
  </si>
  <si>
    <t>MNBU 433866-4</t>
  </si>
  <si>
    <t>MNBU 431954-0</t>
  </si>
  <si>
    <t>MCAU 606997-1</t>
  </si>
  <si>
    <t>MNBU 910581-3</t>
  </si>
  <si>
    <t>MNBU 034784-2</t>
  </si>
  <si>
    <t>MNBU 055797-8</t>
  </si>
  <si>
    <t>MNBU 445930-5</t>
  </si>
  <si>
    <t>MNBU 397147-2</t>
  </si>
  <si>
    <t>MNBU 427837-5</t>
  </si>
  <si>
    <t>SUDU 807057-5</t>
  </si>
  <si>
    <t>MNBU 381138-7</t>
  </si>
  <si>
    <t>SUDU 819622-3</t>
  </si>
  <si>
    <t>MNBU 008261-4</t>
  </si>
  <si>
    <t>MNBU 420162-4</t>
  </si>
  <si>
    <t>TRIU 803678-5</t>
  </si>
  <si>
    <t>MNBU 343684-0</t>
  </si>
  <si>
    <t>MNBU 454577-0</t>
  </si>
  <si>
    <t>MNBU 039914-7</t>
  </si>
  <si>
    <t>MNBU 360993-0</t>
  </si>
  <si>
    <t>MMAU 104971-4</t>
  </si>
  <si>
    <t>MNBU 059753-8</t>
  </si>
  <si>
    <t>MMAU 116480-5</t>
  </si>
  <si>
    <t>MNBU 389566-5</t>
  </si>
  <si>
    <t>MNBU 364318-0</t>
  </si>
  <si>
    <t>MNBU 005907-0</t>
  </si>
  <si>
    <t>MNBU 328410-0</t>
  </si>
  <si>
    <t>MNBU 454537-9</t>
  </si>
  <si>
    <t>MSWU 011236-8</t>
  </si>
  <si>
    <t>MNBU 331127-3</t>
  </si>
  <si>
    <t>MMAU 105683-7</t>
  </si>
  <si>
    <t>MNBU 341276-7</t>
  </si>
  <si>
    <t>MNBU 028157-6</t>
  </si>
  <si>
    <t>MNBU 006223-8</t>
  </si>
  <si>
    <t>MNBU 354279-7</t>
  </si>
  <si>
    <t>MNBU 900059-8</t>
  </si>
  <si>
    <t>SUDU 612227-9</t>
  </si>
  <si>
    <t>MNBU 311501-2</t>
  </si>
  <si>
    <t>MNBU 374540-7</t>
  </si>
  <si>
    <t>TLLU 116764-2</t>
  </si>
  <si>
    <t>MNBU 401297-6</t>
  </si>
  <si>
    <t>MNBU 336512-0</t>
  </si>
  <si>
    <t>SUDU 625365-9</t>
  </si>
  <si>
    <t>MNBU 341239-2</t>
  </si>
  <si>
    <t>SUDU 808239-1</t>
  </si>
  <si>
    <t>MNBU 376300-0</t>
  </si>
  <si>
    <t>MMAU 108025-8</t>
  </si>
  <si>
    <t>MNBU 360186-3</t>
  </si>
  <si>
    <t>SUDU 823644-0</t>
  </si>
  <si>
    <t>MMAU 111738-3</t>
  </si>
  <si>
    <t>MNBU 399209-5</t>
  </si>
  <si>
    <t>MWCU 527566-5</t>
  </si>
  <si>
    <t>MNBU 428086-0</t>
  </si>
  <si>
    <t>MNBU 402994-2</t>
  </si>
  <si>
    <t>MNBU 336698-0</t>
  </si>
  <si>
    <t>SUDU 624892-4</t>
  </si>
  <si>
    <t>MNBU 343753-3</t>
  </si>
  <si>
    <t>MNBU 347212-8</t>
  </si>
  <si>
    <t>MNBU 457862-3</t>
  </si>
  <si>
    <t>CAAU 423872-1</t>
  </si>
  <si>
    <t>MNBU 318927-3</t>
  </si>
  <si>
    <t>MEDU 963704-0</t>
  </si>
  <si>
    <t>SEGU 944400-5</t>
  </si>
  <si>
    <t>MNBU 363396-3</t>
  </si>
  <si>
    <t>MNBU 349872-9</t>
  </si>
  <si>
    <t>MNBU 319893-2</t>
  </si>
  <si>
    <t>SUDU 606146-6</t>
  </si>
  <si>
    <t>MNBU 006362-0</t>
  </si>
  <si>
    <t>MMAU 111746-5</t>
  </si>
  <si>
    <t>MNBU 331927-4</t>
  </si>
  <si>
    <t>SUDU 622334-0</t>
  </si>
  <si>
    <t>MNBU 018914-0</t>
  </si>
  <si>
    <t>SUDU 628575-9</t>
  </si>
  <si>
    <t>SUDU 611167-5</t>
  </si>
  <si>
    <t>SUDU 627574-5</t>
  </si>
  <si>
    <t>MNBU 015029-9</t>
  </si>
  <si>
    <t>MNBU 022867-4</t>
  </si>
  <si>
    <t>MNBU 348737-0</t>
  </si>
  <si>
    <t>MNBU 910497-2</t>
  </si>
  <si>
    <t>SZLU 922293-2</t>
  </si>
  <si>
    <t>TLLU 121771-7</t>
  </si>
  <si>
    <t>MNBU 347260-0</t>
  </si>
  <si>
    <t>MWCU 526132-1</t>
  </si>
  <si>
    <t>MNBU 920427-2</t>
  </si>
  <si>
    <t>MNBU 408085-7</t>
  </si>
  <si>
    <t>MNBU 412041-4</t>
  </si>
  <si>
    <t>MMAU 123973-5</t>
  </si>
  <si>
    <t>MMAU 116676-8</t>
  </si>
  <si>
    <t>MNBU 066468-3</t>
  </si>
  <si>
    <t>MNBU 454629-3</t>
  </si>
  <si>
    <t>SUDU 822641-5</t>
  </si>
  <si>
    <t>MNBU 440406-7</t>
  </si>
  <si>
    <t>MNBU 367704-6</t>
  </si>
  <si>
    <t>SUDU 930358-4</t>
  </si>
  <si>
    <t>MNBU 036067-5</t>
  </si>
  <si>
    <t>SUDU 819551-0</t>
  </si>
  <si>
    <t>MNBU 018636-8</t>
  </si>
  <si>
    <t>MNBU 919924-2</t>
  </si>
  <si>
    <t>MNBU 901756-4</t>
  </si>
  <si>
    <t>SUDU 617338-4</t>
  </si>
  <si>
    <t>SUDU 623591-1</t>
  </si>
  <si>
    <t>MNBU 334137-0</t>
  </si>
  <si>
    <t>MNBU 457336-5</t>
  </si>
  <si>
    <t>MNBU 437800-8</t>
  </si>
  <si>
    <t>MMAU 107076-9</t>
  </si>
  <si>
    <t>TEMU 983380-5</t>
  </si>
  <si>
    <t>MNBU 430463-8</t>
  </si>
  <si>
    <t>MNBU 046685-7</t>
  </si>
  <si>
    <t>MNBU 446246-4</t>
  </si>
  <si>
    <t>SUDU 802711-5</t>
  </si>
  <si>
    <t>SUDU 824849-8</t>
  </si>
  <si>
    <t>MNBU 469422-2</t>
  </si>
  <si>
    <t>635 S</t>
  </si>
  <si>
    <t>MNBU 348127-0</t>
  </si>
  <si>
    <t>MNBU 469446-0</t>
  </si>
  <si>
    <t>MNBU 412679-4</t>
  </si>
  <si>
    <t>MNBU 418359-9</t>
  </si>
  <si>
    <t>MMAU 105258-0</t>
  </si>
  <si>
    <t>MNBU 101401-8</t>
  </si>
  <si>
    <t>MMAU 100161-8</t>
  </si>
  <si>
    <t>MNBU 063327-6</t>
  </si>
  <si>
    <t>MNBU 407990-1</t>
  </si>
  <si>
    <t>MNBU 909668-7</t>
  </si>
  <si>
    <t>MNBU 032167-9</t>
  </si>
  <si>
    <t>MNBU 415559-7</t>
  </si>
  <si>
    <t>MMAU 105296-0</t>
  </si>
  <si>
    <t>MNBU 438163-4</t>
  </si>
  <si>
    <t>MNBU 027888-6</t>
  </si>
  <si>
    <t>MNBU 033394-1</t>
  </si>
  <si>
    <t>MNBU 012871-5</t>
  </si>
  <si>
    <t>MNBU 365856-0</t>
  </si>
  <si>
    <t>MNBU 419852-0</t>
  </si>
  <si>
    <t>SUDU 614278-4</t>
  </si>
  <si>
    <t>SUDU 629492-0</t>
  </si>
  <si>
    <t>MNBU 351467-1</t>
  </si>
  <si>
    <t>MNBU 920693-2</t>
  </si>
  <si>
    <t>MNBU 054035-8</t>
  </si>
  <si>
    <t>SUDU 617272-6</t>
  </si>
  <si>
    <t>MNBU 393636-3</t>
  </si>
  <si>
    <t>MNBU 404681-0</t>
  </si>
  <si>
    <t>SUDU 823097-1</t>
  </si>
  <si>
    <t>MNBU 448356-0</t>
  </si>
  <si>
    <t>MNBU 467922-8</t>
  </si>
  <si>
    <t>MNBU 458053-3</t>
  </si>
  <si>
    <t>MNBU 039760-6</t>
  </si>
  <si>
    <t>MNBU 373384-9</t>
  </si>
  <si>
    <t>MMAU 106092-4</t>
  </si>
  <si>
    <t>MNBU 388148-7</t>
  </si>
  <si>
    <t>MNBU 051248-5</t>
  </si>
  <si>
    <t>MMAU 149248-7</t>
  </si>
  <si>
    <t>MNBU 063275-2</t>
  </si>
  <si>
    <t>MNBU 423426-9</t>
  </si>
  <si>
    <t>MMAU 110686-1</t>
  </si>
  <si>
    <t>MMAU 127133-6</t>
  </si>
  <si>
    <t>MMAU 113619-3</t>
  </si>
  <si>
    <t>SUDU 613913-7</t>
  </si>
  <si>
    <t>MMAU 120706-5</t>
  </si>
  <si>
    <t>MNBU 015022-0</t>
  </si>
  <si>
    <t>MNBU 003351-7</t>
  </si>
  <si>
    <t>MMAU 138966-9</t>
  </si>
  <si>
    <t>MCAU 602459-7</t>
  </si>
  <si>
    <t>SUDU 810488-6</t>
  </si>
  <si>
    <t>MRFU 002675-7</t>
  </si>
  <si>
    <t>MNBU 447909-2</t>
  </si>
  <si>
    <t>MNBU 447641-0</t>
  </si>
  <si>
    <t>MNBU 052300-5</t>
  </si>
  <si>
    <t>MMAU 107468-2</t>
  </si>
  <si>
    <t>MNBU 410673-5</t>
  </si>
  <si>
    <t>LITLI ATHINA</t>
  </si>
  <si>
    <t>HLBU 622324-3</t>
  </si>
  <si>
    <t>MWCU 531178-3</t>
  </si>
  <si>
    <t>MMAU 122548-0</t>
  </si>
  <si>
    <t>MNBU 351473-2</t>
  </si>
  <si>
    <t>MMAU 125367-2</t>
  </si>
  <si>
    <t>MCAU 601170-6</t>
  </si>
  <si>
    <t>SUDU 613423-8</t>
  </si>
  <si>
    <t>SUDU 627441-4</t>
  </si>
  <si>
    <t>SUDU 627148-3</t>
  </si>
  <si>
    <t>MNBU 310903-0</t>
  </si>
  <si>
    <t>MNBU 450967-0</t>
  </si>
  <si>
    <t>MMAU 115227-6</t>
  </si>
  <si>
    <t>MNBU 013428-2</t>
  </si>
  <si>
    <t>MNBU 438927-6</t>
  </si>
  <si>
    <t>TEMU 978608-8</t>
  </si>
  <si>
    <t>MNBU 445276-4</t>
  </si>
  <si>
    <t>MNBU 039235-3</t>
  </si>
  <si>
    <t>MNBU 904894-5</t>
  </si>
  <si>
    <t>MNBU 395326-8</t>
  </si>
  <si>
    <t>MSWU 102942-7</t>
  </si>
  <si>
    <t>MNBU 460978-7</t>
  </si>
  <si>
    <t>MNBU 912236-4</t>
  </si>
  <si>
    <t>MNBU 901170-9</t>
  </si>
  <si>
    <t>MNBU 388988-9</t>
  </si>
  <si>
    <t>MNBU 327693-2</t>
  </si>
  <si>
    <t>MNBU 349947-4</t>
  </si>
  <si>
    <t>MNBU 427561-1</t>
  </si>
  <si>
    <t>MNBU 918159-9</t>
  </si>
  <si>
    <t>MMAU 126618-1</t>
  </si>
  <si>
    <t>MNBU 362782-6</t>
  </si>
  <si>
    <t>MNBU 058333-9</t>
  </si>
  <si>
    <t>MNBU 420605-6</t>
  </si>
  <si>
    <t>MNBU 433471-4</t>
  </si>
  <si>
    <t>MNBU 416066-0</t>
  </si>
  <si>
    <t>MNBU 384340-3</t>
  </si>
  <si>
    <t>MNBU 358422-0</t>
  </si>
  <si>
    <t>MNBU 406254-0</t>
  </si>
  <si>
    <t>MNBU 331544-8</t>
  </si>
  <si>
    <t>SUDU 620761-1</t>
  </si>
  <si>
    <t>MNBU 333343-6</t>
  </si>
  <si>
    <t>MNBU 050725-7</t>
  </si>
  <si>
    <t>SUDU 625005-3</t>
  </si>
  <si>
    <t>MEDU 934296-4</t>
  </si>
  <si>
    <t>MNBU 368700-2</t>
  </si>
  <si>
    <t>MNBU 457293-9</t>
  </si>
  <si>
    <t>MNBU 012695-0</t>
  </si>
  <si>
    <t>MNBU 432241-5</t>
  </si>
  <si>
    <t>MNBU 035468-8</t>
  </si>
  <si>
    <t>MNBU 342673-4</t>
  </si>
  <si>
    <t>SUDU 623634-8</t>
  </si>
  <si>
    <t>MNBU 451080-8</t>
  </si>
  <si>
    <t>SUDU 614476-6</t>
  </si>
  <si>
    <t>MNBU 022992-1</t>
  </si>
  <si>
    <t>MNBU 916000-3</t>
  </si>
  <si>
    <t>SUDU 619375-5</t>
  </si>
  <si>
    <t>SUDU 811404-0</t>
  </si>
  <si>
    <t>MNBU 438561-9</t>
  </si>
  <si>
    <t>MNBU 048293-5</t>
  </si>
  <si>
    <t>MMAU 125376-0</t>
  </si>
  <si>
    <t>MMAU 123267-0</t>
  </si>
  <si>
    <t>SUDU 613447-5</t>
  </si>
  <si>
    <t>MNBU 449251-4</t>
  </si>
  <si>
    <t>MNBU 344276-1</t>
  </si>
  <si>
    <t>MNBU 317015-4</t>
  </si>
  <si>
    <t>MCAU 602594-7</t>
  </si>
  <si>
    <t>MMAU 149818-7</t>
  </si>
  <si>
    <t>MNBU 041603-3</t>
  </si>
  <si>
    <t>SUDU 823819-1</t>
  </si>
  <si>
    <t>SUDU 809986-1</t>
  </si>
  <si>
    <t>MNBU 313889-3</t>
  </si>
  <si>
    <t>MNBU 442421-1</t>
  </si>
  <si>
    <t>MNBU 340629-7</t>
  </si>
  <si>
    <t>MNBU 302376-5</t>
  </si>
  <si>
    <t>MNBU 452784-2</t>
  </si>
  <si>
    <t>MNBU 054563-7</t>
  </si>
  <si>
    <t>MNBU 412147-3</t>
  </si>
  <si>
    <t>MNB7 033522-4</t>
  </si>
  <si>
    <t>MNBU 047964-3</t>
  </si>
  <si>
    <t>SUDU 813580-3</t>
  </si>
  <si>
    <t>MSWU 003776-8</t>
  </si>
  <si>
    <t>SUDU 805080-9</t>
  </si>
  <si>
    <t>MNBU 402695-9</t>
  </si>
  <si>
    <t>MNBU 005349-4</t>
  </si>
  <si>
    <t>SUDU 822616-4</t>
  </si>
  <si>
    <t>MWCU 532570-3</t>
  </si>
  <si>
    <t>MMAU 107158-0</t>
  </si>
  <si>
    <t>MNBU 013757-4</t>
  </si>
  <si>
    <t>MSGU 908205-8</t>
  </si>
  <si>
    <t>MNBU 350304-4</t>
  </si>
  <si>
    <t>MNBU 444317-1</t>
  </si>
  <si>
    <t>SZLU 916296-2</t>
  </si>
  <si>
    <t>MNBU 909355-9</t>
  </si>
  <si>
    <t>MSDU 902312-0</t>
  </si>
  <si>
    <t>MEDU 934160-7</t>
  </si>
  <si>
    <t>MEDU 991220-2</t>
  </si>
  <si>
    <t>MSDU 973728-3</t>
  </si>
  <si>
    <t>MSGU 911106-9</t>
  </si>
  <si>
    <t>OTPU 645001-1</t>
  </si>
  <si>
    <t>MSWU 102678-9</t>
  </si>
  <si>
    <t>MNBU 048901-9</t>
  </si>
  <si>
    <t>2630</t>
  </si>
  <si>
    <t>HLBU 615069-8</t>
  </si>
  <si>
    <t>ONEU 930130-0</t>
  </si>
  <si>
    <t>HLBU 979993-1</t>
  </si>
  <si>
    <t>MNBU 431581-7</t>
  </si>
  <si>
    <t>HLBU 922568-2</t>
  </si>
  <si>
    <t>HLBU 948805-6</t>
  </si>
  <si>
    <t>HLBU 628845-5</t>
  </si>
  <si>
    <t>MNBU 046076-1</t>
  </si>
  <si>
    <t>26037</t>
  </si>
  <si>
    <t>TTNU 811996-7</t>
  </si>
  <si>
    <t>TEMU 937757-8</t>
  </si>
  <si>
    <t>HLBU 990683-4</t>
  </si>
  <si>
    <t>HLBU 920720-4</t>
  </si>
  <si>
    <t>MSGU 912898-7</t>
  </si>
  <si>
    <t>TRIU 878673-2</t>
  </si>
  <si>
    <t>HLBU 901369-9</t>
  </si>
  <si>
    <t>OTPU 602367-9</t>
  </si>
  <si>
    <t>MSC FLORIANA</t>
  </si>
  <si>
    <t>GY 632 A</t>
  </si>
  <si>
    <t>SZLU 935612-4</t>
  </si>
  <si>
    <t>TRIU 856868-5</t>
  </si>
  <si>
    <t>MEDU 962550-0</t>
  </si>
  <si>
    <t>FSCU 577133-4</t>
  </si>
  <si>
    <t>MNBU 470403-8</t>
  </si>
  <si>
    <t>MNBU 370403-3</t>
  </si>
  <si>
    <t>SUDU 621948-5</t>
  </si>
  <si>
    <t>MNBU 451064-4</t>
  </si>
  <si>
    <t>MNBU 308257-8</t>
  </si>
  <si>
    <t>MNBU 046692-3</t>
  </si>
  <si>
    <t>MNBU 348712-8</t>
  </si>
  <si>
    <t>SUDU 817814-8</t>
  </si>
  <si>
    <t>MNBU 040010-3</t>
  </si>
  <si>
    <t>MNBU 407919-9</t>
  </si>
  <si>
    <t>MNBU 901275-0</t>
  </si>
  <si>
    <t>MNBU 066371-1</t>
  </si>
  <si>
    <t>MNBU 456531-0</t>
  </si>
  <si>
    <t>SUDU 615714-6</t>
  </si>
  <si>
    <t>MNBU 906035-0</t>
  </si>
  <si>
    <t>MNBU 406537-6</t>
  </si>
  <si>
    <t>SUDU 823714-8</t>
  </si>
  <si>
    <t>MNBU 920694-8</t>
  </si>
  <si>
    <t>MNBU 459081-9</t>
  </si>
  <si>
    <t>MNBU 011068-1</t>
  </si>
  <si>
    <t>MWCU 529630-7</t>
  </si>
  <si>
    <t>MNBU 349235-6</t>
  </si>
  <si>
    <t>MNBU 417910-9</t>
  </si>
  <si>
    <t>MNBU 376313-9</t>
  </si>
  <si>
    <t>MNBU 423492-6</t>
  </si>
  <si>
    <t>MNBU 412634-6</t>
  </si>
  <si>
    <t>MNBU 374615-2</t>
  </si>
  <si>
    <t>MNBU 308683-0</t>
  </si>
  <si>
    <t>MNBU 362586-5</t>
  </si>
  <si>
    <t>MNBU 444092-7</t>
  </si>
  <si>
    <t>MNBU 470832-6</t>
  </si>
  <si>
    <t>MNBU 394655-1</t>
  </si>
  <si>
    <t>MNBU 396678-0</t>
  </si>
  <si>
    <t>MNBU 911392-7</t>
  </si>
  <si>
    <t>MNBU 911482-0</t>
  </si>
  <si>
    <t>MNBU 314121-7</t>
  </si>
  <si>
    <t>MNBU 432190-7</t>
  </si>
  <si>
    <t>MNBU 424278-9</t>
  </si>
  <si>
    <t>SUDU 613059-3</t>
  </si>
  <si>
    <t>MNBU 017616-4</t>
  </si>
  <si>
    <t>MNBU 103592-0</t>
  </si>
  <si>
    <t>MNBU034329-8</t>
  </si>
  <si>
    <t>MMAU 115688-3</t>
  </si>
  <si>
    <t>MNBU 908709-4</t>
  </si>
  <si>
    <t>MNBU 447881-4</t>
  </si>
  <si>
    <t>MNBU 058409-0</t>
  </si>
  <si>
    <t>MMAU 116599-3</t>
  </si>
  <si>
    <t>SZLU 500677-1</t>
  </si>
  <si>
    <t>MNBU 063425-1</t>
  </si>
  <si>
    <t>MNBU 040765-9</t>
  </si>
  <si>
    <t>MNBU 309584-7</t>
  </si>
  <si>
    <t>MNBU 341660-7</t>
  </si>
  <si>
    <t>MNBU 370494-3</t>
  </si>
  <si>
    <t>MNBU 017411-4</t>
  </si>
  <si>
    <t>MNBU 039194-8</t>
  </si>
  <si>
    <t>MMAU119199-2</t>
  </si>
  <si>
    <t>MMAU 124917-9</t>
  </si>
  <si>
    <t>MNBU 316036-7</t>
  </si>
  <si>
    <t>MNBU 349181-1</t>
  </si>
  <si>
    <t>MMAU 115662-5</t>
  </si>
  <si>
    <t>MNBU 390432-4</t>
  </si>
  <si>
    <t>MNBU 411606-0</t>
  </si>
  <si>
    <t>MNBU 360430-6</t>
  </si>
  <si>
    <t>MNBU 423079-3</t>
  </si>
  <si>
    <t>MNBU 365387-2</t>
  </si>
  <si>
    <t>MNBU 006027-7</t>
  </si>
  <si>
    <t>MNBU 395707-3</t>
  </si>
  <si>
    <t>MMAU 127937-9</t>
  </si>
  <si>
    <t>MNBU 458247-5</t>
  </si>
  <si>
    <t>MNBU 303334-1</t>
  </si>
  <si>
    <t>MCAU 605012-7</t>
  </si>
  <si>
    <t>SUDU 816471-4</t>
  </si>
  <si>
    <t>MMAU 115749-4</t>
  </si>
  <si>
    <t>TEMU 975322-7</t>
  </si>
  <si>
    <t>SUDU 930309-6</t>
  </si>
  <si>
    <t>MNBU 349705-0</t>
  </si>
  <si>
    <t>MNBU 009128-3</t>
  </si>
  <si>
    <t>MMAU 142891-3</t>
  </si>
  <si>
    <t>MNBU 465606-9</t>
  </si>
  <si>
    <t>MNBU 450477-0</t>
  </si>
  <si>
    <t>MNBU 040479-4</t>
  </si>
  <si>
    <t>MNBU 045602-0</t>
  </si>
  <si>
    <t>MNBU 916768-8</t>
  </si>
  <si>
    <t>MWCU 699413-3</t>
  </si>
  <si>
    <t>SUDU 869212-5</t>
  </si>
  <si>
    <t>MMAU 136473-7</t>
  </si>
  <si>
    <t>MMAU 142734-7</t>
  </si>
  <si>
    <t>MNBU 343617-8</t>
  </si>
  <si>
    <t>MNBU 388362-2</t>
  </si>
  <si>
    <t>MMAU 133661-1</t>
  </si>
  <si>
    <t>MNBU 395070-0</t>
  </si>
  <si>
    <t>SUDU 601084-9</t>
  </si>
  <si>
    <t>MNBU 318453-8</t>
  </si>
  <si>
    <t>MNBU 384872-4</t>
  </si>
  <si>
    <t>MNBU 058934-2</t>
  </si>
  <si>
    <t>MNBU 910386-8</t>
  </si>
  <si>
    <t>MNBU 903914-1</t>
  </si>
  <si>
    <t>MNBU 323529-7</t>
  </si>
  <si>
    <t>MNBU 339488-0</t>
  </si>
  <si>
    <t>MNBU 371525-4</t>
  </si>
  <si>
    <t>MNBU 425355-1</t>
  </si>
  <si>
    <t>MMAU 126925-7</t>
  </si>
  <si>
    <t>TEMU 978411-0</t>
  </si>
  <si>
    <t>MCAU 601902-9</t>
  </si>
  <si>
    <t>MNBU 100924-3</t>
  </si>
  <si>
    <t>MNBU 364660-0</t>
  </si>
  <si>
    <t>TEMU 975479-5</t>
  </si>
  <si>
    <t>MNBU 038374-7</t>
  </si>
  <si>
    <t>MNBU 412579-8</t>
  </si>
  <si>
    <t>MNBU 900747-9</t>
  </si>
  <si>
    <t>MMAU 137886-0</t>
  </si>
  <si>
    <t>MMAU133965-2</t>
  </si>
  <si>
    <t>SUDU 808789-7</t>
  </si>
  <si>
    <t>MNBU 314337-5</t>
  </si>
  <si>
    <t>MNBU 057605-3</t>
  </si>
  <si>
    <t>MNBU 023905-1</t>
  </si>
  <si>
    <t>MMAU 129717-7</t>
  </si>
  <si>
    <t>MNBU 372490-8</t>
  </si>
  <si>
    <t>MMAU141591-6</t>
  </si>
  <si>
    <t>MMAU 114162-5</t>
  </si>
  <si>
    <t>MNBU 913516-6</t>
  </si>
  <si>
    <t>MMAU 121963-6</t>
  </si>
  <si>
    <t>MCAU 605809-3</t>
  </si>
  <si>
    <t>MNBU 920469-4</t>
  </si>
  <si>
    <t>MNBU 057378-9</t>
  </si>
  <si>
    <t>MNBU 919838-0</t>
  </si>
  <si>
    <t>MMAU 130706-4</t>
  </si>
  <si>
    <t>MMAU 142652-5</t>
  </si>
  <si>
    <t>MMAU 138881-0</t>
  </si>
  <si>
    <t>MMAU 134297-5</t>
  </si>
  <si>
    <t>MMAU 144895-1</t>
  </si>
  <si>
    <t>MNBU 049332-2</t>
  </si>
  <si>
    <t>MNBU 020112-2</t>
  </si>
  <si>
    <t>MMAU 141672-2</t>
  </si>
  <si>
    <t>CNIU 223016-7</t>
  </si>
  <si>
    <t>MNBU 312697-4</t>
  </si>
  <si>
    <t>MMAU 145660-4</t>
  </si>
  <si>
    <t>SUDU811459-1</t>
  </si>
  <si>
    <t>MMAU 125346-1</t>
  </si>
  <si>
    <t>MNBU 442666-2</t>
  </si>
  <si>
    <t>MNBU 365187-0</t>
  </si>
  <si>
    <t>MNBU 333931-0</t>
  </si>
  <si>
    <t>MNBU 309285-3</t>
  </si>
  <si>
    <t>MNBU 356475-4</t>
  </si>
  <si>
    <t>MWCU 531648-7</t>
  </si>
  <si>
    <t>MMAU 124664-7</t>
  </si>
  <si>
    <t>MNBU 457482-3</t>
  </si>
  <si>
    <t>SUDU 920484-8</t>
  </si>
  <si>
    <t>MMAU 116203-7</t>
  </si>
  <si>
    <t>MNBU 309212-8</t>
  </si>
  <si>
    <t>MNBU 354715-0</t>
  </si>
  <si>
    <t>MNBU 332273-0</t>
  </si>
  <si>
    <t>MNBU 308723-0</t>
  </si>
  <si>
    <t>MNBU 042029-1</t>
  </si>
  <si>
    <t>MMAU 137643-0</t>
  </si>
  <si>
    <t>MNBU 316834-7</t>
  </si>
  <si>
    <t>MNBU 412935-0</t>
  </si>
  <si>
    <t>MNBU 531377-0</t>
  </si>
  <si>
    <t>MMAU 129967-3</t>
  </si>
  <si>
    <t>MNBU 067068-6</t>
  </si>
  <si>
    <t>MMAU 111352-0</t>
  </si>
  <si>
    <t>MWCU 533115-7</t>
  </si>
  <si>
    <t>MNBU 335884-0</t>
  </si>
  <si>
    <t>MNBU 308765-1</t>
  </si>
  <si>
    <t>MNBU 033671-9</t>
  </si>
  <si>
    <t>SUDU 622632-9</t>
  </si>
  <si>
    <t>MNBU 361648-3</t>
  </si>
  <si>
    <t>MNBU 326828-5</t>
  </si>
  <si>
    <t>MNBU 344478-5</t>
  </si>
  <si>
    <t>MNBU 443481-6</t>
  </si>
  <si>
    <t>MNBU 304167-1</t>
  </si>
  <si>
    <t>MNBU 382595-0</t>
  </si>
  <si>
    <t>SUDU 613495-8</t>
  </si>
  <si>
    <t>MNBU 345071-0</t>
  </si>
  <si>
    <t>MNBU 358171-0</t>
  </si>
  <si>
    <t>MNBU 321767-3</t>
  </si>
  <si>
    <t>SUDU 605499-7</t>
  </si>
  <si>
    <t>SUDU 629987-6</t>
  </si>
  <si>
    <t>MNBU 052099-0</t>
  </si>
  <si>
    <t>MNBU 367191-6</t>
  </si>
  <si>
    <t>MNBU 338445-4</t>
  </si>
  <si>
    <t>MNBU 373343-2</t>
  </si>
  <si>
    <t>MMAU 149066-9</t>
  </si>
  <si>
    <t>MNBU 321644-5</t>
  </si>
  <si>
    <t>MMAU 135363-0</t>
  </si>
  <si>
    <t>MNBU 006143-7</t>
  </si>
  <si>
    <t>MNBU 372173-0</t>
  </si>
  <si>
    <t>SUDU 625299-2</t>
  </si>
  <si>
    <t>MNBU 331353-2</t>
  </si>
  <si>
    <t>TTNU 875868-0</t>
  </si>
  <si>
    <t>MNBU 351164-6</t>
  </si>
  <si>
    <t>MWCU 528856-7</t>
  </si>
  <si>
    <t>MNBU 374688-8</t>
  </si>
  <si>
    <t>MNBU 917201-0</t>
  </si>
  <si>
    <t>MNBU 061642-7</t>
  </si>
  <si>
    <t>MNBU 363553-9</t>
  </si>
  <si>
    <t>MNBU 309370-0</t>
  </si>
  <si>
    <t>MNBU 370810-5</t>
  </si>
  <si>
    <t>MSGU 913970-2</t>
  </si>
  <si>
    <t>TEMU 950574-5</t>
  </si>
  <si>
    <t>HLBU 997260-4</t>
  </si>
  <si>
    <t>TRIU 893602-5</t>
  </si>
  <si>
    <t>HLBU 603592-4</t>
  </si>
  <si>
    <t>MSGU 901510-5</t>
  </si>
  <si>
    <t>HLBU 607606-0</t>
  </si>
  <si>
    <t>OTPU 629358-7</t>
  </si>
  <si>
    <t>637-638</t>
  </si>
  <si>
    <t>MNBU 445847-0</t>
  </si>
  <si>
    <t>BMOU 928352-0</t>
  </si>
  <si>
    <t>MSDU 978246-7</t>
  </si>
  <si>
    <t>MSDU 912684-9</t>
  </si>
  <si>
    <t>SZLU 927742-6</t>
  </si>
  <si>
    <t>MEDU 982908-1</t>
  </si>
  <si>
    <t>HLBU 997562-4</t>
  </si>
  <si>
    <t>TTNU 818219-4</t>
  </si>
  <si>
    <t>BMOU 925323-3</t>
  </si>
  <si>
    <t>SZLU 915060-0</t>
  </si>
  <si>
    <t>BMOU 928908-8</t>
  </si>
  <si>
    <t>637 S</t>
  </si>
  <si>
    <t>HLBU 948991-5</t>
  </si>
  <si>
    <t>MSGU 916237-0</t>
  </si>
  <si>
    <t>MSDU 900852-7</t>
  </si>
  <si>
    <t>SZLU 923060-3</t>
  </si>
  <si>
    <t>2631</t>
  </si>
  <si>
    <t>CXRU 140674-6</t>
  </si>
  <si>
    <t>TEMU 937639-7</t>
  </si>
  <si>
    <t>SZLU 915227-0</t>
  </si>
  <si>
    <t>HLBU 617682-0</t>
  </si>
  <si>
    <t>MNBU 456086-1</t>
  </si>
  <si>
    <t>MNBU 375706-0</t>
  </si>
  <si>
    <t>MNBU 907943-7</t>
  </si>
  <si>
    <t>MNBU 429012-8</t>
  </si>
  <si>
    <t>MMAU 139098-9</t>
  </si>
  <si>
    <t>MNBU 399466-8</t>
  </si>
  <si>
    <t>MNBU 433821-6</t>
  </si>
  <si>
    <t>MNBU 439824-1</t>
  </si>
  <si>
    <t>SUDU 620424-8</t>
  </si>
  <si>
    <t>MNBU 317131-4</t>
  </si>
  <si>
    <t>MMAU 140485-0</t>
  </si>
  <si>
    <t>MNBU 461595-9</t>
  </si>
  <si>
    <t>MNBU 366579-1</t>
  </si>
  <si>
    <t>MNBU 441591-9</t>
  </si>
  <si>
    <t>MNBU 417998-4</t>
  </si>
  <si>
    <t>SUDU 823206-4</t>
  </si>
  <si>
    <t>MNBU 003538-2</t>
  </si>
  <si>
    <t>MNBU 451130-0</t>
  </si>
  <si>
    <t>SUDU 613349-0</t>
  </si>
  <si>
    <t>SUDU 824714-6</t>
  </si>
  <si>
    <t>MMAU 148888-8</t>
  </si>
  <si>
    <t>SUDU 620285-7</t>
  </si>
  <si>
    <t>MNBU 444053-1</t>
  </si>
  <si>
    <t>MNBU 466923-5</t>
  </si>
  <si>
    <t>MNBU 908988-3</t>
  </si>
  <si>
    <t>MNBU 363629-0</t>
  </si>
  <si>
    <t>MNBU 452485-9</t>
  </si>
  <si>
    <t>MNBU 406069-7</t>
  </si>
  <si>
    <t>MMAU 150273-3</t>
  </si>
  <si>
    <t>MMAU 145458-0</t>
  </si>
  <si>
    <t>MMAU 150580-9</t>
  </si>
  <si>
    <t>MNBU 445246-6</t>
  </si>
  <si>
    <t>MMAU 125269-7</t>
  </si>
  <si>
    <t>MNBU 409657-6</t>
  </si>
  <si>
    <t>MNBU 918705-1</t>
  </si>
  <si>
    <t>MNBU 013851-8</t>
  </si>
  <si>
    <t>MMAU 134372-9</t>
  </si>
  <si>
    <t>MNBU 451193-3</t>
  </si>
  <si>
    <t>MNBU 356689-1</t>
  </si>
  <si>
    <t>MNBU 363278-2</t>
  </si>
  <si>
    <t>MNBU 427706-5</t>
  </si>
  <si>
    <t>TLLU 116724-1</t>
  </si>
  <si>
    <t>MNBU 337902-0</t>
  </si>
  <si>
    <t>MNBU 435369-5</t>
  </si>
  <si>
    <t>SUDU 613089-1</t>
  </si>
  <si>
    <t>SUDU 612521-5</t>
  </si>
  <si>
    <t>MMAU 132378-5</t>
  </si>
  <si>
    <t>MMAU 150479-9</t>
  </si>
  <si>
    <t>MNBU 432727-4</t>
  </si>
  <si>
    <t>MNBU 348450-9</t>
  </si>
  <si>
    <t>MMAU 141171-5</t>
  </si>
  <si>
    <t>MNBU 449709-6</t>
  </si>
  <si>
    <t>MNBU 922009-9</t>
  </si>
  <si>
    <t>MMAU 102122-9</t>
  </si>
  <si>
    <t>MNBU 341319-3</t>
  </si>
  <si>
    <t>MNBU 043590-1</t>
  </si>
  <si>
    <t>MNBU 367907-5</t>
  </si>
  <si>
    <t>MNBU 032646-0</t>
  </si>
  <si>
    <t>MNBU 001961-1</t>
  </si>
  <si>
    <t>MNBU 393918-8</t>
  </si>
  <si>
    <t>MNBU 435852-6</t>
  </si>
  <si>
    <t>MMAU 129678-2</t>
  </si>
  <si>
    <t>MMAU 103752-3</t>
  </si>
  <si>
    <t>MMAU 145138-5</t>
  </si>
  <si>
    <t>MMAU 141196-8</t>
  </si>
  <si>
    <t>MMAU 132762-5</t>
  </si>
  <si>
    <t>MMAU 921269-0</t>
  </si>
  <si>
    <t>MNBU 921376-2</t>
  </si>
  <si>
    <t>MMAU 140226-7</t>
  </si>
  <si>
    <t>MNBU 309238-6</t>
  </si>
  <si>
    <t>SUDU 629945-4</t>
  </si>
  <si>
    <t>MNBU 373657-6</t>
  </si>
  <si>
    <t>MMAU 131337-0</t>
  </si>
  <si>
    <t>MMAU 111438-4</t>
  </si>
  <si>
    <t>MNBU 054388-7</t>
  </si>
  <si>
    <t>MCAU 604805-3</t>
  </si>
  <si>
    <t>MNBU 425853-2</t>
  </si>
  <si>
    <t>MWCU 521952-7</t>
  </si>
  <si>
    <t>MMAU 145256-6</t>
  </si>
  <si>
    <t>MNBU 043060-1</t>
  </si>
  <si>
    <t>MNBU 900434-0</t>
  </si>
  <si>
    <t>MNBU 422425-5</t>
  </si>
  <si>
    <t>MCAU 607539-9</t>
  </si>
  <si>
    <t>MMAU 127182-4</t>
  </si>
  <si>
    <t>MNBU 404352-9</t>
  </si>
  <si>
    <t>MMAU 137299-0</t>
  </si>
  <si>
    <t>TLLU 117632-5</t>
  </si>
  <si>
    <t>MMAU 133986-3</t>
  </si>
  <si>
    <t>MMAU 107931-8</t>
  </si>
  <si>
    <t>MNBU 306344-9</t>
  </si>
  <si>
    <t>MNBU 349948-0</t>
  </si>
  <si>
    <t>TLLU 122767-5</t>
  </si>
  <si>
    <t>MNBU 029259-1</t>
  </si>
  <si>
    <t>MNBI 381003-5</t>
  </si>
  <si>
    <t>MMAU 134627-1</t>
  </si>
  <si>
    <t>MNBU 030263-7</t>
  </si>
  <si>
    <t>MNBU 302561-8</t>
  </si>
  <si>
    <t>MMAU 140909-2</t>
  </si>
  <si>
    <t>MMAU 138969-5</t>
  </si>
  <si>
    <t>MNBU 011851-1</t>
  </si>
  <si>
    <t>TEMU 978602-5</t>
  </si>
  <si>
    <t>MNBU 369319-7</t>
  </si>
  <si>
    <t>MNBU 414471-4</t>
  </si>
  <si>
    <t>MNBU 006441-5</t>
  </si>
  <si>
    <t>MNBU 904014-2</t>
  </si>
  <si>
    <t>MMAU 108210-0</t>
  </si>
  <si>
    <t>SUDU 810192-7</t>
  </si>
  <si>
    <t>MNBU 446122-0</t>
  </si>
  <si>
    <t>MNBU 040220-9</t>
  </si>
  <si>
    <t>MNBU 405989-1</t>
  </si>
  <si>
    <t>FSCU 571867-0</t>
  </si>
  <si>
    <t>MNBU 061324-3</t>
  </si>
  <si>
    <t>MNBU 449706-0</t>
  </si>
  <si>
    <t>MNBU 396881-7</t>
  </si>
  <si>
    <t>MNBU 040046-4</t>
  </si>
  <si>
    <t>MNBU 060029-3</t>
  </si>
  <si>
    <t>SUDU 812211-2</t>
  </si>
  <si>
    <t>MNBU 408384-0</t>
  </si>
  <si>
    <t>MNBU 319354-5</t>
  </si>
  <si>
    <t>MNBU 014341-1</t>
  </si>
  <si>
    <t>MNBU 433049-4</t>
  </si>
  <si>
    <t>MMAU 132309-1</t>
  </si>
  <si>
    <t>MMAU 115069-5</t>
  </si>
  <si>
    <t>MNBU 468361-3</t>
  </si>
  <si>
    <t>MNBU 303721-8</t>
  </si>
  <si>
    <t>MNBU 461919-4</t>
  </si>
  <si>
    <t>MMAU 125551-0</t>
  </si>
  <si>
    <t>MNBU 400914-4</t>
  </si>
  <si>
    <t>MNBU 470306-8</t>
  </si>
  <si>
    <t>MNBU 440305-5</t>
  </si>
  <si>
    <t>SUDU 613264-1</t>
  </si>
  <si>
    <t>MNBU 061217-0</t>
  </si>
  <si>
    <t>MNB7 919512-3</t>
  </si>
  <si>
    <t>MNBU 400115-9</t>
  </si>
  <si>
    <t>MNBU 003362-5</t>
  </si>
  <si>
    <t>MNBU 911330-0</t>
  </si>
  <si>
    <t>MNBU 377975-2</t>
  </si>
  <si>
    <t>MMAU 131784-3</t>
  </si>
  <si>
    <t>MNBU 385783-4</t>
  </si>
  <si>
    <t>MNBU 057485-1</t>
  </si>
  <si>
    <t>MNBU 906639-0</t>
  </si>
  <si>
    <t>MNBU 012538-3</t>
  </si>
  <si>
    <t>MMAU 108838-8</t>
  </si>
  <si>
    <t>SUDU 622925-1</t>
  </si>
  <si>
    <t>MNBU 410612-3</t>
  </si>
  <si>
    <t>MNBU 013345-5</t>
  </si>
  <si>
    <t>MNBU 396489-5</t>
  </si>
  <si>
    <t>MNBU 046256-9</t>
  </si>
  <si>
    <t>MNBU 316250-2</t>
  </si>
  <si>
    <t>MMAU 138315-1</t>
  </si>
  <si>
    <t>MNBU 357295-5</t>
  </si>
  <si>
    <t>MMAU 133411-5</t>
  </si>
  <si>
    <t>MNBU 343373-3</t>
  </si>
  <si>
    <t>MNBU 430914-1</t>
  </si>
  <si>
    <t>MNBU 008507-0</t>
  </si>
  <si>
    <t>SUDU 821130-7</t>
  </si>
  <si>
    <t>MNBU314126-4</t>
  </si>
  <si>
    <t>MMAU 129099-5</t>
  </si>
  <si>
    <t>MNBU 345870-5</t>
  </si>
  <si>
    <t>SUDU 808019-3</t>
  </si>
  <si>
    <t>MNBU 354559-0</t>
  </si>
  <si>
    <t>MCAU 605319-4</t>
  </si>
  <si>
    <t>MNBU 004164-1</t>
  </si>
  <si>
    <t>MNBU 376858-9</t>
  </si>
  <si>
    <t>SZLU 907132-7</t>
  </si>
  <si>
    <t>TTNU 805955-4</t>
  </si>
  <si>
    <t>HLBU 977156-0</t>
  </si>
  <si>
    <t>MSDU 913129-6</t>
  </si>
  <si>
    <t>SZLU 936424-3</t>
  </si>
  <si>
    <t>FBIU 525291-3</t>
  </si>
  <si>
    <t>MSDU 901829-5</t>
  </si>
  <si>
    <t>HLBU 928308-2</t>
  </si>
  <si>
    <t>HLBU 978385-3</t>
  </si>
  <si>
    <t>TTNU 872977-0</t>
  </si>
  <si>
    <t>ONEU 919502-3</t>
  </si>
  <si>
    <t>HLBU 915513-7</t>
  </si>
  <si>
    <t>TRIU 816901-0</t>
  </si>
  <si>
    <t>SZLU 900787-9</t>
  </si>
  <si>
    <t>ONEU 927498-7</t>
  </si>
  <si>
    <t>MEDU 971448-6</t>
  </si>
  <si>
    <t>HLBU 934303-1</t>
  </si>
  <si>
    <t>HLBU 600963-2</t>
  </si>
  <si>
    <t>HLBU 990383-5</t>
  </si>
  <si>
    <t>HLBU 623246-1</t>
  </si>
  <si>
    <t>ONEU 922002-3</t>
  </si>
  <si>
    <t>MEDU 982654-7</t>
  </si>
  <si>
    <t>638-639</t>
  </si>
  <si>
    <t>MNBU 055487-6</t>
  </si>
  <si>
    <t>SUDU 617718-4</t>
  </si>
  <si>
    <t>MNBU 412020-3</t>
  </si>
  <si>
    <t>MNBU 025746-1</t>
  </si>
  <si>
    <t>MNBU 418288-5</t>
  </si>
  <si>
    <t>MNBU 447225-1</t>
  </si>
  <si>
    <t>MNBU 426841-7</t>
  </si>
  <si>
    <t>MNBU 425651-9</t>
  </si>
  <si>
    <t>MNBU 368004-0</t>
  </si>
  <si>
    <t>MNBU 465829-3</t>
  </si>
  <si>
    <t>MNBU 465402-4</t>
  </si>
  <si>
    <t>MNBU 380179-5</t>
  </si>
  <si>
    <t>MNB7 047689-7</t>
  </si>
  <si>
    <t>MNBU 399503-1</t>
  </si>
  <si>
    <t>MNBU 340424-7</t>
  </si>
  <si>
    <t>MNBU 428388-0</t>
  </si>
  <si>
    <t>MNBU 035137-5</t>
  </si>
  <si>
    <t>MNBU 467307-1</t>
  </si>
  <si>
    <t>MNBU 412582-2</t>
  </si>
  <si>
    <t>TLLU 120627-1</t>
  </si>
  <si>
    <t>MNBU 454271-8</t>
  </si>
  <si>
    <t>MNBU 404616-9</t>
  </si>
  <si>
    <t>MNBU 438732-9</t>
  </si>
  <si>
    <t>MNBU 447696-1</t>
  </si>
  <si>
    <t>MNBU 447459-4</t>
  </si>
  <si>
    <t>MNBU 431623-8</t>
  </si>
  <si>
    <t>MNBU 418289-0</t>
  </si>
  <si>
    <t>MNBU 397509-8</t>
  </si>
  <si>
    <t>MNBU 055026-9</t>
  </si>
  <si>
    <t>MNBU 469949-8</t>
  </si>
  <si>
    <t>MNBU 311505-4</t>
  </si>
  <si>
    <t>MMAU 133101-3</t>
  </si>
  <si>
    <t>MNBU 352358-6</t>
  </si>
  <si>
    <t>MNBU 030358-8</t>
  </si>
  <si>
    <t>MNBU 422439-0</t>
  </si>
  <si>
    <t>MNBU 398105-9</t>
  </si>
  <si>
    <t>MNBU 403464-0</t>
  </si>
  <si>
    <t>MNBU 316791-0</t>
  </si>
  <si>
    <t>MNBU 323800-1</t>
  </si>
  <si>
    <t>MMAU 125535-6</t>
  </si>
  <si>
    <t>TLLU 116659-0</t>
  </si>
  <si>
    <t>MNBU 913276-3</t>
  </si>
  <si>
    <t>MNBU 355563-9</t>
  </si>
  <si>
    <t>MNBU 910178-3</t>
  </si>
  <si>
    <t>MNBU 364516-2</t>
  </si>
  <si>
    <t>SUDU 809951-6</t>
  </si>
  <si>
    <t>SUDU 804535-6</t>
  </si>
  <si>
    <t>MNBU 387587-0</t>
  </si>
  <si>
    <t>MNBU 043765-3</t>
  </si>
  <si>
    <t>MNBU 394043-0</t>
  </si>
  <si>
    <t>MNBU 470057-8</t>
  </si>
  <si>
    <t>MNBU 425594-0</t>
  </si>
  <si>
    <t>MNBU 400649-0</t>
  </si>
  <si>
    <t>MNBU 413766-0</t>
  </si>
  <si>
    <t>MMAU 137399-7</t>
  </si>
  <si>
    <t>MNBU 312548-0</t>
  </si>
  <si>
    <t>SUDU 624432-2</t>
  </si>
  <si>
    <t>MNBU 468741-3</t>
  </si>
  <si>
    <t>MNBU 423306-7</t>
  </si>
  <si>
    <t>SUDU 627500-4</t>
  </si>
  <si>
    <t>MNBU 421196-2</t>
  </si>
  <si>
    <t>MNBU 365846-8</t>
  </si>
  <si>
    <t>MNBU 367633-2</t>
  </si>
  <si>
    <t>MNBU 918610-0</t>
  </si>
  <si>
    <t>MNBU 458942-2</t>
  </si>
  <si>
    <t>MNBU 374586-0</t>
  </si>
  <si>
    <t>MNBU 407071-4</t>
  </si>
  <si>
    <t>MNBU 416626-7</t>
  </si>
  <si>
    <t>MNBU 329522-8</t>
  </si>
  <si>
    <t>MNBU 458759-0</t>
  </si>
  <si>
    <t>TTNU 898984-3</t>
  </si>
  <si>
    <t>TLLU 115391-0</t>
  </si>
  <si>
    <t>MNBU 396895-1</t>
  </si>
  <si>
    <t>MNBU 465482-6</t>
  </si>
  <si>
    <t>MNBU 056311-6</t>
  </si>
  <si>
    <t>MNBU 380214-8</t>
  </si>
  <si>
    <t>MNBU 434703-3</t>
  </si>
  <si>
    <t>MNBU 919114-9</t>
  </si>
  <si>
    <t>SUDU 801560-2</t>
  </si>
  <si>
    <t>MNBU 427979-3</t>
  </si>
  <si>
    <t>SUDU 608681-8</t>
  </si>
  <si>
    <t>MNBU 415948-4</t>
  </si>
  <si>
    <t>MNBU 376342-1</t>
  </si>
  <si>
    <t>TLLU 117433-8</t>
  </si>
  <si>
    <t>MNBU 443676-3</t>
  </si>
  <si>
    <t>MNBU 038720-7</t>
  </si>
  <si>
    <t>MNBU 050573-7</t>
  </si>
  <si>
    <t>MNBU 381886-4</t>
  </si>
  <si>
    <t>SUDU 816345-1</t>
  </si>
  <si>
    <t>MMAU 134008-3</t>
  </si>
  <si>
    <t>MNBU 351741-2</t>
  </si>
  <si>
    <t>MNBU 014325-8</t>
  </si>
  <si>
    <t>MNBU 411924-4</t>
  </si>
  <si>
    <t>MNBU 367924-4</t>
  </si>
  <si>
    <t>MNBU 340545-4</t>
  </si>
  <si>
    <t>MMAU 110473-0</t>
  </si>
  <si>
    <t>MNBU 345401-6</t>
  </si>
  <si>
    <t>MMAU 137725-1</t>
  </si>
  <si>
    <t>MNBU 440967-0</t>
  </si>
  <si>
    <t>MMAU 150281-5</t>
  </si>
  <si>
    <t>MMAU 109552-0</t>
  </si>
  <si>
    <t>MNBU 340816-0</t>
  </si>
  <si>
    <t>MNBU 470240-0</t>
  </si>
  <si>
    <t>MNBU 396459-7</t>
  </si>
  <si>
    <t>MMAU 105933-2</t>
  </si>
  <si>
    <t>SUDU 804081-6</t>
  </si>
  <si>
    <t>MMAU 124738-7</t>
  </si>
  <si>
    <t>MNBU 364597-0</t>
  </si>
  <si>
    <t>MNBU 404690-8</t>
  </si>
  <si>
    <t>MNBU 424165-3</t>
  </si>
  <si>
    <t>SUDU 816775-5</t>
  </si>
  <si>
    <t>MNBU 389773-4</t>
  </si>
  <si>
    <t>TLLU 119944-4</t>
  </si>
  <si>
    <t>TLLU 117306-0</t>
  </si>
  <si>
    <t>MNBU 456536-0</t>
  </si>
  <si>
    <t>MNBU 917720-1</t>
  </si>
  <si>
    <t>MNBU 013409-2</t>
  </si>
  <si>
    <t>MNBU 920628-0</t>
  </si>
  <si>
    <t>MNBU 000376-5</t>
  </si>
  <si>
    <t>MNBU 387612-0</t>
  </si>
  <si>
    <t>MNBU 312095-5</t>
  </si>
  <si>
    <t>SUDU 621367-7</t>
  </si>
  <si>
    <t>MNBU 379101-7</t>
  </si>
  <si>
    <t>MNBU 065404-7</t>
  </si>
  <si>
    <t>MNBUN052909-2</t>
  </si>
  <si>
    <t>MNBU 043458-8</t>
  </si>
  <si>
    <t>MNBU 908934-8</t>
  </si>
  <si>
    <t>MNBU 053595-8</t>
  </si>
  <si>
    <t>MNBU 384574-6</t>
  </si>
  <si>
    <t>MNBU 026789-7</t>
  </si>
  <si>
    <t>MNBU 306931-8</t>
  </si>
  <si>
    <t>MNBU 066146-8</t>
  </si>
  <si>
    <t>SUDU 801698-0</t>
  </si>
  <si>
    <t>MNBU 042711-0</t>
  </si>
  <si>
    <t>MMAU 126269-5</t>
  </si>
  <si>
    <t>MNBU 300377-4</t>
  </si>
  <si>
    <t>MMAU 149702-5</t>
  </si>
  <si>
    <t>MNBU 035567-9</t>
  </si>
  <si>
    <t>MMAU 115115-6</t>
  </si>
  <si>
    <t>MNBU 040061-2</t>
  </si>
  <si>
    <t>MNBU 373829-1</t>
  </si>
  <si>
    <t>MNBU 425578-6</t>
  </si>
  <si>
    <t>MWCU 525239-8</t>
  </si>
  <si>
    <t>MNBU 417710-6</t>
  </si>
  <si>
    <t>MNBU 920894-0</t>
  </si>
  <si>
    <t>MNBU 041445-2</t>
  </si>
  <si>
    <t>MNBU 911282-8</t>
  </si>
  <si>
    <t>MMAU 132332-1</t>
  </si>
  <si>
    <t>MNBU 919535-5</t>
  </si>
  <si>
    <t>SUDU 802806-6</t>
  </si>
  <si>
    <t>MNBU 420951-7</t>
  </si>
  <si>
    <t>MNBU 303068-2</t>
  </si>
  <si>
    <t>MNBU 414322-0</t>
  </si>
  <si>
    <t>MMAU 107313-5</t>
  </si>
  <si>
    <t>MNBU 344511-7</t>
  </si>
  <si>
    <t>MNBU 034183-9</t>
  </si>
  <si>
    <t>MNBU 066914-0</t>
  </si>
  <si>
    <t>SUDU 610360-1</t>
  </si>
  <si>
    <t>MNBU 386007-8</t>
  </si>
  <si>
    <t>MMAU 103760-5</t>
  </si>
  <si>
    <t>MNBU 369625-7</t>
  </si>
  <si>
    <t>MNBU 458294-2</t>
  </si>
  <si>
    <t>MNBU 464657-0</t>
  </si>
  <si>
    <t>MNBU 435574-3</t>
  </si>
  <si>
    <t>MNBU 914185-2</t>
  </si>
  <si>
    <t>MNBU 061167-8</t>
  </si>
  <si>
    <t>SUDU 621465-2</t>
  </si>
  <si>
    <t>MNBU 043840-7</t>
  </si>
  <si>
    <t>MNBU 004181-0</t>
  </si>
  <si>
    <t>MNBU 375117-0</t>
  </si>
  <si>
    <t>MNBU 393444-2</t>
  </si>
  <si>
    <t>MNBU 038621-6</t>
  </si>
  <si>
    <t>MNBU 431464-1</t>
  </si>
  <si>
    <t>MNBU 048920-9</t>
  </si>
  <si>
    <t>MMAU 121340-6</t>
  </si>
  <si>
    <t>MNBU 375100-9</t>
  </si>
  <si>
    <t>MNBU 470299-2</t>
  </si>
  <si>
    <t>MNBU 394530-2</t>
  </si>
  <si>
    <t>MNBU 046497-8</t>
  </si>
  <si>
    <t>MNBU 458604-3</t>
  </si>
  <si>
    <t>MNBU 910730-7</t>
  </si>
  <si>
    <t>MNBU 380694-5</t>
  </si>
  <si>
    <t>MMAU 138112-2</t>
  </si>
  <si>
    <t>MNBU 006844-7</t>
  </si>
  <si>
    <t>MNBU 452622-9</t>
  </si>
  <si>
    <t>MMAU 146874-7</t>
  </si>
  <si>
    <t>MNBU 455746-7</t>
  </si>
  <si>
    <t>MNBU 362228-0</t>
  </si>
  <si>
    <t>MNBU 442020-0</t>
  </si>
  <si>
    <t>MNBU 059025-6</t>
  </si>
  <si>
    <t>MNBU 413051-5</t>
  </si>
  <si>
    <t>MNBU 454169-2</t>
  </si>
  <si>
    <t>MNBU 301265-2</t>
  </si>
  <si>
    <t>MNBU 459524-0</t>
  </si>
  <si>
    <t>MMAU 111110-6</t>
  </si>
  <si>
    <t>MNBU 457693-4</t>
  </si>
  <si>
    <t>MNBU 381697-0</t>
  </si>
  <si>
    <t>.MNBU 445978-0</t>
  </si>
  <si>
    <t>MNBU 409424-9</t>
  </si>
  <si>
    <t>MNBU 441058-4</t>
  </si>
  <si>
    <t>MMAU 129633-4</t>
  </si>
  <si>
    <t>MNBU 313616-5</t>
  </si>
  <si>
    <t>MNBU 379996-0</t>
  </si>
  <si>
    <t>MNBU 028480-5</t>
  </si>
  <si>
    <t>MMAU 126761-3</t>
  </si>
  <si>
    <t>MNBU 906969-7</t>
  </si>
  <si>
    <t>MNBU 026966-8</t>
  </si>
  <si>
    <t>MNBU 043555-8</t>
  </si>
  <si>
    <t>MNBU 395753-5</t>
  </si>
  <si>
    <t>MNBU 447902-4</t>
  </si>
  <si>
    <t>MNBU 433807-3</t>
  </si>
  <si>
    <t>MNBU 320456-8</t>
  </si>
  <si>
    <t>MNBU 905342-7</t>
  </si>
  <si>
    <t>MMAU 126197-6</t>
  </si>
  <si>
    <t>MNBU 396332-7</t>
  </si>
  <si>
    <t>MNBU 036711-3</t>
  </si>
  <si>
    <t>MNBU 468851-2</t>
  </si>
  <si>
    <t>MNBU 043451-0</t>
  </si>
  <si>
    <t>MWCU 531992-7</t>
  </si>
  <si>
    <t>MNBU 403862-5</t>
  </si>
  <si>
    <t>MNBU 318440-9</t>
  </si>
  <si>
    <t>MNBU 311015-5</t>
  </si>
  <si>
    <t>MMAU 105093-1</t>
  </si>
  <si>
    <t>SUDU 629717-4</t>
  </si>
  <si>
    <t>MNBU 410002-2</t>
  </si>
  <si>
    <t>MNBU 916319-4</t>
  </si>
  <si>
    <t>SUDU 810455-1</t>
  </si>
  <si>
    <t>MNBU 001320-7</t>
  </si>
  <si>
    <t>26039</t>
  </si>
  <si>
    <t>BMOU 986451-0</t>
  </si>
  <si>
    <t>MWCU 531768-9</t>
  </si>
  <si>
    <t>MMAU 117412-5</t>
  </si>
  <si>
    <t>MNBU 378948-9</t>
  </si>
  <si>
    <t>MNBU 912468-6</t>
  </si>
  <si>
    <t>TLLU 118751-0</t>
  </si>
  <si>
    <t>MMAU 124332-9</t>
  </si>
  <si>
    <t>MNBU 368034-8</t>
  </si>
  <si>
    <t>MNBU 386498-3</t>
  </si>
  <si>
    <t>MMAU 124759-8</t>
  </si>
  <si>
    <t>MMAU 104897-6</t>
  </si>
  <si>
    <t>MNBU 034061-6</t>
  </si>
  <si>
    <t>MNBU 009516-5</t>
  </si>
  <si>
    <t>MNBU 352652-2</t>
  </si>
  <si>
    <t>MNBU 374777-6</t>
  </si>
  <si>
    <t>TLLU 117158-1</t>
  </si>
  <si>
    <t>MNBU 375733-1</t>
  </si>
  <si>
    <t>MNBU 455384-1</t>
  </si>
  <si>
    <t>MNBU 901414-3</t>
  </si>
  <si>
    <t>MNBU 414105-8</t>
  </si>
  <si>
    <t>MNBU 913858-7</t>
  </si>
  <si>
    <t>MNBU 429285-6</t>
  </si>
  <si>
    <t>MMAU 107592-4</t>
  </si>
  <si>
    <t>MNBU 022492-0</t>
  </si>
  <si>
    <t>MNBU 051821-0</t>
  </si>
  <si>
    <t>MNBU 012252-7</t>
  </si>
  <si>
    <t>MNBU 314553-1</t>
  </si>
  <si>
    <t>MNBU 010242-8</t>
  </si>
  <si>
    <t>MNBU 470944-6</t>
  </si>
  <si>
    <t>MMAU 132797-0</t>
  </si>
  <si>
    <t>MNBU 397123-5</t>
  </si>
  <si>
    <t>MNBU 470281-6</t>
  </si>
  <si>
    <t>TLLU 117307-5</t>
  </si>
  <si>
    <t>MNBU 060968-6</t>
  </si>
  <si>
    <t>MNBU 065271-7</t>
  </si>
  <si>
    <t>MNBU 390528-0</t>
  </si>
  <si>
    <t>MNBU 321667-7</t>
  </si>
  <si>
    <t>MNBU 467600-2</t>
  </si>
  <si>
    <t>SUDU 931057-8</t>
  </si>
  <si>
    <t>MNBU 065714-9</t>
  </si>
  <si>
    <t>MNBU 313025-4</t>
  </si>
  <si>
    <t>MMAU 104464-6</t>
  </si>
  <si>
    <t>MNBU 058856-2</t>
  </si>
  <si>
    <t>MNBU 423157-3</t>
  </si>
  <si>
    <t>MMAU 135216-6</t>
  </si>
  <si>
    <t>MNBU 910291-7</t>
  </si>
  <si>
    <t>MNBU 910838-7</t>
  </si>
  <si>
    <t>MMAU 135989-6</t>
  </si>
  <si>
    <t>MMAU 132103-6</t>
  </si>
  <si>
    <t>MMAU 137545-4</t>
  </si>
  <si>
    <t>MNBU 058091-5</t>
  </si>
  <si>
    <t>MNBU 001676-2</t>
  </si>
  <si>
    <t>MNBU 467810-8</t>
  </si>
  <si>
    <t>MNBU 355133-5</t>
  </si>
  <si>
    <t>MNBU 441831-1</t>
  </si>
  <si>
    <t>MMAU 141392-9</t>
  </si>
  <si>
    <t>MNBU 365402-0</t>
  </si>
  <si>
    <t>MNBU 455109-4</t>
  </si>
  <si>
    <t>SUDU 820294-3</t>
  </si>
  <si>
    <t>SUDU 802622-7</t>
  </si>
  <si>
    <t>MNBU 053124-8</t>
  </si>
  <si>
    <t>SUDU 614431-8</t>
  </si>
  <si>
    <t>MNBU 046104-8</t>
  </si>
  <si>
    <t>SUDU 821611-9</t>
  </si>
  <si>
    <t>MSWU 100551-2</t>
  </si>
  <si>
    <t>MNBU 029384-9</t>
  </si>
  <si>
    <t>MNBU 914194-0</t>
  </si>
  <si>
    <t>MNBU 037748-8</t>
  </si>
  <si>
    <t>MNBU 318027-6</t>
  </si>
  <si>
    <t>MNBU 407385-8</t>
  </si>
  <si>
    <t>MNBU 425889-3</t>
  </si>
  <si>
    <t>MNBU 065492-0</t>
  </si>
  <si>
    <t>MNBU 451271-3</t>
  </si>
  <si>
    <t>SUDU 814414-8</t>
  </si>
  <si>
    <t>MNBU 432263-1</t>
  </si>
  <si>
    <t>MMAU 139087-0</t>
  </si>
  <si>
    <t>MNBU 006224-3</t>
  </si>
  <si>
    <t>MMAU 108333-9</t>
  </si>
  <si>
    <t>MMAU 130784-5</t>
  </si>
  <si>
    <t>SUDU 819278-4</t>
  </si>
  <si>
    <t>MMAU 139214-8</t>
  </si>
  <si>
    <t>MCAU 856975-0</t>
  </si>
  <si>
    <t>MNBU 914825-0</t>
  </si>
  <si>
    <t>SUDU 817153-9</t>
  </si>
  <si>
    <t>MNBU 458061-5</t>
  </si>
  <si>
    <t>MNBU 364050-9</t>
  </si>
  <si>
    <t>MNBU 457894-2</t>
  </si>
  <si>
    <t>SUDU 621891-4</t>
  </si>
  <si>
    <t>MNBU 469965-1</t>
  </si>
  <si>
    <t>MNBU 425925-1</t>
  </si>
  <si>
    <t>MNBU 456466-1</t>
  </si>
  <si>
    <t>MNBU 371347-8</t>
  </si>
  <si>
    <t>MNBU 470105-0</t>
  </si>
  <si>
    <t>SUDU 824551-8</t>
  </si>
  <si>
    <t>MNBU 031534-1</t>
  </si>
  <si>
    <t>TEMU 975428-6</t>
  </si>
  <si>
    <t>MNBU 448553-6</t>
  </si>
  <si>
    <t>MNBU 349408-7</t>
  </si>
  <si>
    <t>MNBU 332908-2</t>
  </si>
  <si>
    <t>TLLU 121736-3</t>
  </si>
  <si>
    <t>MNBU 406959-1</t>
  </si>
  <si>
    <t>MNBU 377531-4</t>
  </si>
  <si>
    <t>MNBU 369181-0</t>
  </si>
  <si>
    <t>TLLU 122336-6</t>
  </si>
  <si>
    <t>MNBU 018722-0</t>
  </si>
  <si>
    <t>MNBU 401246-7</t>
  </si>
  <si>
    <t>MNBU 901539-2</t>
  </si>
  <si>
    <t>MNBU 418251-9</t>
  </si>
  <si>
    <t>MNBU 328894-9</t>
  </si>
  <si>
    <t>MNBU 425507-1</t>
  </si>
  <si>
    <t>MNBU 350348-7</t>
  </si>
  <si>
    <t>MNBU 907779-5</t>
  </si>
  <si>
    <t>MNBU 443675-8</t>
  </si>
  <si>
    <t>SUDU 809302-0</t>
  </si>
  <si>
    <t>MNBU 311196-9</t>
  </si>
  <si>
    <t>MSWU 004933-1</t>
  </si>
  <si>
    <t>MNBU 469628-8</t>
  </si>
  <si>
    <t>MNBU 365828-3</t>
  </si>
  <si>
    <t>MNBU 065322-5</t>
  </si>
  <si>
    <t>MNBU 391885-8</t>
  </si>
  <si>
    <t>MMAU 131533-1</t>
  </si>
  <si>
    <t>MNBU 421762-0</t>
  </si>
  <si>
    <t>MNBU 387171-9</t>
  </si>
  <si>
    <t>MMAU 139107-5</t>
  </si>
  <si>
    <t>MNBU 319134-7</t>
  </si>
  <si>
    <t>MMAU 131251-7</t>
  </si>
  <si>
    <t>MNBU 065661-0</t>
  </si>
  <si>
    <t>MNBU 396568-0</t>
  </si>
  <si>
    <t>MNBU 058859-9</t>
  </si>
  <si>
    <t>MMAU 120978-8</t>
  </si>
  <si>
    <t>MMAU 136643-1</t>
  </si>
  <si>
    <t>MRFU 000585-7</t>
  </si>
  <si>
    <t>MMAU 124842-3</t>
  </si>
  <si>
    <t>MNBU 031160-2</t>
  </si>
  <si>
    <t>MNBU 362913-5</t>
  </si>
  <si>
    <t>MNBU 470338-7</t>
  </si>
  <si>
    <t>MNBU 350046-7</t>
  </si>
  <si>
    <t>SUDU 616488-6</t>
  </si>
  <si>
    <t>MNBU 447950-7</t>
  </si>
  <si>
    <t>MNBU 374982-4</t>
  </si>
  <si>
    <t>MMAU 120848-3</t>
  </si>
  <si>
    <t>MNBU 391692-1</t>
  </si>
  <si>
    <t>MMAU 137004-6</t>
  </si>
  <si>
    <t>SUDU 819041-5</t>
  </si>
  <si>
    <t>MNBU 066071-2</t>
  </si>
  <si>
    <t>MNBU 462203-2</t>
  </si>
  <si>
    <t>MNBU 002584-6</t>
  </si>
  <si>
    <t>MMAU 148085-0</t>
  </si>
  <si>
    <t>MNBU 407301-4</t>
  </si>
  <si>
    <t>MNBU 404656-0</t>
  </si>
  <si>
    <t>MNBU 419471-5</t>
  </si>
  <si>
    <t>MNBU 377764-1</t>
  </si>
  <si>
    <t>MNBU 022986-0</t>
  </si>
  <si>
    <t>MNBU335273-4</t>
  </si>
  <si>
    <t>639 S</t>
  </si>
  <si>
    <t>HLBU 941273-9</t>
  </si>
  <si>
    <t>HLXU 879452-6</t>
  </si>
  <si>
    <t>HLBU 900721-1</t>
  </si>
  <si>
    <t>HLBU 60541-4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</si>
</sst>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\$#,##0"/>
    <numFmt numFmtId="165" formatCode="&quot;US$&quot;#,##0.00"/>
    <numFmt numFmtId="166" formatCode="#,##0.0"/>
    <numFmt numFmtId="167" formatCode="0.0%"/>
    <numFmt numFmtId="168" formatCode="&quot;US$&quot;#,##0"/>
    <numFmt numFmtId="169" formatCode="\$#,##0.00"/>
    <numFmt numFmtId="170" formatCode="\$0.0000"/>
    <numFmt numFmtId="171" formatCode="&quot;US$&quot;#,##0;[Red]\-&quot;US$&quot;#,##0"/>
    <numFmt numFmtId="172" formatCode="0.0%;[Red]\-0.0%"/>
    <numFmt numFmtId="173" formatCode="dd\-mm\-yyyy\ hh:mm"/>
    <numFmt numFmtId="174" formatCode="ddd\ dd\-mm"/>
    <numFmt numFmtId="175" formatCode="#,##0;#,##0;0"/>
    <numFmt numFmtId="176" formatCode="&quot;▲ &quot;#,##0;&quot;▼ &quot;#,##0;&quot;–&quot;"/>
    <numFmt numFmtId="177" formatCode="&quot;▲ US$&quot;#,##0;&quot;▼ US$&quot;#,##0;&quot;–&quot;"/>
    <numFmt numFmtId="178" formatCode="&quot;▲ &quot;0.0%;&quot;▼ &quot;0.0%;&quot;–&quot;"/>
  </numFmts>
  <fonts count="24" x14ac:knownFonts="1">
    <font>
      <sz val="10"/>
      <name val="Arial"/>
      <family val="2"/>
      <charset val="1"/>
    </font>
    <font>
      <sz val="10"/>
      <name val="Arial"/>
      <charset val="1"/>
    </font>
    <font>
      <b/>
      <sz val="11"/>
      <color rgb="FFFFFFFF"/>
      <name val="Calibri"/>
      <charset val="1"/>
    </font>
    <font>
      <i/>
      <sz val="11"/>
      <color rgb="FF666666"/>
      <name val="Calibri"/>
      <charset val="1"/>
    </font>
    <font>
      <b/>
      <sz val="10"/>
      <color rgb="FFFFFFFF"/>
      <name val="Calibri"/>
      <charset val="1"/>
    </font>
    <font>
      <b/>
      <sz val="11"/>
      <color rgb="FF005B8E"/>
      <name val="Calibri"/>
      <charset val="1"/>
    </font>
    <font>
      <b/>
      <sz val="11"/>
      <color rgb="FF7F6000"/>
      <name val="Calibri"/>
      <charset val="1"/>
    </font>
    <font>
      <b/>
      <sz val="13"/>
      <color rgb="FF003B5C"/>
      <name val="Calibri"/>
      <charset val="1"/>
    </font>
    <font>
      <sz val="11"/>
      <color rgb="FF1F1F1F"/>
      <name val="Calibri"/>
      <charset val="1"/>
    </font>
    <font>
      <b/>
      <sz val="11"/>
      <color rgb="FF548235"/>
      <name val="Calibri"/>
      <charset val="1"/>
    </font>
    <font>
      <sz val="11"/>
      <color rgb="FF005B8E"/>
      <name val="Calibri"/>
      <charset val="1"/>
    </font>
    <font>
      <b/>
      <sz val="11"/>
      <color rgb="FFC65911"/>
      <name val="Calibri"/>
      <charset val="1"/>
    </font>
    <font>
      <b/>
      <sz val="11"/>
      <name val="Calibri"/>
      <charset val="1"/>
    </font>
    <font>
      <b/>
      <sz val="14"/>
      <color rgb="FFFFFFFF"/>
      <name val="Calibri"/>
      <charset val="1"/>
    </font>
    <font>
      <i/>
      <sz val="10"/>
      <color rgb="FF1F1F1F"/>
      <name val="Calibri"/>
      <charset val="1"/>
    </font>
    <font>
      <b/>
      <sz val="11"/>
      <name val="Cambria"/>
      <charset val="1"/>
    </font>
    <font>
      <sz val="11"/>
      <name val="Calibri"/>
      <charset val="1"/>
    </font>
    <font>
      <b/>
      <sz val="11"/>
      <color rgb="FF9C0006"/>
      <name val="Calibri"/>
      <charset val="1"/>
    </font>
    <font>
      <i/>
      <sz val="11"/>
      <color rgb="FF003B5C"/>
      <name val="Calibri"/>
      <charset val="1"/>
    </font>
    <font>
      <b/>
      <sz val="16"/>
      <color rgb="FFFFFFFF"/>
      <name val="Arial"/>
      <charset val="1"/>
    </font>
    <font>
      <i/>
      <sz val="10"/>
      <color rgb="FF1F1F1F"/>
      <name val="Arial"/>
      <charset val="1"/>
    </font>
    <font>
      <b/>
      <sz val="10"/>
      <color rgb="FFFFFFFF"/>
      <name val="Arial"/>
      <charset val="1"/>
    </font>
    <font>
      <b/>
      <sz val="12"/>
      <color rgb="FF0B5FA5"/>
      <name val="Arial"/>
      <charset val="1"/>
    </font>
    <font>
      <b/>
      <sz val="10"/>
      <color rgb="FF0B5FA5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003B5C"/>
        <bgColor rgb="FF005B8E"/>
      </patternFill>
    </fill>
    <fill>
      <patternFill patternType="solid">
        <fgColor rgb="FFEEF6FA"/>
        <bgColor rgb="FFEEF5FB"/>
      </patternFill>
    </fill>
    <fill>
      <patternFill patternType="solid">
        <fgColor rgb="FFF28C28"/>
        <bgColor rgb="FFED7D31"/>
      </patternFill>
    </fill>
    <fill>
      <patternFill patternType="solid">
        <fgColor rgb="FFFFF2CC"/>
        <bgColor rgb="FFFCE4D6"/>
      </patternFill>
    </fill>
    <fill>
      <patternFill patternType="solid">
        <fgColor rgb="FFEAF1F8"/>
        <bgColor rgb="FFEEF5FB"/>
      </patternFill>
    </fill>
    <fill>
      <patternFill patternType="solid">
        <fgColor rgb="FFF7F9FC"/>
        <bgColor rgb="FFEEF6FA"/>
      </patternFill>
    </fill>
    <fill>
      <patternFill patternType="solid">
        <fgColor rgb="FF005B8E"/>
        <bgColor rgb="FF0B5FA5"/>
      </patternFill>
    </fill>
    <fill>
      <patternFill patternType="solid">
        <fgColor rgb="FF0B5FA5"/>
        <bgColor rgb="FF005B8E"/>
      </patternFill>
    </fill>
    <fill>
      <patternFill patternType="solid">
        <fgColor rgb="FFD9EAF7"/>
        <bgColor rgb="FFDDE5EA"/>
      </patternFill>
    </fill>
    <fill>
      <patternFill patternType="solid">
        <fgColor rgb="FF1D74B7"/>
        <bgColor rgb="FF2E75B6"/>
      </patternFill>
    </fill>
    <fill>
      <patternFill patternType="solid">
        <fgColor rgb="FFEEF5FB"/>
        <bgColor rgb="FFEEF6FA"/>
      </patternFill>
    </fill>
    <fill>
      <patternFill patternType="solid">
        <fgColor rgb="FF5BB1E3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2F2F2"/>
        <bgColor indexed="64"/>
      </patternFill>
    </fill>
  </fills>
  <borders count="8">
    <border>
      <left/>
      <right/>
      <top/>
      <bottom/>
      <diagonal/>
    </border>
    <border>
      <left style="thin">
        <color rgb="FF003B5C"/>
      </left>
      <right style="thin">
        <color rgb="FF003B5C"/>
      </right>
      <top style="thin">
        <color rgb="FF003B5C"/>
      </top>
      <bottom style="thin">
        <color rgb="FF003B5C"/>
      </bottom>
      <diagonal/>
    </border>
    <border>
      <left style="medium">
        <color rgb="FFF28C28"/>
      </left>
      <right style="medium">
        <color rgb="FFF28C28"/>
      </right>
      <top style="medium">
        <color rgb="FFF28C28"/>
      </top>
      <bottom style="medium">
        <color rgb="FFF28C28"/>
      </bottom>
      <diagonal/>
    </border>
    <border>
      <left style="thin">
        <color rgb="FFB8C8D1"/>
      </left>
      <right style="thin">
        <color rgb="FFB8C8D1"/>
      </right>
      <top style="thin">
        <color rgb="FFB8C8D1"/>
      </top>
      <bottom style="thin">
        <color rgb="FFB8C8D1"/>
      </bottom>
      <diagonal/>
    </border>
    <border>
      <left/>
      <right/>
      <top/>
      <bottom style="thin">
        <color rgb="FFDDE5E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DE5EA"/>
      </top>
      <bottom style="thin">
        <color rgb="FFDDE5E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151">
    <xf numFmtId="0" fontId="0" fillId="0" borderId="0" xfId="0"/>
    <xf numFmtId="0" fontId="1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8" fillId="0" borderId="4" xfId="0" applyFont="1" applyBorder="1" applyAlignment="1">
      <alignment vertical="center"/>
    </xf>
    <xf numFmtId="3" fontId="8" fillId="0" borderId="4" xfId="0" applyNumberFormat="1" applyFont="1" applyBorder="1" applyAlignment="1">
      <alignment vertical="center"/>
    </xf>
    <xf numFmtId="164" fontId="8" fillId="0" borderId="4" xfId="0" applyNumberFormat="1" applyFont="1" applyBorder="1" applyAlignment="1">
      <alignment vertical="center"/>
    </xf>
    <xf numFmtId="166" fontId="8" fillId="0" borderId="4" xfId="0" applyNumberFormat="1" applyFont="1" applyBorder="1" applyAlignment="1">
      <alignment vertical="center"/>
    </xf>
    <xf numFmtId="165" fontId="8" fillId="0" borderId="4" xfId="0" applyNumberFormat="1" applyFont="1" applyBorder="1" applyAlignment="1">
      <alignment vertical="center"/>
    </xf>
    <xf numFmtId="2" fontId="8" fillId="0" borderId="4" xfId="0" applyNumberFormat="1" applyFont="1" applyBorder="1" applyAlignment="1">
      <alignment vertical="center"/>
    </xf>
    <xf numFmtId="0" fontId="9" fillId="0" borderId="4" xfId="0" applyFont="1" applyBorder="1" applyAlignment="1">
      <alignment vertical="center"/>
    </xf>
    <xf numFmtId="3" fontId="1" fillId="0" borderId="0" xfId="0" applyNumberFormat="1" applyFont="1"/>
    <xf numFmtId="164" fontId="1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/>
    <xf numFmtId="168" fontId="10" fillId="0" borderId="5" xfId="0" applyNumberFormat="1" applyFont="1" applyBorder="1"/>
    <xf numFmtId="168" fontId="0" fillId="0" borderId="5" xfId="0" applyNumberFormat="1" applyBorder="1"/>
    <xf numFmtId="167" fontId="0" fillId="0" borderId="5" xfId="0" applyNumberFormat="1" applyBorder="1"/>
    <xf numFmtId="0" fontId="8" fillId="0" borderId="6" xfId="0" applyFont="1" applyBorder="1" applyAlignment="1">
      <alignment vertical="center"/>
    </xf>
    <xf numFmtId="3" fontId="8" fillId="0" borderId="6" xfId="0" applyNumberFormat="1" applyFont="1" applyBorder="1" applyAlignment="1">
      <alignment vertical="center"/>
    </xf>
    <xf numFmtId="164" fontId="8" fillId="0" borderId="6" xfId="0" applyNumberFormat="1" applyFont="1" applyBorder="1" applyAlignment="1">
      <alignment vertical="center"/>
    </xf>
    <xf numFmtId="166" fontId="8" fillId="0" borderId="6" xfId="0" applyNumberFormat="1" applyFont="1" applyBorder="1" applyAlignment="1">
      <alignment vertical="center"/>
    </xf>
    <xf numFmtId="165" fontId="8" fillId="0" borderId="6" xfId="0" applyNumberFormat="1" applyFont="1" applyBorder="1" applyAlignment="1">
      <alignment vertical="center"/>
    </xf>
    <xf numFmtId="2" fontId="8" fillId="0" borderId="6" xfId="0" applyNumberFormat="1" applyFont="1" applyBorder="1" applyAlignment="1">
      <alignment vertical="center"/>
    </xf>
    <xf numFmtId="0" fontId="11" fillId="0" borderId="6" xfId="0" applyFont="1" applyBorder="1" applyAlignment="1">
      <alignment vertical="center"/>
    </xf>
    <xf numFmtId="0" fontId="9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8" fillId="5" borderId="6" xfId="0" applyFont="1" applyFill="1" applyBorder="1" applyAlignment="1">
      <alignment vertical="center"/>
    </xf>
    <xf numFmtId="3" fontId="8" fillId="5" borderId="6" xfId="0" applyNumberFormat="1" applyFont="1" applyFill="1" applyBorder="1" applyAlignment="1">
      <alignment vertical="center"/>
    </xf>
    <xf numFmtId="164" fontId="8" fillId="5" borderId="6" xfId="0" applyNumberFormat="1" applyFont="1" applyFill="1" applyBorder="1" applyAlignment="1">
      <alignment vertical="center"/>
    </xf>
    <xf numFmtId="166" fontId="8" fillId="5" borderId="6" xfId="0" applyNumberFormat="1" applyFont="1" applyFill="1" applyBorder="1" applyAlignment="1">
      <alignment vertical="center"/>
    </xf>
    <xf numFmtId="165" fontId="8" fillId="5" borderId="6" xfId="0" applyNumberFormat="1" applyFont="1" applyFill="1" applyBorder="1" applyAlignment="1">
      <alignment vertical="center"/>
    </xf>
    <xf numFmtId="2" fontId="8" fillId="5" borderId="6" xfId="0" applyNumberFormat="1" applyFont="1" applyFill="1" applyBorder="1" applyAlignment="1">
      <alignment vertical="center"/>
    </xf>
    <xf numFmtId="168" fontId="10" fillId="5" borderId="5" xfId="0" applyNumberFormat="1" applyFont="1" applyFill="1" applyBorder="1"/>
    <xf numFmtId="0" fontId="2" fillId="2" borderId="7" xfId="0" applyFont="1" applyFill="1" applyBorder="1" applyAlignment="1">
      <alignment vertical="center"/>
    </xf>
    <xf numFmtId="3" fontId="2" fillId="2" borderId="7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  <xf numFmtId="166" fontId="2" fillId="2" borderId="7" xfId="0" applyNumberFormat="1" applyFont="1" applyFill="1" applyBorder="1" applyAlignment="1">
      <alignment vertical="center"/>
    </xf>
    <xf numFmtId="165" fontId="2" fillId="2" borderId="7" xfId="0" applyNumberFormat="1" applyFont="1" applyFill="1" applyBorder="1" applyAlignment="1">
      <alignment vertical="center"/>
    </xf>
    <xf numFmtId="2" fontId="2" fillId="2" borderId="7" xfId="0" applyNumberFormat="1" applyFont="1" applyFill="1" applyBorder="1" applyAlignment="1">
      <alignment vertical="center"/>
    </xf>
    <xf numFmtId="164" fontId="12" fillId="6" borderId="0" xfId="0" applyNumberFormat="1" applyFont="1" applyFill="1"/>
    <xf numFmtId="167" fontId="12" fillId="6" borderId="0" xfId="0" applyNumberFormat="1" applyFont="1" applyFill="1"/>
    <xf numFmtId="168" fontId="12" fillId="6" borderId="5" xfId="0" applyNumberFormat="1" applyFont="1" applyFill="1" applyBorder="1"/>
    <xf numFmtId="167" fontId="12" fillId="6" borderId="5" xfId="0" applyNumberFormat="1" applyFont="1" applyFill="1" applyBorder="1"/>
    <xf numFmtId="0" fontId="4" fillId="2" borderId="0" xfId="0" applyFont="1" applyFill="1" applyAlignment="1">
      <alignment horizontal="center" vertical="center" wrapText="1"/>
    </xf>
    <xf numFmtId="0" fontId="15" fillId="0" borderId="5" xfId="0" applyFont="1" applyBorder="1"/>
    <xf numFmtId="3" fontId="0" fillId="0" borderId="5" xfId="0" applyNumberFormat="1" applyBorder="1"/>
    <xf numFmtId="0" fontId="0" fillId="0" borderId="5" xfId="0" applyBorder="1"/>
    <xf numFmtId="168" fontId="16" fillId="0" borderId="5" xfId="0" applyNumberFormat="1" applyFont="1" applyBorder="1"/>
    <xf numFmtId="0" fontId="0" fillId="7" borderId="5" xfId="0" applyFill="1" applyBorder="1"/>
    <xf numFmtId="3" fontId="0" fillId="7" borderId="5" xfId="0" applyNumberFormat="1" applyFill="1" applyBorder="1"/>
    <xf numFmtId="168" fontId="0" fillId="7" borderId="5" xfId="0" applyNumberFormat="1" applyFill="1" applyBorder="1"/>
    <xf numFmtId="0" fontId="12" fillId="6" borderId="5" xfId="0" applyFont="1" applyFill="1" applyBorder="1"/>
    <xf numFmtId="3" fontId="12" fillId="6" borderId="5" xfId="0" applyNumberFormat="1" applyFont="1" applyFill="1" applyBorder="1"/>
    <xf numFmtId="0" fontId="17" fillId="0" borderId="6" xfId="0" applyFont="1" applyBorder="1" applyAlignment="1">
      <alignment vertical="center"/>
    </xf>
    <xf numFmtId="164" fontId="10" fillId="0" borderId="4" xfId="0" applyNumberFormat="1" applyFont="1" applyBorder="1" applyAlignment="1">
      <alignment vertical="center"/>
    </xf>
    <xf numFmtId="164" fontId="10" fillId="0" borderId="6" xfId="0" applyNumberFormat="1" applyFont="1" applyBorder="1" applyAlignment="1">
      <alignment vertical="center"/>
    </xf>
    <xf numFmtId="164" fontId="10" fillId="5" borderId="6" xfId="0" applyNumberFormat="1" applyFont="1" applyFill="1" applyBorder="1" applyAlignment="1">
      <alignment vertical="center"/>
    </xf>
    <xf numFmtId="3" fontId="16" fillId="0" borderId="0" xfId="0" applyNumberFormat="1" applyFont="1"/>
    <xf numFmtId="164" fontId="16" fillId="0" borderId="0" xfId="0" applyNumberFormat="1" applyFont="1"/>
    <xf numFmtId="0" fontId="2" fillId="2" borderId="0" xfId="0" applyFont="1" applyFill="1"/>
    <xf numFmtId="3" fontId="10" fillId="0" borderId="4" xfId="0" applyNumberFormat="1" applyFont="1" applyBorder="1" applyAlignment="1">
      <alignment vertical="center"/>
    </xf>
    <xf numFmtId="166" fontId="10" fillId="0" borderId="4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vertical="center"/>
    </xf>
    <xf numFmtId="3" fontId="10" fillId="0" borderId="0" xfId="0" applyNumberFormat="1" applyFont="1"/>
    <xf numFmtId="3" fontId="10" fillId="0" borderId="6" xfId="0" applyNumberFormat="1" applyFont="1" applyBorder="1" applyAlignment="1">
      <alignment vertical="center"/>
    </xf>
    <xf numFmtId="166" fontId="10" fillId="0" borderId="6" xfId="0" applyNumberFormat="1" applyFont="1" applyBorder="1" applyAlignment="1">
      <alignment vertical="center"/>
    </xf>
    <xf numFmtId="165" fontId="10" fillId="0" borderId="6" xfId="0" applyNumberFormat="1" applyFont="1" applyBorder="1" applyAlignment="1">
      <alignment vertical="center"/>
    </xf>
    <xf numFmtId="3" fontId="10" fillId="5" borderId="6" xfId="0" applyNumberFormat="1" applyFont="1" applyFill="1" applyBorder="1" applyAlignment="1">
      <alignment vertical="center"/>
    </xf>
    <xf numFmtId="166" fontId="10" fillId="5" borderId="6" xfId="0" applyNumberFormat="1" applyFont="1" applyFill="1" applyBorder="1" applyAlignment="1">
      <alignment vertical="center"/>
    </xf>
    <xf numFmtId="165" fontId="10" fillId="5" borderId="6" xfId="0" applyNumberFormat="1" applyFont="1" applyFill="1" applyBorder="1" applyAlignment="1">
      <alignment vertical="center"/>
    </xf>
    <xf numFmtId="3" fontId="10" fillId="5" borderId="0" xfId="0" applyNumberFormat="1" applyFont="1" applyFill="1"/>
    <xf numFmtId="0" fontId="21" fillId="11" borderId="0" xfId="0" applyFont="1" applyFill="1" applyAlignment="1">
      <alignment horizontal="center" vertical="center"/>
    </xf>
    <xf numFmtId="4" fontId="22" fillId="12" borderId="0" xfId="0" applyNumberFormat="1" applyFont="1" applyFill="1" applyAlignment="1">
      <alignment horizontal="center" vertical="center"/>
    </xf>
    <xf numFmtId="0" fontId="22" fillId="12" borderId="0" xfId="0" applyFont="1" applyFill="1" applyAlignment="1">
      <alignment horizontal="center" vertical="center"/>
    </xf>
    <xf numFmtId="169" fontId="22" fillId="12" borderId="0" xfId="0" applyNumberFormat="1" applyFont="1" applyFill="1" applyAlignment="1">
      <alignment horizontal="center" vertical="center"/>
    </xf>
    <xf numFmtId="170" fontId="22" fillId="12" borderId="0" xfId="0" applyNumberFormat="1" applyFont="1" applyFill="1" applyAlignment="1">
      <alignment horizontal="center" vertical="center"/>
    </xf>
    <xf numFmtId="3" fontId="22" fillId="12" borderId="0" xfId="0" applyNumberFormat="1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69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23" fillId="10" borderId="0" xfId="0" applyFont="1" applyFill="1" applyAlignment="1">
      <alignment horizontal="center" vertical="center"/>
    </xf>
    <xf numFmtId="3" fontId="23" fillId="10" borderId="0" xfId="0" applyNumberFormat="1" applyFont="1" applyFill="1" applyAlignment="1">
      <alignment horizontal="center" vertical="center"/>
    </xf>
    <xf numFmtId="4" fontId="23" fillId="10" borderId="0" xfId="0" applyNumberFormat="1" applyFont="1" applyFill="1" applyAlignment="1">
      <alignment horizontal="center" vertical="center"/>
    </xf>
    <xf numFmtId="169" fontId="23" fillId="10" borderId="0" xfId="0" applyNumberFormat="1" applyFont="1" applyFill="1" applyAlignment="1">
      <alignment horizontal="center" vertical="center"/>
    </xf>
    <xf numFmtId="170" fontId="23" fillId="10" borderId="0" xfId="0" applyNumberFormat="1" applyFont="1" applyFill="1" applyAlignment="1">
      <alignment horizontal="center" vertical="center"/>
    </xf>
    <xf numFmtId="2" fontId="23" fillId="10" borderId="0" xfId="0" applyNumberFormat="1" applyFont="1" applyFill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171" fontId="8" fillId="0" borderId="6" xfId="0" applyNumberFormat="1" applyFont="1" applyBorder="1" applyAlignment="1">
      <alignment vertical="center"/>
    </xf>
    <xf numFmtId="172" fontId="8" fillId="0" borderId="6" xfId="0" applyNumberFormat="1" applyFont="1" applyBorder="1" applyAlignment="1">
      <alignment vertical="center"/>
    </xf>
    <xf numFmtId="168" fontId="2" fillId="2" borderId="7" xfId="0" applyNumberFormat="1" applyFont="1" applyFill="1" applyBorder="1" applyAlignment="1">
      <alignment vertical="center"/>
    </xf>
    <xf numFmtId="167" fontId="2" fillId="2" borderId="7" xfId="0" applyNumberFormat="1" applyFont="1" applyFill="1" applyBorder="1" applyAlignment="1">
      <alignment vertical="center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71" fontId="5" fillId="3" borderId="2" xfId="0" applyNumberFormat="1" applyFont="1" applyFill="1" applyBorder="1" applyAlignment="1">
      <alignment horizontal="center" vertical="center" wrapText="1"/>
    </xf>
    <xf numFmtId="173" fontId="8" fillId="0" borderId="6" xfId="0" applyNumberFormat="1" applyFont="1" applyBorder="1" applyAlignment="1">
      <alignment vertical="center"/>
    </xf>
    <xf numFmtId="174" fontId="8" fillId="0" borderId="6" xfId="0" applyNumberFormat="1" applyFont="1" applyBorder="1" applyAlignment="1">
      <alignment vertical="center"/>
    </xf>
    <xf numFmtId="3" fontId="6" fillId="5" borderId="2" xfId="0" applyNumberFormat="1" applyFont="1" applyFill="1" applyBorder="1" applyAlignment="1" applyProtection="1">
      <alignment horizontal="center" vertical="center"/>
      <protection locked="0"/>
    </xf>
    <xf numFmtId="175" fontId="8" fillId="0" borderId="6" xfId="0" applyNumberFormat="1" applyFont="1" applyBorder="1"/>
    <xf numFmtId="0" fontId="2" fillId="2" borderId="6" xfId="0" applyFont="1" applyFill="1" applyBorder="1" applyAlignment="1">
      <alignment vertical="center"/>
    </xf>
    <xf numFmtId="0" fontId="2" fillId="13" borderId="6" xfId="0" applyFont="1" applyFill="1" applyBorder="1" applyAlignment="1">
      <alignment vertical="center"/>
    </xf>
    <xf numFmtId="0" fontId="2" fillId="14" borderId="6" xfId="0" applyFont="1" applyFill="1" applyBorder="1" applyAlignment="1">
      <alignment vertical="center"/>
    </xf>
    <xf numFmtId="0" fontId="2" fillId="15" borderId="6" xfId="0" applyFont="1" applyFill="1" applyBorder="1" applyAlignment="1">
      <alignment vertical="center"/>
    </xf>
    <xf numFmtId="0" fontId="2" fillId="16" borderId="6" xfId="0" applyFont="1" applyFill="1" applyBorder="1" applyAlignment="1">
      <alignment vertical="center"/>
    </xf>
    <xf numFmtId="3" fontId="8" fillId="0" borderId="6" xfId="0" applyNumberFormat="1" applyFont="1" applyBorder="1" applyAlignment="1">
      <alignment horizontal="center" vertical="center"/>
    </xf>
    <xf numFmtId="3" fontId="12" fillId="17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76" fontId="0" fillId="0" borderId="5" xfId="0" applyNumberFormat="1" applyBorder="1" applyAlignment="1">
      <alignment horizontal="right" vertical="center"/>
    </xf>
    <xf numFmtId="177" fontId="0" fillId="0" borderId="5" xfId="0" applyNumberFormat="1" applyBorder="1" applyAlignment="1">
      <alignment horizontal="right" vertical="center"/>
    </xf>
    <xf numFmtId="178" fontId="0" fillId="0" borderId="5" xfId="0" applyNumberFormat="1" applyBorder="1" applyAlignment="1">
      <alignment horizontal="right" vertical="center"/>
    </xf>
    <xf numFmtId="3" fontId="12" fillId="0" borderId="5" xfId="0" applyNumberFormat="1" applyFont="1" applyBorder="1"/>
    <xf numFmtId="168" fontId="12" fillId="0" borderId="5" xfId="0" applyNumberFormat="1" applyFont="1" applyBorder="1"/>
    <xf numFmtId="167" fontId="12" fillId="0" borderId="5" xfId="0" applyNumberFormat="1" applyFont="1" applyBorder="1"/>
    <xf numFmtId="0" fontId="7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176" fontId="12" fillId="6" borderId="5" xfId="0" applyNumberFormat="1" applyFont="1" applyFill="1" applyBorder="1" applyAlignment="1">
      <alignment horizontal="right"/>
    </xf>
    <xf numFmtId="177" fontId="12" fillId="6" borderId="5" xfId="0" applyNumberFormat="1" applyFont="1" applyFill="1" applyBorder="1" applyAlignment="1">
      <alignment horizontal="right"/>
    </xf>
    <xf numFmtId="0" fontId="13" fillId="2" borderId="0" xfId="0" applyFont="1" applyFill="1" applyAlignment="1">
      <alignment horizontal="center" vertical="center"/>
    </xf>
    <xf numFmtId="0" fontId="14" fillId="3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165" fontId="5" fillId="3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7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172" fontId="5" fillId="3" borderId="2" xfId="0" applyNumberFormat="1" applyFont="1" applyFill="1" applyBorder="1" applyAlignment="1">
      <alignment horizontal="center" vertical="center" wrapText="1"/>
    </xf>
    <xf numFmtId="171" fontId="5" fillId="3" borderId="2" xfId="0" applyNumberFormat="1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2" fillId="2" borderId="7" xfId="0" applyFont="1" applyFill="1" applyBorder="1" applyAlignment="1">
      <alignment vertical="center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66" fontId="5" fillId="3" borderId="2" xfId="0" applyNumberFormat="1" applyFont="1" applyFill="1" applyBorder="1" applyAlignment="1">
      <alignment horizontal="center" vertical="center" wrapText="1"/>
    </xf>
    <xf numFmtId="173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left" vertical="center"/>
    </xf>
    <xf numFmtId="0" fontId="18" fillId="3" borderId="0" xfId="0" applyFont="1" applyFill="1" applyAlignment="1">
      <alignment vertical="center" wrapText="1"/>
    </xf>
    <xf numFmtId="0" fontId="19" fillId="9" borderId="0" xfId="0" applyFont="1" applyFill="1" applyAlignment="1">
      <alignment horizontal="center" vertical="center"/>
    </xf>
    <xf numFmtId="0" fontId="20" fillId="1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00000000-0005-0000-0000-000006000000}"/>
  </cellStyles>
  <dxfs count="64"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375623"/>
      </font>
      <fill>
        <patternFill>
          <bgColor rgb="FFE2F0D9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990000"/>
      </font>
      <fill>
        <patternFill>
          <bgColor rgb="FFF4CCCC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806000"/>
      </font>
      <fill>
        <patternFill>
          <bgColor rgb="FFFFF2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990000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EF6FA"/>
      <rgbColor rgb="FFFF00FF"/>
      <rgbColor rgb="FF00FFFF"/>
      <rgbColor rgb="FF990000"/>
      <rgbColor rgb="FF548235"/>
      <rgbColor rgb="FF000080"/>
      <rgbColor rgb="FF806000"/>
      <rgbColor rgb="FF800080"/>
      <rgbColor rgb="FF1D74B7"/>
      <rgbColor rgb="FFB8C8D1"/>
      <rgbColor rgb="FF8B8B8B"/>
      <rgbColor rgb="FF9999FF"/>
      <rgbColor rgb="FFC65911"/>
      <rgbColor rgb="FFFFF2CC"/>
      <rgbColor rgb="FFD9EAF7"/>
      <rgbColor rgb="FF660066"/>
      <rgbColor rgb="FFFF8080"/>
      <rgbColor rgb="FF0B5FA5"/>
      <rgbColor rgb="FFCCCCCC"/>
      <rgbColor rgb="FF000080"/>
      <rgbColor rgb="FFFF00FF"/>
      <rgbColor rgb="FFF7F9FC"/>
      <rgbColor rgb="FF00FFFF"/>
      <rgbColor rgb="FF800080"/>
      <rgbColor rgb="FF9C0006"/>
      <rgbColor rgb="FF156082"/>
      <rgbColor rgb="FF0000FF"/>
      <rgbColor rgb="FF00CCFF"/>
      <rgbColor rgb="FFEAF1F8"/>
      <rgbColor rgb="FFE2F0D9"/>
      <rgbColor rgb="FFFCE4D6"/>
      <rgbColor rgb="FFD9D9D9"/>
      <rgbColor rgb="FFEEF5FB"/>
      <rgbColor rgb="FFDDE5EA"/>
      <rgbColor rgb="FFF4CCCC"/>
      <rgbColor rgb="FF2E75B6"/>
      <rgbColor rgb="FF33CCCC"/>
      <rgbColor rgb="FF99CC00"/>
      <rgbColor rgb="FFFFCC00"/>
      <rgbColor rgb="FFF28C28"/>
      <rgbColor rgb="FFED7D31"/>
      <rgbColor rgb="FF666666"/>
      <rgbColor rgb="FFB3B3B3"/>
      <rgbColor rgb="FF003B5C"/>
      <rgbColor rgb="FF2E9E5B"/>
      <rgbColor rgb="FF003300"/>
      <rgbColor rgb="FF375623"/>
      <rgbColor rgb="FF9C5700"/>
      <rgbColor rgb="FF7F6000"/>
      <rgbColor rgb="FF005B8E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Costo mensual Reefer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RESUMEN!$A$9:$A$17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RESUMEN!$N$9:$N$17</c:f>
              <c:numCache>
                <c:formatCode>\$#,##0</c:formatCode>
                <c:ptCount val="9"/>
                <c:pt idx="0">
                  <c:v>30690874.300000001</c:v>
                </c:pt>
                <c:pt idx="1">
                  <c:v>32182030.149999999</c:v>
                </c:pt>
                <c:pt idx="2">
                  <c:v>30502272.300000001</c:v>
                </c:pt>
                <c:pt idx="3">
                  <c:v>23100133.699999999</c:v>
                </c:pt>
                <c:pt idx="4">
                  <c:v>32918626.876275942</c:v>
                </c:pt>
                <c:pt idx="5">
                  <c:v>29368233.699999999</c:v>
                </c:pt>
                <c:pt idx="6">
                  <c:v>44136144.281993896</c:v>
                </c:pt>
                <c:pt idx="7">
                  <c:v>78590152.613602802</c:v>
                </c:pt>
                <c:pt idx="8">
                  <c:v>112072657.01398788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ED-43C8-B0F7-8A0A2484583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22707"/>
        <c:axId val="90105041"/>
      </c:lineChart>
      <c:catAx>
        <c:axId val="962270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90105041"/>
        <c:crosses val="autoZero"/>
        <c:auto val="1"/>
        <c:lblAlgn val="ctr"/>
        <c:lblOffset val="100"/>
        <c:noMultiLvlLbl val="0"/>
      </c:catAx>
      <c:valAx>
        <c:axId val="9010504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96227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RESUMEN!$X$8</c:f>
              <c:strCache>
                <c:ptCount val="1"/>
                <c:pt idx="0">
                  <c:v>Margen real USD</c:v>
                </c:pt>
              </c:strCache>
            </c:strRef>
          </c:tx>
          <c:spPr>
            <a:ln w="28440">
              <a:solidFill>
                <a:srgbClr val="2E9E5B"/>
              </a:solidFill>
              <a:round/>
            </a:ln>
          </c:spPr>
          <c:marker>
            <c:symbol val="circle"/>
            <c:size val="6"/>
            <c:spPr>
              <a:solidFill>
                <a:srgbClr val="2E9E5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RESUMEN!$A$9:$A$17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RESUMEN!$X$9:$X$17</c:f>
              <c:numCache>
                <c:formatCode>"US$"#,##0</c:formatCode>
                <c:ptCount val="9"/>
                <c:pt idx="0">
                  <c:v>37175.761712707186</c:v>
                </c:pt>
                <c:pt idx="1">
                  <c:v>18356.315690607735</c:v>
                </c:pt>
                <c:pt idx="2">
                  <c:v>38033.931712707184</c:v>
                </c:pt>
                <c:pt idx="3">
                  <c:v>-5789.0096132596664</c:v>
                </c:pt>
                <c:pt idx="4">
                  <c:v>4913.8266560486809</c:v>
                </c:pt>
                <c:pt idx="5">
                  <c:v>22140.913038674033</c:v>
                </c:pt>
                <c:pt idx="6">
                  <c:v>149318.77979890176</c:v>
                </c:pt>
                <c:pt idx="7">
                  <c:v>218568.05236065987</c:v>
                </c:pt>
                <c:pt idx="8">
                  <c:v>506986.80992929515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1-445F-8291-48E3E73595D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5073968"/>
        <c:axId val="52939063"/>
      </c:lineChart>
      <c:catAx>
        <c:axId val="650739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52939063"/>
        <c:crosses val="autoZero"/>
        <c:auto val="1"/>
        <c:lblAlgn val="ctr"/>
        <c:lblOffset val="100"/>
        <c:noMultiLvlLbl val="0"/>
      </c:catAx>
      <c:valAx>
        <c:axId val="529390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US$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US$&quot;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650739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RESUMEN!$Y$8</c:f>
              <c:strCache>
                <c:ptCount val="1"/>
                <c:pt idx="0">
                  <c:v>Margen real %</c:v>
                </c:pt>
              </c:strCache>
            </c:strRef>
          </c:tx>
          <c:spPr>
            <a:ln w="28440">
              <a:solidFill>
                <a:srgbClr val="2E9E5B"/>
              </a:solidFill>
              <a:round/>
            </a:ln>
          </c:spPr>
          <c:marker>
            <c:symbol val="circle"/>
            <c:size val="6"/>
            <c:spPr>
              <a:solidFill>
                <a:srgbClr val="2E9E5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RESUMEN!$A$9:$A$17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RESUMEN!$Y$9:$Y$17</c:f>
              <c:numCache>
                <c:formatCode>0.0%</c:formatCode>
                <c:ptCount val="9"/>
                <c:pt idx="0">
                  <c:v>0.52295168155880412</c:v>
                </c:pt>
                <c:pt idx="1">
                  <c:v>0.34045777931733667</c:v>
                </c:pt>
                <c:pt idx="2">
                  <c:v>0.53017757248529274</c:v>
                </c:pt>
                <c:pt idx="3">
                  <c:v>-0.29332233549147074</c:v>
                </c:pt>
                <c:pt idx="4">
                  <c:v>0.11901343383183204</c:v>
                </c:pt>
                <c:pt idx="5">
                  <c:v>0.40557065208591064</c:v>
                </c:pt>
                <c:pt idx="6">
                  <c:v>0.75380022918552236</c:v>
                </c:pt>
                <c:pt idx="7">
                  <c:v>0.71565922425299888</c:v>
                </c:pt>
                <c:pt idx="8">
                  <c:v>0.80368979292052167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B0-4F5B-BB98-D89EE433F1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5073968"/>
        <c:axId val="52939063"/>
      </c:lineChart>
      <c:catAx>
        <c:axId val="650739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52939063"/>
        <c:crosses val="autoZero"/>
        <c:auto val="1"/>
        <c:lblAlgn val="ctr"/>
        <c:lblOffset val="100"/>
        <c:noMultiLvlLbl val="0"/>
      </c:catAx>
      <c:valAx>
        <c:axId val="529390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US$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650739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Venta</a:t>
            </a:r>
            <a:r>
              <a:rPr lang="es-CL" sz="1800" b="1" strike="noStrike" spc="-1" baseline="0">
                <a:solidFill>
                  <a:srgbClr val="000000"/>
                </a:solidFill>
                <a:latin typeface="Calibri"/>
                <a:ea typeface="Calibri"/>
              </a:rPr>
              <a:t> servicios Reefer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8160">
              <a:solidFill>
                <a:srgbClr val="1560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RESUMEN!$A$9:$A$17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RESUMEN!$V$9:$V$17</c:f>
              <c:numCache>
                <c:formatCode>"US$"#,##0</c:formatCode>
                <c:ptCount val="9"/>
                <c:pt idx="0">
                  <c:v>71088.33</c:v>
                </c:pt>
                <c:pt idx="1">
                  <c:v>53916.57</c:v>
                </c:pt>
                <c:pt idx="2">
                  <c:v>71738.100000000006</c:v>
                </c:pt>
                <c:pt idx="3">
                  <c:v>19736</c:v>
                </c:pt>
                <c:pt idx="4">
                  <c:v>41288</c:v>
                </c:pt>
                <c:pt idx="5">
                  <c:v>54592</c:v>
                </c:pt>
                <c:pt idx="6">
                  <c:v>198088</c:v>
                </c:pt>
                <c:pt idx="7">
                  <c:v>305408</c:v>
                </c:pt>
                <c:pt idx="8">
                  <c:v>630824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87F-4E7C-A771-F11B7315008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22707"/>
        <c:axId val="90105041"/>
      </c:lineChart>
      <c:catAx>
        <c:axId val="9622707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90105041"/>
        <c:crosses val="autoZero"/>
        <c:auto val="1"/>
        <c:lblAlgn val="ctr"/>
        <c:lblOffset val="100"/>
        <c:noMultiLvlLbl val="0"/>
      </c:catAx>
      <c:valAx>
        <c:axId val="9010504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962270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Cantidad de reefers —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vs FCST'!$E$29</c:f>
              <c:strCache>
                <c:ptCount val="1"/>
                <c:pt idx="0">
                  <c:v>Cant. Real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FCST'!$A$30:$A$38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'BUDGET vs FCST'!$E$30:$E$38</c:f>
              <c:numCache>
                <c:formatCode>#,##0</c:formatCode>
                <c:ptCount val="9"/>
                <c:pt idx="0">
                  <c:v>88</c:v>
                </c:pt>
                <c:pt idx="1">
                  <c:v>54</c:v>
                </c:pt>
                <c:pt idx="2">
                  <c:v>72</c:v>
                </c:pt>
                <c:pt idx="3">
                  <c:v>23</c:v>
                </c:pt>
                <c:pt idx="4">
                  <c:v>47</c:v>
                </c:pt>
                <c:pt idx="5">
                  <c:v>213</c:v>
                </c:pt>
                <c:pt idx="6">
                  <c:v>547</c:v>
                </c:pt>
                <c:pt idx="7">
                  <c:v>751</c:v>
                </c:pt>
                <c:pt idx="8">
                  <c:v>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D-4AC9-A878-412AA69B1B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65131829"/>
        <c:axId val="2896486"/>
      </c:barChart>
      <c:catAx>
        <c:axId val="651318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2896486"/>
        <c:crosses val="autoZero"/>
        <c:auto val="1"/>
        <c:lblAlgn val="ctr"/>
        <c:lblOffset val="100"/>
        <c:noMultiLvlLbl val="0"/>
      </c:catAx>
      <c:valAx>
        <c:axId val="28964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Reefers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651318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'VISTA MES'!$J$9</c:f>
              <c:strCache>
                <c:ptCount val="1"/>
                <c:pt idx="0">
                  <c:v>Venta USD</c:v>
                </c:pt>
              </c:strCache>
            </c:strRef>
          </c:tx>
          <c:spPr>
            <a:solidFill>
              <a:srgbClr val="005B8E"/>
            </a:solidFill>
            <a:ln>
              <a:noFill/>
            </a:ln>
          </c:spPr>
          <c:invertIfNegative val="0"/>
          <c:cat>
            <c:strRef>
              <c:f>'VISTA MES'!GrafNaves</c:f>
              <c:strCache>
                <c:ptCount val="18"/>
                <c:pt idx="0">
                  <c:v>ALIOTH 1</c:v>
                </c:pt>
                <c:pt idx="1">
                  <c:v>MSC ABUJA VI</c:v>
                </c:pt>
                <c:pt idx="2">
                  <c:v>CAPE BRUNO 1</c:v>
                </c:pt>
                <c:pt idx="3">
                  <c:v>LITTLE ATHINA</c:v>
                </c:pt>
                <c:pt idx="4">
                  <c:v>POLAR CHILE</c:v>
                </c:pt>
                <c:pt idx="5">
                  <c:v>HUMBOLDT EXPRESS</c:v>
                </c:pt>
                <c:pt idx="6">
                  <c:v>MOLLY SCHULTE 1</c:v>
                </c:pt>
                <c:pt idx="7">
                  <c:v>MSC YOKOHAMA</c:v>
                </c:pt>
                <c:pt idx="8">
                  <c:v>POLAR ARGENTINA</c:v>
                </c:pt>
                <c:pt idx="9">
                  <c:v>ALIOTH 2</c:v>
                </c:pt>
                <c:pt idx="10">
                  <c:v>CAPE BRUNO 2</c:v>
                </c:pt>
                <c:pt idx="11">
                  <c:v>ONE SINCERITY</c:v>
                </c:pt>
                <c:pt idx="12">
                  <c:v>POLAR PERU</c:v>
                </c:pt>
                <c:pt idx="13">
                  <c:v>MSC FLORIANA VI</c:v>
                </c:pt>
                <c:pt idx="14">
                  <c:v>ONE SAPHIRE</c:v>
                </c:pt>
                <c:pt idx="15">
                  <c:v>POLAR COLOMBIA</c:v>
                </c:pt>
                <c:pt idx="16">
                  <c:v>ALIOTH 3</c:v>
                </c:pt>
                <c:pt idx="17">
                  <c:v>CAPE BRUNO 3</c:v>
                </c:pt>
              </c:strCache>
            </c:strRef>
          </c:cat>
          <c:val>
            <c:numRef>
              <c:f>'VISTA MES'!GrafVenta</c:f>
              <c:numCache>
                <c:formatCode>"US$"#,##0;[Red]\-"US$"#,##0</c:formatCode>
                <c:ptCount val="18"/>
                <c:pt idx="0">
                  <c:v>656</c:v>
                </c:pt>
                <c:pt idx="1">
                  <c:v>3200</c:v>
                </c:pt>
                <c:pt idx="2">
                  <c:v>512</c:v>
                </c:pt>
                <c:pt idx="3">
                  <c:v>0</c:v>
                </c:pt>
                <c:pt idx="4">
                  <c:v>145144</c:v>
                </c:pt>
                <c:pt idx="5">
                  <c:v>16440</c:v>
                </c:pt>
                <c:pt idx="6">
                  <c:v>7560</c:v>
                </c:pt>
                <c:pt idx="7">
                  <c:v>12000</c:v>
                </c:pt>
                <c:pt idx="8">
                  <c:v>147896</c:v>
                </c:pt>
                <c:pt idx="9">
                  <c:v>616</c:v>
                </c:pt>
                <c:pt idx="10">
                  <c:v>0</c:v>
                </c:pt>
                <c:pt idx="11">
                  <c:v>27608</c:v>
                </c:pt>
                <c:pt idx="12">
                  <c:v>69784</c:v>
                </c:pt>
                <c:pt idx="13">
                  <c:v>4704</c:v>
                </c:pt>
                <c:pt idx="14">
                  <c:v>26856</c:v>
                </c:pt>
                <c:pt idx="15">
                  <c:v>166640</c:v>
                </c:pt>
                <c:pt idx="16">
                  <c:v>656</c:v>
                </c:pt>
                <c:pt idx="17">
                  <c:v>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ED-4177-8360-55695DA49B75}"/>
            </c:ext>
          </c:extLst>
        </c:ser>
        <c:ser>
          <c:idx val="1"/>
          <c:order val="1"/>
          <c:tx>
            <c:strRef>
              <c:f>'VISTA MES'!$O$9</c:f>
              <c:strCache>
                <c:ptCount val="1"/>
                <c:pt idx="0">
                  <c:v>Costo total USD</c:v>
                </c:pt>
              </c:strCache>
            </c:strRef>
          </c:tx>
          <c:spPr>
            <a:solidFill>
              <a:srgbClr val="C65911"/>
            </a:solidFill>
            <a:ln>
              <a:noFill/>
            </a:ln>
          </c:spPr>
          <c:invertIfNegative val="0"/>
          <c:cat>
            <c:strRef>
              <c:f>'VISTA MES'!GrafNaves</c:f>
              <c:strCache>
                <c:ptCount val="18"/>
                <c:pt idx="0">
                  <c:v>ALIOTH 1</c:v>
                </c:pt>
                <c:pt idx="1">
                  <c:v>MSC ABUJA VI</c:v>
                </c:pt>
                <c:pt idx="2">
                  <c:v>CAPE BRUNO 1</c:v>
                </c:pt>
                <c:pt idx="3">
                  <c:v>LITTLE ATHINA</c:v>
                </c:pt>
                <c:pt idx="4">
                  <c:v>POLAR CHILE</c:v>
                </c:pt>
                <c:pt idx="5">
                  <c:v>HUMBOLDT EXPRESS</c:v>
                </c:pt>
                <c:pt idx="6">
                  <c:v>MOLLY SCHULTE 1</c:v>
                </c:pt>
                <c:pt idx="7">
                  <c:v>MSC YOKOHAMA</c:v>
                </c:pt>
                <c:pt idx="8">
                  <c:v>POLAR ARGENTINA</c:v>
                </c:pt>
                <c:pt idx="9">
                  <c:v>ALIOTH 2</c:v>
                </c:pt>
                <c:pt idx="10">
                  <c:v>CAPE BRUNO 2</c:v>
                </c:pt>
                <c:pt idx="11">
                  <c:v>ONE SINCERITY</c:v>
                </c:pt>
                <c:pt idx="12">
                  <c:v>POLAR PERU</c:v>
                </c:pt>
                <c:pt idx="13">
                  <c:v>MSC FLORIANA VI</c:v>
                </c:pt>
                <c:pt idx="14">
                  <c:v>ONE SAPHIRE</c:v>
                </c:pt>
                <c:pt idx="15">
                  <c:v>POLAR COLOMBIA</c:v>
                </c:pt>
                <c:pt idx="16">
                  <c:v>ALIOTH 3</c:v>
                </c:pt>
                <c:pt idx="17">
                  <c:v>CAPE BRUNO 3</c:v>
                </c:pt>
              </c:strCache>
            </c:strRef>
          </c:cat>
          <c:val>
            <c:numRef>
              <c:f>'VISTA MES'!GrafCosto</c:f>
              <c:numCache>
                <c:formatCode>"US$"#,##0;[Red]\-"US$"#,##0</c:formatCode>
                <c:ptCount val="18"/>
                <c:pt idx="0">
                  <c:v>107.5909557521328</c:v>
                </c:pt>
                <c:pt idx="1">
                  <c:v>430.3638230085312</c:v>
                </c:pt>
                <c:pt idx="2">
                  <c:v>215.1819115042656</c:v>
                </c:pt>
                <c:pt idx="3">
                  <c:v>107.5909557521328</c:v>
                </c:pt>
                <c:pt idx="4">
                  <c:v>28834.376141571585</c:v>
                </c:pt>
                <c:pt idx="5">
                  <c:v>1829.0462477862573</c:v>
                </c:pt>
                <c:pt idx="6">
                  <c:v>968.3186017691952</c:v>
                </c:pt>
                <c:pt idx="7">
                  <c:v>1291.0914690255934</c:v>
                </c:pt>
                <c:pt idx="8">
                  <c:v>22594.100707947888</c:v>
                </c:pt>
                <c:pt idx="9">
                  <c:v>107.5909557521328</c:v>
                </c:pt>
                <c:pt idx="10">
                  <c:v>107.5909557521328</c:v>
                </c:pt>
                <c:pt idx="11">
                  <c:v>3980.8653628289135</c:v>
                </c:pt>
                <c:pt idx="12">
                  <c:v>17860.098654854046</c:v>
                </c:pt>
                <c:pt idx="13">
                  <c:v>215.1819115042656</c:v>
                </c:pt>
                <c:pt idx="14">
                  <c:v>3120.1377168118511</c:v>
                </c:pt>
                <c:pt idx="15">
                  <c:v>41637.699876075392</c:v>
                </c:pt>
                <c:pt idx="16">
                  <c:v>107.5909557521328</c:v>
                </c:pt>
                <c:pt idx="17">
                  <c:v>322.77286725639834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ED-4177-8360-55695DA49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10"/>
        <c:axId val="500100001"/>
        <c:axId val="500100002"/>
      </c:barChart>
      <c:catAx>
        <c:axId val="5001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9525">
            <a:solidFill>
              <a:srgbClr val="BFBFBF"/>
            </a:solidFill>
          </a:ln>
        </c:spPr>
        <c:txPr>
          <a:bodyPr rot="-2700000" vert="horz"/>
          <a:lstStyle/>
          <a:p>
            <a:pPr>
              <a:defRPr sz="900" b="0">
                <a:solidFill>
                  <a:srgbClr val="404040"/>
                </a:solidFill>
                <a:latin typeface="Calibri"/>
              </a:defRPr>
            </a:pPr>
            <a:endParaRPr lang="es-CL"/>
          </a:p>
        </c:txPr>
        <c:crossAx val="500100002"/>
        <c:crosses val="autoZero"/>
        <c:auto val="1"/>
        <c:lblAlgn val="ctr"/>
        <c:lblOffset val="100"/>
        <c:noMultiLvlLbl val="0"/>
      </c:catAx>
      <c:valAx>
        <c:axId val="500100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&quot;US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Calibri"/>
              </a:defRPr>
            </a:pPr>
            <a:endParaRPr lang="es-CL"/>
          </a:p>
        </c:txPr>
        <c:crossAx val="5001000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1000" b="1">
              <a:solidFill>
                <a:srgbClr val="40404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200" b="1"/>
            </a:pPr>
            <a:r>
              <a:rPr lang="es-CL" sz="1200" b="1">
                <a:solidFill>
                  <a:srgbClr val="1F1F1F"/>
                </a:solidFill>
                <a:latin typeface="Calibri"/>
              </a:rPr>
              <a:t>Reefers conectados en simultáneo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CONEXIONES!$D$9</c:f>
              <c:strCache>
                <c:ptCount val="1"/>
                <c:pt idx="0">
                  <c:v>Máx. simultáneo</c:v>
                </c:pt>
              </c:strCache>
            </c:strRef>
          </c:tx>
          <c:spPr>
            <a:solidFill>
              <a:srgbClr val="005B8E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700" b="0">
                    <a:solidFill>
                      <a:srgbClr val="40404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CONEXIONES!ConxDia</c:f>
              <c:numCache>
                <c:formatCode>#,##0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CONEXIONES!ConxMax</c:f>
              <c:numCache>
                <c:formatCode>#,##0</c:formatCode>
                <c:ptCount val="30"/>
                <c:pt idx="0">
                  <c:v>36</c:v>
                </c:pt>
                <c:pt idx="1">
                  <c:v>173</c:v>
                </c:pt>
                <c:pt idx="2">
                  <c:v>306</c:v>
                </c:pt>
                <c:pt idx="3">
                  <c:v>307</c:v>
                </c:pt>
                <c:pt idx="4">
                  <c:v>307</c:v>
                </c:pt>
                <c:pt idx="5">
                  <c:v>53</c:v>
                </c:pt>
                <c:pt idx="6">
                  <c:v>44</c:v>
                </c:pt>
                <c:pt idx="7">
                  <c:v>51</c:v>
                </c:pt>
                <c:pt idx="8">
                  <c:v>51</c:v>
                </c:pt>
                <c:pt idx="9">
                  <c:v>235</c:v>
                </c:pt>
                <c:pt idx="10">
                  <c:v>240</c:v>
                </c:pt>
                <c:pt idx="11">
                  <c:v>240</c:v>
                </c:pt>
                <c:pt idx="12">
                  <c:v>84</c:v>
                </c:pt>
                <c:pt idx="13">
                  <c:v>38</c:v>
                </c:pt>
                <c:pt idx="14">
                  <c:v>44</c:v>
                </c:pt>
                <c:pt idx="15">
                  <c:v>45</c:v>
                </c:pt>
                <c:pt idx="16">
                  <c:v>209</c:v>
                </c:pt>
                <c:pt idx="17">
                  <c:v>191</c:v>
                </c:pt>
                <c:pt idx="18">
                  <c:v>131</c:v>
                </c:pt>
                <c:pt idx="19">
                  <c:v>12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114</c:v>
                </c:pt>
                <c:pt idx="24">
                  <c:v>400</c:v>
                </c:pt>
                <c:pt idx="25">
                  <c:v>400</c:v>
                </c:pt>
                <c:pt idx="26">
                  <c:v>324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4-4319-894F-42EBD3EC7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600100001"/>
        <c:axId val="600100002"/>
      </c:barChart>
      <c:lineChart>
        <c:grouping val="standard"/>
        <c:varyColors val="0"/>
        <c:ser>
          <c:idx val="1"/>
          <c:order val="1"/>
          <c:tx>
            <c:strRef>
              <c:f>CONEXIONES!$G$9</c:f>
              <c:strCache>
                <c:ptCount val="1"/>
                <c:pt idx="0">
                  <c:v>PPK arrendados</c:v>
                </c:pt>
              </c:strCache>
            </c:strRef>
          </c:tx>
          <c:spPr>
            <a:ln w="28575" cap="rnd">
              <a:solidFill>
                <a:srgbClr val="C65911"/>
              </a:solidFill>
              <a:round/>
            </a:ln>
          </c:spPr>
          <c:marker>
            <c:symbol val="circle"/>
            <c:size val="4"/>
            <c:spPr>
              <a:solidFill>
                <a:srgbClr val="C65911"/>
              </a:solidFill>
              <a:ln>
                <a:noFill/>
              </a:ln>
            </c:spPr>
          </c:marker>
          <c:cat>
            <c:numRef>
              <c:f>CONEXIONES!ConxDia</c:f>
              <c:numCache>
                <c:formatCode>#,##0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CONEXIONES!ConxPPK</c:f>
              <c:numCache>
                <c:formatCode>#,##0</c:formatCode>
                <c:ptCount val="30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8</c:v>
                </c:pt>
                <c:pt idx="25">
                  <c:v>8</c:v>
                </c:pt>
                <c:pt idx="26">
                  <c:v>4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14-4319-894F-42EBD3EC7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100003"/>
        <c:axId val="600100004"/>
      </c:lineChart>
      <c:catAx>
        <c:axId val="600100001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low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Calibri"/>
              </a:defRPr>
            </a:pPr>
            <a:endParaRPr lang="es-CL"/>
          </a:p>
        </c:txPr>
        <c:crossAx val="600100002"/>
        <c:crosses val="autoZero"/>
        <c:auto val="1"/>
        <c:lblAlgn val="ctr"/>
        <c:lblOffset val="100"/>
        <c:noMultiLvlLbl val="0"/>
      </c:catAx>
      <c:valAx>
        <c:axId val="600100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Calibri"/>
              </a:defRPr>
            </a:pPr>
            <a:endParaRPr lang="es-CL"/>
          </a:p>
        </c:txPr>
        <c:crossAx val="600100001"/>
        <c:crosses val="autoZero"/>
        <c:crossBetween val="between"/>
      </c:valAx>
      <c:catAx>
        <c:axId val="600100003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low"/>
        <c:crossAx val="600100004"/>
        <c:crosses val="autoZero"/>
        <c:auto val="1"/>
        <c:lblAlgn val="ctr"/>
        <c:lblOffset val="100"/>
        <c:noMultiLvlLbl val="0"/>
      </c:catAx>
      <c:valAx>
        <c:axId val="600100004"/>
        <c:scaling>
          <c:orientation val="minMax"/>
        </c:scaling>
        <c:delete val="0"/>
        <c:axPos val="r"/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C65911"/>
                </a:solidFill>
                <a:latin typeface="Calibri"/>
              </a:defRPr>
            </a:pPr>
            <a:endParaRPr lang="es-CL"/>
          </a:p>
        </c:txPr>
        <c:crossAx val="600100003"/>
        <c:crosses val="max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1000" b="1">
              <a:solidFill>
                <a:srgbClr val="40404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200" b="1"/>
            </a:pPr>
            <a:r>
              <a:rPr lang="es-CL" sz="1200" b="1">
                <a:solidFill>
                  <a:srgbClr val="1F1F1F"/>
                </a:solidFill>
                <a:latin typeface="Calibri"/>
              </a:rPr>
              <a:t>Máximo simultáneo y promedio en paralelo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CONEXIONES!$D$45</c:f>
              <c:strCache>
                <c:ptCount val="1"/>
                <c:pt idx="0">
                  <c:v>Máx. simultáneo</c:v>
                </c:pt>
              </c:strCache>
            </c:strRef>
          </c:tx>
          <c:spPr>
            <a:solidFill>
              <a:srgbClr val="005B8E"/>
            </a:solidFill>
            <a:ln>
              <a:noFill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40404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CONEXIONES!$A$46:$A$57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CONEXIONES!$D$46:$D$57</c:f>
              <c:numCache>
                <c:formatCode>#,##0</c:formatCode>
                <c:ptCount val="12"/>
                <c:pt idx="0">
                  <c:v>29</c:v>
                </c:pt>
                <c:pt idx="1">
                  <c:v>25</c:v>
                </c:pt>
                <c:pt idx="2">
                  <c:v>35</c:v>
                </c:pt>
                <c:pt idx="3">
                  <c:v>16</c:v>
                </c:pt>
                <c:pt idx="4">
                  <c:v>21</c:v>
                </c:pt>
                <c:pt idx="5">
                  <c:v>174</c:v>
                </c:pt>
                <c:pt idx="6">
                  <c:v>205</c:v>
                </c:pt>
                <c:pt idx="7">
                  <c:v>344</c:v>
                </c:pt>
                <c:pt idx="8">
                  <c:v>400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03-48E3-96E3-8D8A5A84A958}"/>
            </c:ext>
          </c:extLst>
        </c:ser>
        <c:ser>
          <c:idx val="1"/>
          <c:order val="1"/>
          <c:tx>
            <c:strRef>
              <c:f>CONEXIONES!$G$45</c:f>
              <c:strCache>
                <c:ptCount val="1"/>
                <c:pt idx="0">
                  <c:v>Promedio en paralelo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800" b="0">
                    <a:solidFill>
                      <a:srgbClr val="40404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CONEXIONES!$A$46:$A$57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CONEXIONES!$G$46:$G$57</c:f>
              <c:numCache>
                <c:formatCode>#,##0.0</c:formatCode>
                <c:ptCount val="12"/>
                <c:pt idx="0">
                  <c:v>15.796953405021227</c:v>
                </c:pt>
                <c:pt idx="1">
                  <c:v>15.75912698413023</c:v>
                </c:pt>
                <c:pt idx="2">
                  <c:v>16.706227598566329</c:v>
                </c:pt>
                <c:pt idx="3">
                  <c:v>6.3112500000002907</c:v>
                </c:pt>
                <c:pt idx="4">
                  <c:v>8.8870295698913147</c:v>
                </c:pt>
                <c:pt idx="5">
                  <c:v>16.034837962964957</c:v>
                </c:pt>
                <c:pt idx="6">
                  <c:v>41.796258960582968</c:v>
                </c:pt>
                <c:pt idx="7">
                  <c:v>66.730062724024449</c:v>
                </c:pt>
                <c:pt idx="8">
                  <c:v>105.59009259255497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03-48E3-96E3-8D8A5A84A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600200001"/>
        <c:axId val="600200002"/>
      </c:barChart>
      <c:catAx>
        <c:axId val="6002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Calibri"/>
              </a:defRPr>
            </a:pPr>
            <a:endParaRPr lang="es-CL"/>
          </a:p>
        </c:txPr>
        <c:crossAx val="600200002"/>
        <c:crosses val="autoZero"/>
        <c:auto val="1"/>
        <c:lblAlgn val="ctr"/>
        <c:lblOffset val="100"/>
        <c:noMultiLvlLbl val="0"/>
      </c:catAx>
      <c:valAx>
        <c:axId val="600200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Calibri"/>
              </a:defRPr>
            </a:pPr>
            <a:endParaRPr lang="es-CL"/>
          </a:p>
        </c:txPr>
        <c:crossAx val="600200001"/>
        <c:crosses val="autoZero"/>
        <c:crossBetween val="between"/>
      </c:valAx>
      <c:spPr>
        <a:noFill/>
        <a:ln>
          <a:noFill/>
        </a:ln>
      </c:spPr>
    </c:plotArea>
    <c:legend>
      <c:legendPos val="t"/>
      <c:overlay val="0"/>
      <c:txPr>
        <a:bodyPr/>
        <a:lstStyle/>
        <a:p>
          <a:pPr>
            <a:defRPr sz="1000" b="1">
              <a:solidFill>
                <a:srgbClr val="404040"/>
              </a:solidFill>
              <a:latin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525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300" b="1"/>
            </a:pPr>
            <a:r>
              <a:rPr lang="es-CL" sz="1300" b="1">
                <a:solidFill>
                  <a:srgbClr val="1F1F1F"/>
                </a:solidFill>
                <a:latin typeface="Calibri"/>
              </a:rPr>
              <a:t>Flujo diario de reefers</a:t>
            </a:r>
          </a:p>
        </c:rich>
      </c:tx>
      <c:layout>
        <c:manualLayout>
          <c:xMode val="edge"/>
          <c:yMode val="edge"/>
          <c:x val="9.7100000000000006E-2"/>
          <c:y val="0.0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100000000000006E-2"/>
          <c:y val="0.14000000000000001"/>
          <c:w val="0.90090000000000003"/>
          <c:h val="0.78"/>
        </c:manualLayout>
      </c:layout>
      <c:barChart>
        <c:barDir val="col"/>
        <c:grouping val="stacked"/>
        <c:varyColors val="0"/>
        <c:ser>
          <c:idx val="0"/>
          <c:order val="0"/>
          <c:tx>
            <c:v>Conectados a las 00:00</c:v>
          </c:tx>
          <c:spPr>
            <a:solidFill>
              <a:srgbClr val="005B8E"/>
            </a:solidFill>
            <a:ln>
              <a:noFill/>
            </a:ln>
          </c:spPr>
          <c:invertIfNegative val="0"/>
          <c:cat>
            <c:strRef>
              <c:f>'FLUJO DIARIO'!$B$43:$AF$43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'FLUJO DIARIO'!$B$44:$AF$44</c:f>
              <c:numCache>
                <c:formatCode>#,##0</c:formatCode>
                <c:ptCount val="31"/>
                <c:pt idx="0">
                  <c:v>31</c:v>
                </c:pt>
                <c:pt idx="1">
                  <c:v>37</c:v>
                </c:pt>
                <c:pt idx="2">
                  <c:v>173</c:v>
                </c:pt>
                <c:pt idx="3">
                  <c:v>306</c:v>
                </c:pt>
                <c:pt idx="4">
                  <c:v>307</c:v>
                </c:pt>
                <c:pt idx="5">
                  <c:v>53</c:v>
                </c:pt>
                <c:pt idx="6">
                  <c:v>43</c:v>
                </c:pt>
                <c:pt idx="7">
                  <c:v>43</c:v>
                </c:pt>
                <c:pt idx="8">
                  <c:v>51</c:v>
                </c:pt>
                <c:pt idx="9">
                  <c:v>41</c:v>
                </c:pt>
                <c:pt idx="10">
                  <c:v>232</c:v>
                </c:pt>
                <c:pt idx="11">
                  <c:v>240</c:v>
                </c:pt>
                <c:pt idx="12">
                  <c:v>84</c:v>
                </c:pt>
                <c:pt idx="13">
                  <c:v>33</c:v>
                </c:pt>
                <c:pt idx="14">
                  <c:v>38</c:v>
                </c:pt>
                <c:pt idx="15">
                  <c:v>44</c:v>
                </c:pt>
                <c:pt idx="16">
                  <c:v>45</c:v>
                </c:pt>
                <c:pt idx="17">
                  <c:v>191</c:v>
                </c:pt>
                <c:pt idx="18">
                  <c:v>131</c:v>
                </c:pt>
                <c:pt idx="19">
                  <c:v>12</c:v>
                </c:pt>
                <c:pt idx="20">
                  <c:v>10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114</c:v>
                </c:pt>
                <c:pt idx="25">
                  <c:v>400</c:v>
                </c:pt>
                <c:pt idx="26">
                  <c:v>324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07-4710-AF94-1D5B6A36B3FC}"/>
            </c:ext>
          </c:extLst>
        </c:ser>
        <c:ser>
          <c:idx val="1"/>
          <c:order val="1"/>
          <c:tx>
            <c:v>Nuevas conexiones</c:v>
          </c:tx>
          <c:spPr>
            <a:solidFill>
              <a:srgbClr val="5BB1E3"/>
            </a:solidFill>
            <a:ln>
              <a:noFill/>
            </a:ln>
          </c:spPr>
          <c:invertIfNegative val="0"/>
          <c:dLbls>
            <c:numFmt formatCode="[&lt;20]&quot; &quot;;&quot;+&quot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1">
                    <a:solidFill>
                      <a:srgbClr val="FFFFFF"/>
                    </a:solidFill>
                    <a:latin typeface="Calibri"/>
                  </a:defRPr>
                </a:pPr>
                <a:endParaRPr lang="es-C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'FLUJO DIARIO'!$B$43:$AF$43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'FLUJO DIARIO'!$B$45:$AF$45</c:f>
              <c:numCache>
                <c:formatCode>#,##0</c:formatCode>
                <c:ptCount val="31"/>
                <c:pt idx="0">
                  <c:v>6</c:v>
                </c:pt>
                <c:pt idx="1">
                  <c:v>141</c:v>
                </c:pt>
                <c:pt idx="2">
                  <c:v>133</c:v>
                </c:pt>
                <c:pt idx="3">
                  <c:v>1</c:v>
                </c:pt>
                <c:pt idx="4">
                  <c:v>13</c:v>
                </c:pt>
                <c:pt idx="5">
                  <c:v>0</c:v>
                </c:pt>
                <c:pt idx="6">
                  <c:v>4</c:v>
                </c:pt>
                <c:pt idx="7">
                  <c:v>11</c:v>
                </c:pt>
                <c:pt idx="8">
                  <c:v>3</c:v>
                </c:pt>
                <c:pt idx="9">
                  <c:v>197</c:v>
                </c:pt>
                <c:pt idx="10">
                  <c:v>10</c:v>
                </c:pt>
                <c:pt idx="11">
                  <c:v>4</c:v>
                </c:pt>
                <c:pt idx="12">
                  <c:v>0</c:v>
                </c:pt>
                <c:pt idx="13">
                  <c:v>5</c:v>
                </c:pt>
                <c:pt idx="14">
                  <c:v>7</c:v>
                </c:pt>
                <c:pt idx="15">
                  <c:v>1</c:v>
                </c:pt>
                <c:pt idx="16">
                  <c:v>165</c:v>
                </c:pt>
                <c:pt idx="17">
                  <c:v>0</c:v>
                </c:pt>
                <c:pt idx="18">
                  <c:v>6</c:v>
                </c:pt>
                <c:pt idx="19">
                  <c:v>0</c:v>
                </c:pt>
                <c:pt idx="20">
                  <c:v>19</c:v>
                </c:pt>
                <c:pt idx="21">
                  <c:v>0</c:v>
                </c:pt>
                <c:pt idx="22">
                  <c:v>0</c:v>
                </c:pt>
                <c:pt idx="23">
                  <c:v>85</c:v>
                </c:pt>
                <c:pt idx="24">
                  <c:v>301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07-4710-AF94-1D5B6A36B3FC}"/>
            </c:ext>
          </c:extLst>
        </c:ser>
        <c:ser>
          <c:idx val="2"/>
          <c:order val="2"/>
          <c:tx>
            <c:v>Desconexiones</c:v>
          </c:tx>
          <c:spPr>
            <a:solidFill>
              <a:srgbClr val="C65911"/>
            </a:solidFill>
            <a:ln>
              <a:noFill/>
            </a:ln>
          </c:spPr>
          <c:invertIfNegative val="0"/>
          <c:dLbls>
            <c:numFmt formatCode="[&gt;-20]&quot; &quot;;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1">
                    <a:solidFill>
                      <a:srgbClr val="FFFFFF"/>
                    </a:solidFill>
                    <a:latin typeface="Calibri"/>
                  </a:defRPr>
                </a:pPr>
                <a:endParaRPr lang="es-CL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'FLUJO DIARIO'!$B$43:$AF$43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'FLUJO DIARIO'!$B$53:$AF$53</c:f>
              <c:numCache>
                <c:formatCode>General</c:formatCode>
                <c:ptCount val="31"/>
                <c:pt idx="0">
                  <c:v>-1</c:v>
                </c:pt>
                <c:pt idx="1">
                  <c:v>-5</c:v>
                </c:pt>
                <c:pt idx="2">
                  <c:v>0</c:v>
                </c:pt>
                <c:pt idx="3">
                  <c:v>0</c:v>
                </c:pt>
                <c:pt idx="4">
                  <c:v>-267</c:v>
                </c:pt>
                <c:pt idx="5">
                  <c:v>-10</c:v>
                </c:pt>
                <c:pt idx="6">
                  <c:v>-4</c:v>
                </c:pt>
                <c:pt idx="7">
                  <c:v>-3</c:v>
                </c:pt>
                <c:pt idx="8">
                  <c:v>-14</c:v>
                </c:pt>
                <c:pt idx="9">
                  <c:v>-6</c:v>
                </c:pt>
                <c:pt idx="10">
                  <c:v>-2</c:v>
                </c:pt>
                <c:pt idx="11">
                  <c:v>-160</c:v>
                </c:pt>
                <c:pt idx="12">
                  <c:v>-51</c:v>
                </c:pt>
                <c:pt idx="13">
                  <c:v>0</c:v>
                </c:pt>
                <c:pt idx="14">
                  <c:v>-1</c:v>
                </c:pt>
                <c:pt idx="15">
                  <c:v>0</c:v>
                </c:pt>
                <c:pt idx="16">
                  <c:v>-19</c:v>
                </c:pt>
                <c:pt idx="17">
                  <c:v>-60</c:v>
                </c:pt>
                <c:pt idx="18">
                  <c:v>-125</c:v>
                </c:pt>
                <c:pt idx="19">
                  <c:v>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-15</c:v>
                </c:pt>
                <c:pt idx="25">
                  <c:v>-76</c:v>
                </c:pt>
                <c:pt idx="26">
                  <c:v>-323</c:v>
                </c:pt>
                <c:pt idx="27">
                  <c:v>0</c:v>
                </c:pt>
                <c:pt idx="28">
                  <c:v>-1</c:v>
                </c:pt>
                <c:pt idx="29">
                  <c:v>-1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07-4710-AF94-1D5B6A36B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00100001"/>
        <c:axId val="700100002"/>
      </c:barChart>
      <c:lineChart>
        <c:grouping val="standard"/>
        <c:varyColors val="0"/>
        <c:ser>
          <c:idx val="3"/>
          <c:order val="3"/>
          <c:tx>
            <c:v>Total del día</c:v>
          </c:tx>
          <c:spPr>
            <a:ln w="12700">
              <a:noFill/>
            </a:ln>
          </c:spPr>
          <c:marker>
            <c:symbol val="none"/>
          </c:marker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50" b="1">
                    <a:solidFill>
                      <a:srgbClr val="404040"/>
                    </a:solidFill>
                    <a:latin typeface="Calibri"/>
                  </a:defRPr>
                </a:pPr>
                <a:endParaRPr lang="es-CL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'FLUJO DIARIO'!$B$43:$AF$43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'FLUJO DIARIO'!$B$47:$AF$47</c:f>
              <c:numCache>
                <c:formatCode>#,##0</c:formatCode>
                <c:ptCount val="31"/>
                <c:pt idx="0">
                  <c:v>37</c:v>
                </c:pt>
                <c:pt idx="1">
                  <c:v>178</c:v>
                </c:pt>
                <c:pt idx="2">
                  <c:v>306</c:v>
                </c:pt>
                <c:pt idx="3">
                  <c:v>307</c:v>
                </c:pt>
                <c:pt idx="4">
                  <c:v>320</c:v>
                </c:pt>
                <c:pt idx="5">
                  <c:v>53</c:v>
                </c:pt>
                <c:pt idx="6">
                  <c:v>47</c:v>
                </c:pt>
                <c:pt idx="7">
                  <c:v>54</c:v>
                </c:pt>
                <c:pt idx="8">
                  <c:v>54</c:v>
                </c:pt>
                <c:pt idx="9">
                  <c:v>238</c:v>
                </c:pt>
                <c:pt idx="10">
                  <c:v>242</c:v>
                </c:pt>
                <c:pt idx="11">
                  <c:v>244</c:v>
                </c:pt>
                <c:pt idx="12">
                  <c:v>84</c:v>
                </c:pt>
                <c:pt idx="13">
                  <c:v>38</c:v>
                </c:pt>
                <c:pt idx="14">
                  <c:v>45</c:v>
                </c:pt>
                <c:pt idx="15">
                  <c:v>45</c:v>
                </c:pt>
                <c:pt idx="16">
                  <c:v>210</c:v>
                </c:pt>
                <c:pt idx="17">
                  <c:v>191</c:v>
                </c:pt>
                <c:pt idx="18">
                  <c:v>137</c:v>
                </c:pt>
                <c:pt idx="19">
                  <c:v>12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114</c:v>
                </c:pt>
                <c:pt idx="24">
                  <c:v>415</c:v>
                </c:pt>
                <c:pt idx="25">
                  <c:v>400</c:v>
                </c:pt>
                <c:pt idx="26">
                  <c:v>324</c:v>
                </c:pt>
                <c:pt idx="27">
                  <c:v>2</c:v>
                </c:pt>
                <c:pt idx="28">
                  <c:v>2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07-4710-AF94-1D5B6A36B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0100001"/>
        <c:axId val="700100002"/>
      </c:lineChart>
      <c:catAx>
        <c:axId val="7001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Calibri"/>
              </a:defRPr>
            </a:pPr>
            <a:endParaRPr lang="es-CL"/>
          </a:p>
        </c:txPr>
        <c:crossAx val="700100002"/>
        <c:crosses val="autoZero"/>
        <c:auto val="1"/>
        <c:lblAlgn val="ctr"/>
        <c:lblOffset val="100"/>
        <c:noMultiLvlLbl val="0"/>
      </c:catAx>
      <c:valAx>
        <c:axId val="700100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#,##0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Calibri"/>
              </a:defRPr>
            </a:pPr>
            <a:endParaRPr lang="es-CL"/>
          </a:p>
        </c:txPr>
        <c:crossAx val="700100001"/>
        <c:crosses val="autoZero"/>
        <c:crossBetween val="between"/>
      </c:valAx>
      <c:spPr>
        <a:noFill/>
        <a:ln>
          <a:noFill/>
        </a:ln>
      </c:spPr>
    </c:plotArea>
    <c:legend>
      <c:legendPos val="t"/>
      <c:legendEntry>
        <c:idx val="3"/>
        <c:delete val="1"/>
      </c:legendEntry>
      <c:layout>
        <c:manualLayout>
          <c:xMode val="edge"/>
          <c:yMode val="edge"/>
          <c:x val="9.7100000000000006E-2"/>
          <c:y val="7.0000000000000007E-2"/>
          <c:w val="0.5"/>
          <c:h val="0.05"/>
        </c:manualLayout>
      </c:layout>
      <c:overlay val="0"/>
      <c:txPr>
        <a:bodyPr/>
        <a:lstStyle/>
        <a:p>
          <a:pPr>
            <a:defRPr sz="1000" b="1">
              <a:solidFill>
                <a:srgbClr val="404040"/>
              </a:solidFill>
              <a:latin typeface="Calibri"/>
            </a:defRPr>
          </a:pPr>
          <a:endParaRPr lang="es-CL"/>
        </a:p>
      </c:txPr>
    </c:legend>
    <c:plotVisOnly val="0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pPr>
              <a:defRPr sz="1300" b="1"/>
            </a:pPr>
            <a:r>
              <a:rPr lang="es-CL" sz="1300" b="1">
                <a:solidFill>
                  <a:srgbClr val="1F1F1F"/>
                </a:solidFill>
                <a:latin typeface="Calibri"/>
              </a:rPr>
              <a:t>PPK arrendados por día</a:t>
            </a:r>
          </a:p>
        </c:rich>
      </c:tx>
      <c:layout>
        <c:manualLayout>
          <c:xMode val="edge"/>
          <c:yMode val="edge"/>
          <c:x val="9.7100000000000006E-2"/>
          <c:y val="0.01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100000000000006E-2"/>
          <c:y val="0.2"/>
          <c:w val="0.90090000000000003"/>
          <c:h val="0.62"/>
        </c:manualLayout>
      </c:layout>
      <c:barChart>
        <c:barDir val="col"/>
        <c:grouping val="clustered"/>
        <c:varyColors val="0"/>
        <c:ser>
          <c:idx val="0"/>
          <c:order val="0"/>
          <c:tx>
            <c:v>PPK arrendados</c:v>
          </c:tx>
          <c:spPr>
            <a:solidFill>
              <a:srgbClr val="595959"/>
            </a:solidFill>
            <a:ln>
              <a:noFill/>
            </a:ln>
          </c:spPr>
          <c:invertIfNegative val="0"/>
          <c:dLbls>
            <c:numFmt formatCode="#,##0;;;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1000" b="1">
                    <a:solidFill>
                      <a:srgbClr val="404040"/>
                    </a:solidFill>
                    <a:latin typeface="Calibri"/>
                  </a:defRPr>
                </a:pPr>
                <a:endParaRPr lang="es-C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'FLUJO DIARIO'!$B$43:$AF$43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'FLUJO DIARIO'!$B$48:$AF$48</c:f>
              <c:numCache>
                <c:formatCode>#,##0</c:formatCode>
                <c:ptCount val="31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3</c:v>
                </c:pt>
                <c:pt idx="24">
                  <c:v>8</c:v>
                </c:pt>
                <c:pt idx="25">
                  <c:v>8</c:v>
                </c:pt>
                <c:pt idx="26">
                  <c:v>4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7-468D-A0FA-C71230294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700200001"/>
        <c:axId val="700200002"/>
      </c:barChart>
      <c:catAx>
        <c:axId val="7002000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solidFill>
              <a:srgbClr val="BFBFBF"/>
            </a:solidFill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Calibri"/>
              </a:defRPr>
            </a:pPr>
            <a:endParaRPr lang="es-CL"/>
          </a:p>
        </c:txPr>
        <c:crossAx val="700200002"/>
        <c:crosses val="autoZero"/>
        <c:auto val="1"/>
        <c:lblAlgn val="ctr"/>
        <c:lblOffset val="100"/>
        <c:noMultiLvlLbl val="0"/>
      </c:catAx>
      <c:valAx>
        <c:axId val="700200002"/>
        <c:scaling>
          <c:orientation val="minMax"/>
        </c:scaling>
        <c:delete val="0"/>
        <c:axPos val="l"/>
        <c:majorGridlines>
          <c:spPr>
            <a:ln w="6350">
              <a:solidFill>
                <a:srgbClr val="E7E6E6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 b="0">
                <a:solidFill>
                  <a:srgbClr val="404040"/>
                </a:solidFill>
                <a:latin typeface="Calibri"/>
              </a:defRPr>
            </a:pPr>
            <a:endParaRPr lang="es-CL"/>
          </a:p>
        </c:txPr>
        <c:crossAx val="700200001"/>
        <c:crosses val="autoZero"/>
        <c:crossBetween val="between"/>
      </c:valAx>
      <c:spPr>
        <a:noFill/>
        <a:ln>
          <a:noFill/>
        </a:ln>
      </c:spPr>
    </c:plotArea>
    <c:plotVisOnly val="0"/>
    <c:dispBlanksAs val="gap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Cantidad de reefers — Budget vs FCST 2 vs FCST 3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vs FCST'!$B$29</c:f>
              <c:strCache>
                <c:ptCount val="1"/>
                <c:pt idx="0">
                  <c:v>Cant. Budget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'BUDGET vs FCST'!$B$30:$B$41</c:f>
              <c:numCache>
                <c:formatCode>#,##0</c:formatCode>
                <c:ptCount val="12"/>
                <c:pt idx="0">
                  <c:v>80</c:v>
                </c:pt>
                <c:pt idx="1">
                  <c:v>80</c:v>
                </c:pt>
                <c:pt idx="2">
                  <c:v>99</c:v>
                </c:pt>
                <c:pt idx="3">
                  <c:v>80</c:v>
                </c:pt>
                <c:pt idx="4">
                  <c:v>80</c:v>
                </c:pt>
                <c:pt idx="5">
                  <c:v>199</c:v>
                </c:pt>
                <c:pt idx="6">
                  <c:v>180</c:v>
                </c:pt>
                <c:pt idx="7">
                  <c:v>180</c:v>
                </c:pt>
                <c:pt idx="8">
                  <c:v>199</c:v>
                </c:pt>
                <c:pt idx="9">
                  <c:v>82</c:v>
                </c:pt>
                <c:pt idx="10">
                  <c:v>80</c:v>
                </c:pt>
                <c:pt idx="1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AC-45B2-8C87-61B341E8B621}"/>
            </c:ext>
          </c:extLst>
        </c:ser>
        <c:ser>
          <c:idx val="1"/>
          <c:order val="1"/>
          <c:tx>
            <c:strRef>
              <c:f>'BUDGET vs FCST'!$C$29</c:f>
              <c:strCache>
                <c:ptCount val="1"/>
                <c:pt idx="0">
                  <c:v>Cant. FCST 2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'BUDGET vs FCST'!$C$30:$C$41</c:f>
              <c:numCache>
                <c:formatCode>#,##0</c:formatCode>
                <c:ptCount val="12"/>
                <c:pt idx="0">
                  <c:v>86</c:v>
                </c:pt>
                <c:pt idx="1">
                  <c:v>66</c:v>
                </c:pt>
                <c:pt idx="2">
                  <c:v>77</c:v>
                </c:pt>
                <c:pt idx="3">
                  <c:v>31</c:v>
                </c:pt>
                <c:pt idx="4">
                  <c:v>66</c:v>
                </c:pt>
                <c:pt idx="5">
                  <c:v>207</c:v>
                </c:pt>
                <c:pt idx="6">
                  <c:v>188</c:v>
                </c:pt>
                <c:pt idx="7">
                  <c:v>188</c:v>
                </c:pt>
                <c:pt idx="8">
                  <c:v>208</c:v>
                </c:pt>
                <c:pt idx="9">
                  <c:v>89</c:v>
                </c:pt>
                <c:pt idx="10">
                  <c:v>88</c:v>
                </c:pt>
                <c:pt idx="11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AC-45B2-8C87-61B341E8B621}"/>
            </c:ext>
          </c:extLst>
        </c:ser>
        <c:ser>
          <c:idx val="2"/>
          <c:order val="2"/>
          <c:tx>
            <c:strRef>
              <c:f>'BUDGET vs FCST'!$D$29</c:f>
              <c:strCache>
                <c:ptCount val="1"/>
                <c:pt idx="0">
                  <c:v>Cant. FCST 3</c:v>
                </c:pt>
              </c:strCache>
            </c:strRef>
          </c:tx>
          <c:spPr>
            <a:solidFill>
              <a:srgbClr val="7F5FA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'BUDGET vs FCST'!$D$30:$D$41</c:f>
              <c:numCache>
                <c:formatCode>#,##0</c:formatCode>
                <c:ptCount val="12"/>
                <c:pt idx="0">
                  <c:v>75</c:v>
                </c:pt>
                <c:pt idx="1">
                  <c:v>55</c:v>
                </c:pt>
                <c:pt idx="2">
                  <c:v>72</c:v>
                </c:pt>
                <c:pt idx="3">
                  <c:v>23</c:v>
                </c:pt>
                <c:pt idx="4">
                  <c:v>47</c:v>
                </c:pt>
                <c:pt idx="5">
                  <c:v>213</c:v>
                </c:pt>
                <c:pt idx="6">
                  <c:v>547</c:v>
                </c:pt>
                <c:pt idx="7">
                  <c:v>349</c:v>
                </c:pt>
                <c:pt idx="8">
                  <c:v>316</c:v>
                </c:pt>
                <c:pt idx="9">
                  <c:v>46</c:v>
                </c:pt>
                <c:pt idx="10">
                  <c:v>56</c:v>
                </c:pt>
                <c:pt idx="11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F3-4C3C-9A9A-0000000000F3}"/>
            </c:ext>
          </c:extLst>
        </c:ser>
        <c:ser>
          <c:idx val="3"/>
          <c:order val="3"/>
          <c:tx>
            <c:strRef>
              <c:f>'BUDGET vs FCST'!$E$29</c:f>
              <c:strCache>
                <c:ptCount val="1"/>
                <c:pt idx="0">
                  <c:v>Cant. Real</c:v>
                </c:pt>
              </c:strCache>
            </c:strRef>
          </c:tx>
          <c:spPr>
            <a:solidFill>
              <a:srgbClr val="2E9E5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'BUDGET vs FCST'!$E$30:$E$41</c:f>
              <c:numCache>
                <c:formatCode>#,##0</c:formatCode>
                <c:ptCount val="12"/>
                <c:pt idx="0">
                  <c:v>88</c:v>
                </c:pt>
                <c:pt idx="1">
                  <c:v>54</c:v>
                </c:pt>
                <c:pt idx="2">
                  <c:v>72</c:v>
                </c:pt>
                <c:pt idx="3">
                  <c:v>23</c:v>
                </c:pt>
                <c:pt idx="4">
                  <c:v>47</c:v>
                </c:pt>
                <c:pt idx="5">
                  <c:v>213</c:v>
                </c:pt>
                <c:pt idx="6">
                  <c:v>547</c:v>
                </c:pt>
                <c:pt idx="7">
                  <c:v>751</c:v>
                </c:pt>
                <c:pt idx="8">
                  <c:v>1151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AC-45B2-8C87-61B341E8B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31829"/>
        <c:axId val="2896486"/>
      </c:barChart>
      <c:catAx>
        <c:axId val="651318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2896486"/>
        <c:crosses val="autoZero"/>
        <c:auto val="1"/>
        <c:lblAlgn val="ctr"/>
        <c:lblOffset val="100"/>
        <c:noMultiLvlLbl val="0"/>
      </c:catAx>
      <c:valAx>
        <c:axId val="28964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Reefers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651318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Venta (USD) — Budget vs FCST 2 vs FCST 3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vs FCST'!$F$29</c:f>
              <c:strCache>
                <c:ptCount val="1"/>
                <c:pt idx="0">
                  <c:v>Venta Budget USD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'BUDGET vs FCST'!$F$30:$F$41</c:f>
              <c:numCache>
                <c:formatCode>"US$"#,##0</c:formatCode>
                <c:ptCount val="12"/>
                <c:pt idx="0">
                  <c:v>54744.01</c:v>
                </c:pt>
                <c:pt idx="1">
                  <c:v>54744.01</c:v>
                </c:pt>
                <c:pt idx="2">
                  <c:v>67745.710000000006</c:v>
                </c:pt>
                <c:pt idx="3">
                  <c:v>54744.01</c:v>
                </c:pt>
                <c:pt idx="4">
                  <c:v>54744.01</c:v>
                </c:pt>
                <c:pt idx="5">
                  <c:v>130845.71</c:v>
                </c:pt>
                <c:pt idx="6">
                  <c:v>117844.01</c:v>
                </c:pt>
                <c:pt idx="7">
                  <c:v>117844.01</c:v>
                </c:pt>
                <c:pt idx="8">
                  <c:v>130845.71</c:v>
                </c:pt>
                <c:pt idx="9">
                  <c:v>56112.61</c:v>
                </c:pt>
                <c:pt idx="10">
                  <c:v>54744.01</c:v>
                </c:pt>
                <c:pt idx="11">
                  <c:v>67745.710000000006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5E-43BA-A738-AD3CB8410D4D}"/>
            </c:ext>
          </c:extLst>
        </c:ser>
        <c:ser>
          <c:idx val="1"/>
          <c:order val="1"/>
          <c:tx>
            <c:strRef>
              <c:f>'BUDGET vs FCST'!$G$29</c:f>
              <c:strCache>
                <c:ptCount val="1"/>
                <c:pt idx="0">
                  <c:v>Venta FCST 2 USD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'BUDGET vs FCST'!$G$30:$G$41</c:f>
              <c:numCache>
                <c:formatCode>"US$"#,##0</c:formatCode>
                <c:ptCount val="12"/>
                <c:pt idx="0">
                  <c:v>71088.33</c:v>
                </c:pt>
                <c:pt idx="1">
                  <c:v>53916.57</c:v>
                </c:pt>
                <c:pt idx="2">
                  <c:v>71738.100000000006</c:v>
                </c:pt>
                <c:pt idx="3">
                  <c:v>19736</c:v>
                </c:pt>
                <c:pt idx="4">
                  <c:v>41288</c:v>
                </c:pt>
                <c:pt idx="5">
                  <c:v>137672.35</c:v>
                </c:pt>
                <c:pt idx="6">
                  <c:v>124416.27</c:v>
                </c:pt>
                <c:pt idx="7">
                  <c:v>124416.27</c:v>
                </c:pt>
                <c:pt idx="8">
                  <c:v>138370.04</c:v>
                </c:pt>
                <c:pt idx="9">
                  <c:v>62000.57</c:v>
                </c:pt>
                <c:pt idx="10">
                  <c:v>61316.27</c:v>
                </c:pt>
                <c:pt idx="11">
                  <c:v>62013.95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5E-43BA-A738-AD3CB8410D4D}"/>
            </c:ext>
          </c:extLst>
        </c:ser>
        <c:ser>
          <c:idx val="2"/>
          <c:order val="2"/>
          <c:tx>
            <c:strRef>
              <c:f>'BUDGET vs FCST'!$H$29</c:f>
              <c:strCache>
                <c:ptCount val="1"/>
                <c:pt idx="0">
                  <c:v>Venta FCST 3 USD</c:v>
                </c:pt>
              </c:strCache>
            </c:strRef>
          </c:tx>
          <c:spPr>
            <a:solidFill>
              <a:srgbClr val="7F5FA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'BUDGET vs FCST'!$H$30:$H$41</c:f>
              <c:numCache>
                <c:formatCode>"US$"#,##0</c:formatCode>
                <c:ptCount val="12"/>
                <c:pt idx="0">
                  <c:v>71088.33</c:v>
                </c:pt>
                <c:pt idx="1">
                  <c:v>53916.57</c:v>
                </c:pt>
                <c:pt idx="2">
                  <c:v>71738.100000000006</c:v>
                </c:pt>
                <c:pt idx="3">
                  <c:v>19736</c:v>
                </c:pt>
                <c:pt idx="4">
                  <c:v>41288</c:v>
                </c:pt>
                <c:pt idx="5">
                  <c:v>54592</c:v>
                </c:pt>
                <c:pt idx="6">
                  <c:v>198088</c:v>
                </c:pt>
                <c:pt idx="7">
                  <c:v>305408</c:v>
                </c:pt>
                <c:pt idx="8">
                  <c:v>110965.80513966481</c:v>
                </c:pt>
                <c:pt idx="9">
                  <c:v>31477.805139664804</c:v>
                </c:pt>
                <c:pt idx="10">
                  <c:v>38320.80625698324</c:v>
                </c:pt>
                <c:pt idx="11">
                  <c:v>31477.805139664804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F3-4C3C-9A9A-0000000000F3}"/>
            </c:ext>
          </c:extLst>
        </c:ser>
        <c:ser>
          <c:idx val="3"/>
          <c:order val="3"/>
          <c:tx>
            <c:strRef>
              <c:f>'BUDGET vs FCST'!$I$29</c:f>
              <c:strCache>
                <c:ptCount val="1"/>
                <c:pt idx="0">
                  <c:v>Venta Real USD</c:v>
                </c:pt>
              </c:strCache>
            </c:strRef>
          </c:tx>
          <c:spPr>
            <a:solidFill>
              <a:srgbClr val="2E9E5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'BUDGET vs FCST'!$I$30:$I$41</c:f>
              <c:numCache>
                <c:formatCode>"US$"#,##0</c:formatCode>
                <c:ptCount val="12"/>
                <c:pt idx="0">
                  <c:v>71088.33</c:v>
                </c:pt>
                <c:pt idx="1">
                  <c:v>53916.57</c:v>
                </c:pt>
                <c:pt idx="2">
                  <c:v>71738.100000000006</c:v>
                </c:pt>
                <c:pt idx="3">
                  <c:v>19736</c:v>
                </c:pt>
                <c:pt idx="4">
                  <c:v>41288</c:v>
                </c:pt>
                <c:pt idx="5">
                  <c:v>54592</c:v>
                </c:pt>
                <c:pt idx="6">
                  <c:v>198088</c:v>
                </c:pt>
                <c:pt idx="7">
                  <c:v>305408</c:v>
                </c:pt>
                <c:pt idx="8">
                  <c:v>630824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5E-43BA-A738-AD3CB8410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609430"/>
        <c:axId val="45064211"/>
      </c:barChart>
      <c:catAx>
        <c:axId val="996094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45064211"/>
        <c:crosses val="autoZero"/>
        <c:auto val="1"/>
        <c:lblAlgn val="ctr"/>
        <c:lblOffset val="100"/>
        <c:noMultiLvlLbl val="0"/>
      </c:catAx>
      <c:valAx>
        <c:axId val="4506421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US$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US$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9960943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Costo (USD) — Budget vs FCST 2 vs FCST 3 vs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vs FCST'!$J$29</c:f>
              <c:strCache>
                <c:ptCount val="1"/>
                <c:pt idx="0">
                  <c:v>Costo Budget USD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'BUDGET vs FCST'!$J$30:$J$41</c:f>
              <c:numCache>
                <c:formatCode>"US$"#,##0</c:formatCode>
                <c:ptCount val="12"/>
                <c:pt idx="0">
                  <c:v>28797.69</c:v>
                </c:pt>
                <c:pt idx="1">
                  <c:v>27977.919999999998</c:v>
                </c:pt>
                <c:pt idx="2">
                  <c:v>30289.57</c:v>
                </c:pt>
                <c:pt idx="3">
                  <c:v>28524.43</c:v>
                </c:pt>
                <c:pt idx="4">
                  <c:v>25656.880000000001</c:v>
                </c:pt>
                <c:pt idx="5">
                  <c:v>33961.949999999997</c:v>
                </c:pt>
                <c:pt idx="6">
                  <c:v>33116.29</c:v>
                </c:pt>
                <c:pt idx="7">
                  <c:v>33116.29</c:v>
                </c:pt>
                <c:pt idx="8">
                  <c:v>33961.949999999997</c:v>
                </c:pt>
                <c:pt idx="9">
                  <c:v>16248.89</c:v>
                </c:pt>
                <c:pt idx="10">
                  <c:v>16170.37</c:v>
                </c:pt>
                <c:pt idx="11">
                  <c:v>16916.310000000001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44-4B62-AF0F-1820C91FFD00}"/>
            </c:ext>
          </c:extLst>
        </c:ser>
        <c:ser>
          <c:idx val="1"/>
          <c:order val="1"/>
          <c:tx>
            <c:strRef>
              <c:f>'BUDGET vs FCST'!$K$29</c:f>
              <c:strCache>
                <c:ptCount val="1"/>
                <c:pt idx="0">
                  <c:v>Costo FCST 2 USD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'BUDGET vs FCST'!$K$30:$K$41</c:f>
              <c:numCache>
                <c:formatCode>"US$"#,##0</c:formatCode>
                <c:ptCount val="12"/>
                <c:pt idx="0">
                  <c:v>31893.9</c:v>
                </c:pt>
                <c:pt idx="1">
                  <c:v>36712.93</c:v>
                </c:pt>
                <c:pt idx="2">
                  <c:v>31860.89</c:v>
                </c:pt>
                <c:pt idx="3">
                  <c:v>26545.42</c:v>
                </c:pt>
                <c:pt idx="4">
                  <c:v>36986.959999999999</c:v>
                </c:pt>
                <c:pt idx="5">
                  <c:v>42558.9</c:v>
                </c:pt>
                <c:pt idx="6">
                  <c:v>41218.720000000001</c:v>
                </c:pt>
                <c:pt idx="7">
                  <c:v>41218.720000000001</c:v>
                </c:pt>
                <c:pt idx="8">
                  <c:v>42645.38</c:v>
                </c:pt>
                <c:pt idx="9">
                  <c:v>17938.34</c:v>
                </c:pt>
                <c:pt idx="10">
                  <c:v>17899.080000000002</c:v>
                </c:pt>
                <c:pt idx="11">
                  <c:v>17938.34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44-4B62-AF0F-1820C91FFD00}"/>
            </c:ext>
          </c:extLst>
        </c:ser>
        <c:ser>
          <c:idx val="2"/>
          <c:order val="2"/>
          <c:tx>
            <c:strRef>
              <c:f>'BUDGET vs FCST'!$L$29</c:f>
              <c:strCache>
                <c:ptCount val="1"/>
                <c:pt idx="0">
                  <c:v>Costo FCST 3 USD</c:v>
                </c:pt>
              </c:strCache>
            </c:strRef>
          </c:tx>
          <c:spPr>
            <a:solidFill>
              <a:srgbClr val="7F5FA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'BUDGET vs FCST'!$L$30:$L$41</c:f>
              <c:numCache>
                <c:formatCode>"US$"#,##0</c:formatCode>
                <c:ptCount val="12"/>
                <c:pt idx="0">
                  <c:v>31893.9</c:v>
                </c:pt>
                <c:pt idx="1">
                  <c:v>36712.93</c:v>
                </c:pt>
                <c:pt idx="2">
                  <c:v>31860.89</c:v>
                </c:pt>
                <c:pt idx="3">
                  <c:v>26545.42</c:v>
                </c:pt>
                <c:pt idx="4">
                  <c:v>36986.959999999999</c:v>
                </c:pt>
                <c:pt idx="5">
                  <c:v>31360.91</c:v>
                </c:pt>
                <c:pt idx="6">
                  <c:v>48024.46</c:v>
                </c:pt>
                <c:pt idx="7">
                  <c:v>82416.453017358057</c:v>
                </c:pt>
                <c:pt idx="8">
                  <c:v>51783.304287014063</c:v>
                </c:pt>
                <c:pt idx="9">
                  <c:v>27385.479077321961</c:v>
                </c:pt>
                <c:pt idx="10">
                  <c:v>27647.329705469056</c:v>
                </c:pt>
                <c:pt idx="11">
                  <c:v>27385.479077321961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F3-4C3C-9A9A-0000000000F3}"/>
            </c:ext>
          </c:extLst>
        </c:ser>
        <c:ser>
          <c:idx val="3"/>
          <c:order val="3"/>
          <c:tx>
            <c:strRef>
              <c:f>'BUDGET vs FCST'!$M$29</c:f>
              <c:strCache>
                <c:ptCount val="1"/>
                <c:pt idx="0">
                  <c:v>Costo Real USD</c:v>
                </c:pt>
              </c:strCache>
            </c:strRef>
          </c:tx>
          <c:spPr>
            <a:solidFill>
              <a:srgbClr val="2E9E5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'BUDGET vs FCST'!$A$30:$A$41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'BUDGET vs FCST'!$M$30:$M$41</c:f>
              <c:numCache>
                <c:formatCode>"US$"#,##0</c:formatCode>
                <c:ptCount val="12"/>
                <c:pt idx="0">
                  <c:v>33912.568287292816</c:v>
                </c:pt>
                <c:pt idx="1">
                  <c:v>35560.254309392265</c:v>
                </c:pt>
                <c:pt idx="2">
                  <c:v>33704.168287292821</c:v>
                </c:pt>
                <c:pt idx="3">
                  <c:v>25525.009613259666</c:v>
                </c:pt>
                <c:pt idx="4">
                  <c:v>36374.173343951319</c:v>
                </c:pt>
                <c:pt idx="5">
                  <c:v>32451.086961325967</c:v>
                </c:pt>
                <c:pt idx="6">
                  <c:v>48769.220201098229</c:v>
                </c:pt>
                <c:pt idx="7">
                  <c:v>86839.947639340113</c:v>
                </c:pt>
                <c:pt idx="8">
                  <c:v>123837.19007070485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44-4B62-AF0F-1820C91FF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64669"/>
        <c:axId val="78971868"/>
      </c:barChart>
      <c:catAx>
        <c:axId val="242646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78971868"/>
        <c:crosses val="autoZero"/>
        <c:auto val="1"/>
        <c:lblAlgn val="ctr"/>
        <c:lblOffset val="100"/>
        <c:noMultiLvlLbl val="0"/>
      </c:catAx>
      <c:valAx>
        <c:axId val="7897186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US$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US$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242646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Cantidad de reefers — Real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'BUDGET vs FCST'!$E$29</c:f>
              <c:strCache>
                <c:ptCount val="1"/>
                <c:pt idx="0">
                  <c:v>Cant. Real</c:v>
                </c:pt>
              </c:strCache>
            </c:strRef>
          </c:tx>
          <c:spPr>
            <a:solidFill>
              <a:srgbClr val="2E75B6"/>
            </a:solidFill>
            <a:ln w="0">
              <a:solidFill>
                <a:srgbClr val="000000"/>
              </a:solidFill>
            </a:ln>
          </c:spPr>
          <c:invertIfNegative val="0"/>
          <c:cat>
            <c:strRef>
              <c:f>'BUDGET vs FCST'!$A$30:$A$38</c:f>
              <c:strCache>
                <c:ptCount val="9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</c:strCache>
            </c:strRef>
          </c:cat>
          <c:val>
            <c:numRef>
              <c:f>'BUDGET vs FCST'!$E$30:$E$38</c:f>
              <c:numCache>
                <c:formatCode>#,##0</c:formatCode>
                <c:ptCount val="9"/>
                <c:pt idx="0">
                  <c:v>88</c:v>
                </c:pt>
                <c:pt idx="1">
                  <c:v>54</c:v>
                </c:pt>
                <c:pt idx="2">
                  <c:v>72</c:v>
                </c:pt>
                <c:pt idx="3">
                  <c:v>23</c:v>
                </c:pt>
                <c:pt idx="4">
                  <c:v>47</c:v>
                </c:pt>
                <c:pt idx="5">
                  <c:v>213</c:v>
                </c:pt>
                <c:pt idx="6">
                  <c:v>547</c:v>
                </c:pt>
                <c:pt idx="7">
                  <c:v>751</c:v>
                </c:pt>
                <c:pt idx="8">
                  <c:v>1151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6E-490E-9A19-DF2C9D2416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5131829"/>
        <c:axId val="2896486"/>
      </c:barChart>
      <c:catAx>
        <c:axId val="651318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2896486"/>
        <c:crosses val="autoZero"/>
        <c:auto val="1"/>
        <c:lblAlgn val="ctr"/>
        <c:lblOffset val="100"/>
        <c:noMultiLvlLbl val="0"/>
      </c:catAx>
      <c:valAx>
        <c:axId val="28964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lang="es-CL"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Reefers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651318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Litros</c:v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COMBUSTIBLE!$A$8:$A$19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COMBUSTIBLE!$C$8:$C$19</c:f>
              <c:numCache>
                <c:formatCode>#,##0.00</c:formatCode>
                <c:ptCount val="12"/>
                <c:pt idx="0">
                  <c:v>13228.63</c:v>
                </c:pt>
                <c:pt idx="1">
                  <c:v>13525.31</c:v>
                </c:pt>
                <c:pt idx="2">
                  <c:v>7812.79</c:v>
                </c:pt>
                <c:pt idx="3">
                  <c:v>804.81</c:v>
                </c:pt>
                <c:pt idx="4">
                  <c:v>8444.64</c:v>
                </c:pt>
                <c:pt idx="5">
                  <c:v>7391.7</c:v>
                </c:pt>
                <c:pt idx="6">
                  <c:v>19860.919999999998</c:v>
                </c:pt>
                <c:pt idx="7">
                  <c:v>39428.230000000003</c:v>
                </c:pt>
                <c:pt idx="8">
                  <c:v>58941.29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73-4D5B-91A6-C596EE833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211275"/>
        <c:axId val="36575529"/>
      </c:barChart>
      <c:catAx>
        <c:axId val="6221127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36575529"/>
        <c:crosses val="autoZero"/>
        <c:auto val="1"/>
        <c:lblAlgn val="ctr"/>
        <c:lblOffset val="100"/>
        <c:noMultiLvlLbl val="0"/>
      </c:catAx>
      <c:valAx>
        <c:axId val="3657552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6221127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USD</c:v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COMBUSTIBLE!$A$8:$A$19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COMBUSTIBLE!$D$8:$D$19</c:f>
              <c:numCache>
                <c:formatCode>\$#,##0.00</c:formatCode>
                <c:ptCount val="12"/>
                <c:pt idx="0">
                  <c:v>9124.66</c:v>
                </c:pt>
                <c:pt idx="1">
                  <c:v>9863.83</c:v>
                </c:pt>
                <c:pt idx="2">
                  <c:v>8916.26</c:v>
                </c:pt>
                <c:pt idx="3">
                  <c:v>1039.94</c:v>
                </c:pt>
                <c:pt idx="4">
                  <c:v>11586.2650566585</c:v>
                </c:pt>
                <c:pt idx="5">
                  <c:v>7360.34</c:v>
                </c:pt>
                <c:pt idx="6">
                  <c:v>22032.17</c:v>
                </c:pt>
                <c:pt idx="7">
                  <c:v>47923.3</c:v>
                </c:pt>
                <c:pt idx="8">
                  <c:v>79706.23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5F-47A4-A1CA-DC0EEC5AE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7228604"/>
        <c:axId val="87874098"/>
      </c:lineChart>
      <c:catAx>
        <c:axId val="17228604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87874098"/>
        <c:crosses val="autoZero"/>
        <c:auto val="1"/>
        <c:lblAlgn val="ctr"/>
        <c:lblOffset val="100"/>
        <c:noMultiLvlLbl val="0"/>
      </c:catAx>
      <c:valAx>
        <c:axId val="87874098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1722860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L/reefer</c:v>
          </c:tx>
          <c:spPr>
            <a:ln w="28440">
              <a:solidFill>
                <a:srgbClr val="156082"/>
              </a:solidFill>
              <a:round/>
            </a:ln>
          </c:spPr>
          <c:marker>
            <c:symbol val="circle"/>
            <c:size val="5"/>
            <c:spPr>
              <a:solidFill>
                <a:srgbClr val="156082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COMBUSTIBLE!$A$8:$A$19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COMBUSTIBLE!$F$8:$F$19</c:f>
              <c:numCache>
                <c:formatCode>0.00</c:formatCode>
                <c:ptCount val="12"/>
                <c:pt idx="0">
                  <c:v>150.3253409090909</c:v>
                </c:pt>
                <c:pt idx="1">
                  <c:v>250.46870370370368</c:v>
                </c:pt>
                <c:pt idx="2">
                  <c:v>108.51097222222222</c:v>
                </c:pt>
                <c:pt idx="3">
                  <c:v>34.99173913043478</c:v>
                </c:pt>
                <c:pt idx="4">
                  <c:v>179.6731914893617</c:v>
                </c:pt>
                <c:pt idx="5">
                  <c:v>34.702816901408447</c:v>
                </c:pt>
                <c:pt idx="6">
                  <c:v>36.308811700182815</c:v>
                </c:pt>
                <c:pt idx="7">
                  <c:v>52.500972037283624</c:v>
                </c:pt>
                <c:pt idx="8">
                  <c:v>51.208766290182453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0A-4F63-8068-10ED72AA857E}"/>
            </c:ext>
          </c:extLst>
        </c:ser>
        <c:ser>
          <c:idx val="1"/>
          <c:order val="1"/>
          <c:tx>
            <c:v>USD/reefer</c:v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  <a:ea typeface="Calibri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COMBUSTIBLE!$A$8:$A$19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COMBUSTIBLE!$G$8:$G$19</c:f>
              <c:numCache>
                <c:formatCode>\$#,##0.00</c:formatCode>
                <c:ptCount val="12"/>
                <c:pt idx="0">
                  <c:v>103.68931818181818</c:v>
                </c:pt>
                <c:pt idx="1">
                  <c:v>182.66351851851852</c:v>
                </c:pt>
                <c:pt idx="2">
                  <c:v>123.83694444444444</c:v>
                </c:pt>
                <c:pt idx="3">
                  <c:v>45.214782608695657</c:v>
                </c:pt>
                <c:pt idx="4">
                  <c:v>246.51627780124468</c:v>
                </c:pt>
                <c:pt idx="5">
                  <c:v>34.555586854460095</c:v>
                </c:pt>
                <c:pt idx="6">
                  <c:v>40.278190127970745</c:v>
                </c:pt>
                <c:pt idx="7">
                  <c:v>63.812649800266314</c:v>
                </c:pt>
                <c:pt idx="8">
                  <c:v>69.249548218940049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0A-4F63-8068-10ED72AA8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5570969"/>
        <c:axId val="31057491"/>
      </c:lineChart>
      <c:catAx>
        <c:axId val="75570969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31057491"/>
        <c:crosses val="autoZero"/>
        <c:auto val="1"/>
        <c:lblAlgn val="ctr"/>
        <c:lblOffset val="100"/>
        <c:noMultiLvlLbl val="0"/>
      </c:catAx>
      <c:valAx>
        <c:axId val="31057491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es-CL"/>
          </a:p>
        </c:txPr>
        <c:crossAx val="755709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es-CL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</xdr:row>
      <xdr:rowOff>144360</xdr:rowOff>
    </xdr:from>
    <xdr:to>
      <xdr:col>11</xdr:col>
      <xdr:colOff>1465460</xdr:colOff>
      <xdr:row>38</xdr:row>
      <xdr:rowOff>9490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39</xdr:row>
      <xdr:rowOff>6774</xdr:rowOff>
    </xdr:from>
    <xdr:to>
      <xdr:col>11</xdr:col>
      <xdr:colOff>1457324</xdr:colOff>
      <xdr:row>59</xdr:row>
      <xdr:rowOff>114299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1457325</xdr:colOff>
      <xdr:row>39</xdr:row>
      <xdr:rowOff>0</xdr:rowOff>
    </xdr:from>
    <xdr:to>
      <xdr:col>24</xdr:col>
      <xdr:colOff>527049</xdr:colOff>
      <xdr:row>59</xdr:row>
      <xdr:rowOff>107525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7789CEAC-CED5-4E09-A9CD-936CD508A7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22</xdr:row>
      <xdr:rowOff>152400</xdr:rowOff>
    </xdr:from>
    <xdr:to>
      <xdr:col>24</xdr:col>
      <xdr:colOff>544710</xdr:colOff>
      <xdr:row>38</xdr:row>
      <xdr:rowOff>20705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F29741CD-FD0F-4292-B99D-BC83F7FCE9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571500</xdr:colOff>
      <xdr:row>23</xdr:row>
      <xdr:rowOff>0</xdr:rowOff>
    </xdr:from>
    <xdr:to>
      <xdr:col>34</xdr:col>
      <xdr:colOff>191655</xdr:colOff>
      <xdr:row>40</xdr:row>
      <xdr:rowOff>2755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2E2A6043-E85D-443D-AABB-E64B2E119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44</xdr:row>
      <xdr:rowOff>76200</xdr:rowOff>
    </xdr:from>
    <xdr:to>
      <xdr:col>19</xdr:col>
      <xdr:colOff>0</xdr:colOff>
      <xdr:row>68</xdr:row>
      <xdr:rowOff>0</xdr:rowOff>
    </xdr:to>
    <xdr:graphicFrame macro="">
      <xdr:nvGraphicFramePr>
        <xdr:cNvPr id="2" name="Venta vs Costo por nav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76200</xdr:colOff>
      <xdr:row>8</xdr:row>
      <xdr:rowOff>0</xdr:rowOff>
    </xdr:from>
    <xdr:to>
      <xdr:col>22</xdr:col>
      <xdr:colOff>0</xdr:colOff>
      <xdr:row>41</xdr:row>
      <xdr:rowOff>0</xdr:rowOff>
    </xdr:to>
    <xdr:graphicFrame macro="">
      <xdr:nvGraphicFramePr>
        <xdr:cNvPr id="2" name="Conexiones por di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76200</xdr:colOff>
      <xdr:row>43</xdr:row>
      <xdr:rowOff>0</xdr:rowOff>
    </xdr:from>
    <xdr:to>
      <xdr:col>22</xdr:col>
      <xdr:colOff>0</xdr:colOff>
      <xdr:row>58</xdr:row>
      <xdr:rowOff>0</xdr:rowOff>
    </xdr:to>
    <xdr:graphicFrame macro="">
      <xdr:nvGraphicFramePr>
        <xdr:cNvPr id="3" name="Resumen anual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32</xdr:col>
      <xdr:colOff>0</xdr:colOff>
      <xdr:row>30</xdr:row>
      <xdr:rowOff>0</xdr:rowOff>
    </xdr:to>
    <xdr:graphicFrame macro="">
      <xdr:nvGraphicFramePr>
        <xdr:cNvPr id="2" name="Flujo diario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30</xdr:row>
      <xdr:rowOff>0</xdr:rowOff>
    </xdr:from>
    <xdr:to>
      <xdr:col>32</xdr:col>
      <xdr:colOff>0</xdr:colOff>
      <xdr:row>41</xdr:row>
      <xdr:rowOff>0</xdr:rowOff>
    </xdr:to>
    <xdr:graphicFrame macro="">
      <xdr:nvGraphicFramePr>
        <xdr:cNvPr id="3" name="PPK por dia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62</xdr:row>
      <xdr:rowOff>0</xdr:rowOff>
    </xdr:from>
    <xdr:to>
      <xdr:col>6</xdr:col>
      <xdr:colOff>617105</xdr:colOff>
      <xdr:row>79</xdr:row>
      <xdr:rowOff>2755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79</xdr:row>
      <xdr:rowOff>0</xdr:rowOff>
    </xdr:from>
    <xdr:to>
      <xdr:col>6</xdr:col>
      <xdr:colOff>617105</xdr:colOff>
      <xdr:row>96</xdr:row>
      <xdr:rowOff>3115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96</xdr:row>
      <xdr:rowOff>0</xdr:rowOff>
    </xdr:from>
    <xdr:to>
      <xdr:col>6</xdr:col>
      <xdr:colOff>617105</xdr:colOff>
      <xdr:row>113</xdr:row>
      <xdr:rowOff>3115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62</xdr:row>
      <xdr:rowOff>0</xdr:rowOff>
    </xdr:from>
    <xdr:to>
      <xdr:col>14</xdr:col>
      <xdr:colOff>359930</xdr:colOff>
      <xdr:row>79</xdr:row>
      <xdr:rowOff>2755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EF8A57A-E70A-40BB-B6D0-71B61CEBF0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16</xdr:col>
      <xdr:colOff>360</xdr:colOff>
      <xdr:row>14</xdr:row>
      <xdr:rowOff>35640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14</xdr:row>
      <xdr:rowOff>0</xdr:rowOff>
    </xdr:from>
    <xdr:to>
      <xdr:col>16</xdr:col>
      <xdr:colOff>360</xdr:colOff>
      <xdr:row>27</xdr:row>
      <xdr:rowOff>35640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6</xdr:col>
      <xdr:colOff>984240</xdr:colOff>
      <xdr:row>35</xdr:row>
      <xdr:rowOff>35280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ResumenMensual" displayName="ResumenMensual" ref="A8:L20" totalsRowShown="0">
  <tableColumns count="12">
    <tableColumn id="1" xr3:uid="{00000000-0010-0000-0000-000001000000}" name="Mes"/>
    <tableColumn id="2" xr3:uid="{00000000-0010-0000-0000-000002000000}" name="Reefers"/>
    <tableColumn id="3" xr3:uid="{00000000-0010-0000-0000-000003000000}" name="PPK únicos"/>
    <tableColumn id="4" xr3:uid="{00000000-0010-0000-0000-000004000000}" name="Días-PPK"/>
    <tableColumn id="5" xr3:uid="{00000000-0010-0000-0000-000005000000}" name="SITRANS CLP"/>
    <tableColumn id="6" xr3:uid="{00000000-0010-0000-0000-000006000000}" name="PPK CLP"/>
    <tableColumn id="7" xr3:uid="{00000000-0010-0000-0000-000007000000}" name="Total CLP"/>
    <tableColumn id="8" xr3:uid="{00000000-0010-0000-0000-000008000000}" name="CLP/reefer"/>
    <tableColumn id="9" xr3:uid="{00000000-0010-0000-0000-000009000000}" name="Combustible L"/>
    <tableColumn id="10" xr3:uid="{00000000-0010-0000-0000-00000A000000}" name="Combustible USD"/>
    <tableColumn id="11" xr3:uid="{00000000-0010-0000-0000-00000B000000}" name="Estadía prom. días"/>
    <tableColumn id="12" xr3:uid="{00000000-0010-0000-0000-00000C000000}" name="Estado EDP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lleNaves" displayName="DetalleNaves" ref="A6:N99" totalsRowShown="0">
  <tableColumns count="14">
    <tableColumn id="1" xr3:uid="{00000000-0010-0000-0100-000001000000}" name="Mes"/>
    <tableColumn id="2" xr3:uid="{00000000-0010-0000-0100-000002000000}" name="CI"/>
    <tableColumn id="3" xr3:uid="{00000000-0010-0000-0100-000003000000}" name="Línea"/>
    <tableColumn id="4" xr3:uid="{00000000-0010-0000-0100-000004000000}" name="Nave"/>
    <tableColumn id="5" xr3:uid="{00000000-0010-0000-0100-000005000000}" name="Reefers"/>
    <tableColumn id="6" xr3:uid="{00000000-0010-0000-0100-000006000000}" name="EDP válidos"/>
    <tableColumn id="7" xr3:uid="{00000000-0010-0000-0100-000007000000}" name="Estadía prom. días"/>
    <tableColumn id="8" xr3:uid="{00000000-0010-0000-0100-000008000000}" name="Estado EDP"/>
    <tableColumn id="9" xr3:uid="{00000000-0010-0000-0100-000009000000}" name="SITRANS asignado CLP"/>
    <tableColumn id="10" xr3:uid="{00000000-0010-0000-0100-00000A000000}" name="PPK asignado CLP"/>
    <tableColumn id="11" xr3:uid="{00000000-0010-0000-0100-00000B000000}" name="Total asignado CLP"/>
    <tableColumn id="12" xr3:uid="{00000000-0010-0000-0100-00000C000000}" name="CLP/reefer"/>
    <tableColumn id="13" xr3:uid="{00000000-0010-0000-0100-00000D000000}" name="Correlativo"/>
    <tableColumn id="14" xr3:uid="{00000000-0010-0000-0100-00000E000000}" name="Venta reefer USD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tallePPK" displayName="DetallePPK" ref="A22:F56" totalsRowShown="0">
  <tableColumns count="6">
    <tableColumn id="1" xr3:uid="{00000000-0010-0000-0200-000001000000}" name="Mes"/>
    <tableColumn id="2" xr3:uid="{00000000-0010-0000-0200-000002000000}" name="PPK"/>
    <tableColumn id="3" xr3:uid="{00000000-0010-0000-0200-000003000000}" name="Tipo"/>
    <tableColumn id="4" xr3:uid="{00000000-0010-0000-0200-000004000000}" name="Períodos utilizados"/>
    <tableColumn id="5" xr3:uid="{00000000-0010-0000-0200-000005000000}" name="Días"/>
    <tableColumn id="6" xr3:uid="{00000000-0010-0000-0200-000006000000}" name="Costo arriendo CLP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ResumenPPK" displayName="ResumenPPK" ref="A6:F18" totalsRowShown="0">
  <tableColumns count="6">
    <tableColumn id="1" xr3:uid="{00000000-0010-0000-0300-000001000000}" name="Mes"/>
    <tableColumn id="2" xr3:uid="{00000000-0010-0000-0300-000002000000}" name="PPK únicos"/>
    <tableColumn id="3" xr3:uid="{00000000-0010-0000-0300-000003000000}" name="Días-PPK"/>
    <tableColumn id="4" xr3:uid="{00000000-0010-0000-0300-000004000000}" name="Arriendo CLP"/>
    <tableColumn id="5" xr3:uid="{00000000-0010-0000-0300-000005000000}" name="Camioneta CLP"/>
    <tableColumn id="6" xr3:uid="{00000000-0010-0000-0300-000006000000}" name="PPK total CLP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ActualizarMensual" displayName="ActualizarMensual" ref="A6:H18" totalsRowShown="0">
  <tableColumns count="8">
    <tableColumn id="1" xr3:uid="{00000000-0010-0000-0400-000001000000}" name="Mes"/>
    <tableColumn id="2" xr3:uid="{00000000-0010-0000-0400-000002000000}" name="Reefers reales"/>
    <tableColumn id="3" xr3:uid="{00000000-0010-0000-0400-000003000000}" name="SITRANS CLP"/>
    <tableColumn id="4" xr3:uid="{00000000-0010-0000-0400-000004000000}" name="Camioneta PPK CLP"/>
    <tableColumn id="5" xr3:uid="{00000000-0010-0000-0400-000005000000}" name="Combustible L"/>
    <tableColumn id="6" xr3:uid="{00000000-0010-0000-0400-000006000000}" name="Combustible USD"/>
    <tableColumn id="7" xr3:uid="{00000000-0010-0000-0400-000007000000}" name="Estado EDP"/>
    <tableColumn id="8" xr3:uid="{00000000-0010-0000-0400-000008000000}" name="Estado costo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08F91-C2FC-48AE-8D53-F579618F7CCB}">
  <dimension ref="A1:Y21"/>
  <sheetViews>
    <sheetView showGridLines="0" tabSelected="1" zoomScale="50" zoomScaleNormal="50" workbookViewId="0">
      <selection activeCell="P3" sqref="P3"/>
    </sheetView>
  </sheetViews>
  <sheetFormatPr baseColWidth="10" defaultColWidth="8.6328125" defaultRowHeight="12.5" x14ac:dyDescent="0.25"/>
  <cols>
    <col min="1" max="1" width="14" style="1" customWidth="1"/>
    <col min="2" max="4" width="13" style="1" customWidth="1"/>
    <col min="5" max="7" width="17" style="1" customWidth="1"/>
    <col min="8" max="8" width="15" style="1" customWidth="1"/>
    <col min="9" max="10" width="18" style="1" customWidth="1"/>
    <col min="11" max="11" width="17" style="1" customWidth="1"/>
    <col min="12" max="12" width="21" style="1" customWidth="1"/>
    <col min="13" max="20" width="15" style="1" customWidth="1"/>
    <col min="21" max="21" width="20.26953125" style="1" customWidth="1"/>
    <col min="22" max="25" width="15" customWidth="1"/>
  </cols>
  <sheetData>
    <row r="1" spans="1:25" ht="30" customHeight="1" x14ac:dyDescent="0.25">
      <c r="A1" s="132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</row>
    <row r="2" spans="1:25" ht="24" customHeight="1" x14ac:dyDescent="0.25">
      <c r="A2" s="133" t="s">
        <v>1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</row>
    <row r="3" spans="1:25" ht="21.75" customHeight="1" x14ac:dyDescent="0.25">
      <c r="A3" s="134" t="str">
        <f>"ÚLTIMO MES CON COSTOS REALES: "&amp;UPPER(INDEX($A$9:$A$20,COUNT($B$9:$B$20)))&amp;" 2026"</f>
        <v>ÚLTIMO MES CON COSTOS REALES: SEPTIEMBRE 2026</v>
      </c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</row>
    <row r="4" spans="1:25" ht="15" customHeight="1" x14ac:dyDescent="0.25">
      <c r="A4" s="135" t="s">
        <v>2</v>
      </c>
      <c r="B4" s="135"/>
      <c r="C4" s="135" t="s">
        <v>3</v>
      </c>
      <c r="D4" s="135"/>
      <c r="E4" s="135" t="s">
        <v>4</v>
      </c>
      <c r="F4" s="135"/>
      <c r="G4" s="135" t="s">
        <v>5</v>
      </c>
      <c r="H4" s="135"/>
      <c r="I4" s="135" t="s">
        <v>6</v>
      </c>
      <c r="J4" s="135"/>
      <c r="K4" s="135" t="s">
        <v>7</v>
      </c>
      <c r="L4" s="135"/>
      <c r="M4" s="126" t="s">
        <v>8</v>
      </c>
      <c r="N4" s="126"/>
    </row>
    <row r="5" spans="1:25" ht="15" customHeight="1" x14ac:dyDescent="0.25">
      <c r="A5" s="127">
        <f>INDEX($B$9:$B$20,COUNT($B$9:$B$20))</f>
        <v>1151</v>
      </c>
      <c r="B5" s="127"/>
      <c r="C5" s="127">
        <f>INDEX($C$9:$C$20,COUNT($B$9:$B$20))</f>
        <v>9</v>
      </c>
      <c r="D5" s="127"/>
      <c r="E5" s="127">
        <f>INDEX($D$9:$D$20,COUNT($B$9:$B$20))</f>
        <v>90</v>
      </c>
      <c r="F5" s="127"/>
      <c r="G5" s="128">
        <f>INDEX($G$9:$G$20,COUNT($B$9:$B$20))</f>
        <v>39938518.863987893</v>
      </c>
      <c r="H5" s="128"/>
      <c r="I5" s="129">
        <f>INDEX($J$9:$J$20,COUNT($B$9:$B$20))</f>
        <v>79706.23</v>
      </c>
      <c r="J5" s="129"/>
      <c r="K5" s="130" t="str">
        <f>INDEX($L$9:$L$20,COUNT($B$9:$B$20))</f>
        <v>Disponible incompleto</v>
      </c>
      <c r="L5" s="130"/>
      <c r="M5" s="131">
        <f>INDEX($O$9:$O$20,COUNT($B$9:$B$20))</f>
        <v>97369.81495568018</v>
      </c>
      <c r="N5" s="131"/>
    </row>
    <row r="6" spans="1:25" ht="15" customHeight="1" x14ac:dyDescent="0.25">
      <c r="A6" s="127"/>
      <c r="B6" s="127"/>
      <c r="C6" s="127"/>
      <c r="D6" s="127"/>
      <c r="E6" s="127"/>
      <c r="F6" s="127"/>
      <c r="G6" s="128"/>
      <c r="H6" s="128"/>
      <c r="I6" s="129"/>
      <c r="J6" s="129"/>
      <c r="K6" s="130"/>
      <c r="L6" s="130"/>
      <c r="M6" s="131"/>
      <c r="N6" s="131"/>
    </row>
    <row r="8" spans="1:25" ht="33.75" customHeight="1" x14ac:dyDescent="0.25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2" t="s">
        <v>20</v>
      </c>
      <c r="M8" s="3" t="s">
        <v>21</v>
      </c>
      <c r="N8" s="3" t="s">
        <v>22</v>
      </c>
      <c r="O8" s="3" t="s">
        <v>23</v>
      </c>
      <c r="P8" s="3" t="s">
        <v>24</v>
      </c>
      <c r="Q8" s="3" t="s">
        <v>25</v>
      </c>
      <c r="R8" s="3" t="s">
        <v>26</v>
      </c>
      <c r="S8" s="3" t="s">
        <v>27</v>
      </c>
      <c r="T8" s="3" t="s">
        <v>28</v>
      </c>
      <c r="U8" s="3" t="s">
        <v>29</v>
      </c>
      <c r="V8" s="3" t="s">
        <v>30</v>
      </c>
      <c r="W8" s="3" t="s">
        <v>31</v>
      </c>
      <c r="X8" s="3" t="s">
        <v>32</v>
      </c>
      <c r="Y8" s="3" t="s">
        <v>33</v>
      </c>
    </row>
    <row r="9" spans="1:25" ht="19.5" customHeight="1" x14ac:dyDescent="0.35">
      <c r="A9" s="4" t="s">
        <v>34</v>
      </c>
      <c r="B9" s="5">
        <f>IF(ACTUALIZAR!B7="","",ACTUALIZAR!B7)</f>
        <v>88</v>
      </c>
      <c r="C9" s="5">
        <f>IF(PPK!B7="","",PPK!B7)</f>
        <v>2</v>
      </c>
      <c r="D9" s="5">
        <f>IF(PPK!C7="","",PPK!C7)</f>
        <v>31</v>
      </c>
      <c r="E9" s="6">
        <f>IF(ACTUALIZAR!C7="","",ACTUALIZAR!C7)</f>
        <v>12918273</v>
      </c>
      <c r="F9" s="6">
        <f>IF(PPK!F7="","",PPK!F7)</f>
        <v>9514784</v>
      </c>
      <c r="G9" s="6">
        <f>IF(AND(E9="",F9=""),"",SUM(E9:F9))</f>
        <v>22433057</v>
      </c>
      <c r="H9" s="6">
        <f>IFERROR(N9/B9,"")</f>
        <v>348759.93522727274</v>
      </c>
      <c r="I9" s="7">
        <f>IF(ACTUALIZAR!E7="","",ACTUALIZAR!E7)</f>
        <v>13228.63</v>
      </c>
      <c r="J9" s="8">
        <f>IF(ACTUALIZAR!F7="","",ACTUALIZAR!F7)</f>
        <v>9124.66</v>
      </c>
      <c r="K9" s="9">
        <f>IFERROR(SUMPRODUCT((NAVES!$A$7:$A$200=A9)*NAVES!$F$7:$F$200*NAVES!$G$7:$G$200)/SUMIF(NAVES!$A$7:$A$200,A9,NAVES!$F$7:$F$200),"")</f>
        <v>6.1794074074074059</v>
      </c>
      <c r="L9" s="10" t="str">
        <f>ACTUALIZAR!G7</f>
        <v>Disponible</v>
      </c>
      <c r="M9" s="11">
        <f>IF(ACTUALIZAR!I7="","",ACTUALIZAR!I7)</f>
        <v>905</v>
      </c>
      <c r="N9" s="12">
        <f t="shared" ref="N9:N20" si="0">IF(OR(G9="",J9="",M9=""),"",G9+J9*M9)</f>
        <v>30690874.300000001</v>
      </c>
      <c r="O9" s="12">
        <f t="shared" ref="O9:O21" si="1">IFERROR(N9/B9,"")</f>
        <v>348759.93522727274</v>
      </c>
      <c r="P9" s="13">
        <f t="shared" ref="P9:P21" si="2">IFERROR(E9/N9,"")</f>
        <v>0.4209157703923736</v>
      </c>
      <c r="Q9" s="13">
        <f t="shared" ref="Q9:Q21" si="3">IFERROR(F9/N9,"")</f>
        <v>0.31001997228863565</v>
      </c>
      <c r="R9" s="13">
        <f t="shared" ref="R9:R20" si="4">IFERROR((J9*M9)/N9,"")</f>
        <v>0.26906425731899075</v>
      </c>
      <c r="S9" s="13" t="str">
        <f>""</f>
        <v/>
      </c>
      <c r="T9" s="13" t="str">
        <f>""</f>
        <v/>
      </c>
      <c r="U9" s="14">
        <f t="shared" ref="U9:U20" si="5">IFERROR((J9/B9)/K9,"")</f>
        <v>16.779815821420559</v>
      </c>
      <c r="V9" s="15">
        <v>71088.33</v>
      </c>
      <c r="W9" s="16">
        <f t="shared" ref="W9:W20" si="6">IFERROR(N9/M9,"")</f>
        <v>33912.568287292816</v>
      </c>
      <c r="X9" s="16">
        <f t="shared" ref="X9:X21" si="7">IFERROR(V9-W9,"")</f>
        <v>37175.761712707186</v>
      </c>
      <c r="Y9" s="17">
        <f t="shared" ref="Y9:Y21" si="8">IFERROR(X9/V9,"")</f>
        <v>0.52295168155880412</v>
      </c>
    </row>
    <row r="10" spans="1:25" ht="19.5" customHeight="1" x14ac:dyDescent="0.35">
      <c r="A10" s="18" t="s">
        <v>35</v>
      </c>
      <c r="B10" s="19">
        <f>IF(ACTUALIZAR!B8="","",ACTUALIZAR!B8)</f>
        <v>54</v>
      </c>
      <c r="C10" s="19">
        <f>IF(PPK!B8="","",PPK!B8)</f>
        <v>2</v>
      </c>
      <c r="D10" s="19">
        <f>IF(PPK!C8="","",PPK!C8)</f>
        <v>34</v>
      </c>
      <c r="E10" s="20">
        <f>IF(ACTUALIZAR!C8="","",ACTUALIZAR!C8)</f>
        <v>12918273</v>
      </c>
      <c r="F10" s="20">
        <f>IF(PPK!F8="","",PPK!F8)</f>
        <v>10336991</v>
      </c>
      <c r="G10" s="20">
        <f t="shared" ref="G10:G20" si="9">IF(AND(E10="",F10=""),"",SUM(E10:F10))</f>
        <v>23255264</v>
      </c>
      <c r="H10" s="6">
        <f t="shared" ref="H10:H16" si="10">IFERROR(N10/B10,"")</f>
        <v>595963.52129629627</v>
      </c>
      <c r="I10" s="21">
        <f>IF(ACTUALIZAR!E8="","",ACTUALIZAR!E8)</f>
        <v>13525.31</v>
      </c>
      <c r="J10" s="22">
        <f>IF(ACTUALIZAR!F8="","",ACTUALIZAR!F8)</f>
        <v>9863.83</v>
      </c>
      <c r="K10" s="23">
        <f>IFERROR(SUMPRODUCT((NAVES!$A$7:$A$200=A10)*NAVES!$F$7:$F$200*NAVES!$G$7:$G$200)/SUMIF(NAVES!$A$7:$A$200,A10,NAVES!$F$7:$F$200),"")</f>
        <v>14.93447222222221</v>
      </c>
      <c r="L10" s="24" t="str">
        <f>ACTUALIZAR!G8</f>
        <v>Disponible incompleto</v>
      </c>
      <c r="M10" s="11">
        <f>IF(ACTUALIZAR!I8="","",ACTUALIZAR!I8)</f>
        <v>905</v>
      </c>
      <c r="N10" s="12">
        <f t="shared" si="0"/>
        <v>32182030.149999999</v>
      </c>
      <c r="O10" s="12">
        <f t="shared" si="1"/>
        <v>595963.52129629627</v>
      </c>
      <c r="P10" s="13">
        <f t="shared" si="2"/>
        <v>0.40141261877476681</v>
      </c>
      <c r="Q10" s="13">
        <f t="shared" si="3"/>
        <v>0.32120381939297887</v>
      </c>
      <c r="R10" s="13">
        <f t="shared" si="4"/>
        <v>0.27738356183225443</v>
      </c>
      <c r="S10" s="13">
        <f t="shared" ref="S10:S20" si="11">IFERROR(B10/B9-1,"")</f>
        <v>-0.38636363636363635</v>
      </c>
      <c r="T10" s="13">
        <f t="shared" ref="T10:T20" si="12">IFERROR(N10/N9-1,"")</f>
        <v>4.8586294265328123E-2</v>
      </c>
      <c r="U10" s="14">
        <f t="shared" si="5"/>
        <v>12.23099924794923</v>
      </c>
      <c r="V10" s="15">
        <v>53916.57</v>
      </c>
      <c r="W10" s="16">
        <f t="shared" si="6"/>
        <v>35560.254309392265</v>
      </c>
      <c r="X10" s="16">
        <f t="shared" si="7"/>
        <v>18356.315690607735</v>
      </c>
      <c r="Y10" s="17">
        <f t="shared" si="8"/>
        <v>0.34045777931733667</v>
      </c>
    </row>
    <row r="11" spans="1:25" ht="19.5" customHeight="1" x14ac:dyDescent="0.35">
      <c r="A11" s="18" t="s">
        <v>36</v>
      </c>
      <c r="B11" s="19">
        <f>IF(ACTUALIZAR!B9="","",ACTUALIZAR!B9)</f>
        <v>72</v>
      </c>
      <c r="C11" s="19">
        <f>IF(PPK!B9="","",PPK!B9)</f>
        <v>2</v>
      </c>
      <c r="D11" s="19">
        <f>IF(PPK!C9="","",PPK!C9)</f>
        <v>31</v>
      </c>
      <c r="E11" s="20">
        <f>IF(ACTUALIZAR!C9="","",ACTUALIZAR!C9)</f>
        <v>12918273</v>
      </c>
      <c r="F11" s="20">
        <f>IF(PPK!F9="","",PPK!F9)</f>
        <v>9514784</v>
      </c>
      <c r="G11" s="20">
        <f t="shared" si="9"/>
        <v>22433057</v>
      </c>
      <c r="H11" s="6">
        <f t="shared" si="10"/>
        <v>423642.67083333334</v>
      </c>
      <c r="I11" s="21">
        <f>IF(ACTUALIZAR!E9="","",ACTUALIZAR!E9)</f>
        <v>7812.79</v>
      </c>
      <c r="J11" s="22">
        <f>IF(ACTUALIZAR!F9="","",ACTUALIZAR!F9)</f>
        <v>8916.26</v>
      </c>
      <c r="K11" s="23">
        <f>IFERROR(SUMPRODUCT((NAVES!$A$7:$A$200=A11)*NAVES!$F$7:$F$200*NAVES!$G$7:$G$200)/SUMIF(NAVES!$A$7:$A$200,A11,NAVES!$F$7:$F$200),"")</f>
        <v>8.1315297067901184</v>
      </c>
      <c r="L11" s="25" t="str">
        <f>ACTUALIZAR!G9</f>
        <v>Disponible</v>
      </c>
      <c r="M11" s="11">
        <f>IF(ACTUALIZAR!I9="","",ACTUALIZAR!I9)</f>
        <v>905</v>
      </c>
      <c r="N11" s="12">
        <f t="shared" si="0"/>
        <v>30502272.300000001</v>
      </c>
      <c r="O11" s="12">
        <f t="shared" si="1"/>
        <v>423642.67083333334</v>
      </c>
      <c r="P11" s="13">
        <f t="shared" si="2"/>
        <v>0.42351838161250693</v>
      </c>
      <c r="Q11" s="13">
        <f t="shared" si="3"/>
        <v>0.31193689133776437</v>
      </c>
      <c r="R11" s="13">
        <f t="shared" si="4"/>
        <v>0.26454472704972865</v>
      </c>
      <c r="S11" s="13">
        <f t="shared" si="11"/>
        <v>0.33333333333333326</v>
      </c>
      <c r="T11" s="13">
        <f t="shared" si="12"/>
        <v>-5.2195521605401196E-2</v>
      </c>
      <c r="U11" s="14">
        <f t="shared" si="5"/>
        <v>15.229231019230756</v>
      </c>
      <c r="V11" s="15">
        <v>71738.100000000006</v>
      </c>
      <c r="W11" s="16">
        <f t="shared" si="6"/>
        <v>33704.168287292821</v>
      </c>
      <c r="X11" s="16">
        <f t="shared" si="7"/>
        <v>38033.931712707184</v>
      </c>
      <c r="Y11" s="17">
        <f t="shared" si="8"/>
        <v>0.53017757248529274</v>
      </c>
    </row>
    <row r="12" spans="1:25" ht="19.5" customHeight="1" x14ac:dyDescent="0.35">
      <c r="A12" s="18" t="s">
        <v>37</v>
      </c>
      <c r="B12" s="19">
        <f>IF(ACTUALIZAR!B10="","",ACTUALIZAR!B10)</f>
        <v>23</v>
      </c>
      <c r="C12" s="19">
        <f>IF(PPK!B10="","",PPK!B10)</f>
        <v>1</v>
      </c>
      <c r="D12" s="19">
        <f>IF(PPK!C10="","",PPK!C10)</f>
        <v>30</v>
      </c>
      <c r="E12" s="20">
        <f>IF(ACTUALIZAR!C10="","",ACTUALIZAR!C10)</f>
        <v>12918273</v>
      </c>
      <c r="F12" s="20">
        <f>IF(PPK!F10="","",PPK!F10)</f>
        <v>9240715</v>
      </c>
      <c r="G12" s="20">
        <f t="shared" si="9"/>
        <v>22158988</v>
      </c>
      <c r="H12" s="6">
        <f t="shared" si="10"/>
        <v>1004353.6391304347</v>
      </c>
      <c r="I12" s="21">
        <f>IF(ACTUALIZAR!E10="","",ACTUALIZAR!E10)</f>
        <v>804.81</v>
      </c>
      <c r="J12" s="22">
        <f>IF(ACTUALIZAR!F10="","",ACTUALIZAR!F10)</f>
        <v>1039.94</v>
      </c>
      <c r="K12" s="23">
        <f>IFERROR(SUMPRODUCT((NAVES!$A$7:$A$200=A12)*NAVES!$F$7:$F$200*NAVES!$G$7:$G$200)/SUMIF(NAVES!$A$7:$A$200,A12,NAVES!$F$7:$F$200),"")</f>
        <v>6.2434178743961359</v>
      </c>
      <c r="L12" s="25" t="str">
        <f>ACTUALIZAR!G10</f>
        <v>Disponible</v>
      </c>
      <c r="M12" s="11">
        <f>IF(ACTUALIZAR!I10="","",ACTUALIZAR!I10)</f>
        <v>905</v>
      </c>
      <c r="N12" s="12">
        <f t="shared" si="0"/>
        <v>23100133.699999999</v>
      </c>
      <c r="O12" s="12">
        <f t="shared" si="1"/>
        <v>1004353.6391304347</v>
      </c>
      <c r="P12" s="13">
        <f t="shared" si="2"/>
        <v>0.55922936065084339</v>
      </c>
      <c r="Q12" s="13">
        <f t="shared" si="3"/>
        <v>0.40002863706368941</v>
      </c>
      <c r="R12" s="13">
        <f t="shared" si="4"/>
        <v>4.0742002285467295E-2</v>
      </c>
      <c r="S12" s="13">
        <f t="shared" si="11"/>
        <v>-0.68055555555555558</v>
      </c>
      <c r="T12" s="13">
        <f t="shared" si="12"/>
        <v>-0.24267498916793817</v>
      </c>
      <c r="U12" s="14">
        <f t="shared" si="5"/>
        <v>7.2419920495981271</v>
      </c>
      <c r="V12" s="15">
        <v>19736</v>
      </c>
      <c r="W12" s="16">
        <f t="shared" si="6"/>
        <v>25525.009613259666</v>
      </c>
      <c r="X12" s="16">
        <f t="shared" si="7"/>
        <v>-5789.0096132596664</v>
      </c>
      <c r="Y12" s="17">
        <f t="shared" si="8"/>
        <v>-0.29332233549147074</v>
      </c>
    </row>
    <row r="13" spans="1:25" ht="19.5" customHeight="1" x14ac:dyDescent="0.35">
      <c r="A13" s="18" t="s">
        <v>38</v>
      </c>
      <c r="B13" s="19">
        <f>IF(ACTUALIZAR!B11="","",ACTUALIZAR!B11)</f>
        <v>47</v>
      </c>
      <c r="C13" s="19">
        <f>IF(PPK!B11="","",PPK!B11)</f>
        <v>2</v>
      </c>
      <c r="D13" s="19">
        <f>IF(PPK!C11="","",PPK!C11)</f>
        <v>31</v>
      </c>
      <c r="E13" s="20">
        <f>IF(ACTUALIZAR!C11="","",ACTUALIZAR!C11)</f>
        <v>12918273</v>
      </c>
      <c r="F13" s="20">
        <f>IF(PPK!F11="","",PPK!F11)</f>
        <v>9514784</v>
      </c>
      <c r="G13" s="20">
        <f t="shared" si="9"/>
        <v>22433057</v>
      </c>
      <c r="H13" s="6">
        <f t="shared" si="10"/>
        <v>700396.3165165094</v>
      </c>
      <c r="I13" s="21">
        <f>IF(ACTUALIZAR!E11="","",ACTUALIZAR!E11)</f>
        <v>8444.64</v>
      </c>
      <c r="J13" s="22">
        <f>IF(ACTUALIZAR!F11="","",ACTUALIZAR!F11)</f>
        <v>11586.2650566585</v>
      </c>
      <c r="K13" s="23">
        <f>IFERROR(SUMPRODUCT((NAVES!$A$7:$A$200=A13)*NAVES!$F$7:$F$200*NAVES!$G$7:$G$200)/SUMIF(NAVES!$A$7:$A$200,A13,NAVES!$F$7:$F$200),"")</f>
        <v>6.4853086419753092</v>
      </c>
      <c r="L13" s="24" t="str">
        <f>ACTUALIZAR!G11</f>
        <v>Disponible incompleto</v>
      </c>
      <c r="M13" s="11">
        <f>IF(ACTUALIZAR!I11="","",ACTUALIZAR!I11)</f>
        <v>905</v>
      </c>
      <c r="N13" s="12">
        <f t="shared" si="0"/>
        <v>32918626.876275942</v>
      </c>
      <c r="O13" s="12">
        <f t="shared" si="1"/>
        <v>700396.3165165094</v>
      </c>
      <c r="P13" s="13">
        <f t="shared" si="2"/>
        <v>0.39243049379164852</v>
      </c>
      <c r="Q13" s="13">
        <f t="shared" si="3"/>
        <v>0.28903951661656918</v>
      </c>
      <c r="R13" s="13">
        <f t="shared" si="4"/>
        <v>0.3185299895917823</v>
      </c>
      <c r="S13" s="13">
        <f t="shared" si="11"/>
        <v>1.0434782608695654</v>
      </c>
      <c r="T13" s="13">
        <f t="shared" si="12"/>
        <v>0.42504053456088631</v>
      </c>
      <c r="U13" s="14">
        <f t="shared" si="5"/>
        <v>38.01149512078738</v>
      </c>
      <c r="V13" s="15">
        <v>41288</v>
      </c>
      <c r="W13" s="16">
        <f t="shared" si="6"/>
        <v>36374.173343951319</v>
      </c>
      <c r="X13" s="16">
        <f t="shared" si="7"/>
        <v>4913.8266560486809</v>
      </c>
      <c r="Y13" s="17">
        <f t="shared" si="8"/>
        <v>0.11901343383183204</v>
      </c>
    </row>
    <row r="14" spans="1:25" ht="19.5" customHeight="1" x14ac:dyDescent="0.35">
      <c r="A14" s="18" t="s">
        <v>39</v>
      </c>
      <c r="B14" s="19">
        <f>IF(ACTUALIZAR!B12="","",ACTUALIZAR!B12)</f>
        <v>213</v>
      </c>
      <c r="C14" s="19">
        <f>IF(PPK!B12="","",PPK!B12)</f>
        <v>3</v>
      </c>
      <c r="D14" s="19">
        <f>IF(PPK!C12="","",PPK!C12)</f>
        <v>32</v>
      </c>
      <c r="E14" s="20">
        <f>IF(ACTUALIZAR!C12="","",ACTUALIZAR!C12)</f>
        <v>12918273</v>
      </c>
      <c r="F14" s="20">
        <f>IF(PPK!F12="","",PPK!F12)</f>
        <v>9788853</v>
      </c>
      <c r="G14" s="20">
        <f t="shared" si="9"/>
        <v>22707126</v>
      </c>
      <c r="H14" s="6">
        <f t="shared" si="10"/>
        <v>137879.03145539906</v>
      </c>
      <c r="I14" s="21">
        <f>IF(ACTUALIZAR!E12="","",ACTUALIZAR!E12)</f>
        <v>7391.7</v>
      </c>
      <c r="J14" s="22">
        <f>IF(ACTUALIZAR!F12="","",ACTUALIZAR!F12)</f>
        <v>7360.34</v>
      </c>
      <c r="K14" s="23">
        <f>IFERROR(SUMPRODUCT((NAVES!$A$7:$A$200=A14)*NAVES!$F$7:$F$200*NAVES!$G$7:$G$200)/SUMIF(NAVES!$A$7:$A$200,A14,NAVES!$F$7:$F$200),"")</f>
        <v>1.7942194835680738</v>
      </c>
      <c r="L14" s="25" t="str">
        <f>ACTUALIZAR!G12</f>
        <v>Disponible</v>
      </c>
      <c r="M14" s="11">
        <f>IF(ACTUALIZAR!I12="","",ACTUALIZAR!I12)</f>
        <v>905</v>
      </c>
      <c r="N14" s="12">
        <f t="shared" si="0"/>
        <v>29368233.699999999</v>
      </c>
      <c r="O14" s="12">
        <f t="shared" si="1"/>
        <v>137879.03145539906</v>
      </c>
      <c r="P14" s="13">
        <f t="shared" si="2"/>
        <v>0.43987231687004724</v>
      </c>
      <c r="Q14" s="13">
        <f t="shared" si="3"/>
        <v>0.33331432526703164</v>
      </c>
      <c r="R14" s="13">
        <f t="shared" si="4"/>
        <v>0.22681335786292114</v>
      </c>
      <c r="S14" s="13">
        <f t="shared" si="11"/>
        <v>3.5319148936170217</v>
      </c>
      <c r="T14" s="13">
        <f t="shared" si="12"/>
        <v>-0.10785362310584923</v>
      </c>
      <c r="U14" s="14">
        <f t="shared" si="5"/>
        <v>19.259397844538586</v>
      </c>
      <c r="V14" s="15">
        <v>54592</v>
      </c>
      <c r="W14" s="16">
        <f t="shared" si="6"/>
        <v>32451.086961325967</v>
      </c>
      <c r="X14" s="16">
        <f t="shared" si="7"/>
        <v>22140.913038674033</v>
      </c>
      <c r="Y14" s="17">
        <f t="shared" si="8"/>
        <v>0.40557065208591064</v>
      </c>
    </row>
    <row r="15" spans="1:25" ht="19.5" customHeight="1" x14ac:dyDescent="0.35">
      <c r="A15" s="18" t="s">
        <v>40</v>
      </c>
      <c r="B15" s="19">
        <f>IF(ACTUALIZAR!B13="","",ACTUALIZAR!B13)</f>
        <v>547</v>
      </c>
      <c r="C15" s="19">
        <f>IF(PPK!B13="","",PPK!B13)</f>
        <v>4</v>
      </c>
      <c r="D15" s="19">
        <f>IF(PPK!C13="","",PPK!C13)</f>
        <v>35</v>
      </c>
      <c r="E15" s="20">
        <f>IF(ACTUALIZAR!C13="","",ACTUALIZAR!C13)</f>
        <v>13585968.4319939</v>
      </c>
      <c r="F15" s="20">
        <f>IF(PPK!F13="","",PPK!F13)</f>
        <v>10611062</v>
      </c>
      <c r="G15" s="20">
        <f t="shared" si="9"/>
        <v>24197030.431993902</v>
      </c>
      <c r="H15" s="6">
        <f t="shared" si="10"/>
        <v>80687.649510043688</v>
      </c>
      <c r="I15" s="21">
        <f>IF(ACTUALIZAR!E13="","",ACTUALIZAR!E13)</f>
        <v>19860.919999999998</v>
      </c>
      <c r="J15" s="22">
        <f>IF(ACTUALIZAR!F13="","",ACTUALIZAR!F13)</f>
        <v>22032.17</v>
      </c>
      <c r="K15" s="23">
        <f>IFERROR(SUMPRODUCT((NAVES!$A$7:$A$200=A15)*NAVES!$F$7:$F$200*NAVES!$G$7:$G$200)/SUMIF(NAVES!$A$7:$A$200,A15,NAVES!$F$7:$F$200),"")</f>
        <v>2.3124475649682852</v>
      </c>
      <c r="L15" s="24" t="str">
        <f>ACTUALIZAR!G13</f>
        <v>Disponible incompleto</v>
      </c>
      <c r="M15" s="11">
        <f>IF(ACTUALIZAR!I13="","",ACTUALIZAR!I13)</f>
        <v>905</v>
      </c>
      <c r="N15" s="12">
        <f t="shared" si="0"/>
        <v>44136144.281993896</v>
      </c>
      <c r="O15" s="12">
        <f t="shared" si="1"/>
        <v>80687.649510043688</v>
      </c>
      <c r="P15" s="13">
        <f t="shared" si="2"/>
        <v>0.30781955816508716</v>
      </c>
      <c r="Q15" s="13">
        <f t="shared" si="3"/>
        <v>0.24041660576882259</v>
      </c>
      <c r="R15" s="13">
        <f t="shared" si="4"/>
        <v>0.45176383606609027</v>
      </c>
      <c r="S15" s="13">
        <f t="shared" si="11"/>
        <v>1.568075117370892</v>
      </c>
      <c r="T15" s="13">
        <f t="shared" si="12"/>
        <v>0.50285320979292991</v>
      </c>
      <c r="U15" s="14">
        <f t="shared" si="5"/>
        <v>17.417990677130511</v>
      </c>
      <c r="V15" s="15">
        <v>198088</v>
      </c>
      <c r="W15" s="16">
        <f t="shared" si="6"/>
        <v>48769.220201098229</v>
      </c>
      <c r="X15" s="16">
        <f t="shared" si="7"/>
        <v>149318.77979890176</v>
      </c>
      <c r="Y15" s="17">
        <f t="shared" si="8"/>
        <v>0.75380022918552236</v>
      </c>
    </row>
    <row r="16" spans="1:25" ht="19.5" customHeight="1" x14ac:dyDescent="0.35">
      <c r="A16" s="18" t="s">
        <v>41</v>
      </c>
      <c r="B16" s="19">
        <f>IF(ACTUALIZAR!B14="","",ACTUALIZAR!B14)</f>
        <v>751</v>
      </c>
      <c r="C16" s="19">
        <f>IF(PPK!B14="","",PPK!B14)</f>
        <v>9</v>
      </c>
      <c r="D16" s="19">
        <f>IF(PPK!C14="","",PPK!C14)</f>
        <v>74</v>
      </c>
      <c r="E16" s="20">
        <f>IF(ACTUALIZAR!C14="","",ACTUALIZAR!C14)</f>
        <v>13919815.1136028</v>
      </c>
      <c r="F16" s="20">
        <f>IF(PPK!F14="","",PPK!F14)</f>
        <v>21299751</v>
      </c>
      <c r="G16" s="20">
        <f t="shared" si="9"/>
        <v>35219566.113602802</v>
      </c>
      <c r="H16" s="6">
        <f t="shared" si="10"/>
        <v>104647.34036431798</v>
      </c>
      <c r="I16" s="21">
        <f>IF(ACTUALIZAR!E14="","",ACTUALIZAR!E14)</f>
        <v>39428.230000000003</v>
      </c>
      <c r="J16" s="22">
        <f>IF(ACTUALIZAR!F14="","",ACTUALIZAR!F14)</f>
        <v>47923.3</v>
      </c>
      <c r="K16" s="23">
        <f>IFERROR(SUMPRODUCT((NAVES!$A$7:$A$200=A16)*NAVES!$F$7:$F$200*NAVES!$G$7:$G$200)/SUMIF(NAVES!$A$7:$A$200,A16,NAVES!$F$7:$F$200),"")</f>
        <v>2.9878828229027965</v>
      </c>
      <c r="L16" s="26" t="str">
        <f>ACTUALIZAR!G14</f>
        <v>Disponible</v>
      </c>
      <c r="M16" s="11">
        <f>IF(ACTUALIZAR!I14="","",ACTUALIZAR!I14)</f>
        <v>905</v>
      </c>
      <c r="N16" s="12">
        <f t="shared" si="0"/>
        <v>78590152.613602802</v>
      </c>
      <c r="O16" s="12">
        <f t="shared" si="1"/>
        <v>104647.34036431798</v>
      </c>
      <c r="P16" s="13">
        <f t="shared" si="2"/>
        <v>0.17711907472735311</v>
      </c>
      <c r="Q16" s="13">
        <f t="shared" si="3"/>
        <v>0.27102315355872364</v>
      </c>
      <c r="R16" s="13">
        <f t="shared" si="4"/>
        <v>0.55185777171392325</v>
      </c>
      <c r="S16" s="13">
        <f t="shared" si="11"/>
        <v>0.3729433272394882</v>
      </c>
      <c r="T16" s="13">
        <f t="shared" si="12"/>
        <v>0.78063022704194429</v>
      </c>
      <c r="U16" s="14">
        <f t="shared" si="5"/>
        <v>21.357146040376129</v>
      </c>
      <c r="V16" s="15">
        <v>305408</v>
      </c>
      <c r="W16" s="16">
        <f t="shared" si="6"/>
        <v>86839.947639340113</v>
      </c>
      <c r="X16" s="16">
        <f t="shared" si="7"/>
        <v>218568.05236065987</v>
      </c>
      <c r="Y16" s="17">
        <f t="shared" si="8"/>
        <v>0.71565922425299888</v>
      </c>
    </row>
    <row r="17" spans="1:25" ht="19.5" customHeight="1" x14ac:dyDescent="0.35">
      <c r="A17" s="18" t="s">
        <v>42</v>
      </c>
      <c r="B17" s="19">
        <f>IF(ACTUALIZAR!B15="","",ACTUALIZAR!B15)</f>
        <v>1151</v>
      </c>
      <c r="C17" s="19">
        <f>IF(PPK!B15="","",PPK!B15)</f>
        <v>9</v>
      </c>
      <c r="D17" s="19">
        <f>IF(PPK!C15="","",PPK!C15)</f>
        <v>90</v>
      </c>
      <c r="E17" s="20">
        <f>IF(ACTUALIZAR!C15="","",ACTUALIZAR!C15)</f>
        <v>14253663.863987889</v>
      </c>
      <c r="F17" s="20">
        <f>IF(PPK!F15="","",PPK!F15)</f>
        <v>25684855</v>
      </c>
      <c r="G17" s="20">
        <f t="shared" si="9"/>
        <v>39938518.863987893</v>
      </c>
      <c r="H17" s="6">
        <f>IFERROR(N17/B17,"")</f>
        <v>97369.81495568018</v>
      </c>
      <c r="I17" s="21">
        <f>IF(ACTUALIZAR!E15="","",ACTUALIZAR!E15)</f>
        <v>58941.29</v>
      </c>
      <c r="J17" s="22">
        <f>IF(ACTUALIZAR!F15="","",ACTUALIZAR!F15)</f>
        <v>79706.23</v>
      </c>
      <c r="K17" s="23">
        <f>IFERROR(SUMPRODUCT((NAVES!$A$7:$A$200=A17)*NAVES!$F$7:$F$200*NAVES!$G$7:$G$200)/SUMIF(NAVES!$A$7:$A$200,A17,NAVES!$F$7:$F$200),"")</f>
        <v>2.8327074235807861</v>
      </c>
      <c r="L17" s="26" t="str">
        <f>ACTUALIZAR!G15</f>
        <v>Disponible incompleto</v>
      </c>
      <c r="M17" s="11">
        <f>IF(ACTUALIZAR!I15="","",ACTUALIZAR!I15)</f>
        <v>905</v>
      </c>
      <c r="N17" s="12">
        <f t="shared" si="0"/>
        <v>112072657.01398788</v>
      </c>
      <c r="O17" s="12">
        <f t="shared" si="1"/>
        <v>97369.81495568018</v>
      </c>
      <c r="P17" s="13">
        <f t="shared" si="2"/>
        <v>0.12718234976983617</v>
      </c>
      <c r="Q17" s="13">
        <f t="shared" si="3"/>
        <v>0.22918038783353062</v>
      </c>
      <c r="R17" s="13">
        <f t="shared" si="4"/>
        <v>0.64363726239663321</v>
      </c>
      <c r="S17" s="13">
        <f t="shared" si="11"/>
        <v>0.53262316910785623</v>
      </c>
      <c r="T17" s="13">
        <f t="shared" si="12"/>
        <v>0.4260394373453571</v>
      </c>
      <c r="U17" s="14">
        <f t="shared" si="5"/>
        <v>24.446417460015216</v>
      </c>
      <c r="V17" s="15">
        <v>630824</v>
      </c>
      <c r="W17" s="16">
        <f t="shared" si="6"/>
        <v>123837.19007070485</v>
      </c>
      <c r="X17" s="16">
        <f t="shared" si="7"/>
        <v>506986.80992929515</v>
      </c>
      <c r="Y17" s="17">
        <f t="shared" si="8"/>
        <v>0.80368979292052167</v>
      </c>
    </row>
    <row r="18" spans="1:25" ht="19.5" customHeight="1" x14ac:dyDescent="0.35">
      <c r="A18" s="27" t="s">
        <v>43</v>
      </c>
      <c r="B18" s="28" t="str">
        <f>IF(ACTUALIZAR!B16="","",ACTUALIZAR!B16)</f>
        <v/>
      </c>
      <c r="C18" s="28" t="str">
        <f>IF(PPK!B16="","",PPK!B16)</f>
        <v/>
      </c>
      <c r="D18" s="28" t="str">
        <f>IF(PPK!C16="","",PPK!C16)</f>
        <v/>
      </c>
      <c r="E18" s="29" t="str">
        <f>IF(ACTUALIZAR!C16="","",ACTUALIZAR!C16)</f>
        <v/>
      </c>
      <c r="F18" s="29" t="str">
        <f>IF(PPK!F16="","",PPK!F16)</f>
        <v/>
      </c>
      <c r="G18" s="29" t="str">
        <f t="shared" si="9"/>
        <v/>
      </c>
      <c r="H18" s="29" t="str">
        <f>IFERROR(N18/B18,"")</f>
        <v/>
      </c>
      <c r="I18" s="30" t="str">
        <f>IF(ACTUALIZAR!E16="","",ACTUALIZAR!E16)</f>
        <v/>
      </c>
      <c r="J18" s="31" t="str">
        <f>IF(ACTUALIZAR!F16="","",ACTUALIZAR!F16)</f>
        <v/>
      </c>
      <c r="K18" s="32" t="str">
        <f>IFERROR(SUMPRODUCT((NAVES!$A$7:$A$200=A18)*NAVES!$F$7:$F$200*NAVES!$G$7:$G$200)/SUMIF(NAVES!$A$7:$A$200,A18,NAVES!$F$7:$F$200),"")</f>
        <v/>
      </c>
      <c r="L18" s="26" t="str">
        <f>ACTUALIZAR!G16</f>
        <v>Pendiente</v>
      </c>
      <c r="M18" s="11" t="str">
        <f>IF(ACTUALIZAR!I16="","",ACTUALIZAR!I16)</f>
        <v/>
      </c>
      <c r="N18" s="12" t="str">
        <f t="shared" si="0"/>
        <v/>
      </c>
      <c r="O18" s="12" t="str">
        <f t="shared" si="1"/>
        <v/>
      </c>
      <c r="P18" s="13" t="str">
        <f t="shared" si="2"/>
        <v/>
      </c>
      <c r="Q18" s="13" t="str">
        <f t="shared" si="3"/>
        <v/>
      </c>
      <c r="R18" s="13" t="str">
        <f t="shared" si="4"/>
        <v/>
      </c>
      <c r="S18" s="13" t="str">
        <f t="shared" si="11"/>
        <v/>
      </c>
      <c r="T18" s="13" t="str">
        <f t="shared" si="12"/>
        <v/>
      </c>
      <c r="U18" s="14" t="str">
        <f t="shared" si="5"/>
        <v/>
      </c>
      <c r="V18" s="33"/>
      <c r="W18" s="16" t="str">
        <f t="shared" si="6"/>
        <v/>
      </c>
      <c r="X18" s="16" t="str">
        <f t="shared" si="7"/>
        <v/>
      </c>
      <c r="Y18" s="17" t="str">
        <f t="shared" si="8"/>
        <v/>
      </c>
    </row>
    <row r="19" spans="1:25" ht="19.5" customHeight="1" x14ac:dyDescent="0.35">
      <c r="A19" s="27" t="s">
        <v>44</v>
      </c>
      <c r="B19" s="28" t="str">
        <f>IF(ACTUALIZAR!B17="","",ACTUALIZAR!B17)</f>
        <v/>
      </c>
      <c r="C19" s="28" t="str">
        <f>IF(PPK!B17="","",PPK!B17)</f>
        <v/>
      </c>
      <c r="D19" s="28" t="str">
        <f>IF(PPK!C17="","",PPK!C17)</f>
        <v/>
      </c>
      <c r="E19" s="29" t="str">
        <f>IF(ACTUALIZAR!C17="","",ACTUALIZAR!C17)</f>
        <v/>
      </c>
      <c r="F19" s="29" t="str">
        <f>IF(PPK!F17="","",PPK!F17)</f>
        <v/>
      </c>
      <c r="G19" s="29" t="str">
        <f t="shared" si="9"/>
        <v/>
      </c>
      <c r="H19" s="29" t="str">
        <f>IFERROR(N19/B19,"")</f>
        <v/>
      </c>
      <c r="I19" s="30" t="str">
        <f>IF(ACTUALIZAR!E17="","",ACTUALIZAR!E17)</f>
        <v/>
      </c>
      <c r="J19" s="31" t="str">
        <f>IF(ACTUALIZAR!F17="","",ACTUALIZAR!F17)</f>
        <v/>
      </c>
      <c r="K19" s="32" t="str">
        <f>IFERROR(SUMPRODUCT((NAVES!$A$7:$A$200=A19)*NAVES!$F$7:$F$200*NAVES!$G$7:$G$200)/SUMIF(NAVES!$A$7:$A$200,A19,NAVES!$F$7:$F$200),"")</f>
        <v/>
      </c>
      <c r="L19" s="26" t="str">
        <f>ACTUALIZAR!G17</f>
        <v>Pendiente</v>
      </c>
      <c r="M19" s="11" t="str">
        <f>IF(ACTUALIZAR!I17="","",ACTUALIZAR!I17)</f>
        <v/>
      </c>
      <c r="N19" s="12" t="str">
        <f t="shared" si="0"/>
        <v/>
      </c>
      <c r="O19" s="12" t="str">
        <f t="shared" si="1"/>
        <v/>
      </c>
      <c r="P19" s="13" t="str">
        <f t="shared" si="2"/>
        <v/>
      </c>
      <c r="Q19" s="13" t="str">
        <f t="shared" si="3"/>
        <v/>
      </c>
      <c r="R19" s="13" t="str">
        <f t="shared" si="4"/>
        <v/>
      </c>
      <c r="S19" s="13" t="str">
        <f t="shared" si="11"/>
        <v/>
      </c>
      <c r="T19" s="13" t="str">
        <f t="shared" si="12"/>
        <v/>
      </c>
      <c r="U19" s="14" t="str">
        <f t="shared" si="5"/>
        <v/>
      </c>
      <c r="V19" s="33"/>
      <c r="W19" s="16" t="str">
        <f t="shared" si="6"/>
        <v/>
      </c>
      <c r="X19" s="16" t="str">
        <f t="shared" si="7"/>
        <v/>
      </c>
      <c r="Y19" s="17" t="str">
        <f t="shared" si="8"/>
        <v/>
      </c>
    </row>
    <row r="20" spans="1:25" ht="19.5" customHeight="1" x14ac:dyDescent="0.35">
      <c r="A20" s="27" t="s">
        <v>45</v>
      </c>
      <c r="B20" s="28" t="str">
        <f>IF(ACTUALIZAR!B18="","",ACTUALIZAR!B18)</f>
        <v/>
      </c>
      <c r="C20" s="28" t="str">
        <f>IF(PPK!B18="","",PPK!B18)</f>
        <v/>
      </c>
      <c r="D20" s="28" t="str">
        <f>IF(PPK!C18="","",PPK!C18)</f>
        <v/>
      </c>
      <c r="E20" s="29" t="str">
        <f>IF(ACTUALIZAR!C18="","",ACTUALIZAR!C18)</f>
        <v/>
      </c>
      <c r="F20" s="29" t="str">
        <f>IF(PPK!F18="","",PPK!F18)</f>
        <v/>
      </c>
      <c r="G20" s="29" t="str">
        <f t="shared" si="9"/>
        <v/>
      </c>
      <c r="H20" s="29" t="str">
        <f>IFERROR(N20/B20,"")</f>
        <v/>
      </c>
      <c r="I20" s="30" t="str">
        <f>IF(ACTUALIZAR!E18="","",ACTUALIZAR!E18)</f>
        <v/>
      </c>
      <c r="J20" s="31" t="str">
        <f>IF(ACTUALIZAR!F18="","",ACTUALIZAR!F18)</f>
        <v/>
      </c>
      <c r="K20" s="32" t="str">
        <f>IFERROR(SUMPRODUCT((NAVES!$A$7:$A$200=A20)*NAVES!$F$7:$F$200*NAVES!$G$7:$G$200)/SUMIF(NAVES!$A$7:$A$200,A20,NAVES!$F$7:$F$200),"")</f>
        <v/>
      </c>
      <c r="L20" s="26" t="str">
        <f>ACTUALIZAR!G18</f>
        <v>Pendiente</v>
      </c>
      <c r="M20" s="11" t="str">
        <f>IF(ACTUALIZAR!I18="","",ACTUALIZAR!I18)</f>
        <v/>
      </c>
      <c r="N20" s="12" t="str">
        <f t="shared" si="0"/>
        <v/>
      </c>
      <c r="O20" s="12" t="str">
        <f t="shared" si="1"/>
        <v/>
      </c>
      <c r="P20" s="13" t="str">
        <f t="shared" si="2"/>
        <v/>
      </c>
      <c r="Q20" s="13" t="str">
        <f t="shared" si="3"/>
        <v/>
      </c>
      <c r="R20" s="13" t="str">
        <f t="shared" si="4"/>
        <v/>
      </c>
      <c r="S20" s="13" t="str">
        <f t="shared" si="11"/>
        <v/>
      </c>
      <c r="T20" s="13" t="str">
        <f t="shared" si="12"/>
        <v/>
      </c>
      <c r="U20" s="14" t="str">
        <f t="shared" si="5"/>
        <v/>
      </c>
      <c r="V20" s="33"/>
      <c r="W20" s="16" t="str">
        <f t="shared" si="6"/>
        <v/>
      </c>
      <c r="X20" s="16" t="str">
        <f t="shared" si="7"/>
        <v/>
      </c>
      <c r="Y20" s="17" t="str">
        <f t="shared" si="8"/>
        <v/>
      </c>
    </row>
    <row r="21" spans="1:25" ht="15" customHeight="1" x14ac:dyDescent="0.35">
      <c r="A21" s="34" t="s">
        <v>46</v>
      </c>
      <c r="B21" s="35">
        <f>SUM(B9:B20)</f>
        <v>2946</v>
      </c>
      <c r="C21" s="35"/>
      <c r="D21" s="35">
        <f>SUM(D9:D20)</f>
        <v>388</v>
      </c>
      <c r="E21" s="36">
        <f>SUM(E9:E20)</f>
        <v>119269085.4095846</v>
      </c>
      <c r="F21" s="36">
        <f>SUM(F9:F20)</f>
        <v>115506579</v>
      </c>
      <c r="G21" s="36">
        <f>SUM(G9:G20)</f>
        <v>234775664.40958461</v>
      </c>
      <c r="H21" s="36">
        <f>IFERROR(G21/B21,"")</f>
        <v>79693.029331155674</v>
      </c>
      <c r="I21" s="37">
        <f>SUM(I9:I20)</f>
        <v>169438.32</v>
      </c>
      <c r="J21" s="38">
        <f>SUM(J9:J20)</f>
        <v>197552.99505665849</v>
      </c>
      <c r="K21" s="39">
        <f>IFERROR(SUMPRODUCT(NAVES!$F$7:$F$200,NAVES!$G$7:$G$200)/SUM(NAVES!$F$7:$F$200),"")</f>
        <v>3.2074955719346367</v>
      </c>
      <c r="L21" s="34" t="s">
        <v>47</v>
      </c>
      <c r="N21" s="40">
        <f>IF(COUNT(N9:N20)=0,"",SUM(N9:N20))</f>
        <v>413561124.93586051</v>
      </c>
      <c r="O21" s="40">
        <f t="shared" si="1"/>
        <v>140380.5583624781</v>
      </c>
      <c r="P21" s="41">
        <f t="shared" si="2"/>
        <v>0.28839530172977967</v>
      </c>
      <c r="Q21" s="41">
        <f t="shared" si="3"/>
        <v>0.27929747753228495</v>
      </c>
      <c r="R21" s="1">
        <f>IFERROR((SUM(J9:J20)*905)/N21,"")</f>
        <v>0.43230722073793543</v>
      </c>
      <c r="V21" s="42">
        <f>IF(COUNT(V9:V20)=0,"",SUM(V9:V20))</f>
        <v>1446679</v>
      </c>
      <c r="W21" s="42">
        <f>IF(COUNT(W9:W20)=0,"",SUM(W9:W20))</f>
        <v>456973.61871365807</v>
      </c>
      <c r="X21" s="42">
        <f t="shared" si="7"/>
        <v>989705.38128634193</v>
      </c>
      <c r="Y21" s="43">
        <f t="shared" si="8"/>
        <v>0.68412231136716706</v>
      </c>
    </row>
  </sheetData>
  <mergeCells count="17">
    <mergeCell ref="A1:L1"/>
    <mergeCell ref="A2:L2"/>
    <mergeCell ref="A3:L3"/>
    <mergeCell ref="A4:B4"/>
    <mergeCell ref="C4:D4"/>
    <mergeCell ref="E4:F4"/>
    <mergeCell ref="G4:H4"/>
    <mergeCell ref="I4:J4"/>
    <mergeCell ref="K4:L4"/>
    <mergeCell ref="M4:N4"/>
    <mergeCell ref="A5:B6"/>
    <mergeCell ref="C5:D6"/>
    <mergeCell ref="E5:F6"/>
    <mergeCell ref="G5:H6"/>
    <mergeCell ref="I5:J6"/>
    <mergeCell ref="K5:L6"/>
    <mergeCell ref="M5:N6"/>
  </mergeCells>
  <conditionalFormatting sqref="H9:H20">
    <cfRule type="expression" dxfId="63" priority="12">
      <formula>AND(H9&lt;&gt;"",H9&gt;AVERAGE($H$9:$H$20))</formula>
    </cfRule>
    <cfRule type="expression" dxfId="62" priority="13">
      <formula>AND(H9&lt;&gt;"",H9&lt;=AVERAGE($H$9:$H$20))</formula>
    </cfRule>
  </conditionalFormatting>
  <conditionalFormatting sqref="L9:L20">
    <cfRule type="cellIs" dxfId="61" priority="2" operator="equal">
      <formula>"Completo"</formula>
    </cfRule>
    <cfRule type="cellIs" dxfId="60" priority="3" operator="equal">
      <formula>"Disponible"</formula>
    </cfRule>
    <cfRule type="cellIs" dxfId="59" priority="4" operator="equal">
      <formula>"Disponible (solo EDP)"</formula>
    </cfRule>
    <cfRule type="cellIs" dxfId="58" priority="5" operator="equal">
      <formula>"Disponible incompleto"</formula>
    </cfRule>
    <cfRule type="cellIs" dxfId="57" priority="6" operator="equal">
      <formula>"Parcial"</formula>
    </cfRule>
    <cfRule type="cellIs" dxfId="56" priority="7" operator="equal">
      <formula>"EDP pendiente"</formula>
    </cfRule>
    <cfRule type="cellIs" dxfId="55" priority="8" operator="equal">
      <formula>"Pendiente"</formula>
    </cfRule>
    <cfRule type="cellIs" dxfId="54" priority="9" operator="equal">
      <formula>"Sin registro"</formula>
    </cfRule>
  </conditionalFormatting>
  <conditionalFormatting sqref="O9:O20">
    <cfRule type="expression" dxfId="53" priority="10">
      <formula>AND(O9&lt;&gt;"",O9&gt;AVERAGE($O$9:$O$20))</formula>
    </cfRule>
    <cfRule type="expression" dxfId="52" priority="11">
      <formula>AND(O9&lt;&gt;"",O9&lt;=AVERAGE($O$9:$O$20))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4FF22-E5E1-4EBA-99E5-FCFD1FD6D1F3}">
  <dimension ref="A1:U44"/>
  <sheetViews>
    <sheetView showGridLines="0" topLeftCell="A13" zoomScale="48" workbookViewId="0">
      <selection activeCell="K13" sqref="K13"/>
    </sheetView>
  </sheetViews>
  <sheetFormatPr baseColWidth="10" defaultColWidth="8.7265625" defaultRowHeight="12.5" x14ac:dyDescent="0.25"/>
  <cols>
    <col min="1" max="1" width="7" customWidth="1"/>
    <col min="2" max="2" width="8" customWidth="1"/>
    <col min="3" max="3" width="12" customWidth="1"/>
    <col min="4" max="4" width="20" customWidth="1"/>
    <col min="5" max="5" width="24" customWidth="1"/>
    <col min="6" max="7" width="10" customWidth="1"/>
    <col min="8" max="8" width="11" customWidth="1"/>
    <col min="9" max="9" width="20" customWidth="1"/>
    <col min="10" max="10" width="14" customWidth="1"/>
    <col min="11" max="13" width="15" customWidth="1"/>
    <col min="14" max="14" width="16" customWidth="1"/>
    <col min="15" max="16" width="14" customWidth="1"/>
    <col min="17" max="17" width="10" customWidth="1"/>
    <col min="18" max="19" width="13" customWidth="1"/>
    <col min="21" max="21" width="6" hidden="1" customWidth="1"/>
  </cols>
  <sheetData>
    <row r="1" spans="1:21" ht="30" customHeight="1" x14ac:dyDescent="0.25">
      <c r="A1" s="132" t="s">
        <v>269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</row>
    <row r="2" spans="1:21" ht="24" customHeight="1" x14ac:dyDescent="0.25">
      <c r="A2" s="133" t="s">
        <v>270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</row>
    <row r="4" spans="1:21" ht="22" customHeight="1" x14ac:dyDescent="0.25">
      <c r="A4" s="93" t="s">
        <v>271</v>
      </c>
      <c r="B4" s="143" t="s">
        <v>42</v>
      </c>
      <c r="C4" s="143"/>
      <c r="D4" s="93" t="s">
        <v>21</v>
      </c>
      <c r="E4" s="91">
        <f>IFERROR(INDEX(RESUMEN!$M$9:$M$20,MATCH($B$4,RESUMEN!$A$9:$A$20,0)),"")</f>
        <v>905</v>
      </c>
      <c r="G4" s="135" t="s">
        <v>272</v>
      </c>
      <c r="H4" s="135"/>
      <c r="I4" s="92">
        <f>IFERROR(INDEX(RESUMEN!$J$9:$J$20,MATCH($B$4,RESUMEN!$A$9:$A$20,0)),"")</f>
        <v>79706.23</v>
      </c>
      <c r="K4" s="93" t="s">
        <v>20</v>
      </c>
      <c r="L4" s="130" t="str">
        <f>IFERROR(INDEX(ACTUALIZAR!$G$7:$G$18,MATCH($B$4,ACTUALIZAR!$A$7:$A$18,0)),"")</f>
        <v>Disponible incompleto</v>
      </c>
      <c r="M4" s="130"/>
      <c r="N4" s="135" t="s">
        <v>273</v>
      </c>
      <c r="O4" s="135"/>
      <c r="P4" s="100">
        <f>IFERROR(J40-INDEX(RESUMEN!$V$9:$V$20,MATCH($B$4,RESUMEN!$A$9:$A$20,0)),"")</f>
        <v>0</v>
      </c>
    </row>
    <row r="6" spans="1:21" ht="18" customHeight="1" x14ac:dyDescent="0.25">
      <c r="A6" s="135" t="s">
        <v>274</v>
      </c>
      <c r="B6" s="135"/>
      <c r="C6" s="135" t="s">
        <v>275</v>
      </c>
      <c r="D6" s="135"/>
      <c r="E6" s="135" t="s">
        <v>276</v>
      </c>
      <c r="F6" s="135"/>
      <c r="G6" s="135" t="s">
        <v>277</v>
      </c>
      <c r="H6" s="135"/>
      <c r="I6" s="135" t="s">
        <v>278</v>
      </c>
      <c r="J6" s="135"/>
      <c r="K6" s="135" t="s">
        <v>279</v>
      </c>
      <c r="L6" s="135"/>
      <c r="M6" s="135" t="s">
        <v>280</v>
      </c>
      <c r="N6" s="135"/>
      <c r="O6" s="135" t="s">
        <v>281</v>
      </c>
      <c r="P6" s="135"/>
      <c r="Q6" s="135" t="s">
        <v>282</v>
      </c>
      <c r="R6" s="135"/>
    </row>
    <row r="7" spans="1:21" ht="26" customHeight="1" x14ac:dyDescent="0.25">
      <c r="A7" s="127">
        <f>IFERROR(MAX(NAVES!$P$7:$P$200),"")</f>
        <v>18</v>
      </c>
      <c r="B7" s="127"/>
      <c r="C7" s="127">
        <f>IFERROR(F40,"")</f>
        <v>1151</v>
      </c>
      <c r="D7" s="127"/>
      <c r="E7" s="138">
        <f>IFERROR(J40,"")</f>
        <v>630824</v>
      </c>
      <c r="F7" s="138"/>
      <c r="G7" s="138">
        <f>IFERROR(O40,"")</f>
        <v>123837.19007070483</v>
      </c>
      <c r="H7" s="138"/>
      <c r="I7" s="138">
        <f>IFERROR(P40,"")</f>
        <v>506986.80992929521</v>
      </c>
      <c r="J7" s="138"/>
      <c r="K7" s="137">
        <f>IFERROR(Q40,"")</f>
        <v>0.80368979292052178</v>
      </c>
      <c r="L7" s="137"/>
      <c r="M7" s="138">
        <f>IFERROR(R40,"")</f>
        <v>548.06602953953086</v>
      </c>
      <c r="N7" s="138"/>
      <c r="O7" s="138">
        <f>IFERROR(S40,"")</f>
        <v>107.59095575213279</v>
      </c>
      <c r="P7" s="138"/>
      <c r="Q7" s="139">
        <f>IFERROR(H40,"")</f>
        <v>2.8327074235807861</v>
      </c>
      <c r="R7" s="139"/>
    </row>
    <row r="9" spans="1:21" ht="33.75" customHeight="1" x14ac:dyDescent="0.25">
      <c r="A9" s="2" t="s">
        <v>283</v>
      </c>
      <c r="B9" s="2" t="s">
        <v>72</v>
      </c>
      <c r="C9" s="2" t="s">
        <v>284</v>
      </c>
      <c r="D9" s="2" t="s">
        <v>73</v>
      </c>
      <c r="E9" s="2" t="s">
        <v>74</v>
      </c>
      <c r="F9" s="2" t="s">
        <v>285</v>
      </c>
      <c r="G9" s="2" t="s">
        <v>75</v>
      </c>
      <c r="H9" s="2" t="s">
        <v>19</v>
      </c>
      <c r="I9" s="2" t="s">
        <v>20</v>
      </c>
      <c r="J9" s="2" t="s">
        <v>286</v>
      </c>
      <c r="K9" s="2" t="s">
        <v>13</v>
      </c>
      <c r="L9" s="2" t="s">
        <v>14</v>
      </c>
      <c r="M9" s="2" t="s">
        <v>287</v>
      </c>
      <c r="N9" s="2" t="s">
        <v>22</v>
      </c>
      <c r="O9" s="2" t="s">
        <v>288</v>
      </c>
      <c r="P9" s="2" t="s">
        <v>289</v>
      </c>
      <c r="Q9" s="2" t="s">
        <v>290</v>
      </c>
      <c r="R9" s="2" t="s">
        <v>291</v>
      </c>
      <c r="S9" s="2" t="s">
        <v>292</v>
      </c>
    </row>
    <row r="10" spans="1:21" ht="19.5" customHeight="1" x14ac:dyDescent="0.25">
      <c r="A10" s="18">
        <f>IF($U10="","",1)</f>
        <v>1</v>
      </c>
      <c r="B10" s="18" t="str">
        <f>IF($U10="","",INDEX(NAVES!$B$7:$B$200,$U10))</f>
        <v>8426</v>
      </c>
      <c r="C10" s="18" t="str">
        <f>IF($U10="","",IF(INDEX(NAVES!$M$7:$M$200,$U10)="","",INDEX(NAVES!$M$7:$M$200,$U10)))</f>
        <v>2026-182</v>
      </c>
      <c r="D10" s="18" t="str">
        <f>IF($U10="","",INDEX(NAVES!$C$7:$C$200,$U10))</f>
        <v>Por confirmar</v>
      </c>
      <c r="E10" s="18" t="str">
        <f>IF($U10="","",INDEX(NAVES!$D$7:$D$200,$U10))</f>
        <v>ALIOTH 1</v>
      </c>
      <c r="F10" s="19">
        <f>IF($U10="","",INDEX(NAVES!$E$7:$E$200,$U10))</f>
        <v>1</v>
      </c>
      <c r="G10" s="19">
        <f>IF($U10="","",IF(INDEX(NAVES!$F$7:$F$200,$U10)="","",INDEX(NAVES!$F$7:$F$200,$U10)))</f>
        <v>1</v>
      </c>
      <c r="H10" s="23">
        <f>IF($U10="","",IF(INDEX(NAVES!$G$7:$G$200,$U10)="","",INDEX(NAVES!$G$7:$G$200,$U10)))</f>
        <v>6.04</v>
      </c>
      <c r="I10" s="26" t="str">
        <f>IF($U10="","",INDEX(NAVES!$H$7:$H$200,$U10))</f>
        <v>Disponible</v>
      </c>
      <c r="J10" s="95">
        <f>IF($U10="","",N(INDEX(NAVES!$N$7:$N$200,$U10)))</f>
        <v>656</v>
      </c>
      <c r="K10" s="20">
        <f>IF($U10="","",N(INDEX(NAVES!$I$7:$I$200,$U10)))</f>
        <v>12383.721862717541</v>
      </c>
      <c r="L10" s="20">
        <f>IF($U10="","",N(INDEX(NAVES!$J$7:$J$200,$U10)))</f>
        <v>22315.251954821895</v>
      </c>
      <c r="M10" s="20">
        <f>IF($U10="","",IFERROR(F10/SUMIF(NAVES!$A$7:$A$200,$B$4,NAVES!$E$7:$E$200)*$I$4*$E$4,0))</f>
        <v>62670.841138140742</v>
      </c>
      <c r="N10" s="20">
        <f t="shared" ref="N10:N39" si="0">IF($U10="","",K10+L10+M10)</f>
        <v>97369.81495568018</v>
      </c>
      <c r="O10" s="95">
        <f t="shared" ref="O10:O39" si="1">IF($U10="","",IFERROR(N10/$E$4,""))</f>
        <v>107.5909557521328</v>
      </c>
      <c r="P10" s="95">
        <f t="shared" ref="P10:P39" si="2">IF($U10="","",IFERROR(J10-O10,""))</f>
        <v>548.4090442478672</v>
      </c>
      <c r="Q10" s="96">
        <f t="shared" ref="Q10:Q39" si="3">IF($U10="","",IFERROR(P10/J10,""))</f>
        <v>0.83598939671930972</v>
      </c>
      <c r="R10" s="95">
        <f t="shared" ref="R10:R39" si="4">IF($U10="","",IFERROR(J10/F10,""))</f>
        <v>656</v>
      </c>
      <c r="S10" s="95">
        <f t="shared" ref="S10:S39" si="5">IF($U10="","",IFERROR(O10/F10,""))</f>
        <v>107.5909557521328</v>
      </c>
      <c r="U10" s="1">
        <f>IFERROR(MATCH(1,NAVES!$P$7:$P$200,0),"")</f>
        <v>76</v>
      </c>
    </row>
    <row r="11" spans="1:21" ht="19.5" customHeight="1" x14ac:dyDescent="0.25">
      <c r="A11" s="18">
        <f>IF($U11="","",2)</f>
        <v>2</v>
      </c>
      <c r="B11" s="18" t="str">
        <f>IF($U11="","",INDEX(NAVES!$B$7:$B$200,$U11))</f>
        <v>8427</v>
      </c>
      <c r="C11" s="18" t="str">
        <f>IF($U11="","",IF(INDEX(NAVES!$M$7:$M$200,$U11)="","",INDEX(NAVES!$M$7:$M$200,$U11)))</f>
        <v>2026-181</v>
      </c>
      <c r="D11" s="18" t="str">
        <f>IF($U11="","",INDEX(NAVES!$C$7:$C$200,$U11))</f>
        <v>MSC</v>
      </c>
      <c r="E11" s="18" t="str">
        <f>IF($U11="","",INDEX(NAVES!$D$7:$D$200,$U11))</f>
        <v>MSC ABUJA VI</v>
      </c>
      <c r="F11" s="19">
        <f>IF($U11="","",INDEX(NAVES!$E$7:$E$200,$U11))</f>
        <v>4</v>
      </c>
      <c r="G11" s="19">
        <f>IF($U11="","",IF(INDEX(NAVES!$F$7:$F$200,$U11)="","",INDEX(NAVES!$F$7:$F$200,$U11)))</f>
        <v>4</v>
      </c>
      <c r="H11" s="23">
        <f>IF($U11="","",IF(INDEX(NAVES!$G$7:$G$200,$U11)="","",INDEX(NAVES!$G$7:$G$200,$U11)))</f>
        <v>5.44</v>
      </c>
      <c r="I11" s="26" t="str">
        <f>IF($U11="","",INDEX(NAVES!$H$7:$H$200,$U11))</f>
        <v>Disponible</v>
      </c>
      <c r="J11" s="95">
        <f>IF($U11="","",N(INDEX(NAVES!$N$7:$N$200,$U11)))</f>
        <v>3200</v>
      </c>
      <c r="K11" s="20">
        <f>IF($U11="","",N(INDEX(NAVES!$I$7:$I$200,$U11)))</f>
        <v>49534.887450870163</v>
      </c>
      <c r="L11" s="20">
        <f>IF($U11="","",N(INDEX(NAVES!$J$7:$J$200,$U11)))</f>
        <v>89261.007819287581</v>
      </c>
      <c r="M11" s="20">
        <f>IF($U11="","",IFERROR(F11/SUMIF(NAVES!$A$7:$A$200,$B$4,NAVES!$E$7:$E$200)*$I$4*$E$4,0))</f>
        <v>250683.36455256297</v>
      </c>
      <c r="N11" s="20">
        <f t="shared" si="0"/>
        <v>389479.25982272072</v>
      </c>
      <c r="O11" s="95">
        <f t="shared" si="1"/>
        <v>430.3638230085312</v>
      </c>
      <c r="P11" s="95">
        <f t="shared" si="2"/>
        <v>2769.6361769914688</v>
      </c>
      <c r="Q11" s="96">
        <f t="shared" si="3"/>
        <v>0.865511305309834</v>
      </c>
      <c r="R11" s="95">
        <f t="shared" si="4"/>
        <v>800</v>
      </c>
      <c r="S11" s="95">
        <f t="shared" si="5"/>
        <v>107.5909557521328</v>
      </c>
      <c r="U11" s="1">
        <f>IFERROR(MATCH(2,NAVES!$P$7:$P$200,0),"")</f>
        <v>77</v>
      </c>
    </row>
    <row r="12" spans="1:21" ht="19.5" customHeight="1" x14ac:dyDescent="0.25">
      <c r="A12" s="18">
        <f>IF($U12="","",3)</f>
        <v>3</v>
      </c>
      <c r="B12" s="18" t="str">
        <f>IF($U12="","",INDEX(NAVES!$B$7:$B$200,$U12))</f>
        <v>8428</v>
      </c>
      <c r="C12" s="18" t="str">
        <f>IF($U12="","",IF(INDEX(NAVES!$M$7:$M$200,$U12)="","",INDEX(NAVES!$M$7:$M$200,$U12)))</f>
        <v>2026-185</v>
      </c>
      <c r="D12" s="18" t="str">
        <f>IF($U12="","",INDEX(NAVES!$C$7:$C$200,$U12))</f>
        <v>Por confirmar</v>
      </c>
      <c r="E12" s="18" t="str">
        <f>IF($U12="","",INDEX(NAVES!$D$7:$D$200,$U12))</f>
        <v>CAPE BRUNO 1</v>
      </c>
      <c r="F12" s="19">
        <f>IF($U12="","",INDEX(NAVES!$E$7:$E$200,$U12))</f>
        <v>2</v>
      </c>
      <c r="G12" s="19">
        <f>IF($U12="","",IF(INDEX(NAVES!$F$7:$F$200,$U12)="","",INDEX(NAVES!$F$7:$F$200,$U12)))</f>
        <v>2</v>
      </c>
      <c r="H12" s="23">
        <f>IF($U12="","",IF(INDEX(NAVES!$G$7:$G$200,$U12)="","",INDEX(NAVES!$G$7:$G$200,$U12)))</f>
        <v>4.5999999999999996</v>
      </c>
      <c r="I12" s="26" t="str">
        <f>IF($U12="","",INDEX(NAVES!$H$7:$H$200,$U12))</f>
        <v>Disponible</v>
      </c>
      <c r="J12" s="95">
        <f>IF($U12="","",N(INDEX(NAVES!$N$7:$N$200,$U12)))</f>
        <v>512</v>
      </c>
      <c r="K12" s="20">
        <f>IF($U12="","",N(INDEX(NAVES!$I$7:$I$200,$U12)))</f>
        <v>24767.443725435081</v>
      </c>
      <c r="L12" s="20">
        <f>IF($U12="","",N(INDEX(NAVES!$J$7:$J$200,$U12)))</f>
        <v>44630.50390964379</v>
      </c>
      <c r="M12" s="20">
        <f>IF($U12="","",IFERROR(F12/SUMIF(NAVES!$A$7:$A$200,$B$4,NAVES!$E$7:$E$200)*$I$4*$E$4,0))</f>
        <v>125341.68227628148</v>
      </c>
      <c r="N12" s="20">
        <f t="shared" si="0"/>
        <v>194739.62991136036</v>
      </c>
      <c r="O12" s="95">
        <f t="shared" si="1"/>
        <v>215.1819115042656</v>
      </c>
      <c r="P12" s="95">
        <f t="shared" si="2"/>
        <v>296.8180884957344</v>
      </c>
      <c r="Q12" s="96">
        <f t="shared" si="3"/>
        <v>0.57972282909323125</v>
      </c>
      <c r="R12" s="95">
        <f t="shared" si="4"/>
        <v>256</v>
      </c>
      <c r="S12" s="95">
        <f t="shared" si="5"/>
        <v>107.5909557521328</v>
      </c>
      <c r="U12" s="1">
        <f>IFERROR(MATCH(3,NAVES!$P$7:$P$200,0),"")</f>
        <v>78</v>
      </c>
    </row>
    <row r="13" spans="1:21" ht="19.5" customHeight="1" x14ac:dyDescent="0.25">
      <c r="A13" s="18">
        <f>IF($U13="","",4)</f>
        <v>4</v>
      </c>
      <c r="B13" s="18" t="str">
        <f>IF($U13="","",INDEX(NAVES!$B$7:$B$200,$U13))</f>
        <v>8429</v>
      </c>
      <c r="C13" s="18" t="str">
        <f>IF($U13="","",IF(INDEX(NAVES!$M$7:$M$200,$U13)="","",INDEX(NAVES!$M$7:$M$200,$U13)))</f>
        <v/>
      </c>
      <c r="D13" s="18" t="str">
        <f>IF($U13="","",INDEX(NAVES!$C$7:$C$200,$U13))</f>
        <v>Por confirmar</v>
      </c>
      <c r="E13" s="18" t="str">
        <f>IF($U13="","",INDEX(NAVES!$D$7:$D$200,$U13))</f>
        <v>LITTLE ATHINA</v>
      </c>
      <c r="F13" s="19">
        <f>IF($U13="","",INDEX(NAVES!$E$7:$E$200,$U13))</f>
        <v>1</v>
      </c>
      <c r="G13" s="19">
        <f>IF($U13="","",IF(INDEX(NAVES!$F$7:$F$200,$U13)="","",INDEX(NAVES!$F$7:$F$200,$U13)))</f>
        <v>0</v>
      </c>
      <c r="H13" s="23" t="str">
        <f>IF($U13="","",IF(INDEX(NAVES!$G$7:$G$200,$U13)="","",INDEX(NAVES!$G$7:$G$200,$U13)))</f>
        <v/>
      </c>
      <c r="I13" s="26" t="str">
        <f>IF($U13="","",INDEX(NAVES!$H$7:$H$200,$U13))</f>
        <v>Parcial</v>
      </c>
      <c r="J13" s="95">
        <f>IF($U13="","",N(INDEX(NAVES!$N$7:$N$200,$U13)))</f>
        <v>0</v>
      </c>
      <c r="K13" s="20">
        <f>IF($U13="","",N(INDEX(NAVES!$I$7:$I$200,$U13)))</f>
        <v>12383.721862717541</v>
      </c>
      <c r="L13" s="20">
        <f>IF($U13="","",N(INDEX(NAVES!$J$7:$J$200,$U13)))</f>
        <v>22315.251954821895</v>
      </c>
      <c r="M13" s="20">
        <f>IF($U13="","",IFERROR(F13/SUMIF(NAVES!$A$7:$A$200,$B$4,NAVES!$E$7:$E$200)*$I$4*$E$4,0))</f>
        <v>62670.841138140742</v>
      </c>
      <c r="N13" s="20">
        <f t="shared" si="0"/>
        <v>97369.81495568018</v>
      </c>
      <c r="O13" s="95">
        <f t="shared" si="1"/>
        <v>107.5909557521328</v>
      </c>
      <c r="P13" s="95">
        <f t="shared" si="2"/>
        <v>-107.5909557521328</v>
      </c>
      <c r="Q13" s="96" t="str">
        <f t="shared" si="3"/>
        <v/>
      </c>
      <c r="R13" s="95">
        <f t="shared" si="4"/>
        <v>0</v>
      </c>
      <c r="S13" s="95">
        <f t="shared" si="5"/>
        <v>107.5909557521328</v>
      </c>
      <c r="U13" s="1">
        <f>IFERROR(MATCH(4,NAVES!$P$7:$P$200,0),"")</f>
        <v>79</v>
      </c>
    </row>
    <row r="14" spans="1:21" ht="19.5" customHeight="1" x14ac:dyDescent="0.25">
      <c r="A14" s="18">
        <f>IF($U14="","",5)</f>
        <v>5</v>
      </c>
      <c r="B14" s="18" t="str">
        <f>IF($U14="","",INDEX(NAVES!$B$7:$B$200,$U14))</f>
        <v>8430</v>
      </c>
      <c r="C14" s="18" t="str">
        <f>IF($U14="","",IF(INDEX(NAVES!$M$7:$M$200,$U14)="","",INDEX(NAVES!$M$7:$M$200,$U14)))</f>
        <v>2026-186</v>
      </c>
      <c r="D14" s="18" t="str">
        <f>IF($U14="","",INDEX(NAVES!$C$7:$C$200,$U14))</f>
        <v>MAERSK</v>
      </c>
      <c r="E14" s="18" t="str">
        <f>IF($U14="","",INDEX(NAVES!$D$7:$D$200,$U14))</f>
        <v>POLAR CHILE</v>
      </c>
      <c r="F14" s="19">
        <f>IF($U14="","",INDEX(NAVES!$E$7:$E$200,$U14))</f>
        <v>268</v>
      </c>
      <c r="G14" s="19">
        <f>IF($U14="","",IF(INDEX(NAVES!$F$7:$F$200,$U14)="","",INDEX(NAVES!$F$7:$F$200,$U14)))</f>
        <v>267</v>
      </c>
      <c r="H14" s="23">
        <f>IF($U14="","",IF(INDEX(NAVES!$G$7:$G$200,$U14)="","",INDEX(NAVES!$G$7:$G$200,$U14)))</f>
        <v>2.69</v>
      </c>
      <c r="I14" s="26" t="str">
        <f>IF($U14="","",INDEX(NAVES!$H$7:$H$200,$U14))</f>
        <v>Parcial</v>
      </c>
      <c r="J14" s="95">
        <f>IF($U14="","",N(INDEX(NAVES!$N$7:$N$200,$U14)))</f>
        <v>145144</v>
      </c>
      <c r="K14" s="20">
        <f>IF($U14="","",N(INDEX(NAVES!$I$7:$I$200,$U14)))</f>
        <v>3318837.4592083008</v>
      </c>
      <c r="L14" s="20">
        <f>IF($U14="","",N(INDEX(NAVES!$J$7:$J$200,$U14)))</f>
        <v>5980487.5238922676</v>
      </c>
      <c r="M14" s="20">
        <f>IF($U14="","",IFERROR(F14/SUMIF(NAVES!$A$7:$A$200,$B$4,NAVES!$E$7:$E$200)*$I$4*$E$4,0))</f>
        <v>16795785.425021719</v>
      </c>
      <c r="N14" s="20">
        <f t="shared" si="0"/>
        <v>26095110.408122286</v>
      </c>
      <c r="O14" s="95">
        <f t="shared" si="1"/>
        <v>28834.376141571585</v>
      </c>
      <c r="P14" s="95">
        <f t="shared" si="2"/>
        <v>116309.62385842841</v>
      </c>
      <c r="Q14" s="96">
        <f t="shared" si="3"/>
        <v>0.80133952391024377</v>
      </c>
      <c r="R14" s="95">
        <f t="shared" si="4"/>
        <v>541.58208955223881</v>
      </c>
      <c r="S14" s="95">
        <f t="shared" si="5"/>
        <v>107.59095575213279</v>
      </c>
      <c r="U14" s="1">
        <f>IFERROR(MATCH(5,NAVES!$P$7:$P$200,0),"")</f>
        <v>80</v>
      </c>
    </row>
    <row r="15" spans="1:21" ht="19.5" customHeight="1" x14ac:dyDescent="0.25">
      <c r="A15" s="18">
        <f>IF($U15="","",6)</f>
        <v>6</v>
      </c>
      <c r="B15" s="18" t="str">
        <f>IF($U15="","",INDEX(NAVES!$B$7:$B$200,$U15))</f>
        <v>8431</v>
      </c>
      <c r="C15" s="18" t="str">
        <f>IF($U15="","",IF(INDEX(NAVES!$M$7:$M$200,$U15)="","",INDEX(NAVES!$M$7:$M$200,$U15)))</f>
        <v>2026-177</v>
      </c>
      <c r="D15" s="18" t="str">
        <f>IF($U15="","",INDEX(NAVES!$C$7:$C$200,$U15))</f>
        <v>HAPAG LLOYD / ON</v>
      </c>
      <c r="E15" s="18" t="str">
        <f>IF($U15="","",INDEX(NAVES!$D$7:$D$200,$U15))</f>
        <v>HUMBOLDT EXPRESS</v>
      </c>
      <c r="F15" s="19">
        <f>IF($U15="","",INDEX(NAVES!$E$7:$E$200,$U15))</f>
        <v>17</v>
      </c>
      <c r="G15" s="19">
        <f>IF($U15="","",IF(INDEX(NAVES!$F$7:$F$200,$U15)="","",INDEX(NAVES!$F$7:$F$200,$U15)))</f>
        <v>17</v>
      </c>
      <c r="H15" s="23">
        <f>IF($U15="","",IF(INDEX(NAVES!$G$7:$G$200,$U15)="","",INDEX(NAVES!$G$7:$G$200,$U15)))</f>
        <v>8.6199999999999992</v>
      </c>
      <c r="I15" s="26" t="str">
        <f>IF($U15="","",INDEX(NAVES!$H$7:$H$200,$U15))</f>
        <v>Disponible</v>
      </c>
      <c r="J15" s="95">
        <f>IF($U15="","",N(INDEX(NAVES!$N$7:$N$200,$U15)))</f>
        <v>16440</v>
      </c>
      <c r="K15" s="20">
        <f>IF($U15="","",N(INDEX(NAVES!$I$7:$I$200,$U15)))</f>
        <v>210523.27166619818</v>
      </c>
      <c r="L15" s="20">
        <f>IF($U15="","",N(INDEX(NAVES!$J$7:$J$200,$U15)))</f>
        <v>379359.28323197219</v>
      </c>
      <c r="M15" s="20">
        <f>IF($U15="","",IFERROR(F15/SUMIF(NAVES!$A$7:$A$200,$B$4,NAVES!$E$7:$E$200)*$I$4*$E$4,0))</f>
        <v>1065404.2993483925</v>
      </c>
      <c r="N15" s="20">
        <f t="shared" si="0"/>
        <v>1655286.8542465628</v>
      </c>
      <c r="O15" s="95">
        <f t="shared" si="1"/>
        <v>1829.0462477862573</v>
      </c>
      <c r="P15" s="95">
        <f t="shared" si="2"/>
        <v>14610.953752213743</v>
      </c>
      <c r="Q15" s="96">
        <f t="shared" si="3"/>
        <v>0.88874414551178493</v>
      </c>
      <c r="R15" s="95">
        <f t="shared" si="4"/>
        <v>967.05882352941171</v>
      </c>
      <c r="S15" s="95">
        <f t="shared" si="5"/>
        <v>107.59095575213279</v>
      </c>
      <c r="U15" s="1">
        <f>IFERROR(MATCH(6,NAVES!$P$7:$P$200,0),"")</f>
        <v>81</v>
      </c>
    </row>
    <row r="16" spans="1:21" ht="19.5" customHeight="1" x14ac:dyDescent="0.25">
      <c r="A16" s="18">
        <f>IF($U16="","",7)</f>
        <v>7</v>
      </c>
      <c r="B16" s="18" t="str">
        <f>IF($U16="","",INDEX(NAVES!$B$7:$B$200,$U16))</f>
        <v>8432</v>
      </c>
      <c r="C16" s="18" t="str">
        <f>IF($U16="","",IF(INDEX(NAVES!$M$7:$M$200,$U16)="","",INDEX(NAVES!$M$7:$M$200,$U16)))</f>
        <v>2026-192</v>
      </c>
      <c r="D16" s="18" t="str">
        <f>IF($U16="","",INDEX(NAVES!$C$7:$C$200,$U16))</f>
        <v>SEABOARD</v>
      </c>
      <c r="E16" s="18" t="str">
        <f>IF($U16="","",INDEX(NAVES!$D$7:$D$200,$U16))</f>
        <v>MOLLY SCHULTE 1</v>
      </c>
      <c r="F16" s="19">
        <f>IF($U16="","",INDEX(NAVES!$E$7:$E$200,$U16))</f>
        <v>9</v>
      </c>
      <c r="G16" s="19">
        <f>IF($U16="","",IF(INDEX(NAVES!$F$7:$F$200,$U16)="","",INDEX(NAVES!$F$7:$F$200,$U16)))</f>
        <v>9</v>
      </c>
      <c r="H16" s="23">
        <f>IF($U16="","",IF(INDEX(NAVES!$G$7:$G$200,$U16)="","",INDEX(NAVES!$G$7:$G$200,$U16)))</f>
        <v>9.2899999999999991</v>
      </c>
      <c r="I16" s="26" t="str">
        <f>IF($U16="","",INDEX(NAVES!$H$7:$H$200,$U16))</f>
        <v>Disponible</v>
      </c>
      <c r="J16" s="95">
        <f>IF($U16="","",N(INDEX(NAVES!$N$7:$N$200,$U16)))</f>
        <v>7560</v>
      </c>
      <c r="K16" s="20">
        <f>IF($U16="","",N(INDEX(NAVES!$I$7:$I$200,$U16)))</f>
        <v>111453.49676445787</v>
      </c>
      <c r="L16" s="20">
        <f>IF($U16="","",N(INDEX(NAVES!$J$7:$J$200,$U16)))</f>
        <v>200837.26759339706</v>
      </c>
      <c r="M16" s="20">
        <f>IF($U16="","",IFERROR(F16/SUMIF(NAVES!$A$7:$A$200,$B$4,NAVES!$E$7:$E$200)*$I$4*$E$4,0))</f>
        <v>564037.57024326664</v>
      </c>
      <c r="N16" s="20">
        <f t="shared" si="0"/>
        <v>876328.33460112161</v>
      </c>
      <c r="O16" s="95">
        <f t="shared" si="1"/>
        <v>968.3186017691952</v>
      </c>
      <c r="P16" s="95">
        <f t="shared" si="2"/>
        <v>6591.6813982308049</v>
      </c>
      <c r="Q16" s="96">
        <f t="shared" si="3"/>
        <v>0.87191552886650858</v>
      </c>
      <c r="R16" s="95">
        <f t="shared" si="4"/>
        <v>840</v>
      </c>
      <c r="S16" s="95">
        <f t="shared" si="5"/>
        <v>107.5909557521328</v>
      </c>
      <c r="U16" s="1">
        <f>IFERROR(MATCH(7,NAVES!$P$7:$P$200,0),"")</f>
        <v>82</v>
      </c>
    </row>
    <row r="17" spans="1:21" ht="19.5" customHeight="1" x14ac:dyDescent="0.25">
      <c r="A17" s="18">
        <f>IF($U17="","",8)</f>
        <v>8</v>
      </c>
      <c r="B17" s="18" t="str">
        <f>IF($U17="","",INDEX(NAVES!$B$7:$B$200,$U17))</f>
        <v>8433</v>
      </c>
      <c r="C17" s="18" t="str">
        <f>IF($U17="","",IF(INDEX(NAVES!$M$7:$M$200,$U17)="","",INDEX(NAVES!$M$7:$M$200,$U17)))</f>
        <v>2026-188</v>
      </c>
      <c r="D17" s="18" t="str">
        <f>IF($U17="","",INDEX(NAVES!$C$7:$C$200,$U17))</f>
        <v>MSC</v>
      </c>
      <c r="E17" s="18" t="str">
        <f>IF($U17="","",INDEX(NAVES!$D$7:$D$200,$U17))</f>
        <v>MSC YOKOHAMA</v>
      </c>
      <c r="F17" s="19">
        <f>IF($U17="","",INDEX(NAVES!$E$7:$E$200,$U17))</f>
        <v>12</v>
      </c>
      <c r="G17" s="19">
        <f>IF($U17="","",IF(INDEX(NAVES!$F$7:$F$200,$U17)="","",INDEX(NAVES!$F$7:$F$200,$U17)))</f>
        <v>12</v>
      </c>
      <c r="H17" s="23">
        <f>IF($U17="","",IF(INDEX(NAVES!$G$7:$G$200,$U17)="","",INDEX(NAVES!$G$7:$G$200,$U17)))</f>
        <v>6.06</v>
      </c>
      <c r="I17" s="26" t="str">
        <f>IF($U17="","",INDEX(NAVES!$H$7:$H$200,$U17))</f>
        <v>Disponible</v>
      </c>
      <c r="J17" s="95">
        <f>IF($U17="","",N(INDEX(NAVES!$N$7:$N$200,$U17)))</f>
        <v>12000</v>
      </c>
      <c r="K17" s="20">
        <f>IF($U17="","",N(INDEX(NAVES!$I$7:$I$200,$U17)))</f>
        <v>148604.66235261047</v>
      </c>
      <c r="L17" s="20">
        <f>IF($U17="","",N(INDEX(NAVES!$J$7:$J$200,$U17)))</f>
        <v>267783.02345786273</v>
      </c>
      <c r="M17" s="20">
        <f>IF($U17="","",IFERROR(F17/SUMIF(NAVES!$A$7:$A$200,$B$4,NAVES!$E$7:$E$200)*$I$4*$E$4,0))</f>
        <v>752050.09365768894</v>
      </c>
      <c r="N17" s="20">
        <f t="shared" si="0"/>
        <v>1168437.779468162</v>
      </c>
      <c r="O17" s="95">
        <f t="shared" si="1"/>
        <v>1291.0914690255934</v>
      </c>
      <c r="P17" s="95">
        <f t="shared" si="2"/>
        <v>10708.908530974406</v>
      </c>
      <c r="Q17" s="96">
        <f t="shared" si="3"/>
        <v>0.89240904424786716</v>
      </c>
      <c r="R17" s="95">
        <f t="shared" si="4"/>
        <v>1000</v>
      </c>
      <c r="S17" s="95">
        <f t="shared" si="5"/>
        <v>107.59095575213279</v>
      </c>
      <c r="U17" s="1">
        <f>IFERROR(MATCH(8,NAVES!$P$7:$P$200,0),"")</f>
        <v>83</v>
      </c>
    </row>
    <row r="18" spans="1:21" ht="19.5" customHeight="1" x14ac:dyDescent="0.25">
      <c r="A18" s="18">
        <f>IF($U18="","",9)</f>
        <v>9</v>
      </c>
      <c r="B18" s="18" t="str">
        <f>IF($U18="","",INDEX(NAVES!$B$7:$B$200,$U18))</f>
        <v>8434</v>
      </c>
      <c r="C18" s="18" t="str">
        <f>IF($U18="","",IF(INDEX(NAVES!$M$7:$M$200,$U18)="","",INDEX(NAVES!$M$7:$M$200,$U18)))</f>
        <v>2026-187</v>
      </c>
      <c r="D18" s="18" t="str">
        <f>IF($U18="","",INDEX(NAVES!$C$7:$C$200,$U18))</f>
        <v>MAERSK</v>
      </c>
      <c r="E18" s="18" t="str">
        <f>IF($U18="","",INDEX(NAVES!$D$7:$D$200,$U18))</f>
        <v>POLAR ARGENTINA</v>
      </c>
      <c r="F18" s="19">
        <f>IF($U18="","",INDEX(NAVES!$E$7:$E$200,$U18))</f>
        <v>210</v>
      </c>
      <c r="G18" s="19">
        <f>IF($U18="","",IF(INDEX(NAVES!$F$7:$F$200,$U18)="","",INDEX(NAVES!$F$7:$F$200,$U18)))</f>
        <v>210</v>
      </c>
      <c r="H18" s="23">
        <f>IF($U18="","",IF(INDEX(NAVES!$G$7:$G$200,$U18)="","",INDEX(NAVES!$G$7:$G$200,$U18)))</f>
        <v>2.91</v>
      </c>
      <c r="I18" s="26" t="str">
        <f>IF($U18="","",INDEX(NAVES!$H$7:$H$200,$U18))</f>
        <v>Disponible</v>
      </c>
      <c r="J18" s="95">
        <f>IF($U18="","",N(INDEX(NAVES!$N$7:$N$200,$U18)))</f>
        <v>147896</v>
      </c>
      <c r="K18" s="20">
        <f>IF($U18="","",N(INDEX(NAVES!$I$7:$I$200,$U18)))</f>
        <v>2600581.5911706835</v>
      </c>
      <c r="L18" s="20">
        <f>IF($U18="","",N(INDEX(NAVES!$J$7:$J$200,$U18)))</f>
        <v>4686202.9105125973</v>
      </c>
      <c r="M18" s="20">
        <f>IF($U18="","",IFERROR(F18/SUMIF(NAVES!$A$7:$A$200,$B$4,NAVES!$E$7:$E$200)*$I$4*$E$4,0))</f>
        <v>13160876.639009558</v>
      </c>
      <c r="N18" s="20">
        <f t="shared" si="0"/>
        <v>20447661.140692838</v>
      </c>
      <c r="O18" s="95">
        <f t="shared" si="1"/>
        <v>22594.100707947888</v>
      </c>
      <c r="P18" s="95">
        <f t="shared" si="2"/>
        <v>125301.89929205211</v>
      </c>
      <c r="Q18" s="96">
        <f t="shared" si="3"/>
        <v>0.84722980535005754</v>
      </c>
      <c r="R18" s="95">
        <f t="shared" si="4"/>
        <v>704.26666666666665</v>
      </c>
      <c r="S18" s="95">
        <f t="shared" si="5"/>
        <v>107.5909557521328</v>
      </c>
      <c r="U18" s="1">
        <f>IFERROR(MATCH(9,NAVES!$P$7:$P$200,0),"")</f>
        <v>84</v>
      </c>
    </row>
    <row r="19" spans="1:21" ht="19.5" customHeight="1" x14ac:dyDescent="0.25">
      <c r="A19" s="18">
        <f>IF($U19="","",10)</f>
        <v>10</v>
      </c>
      <c r="B19" s="18" t="str">
        <f>IF($U19="","",INDEX(NAVES!$B$7:$B$200,$U19))</f>
        <v>8436</v>
      </c>
      <c r="C19" s="18" t="str">
        <f>IF($U19="","",IF(INDEX(NAVES!$M$7:$M$200,$U19)="","",INDEX(NAVES!$M$7:$M$200,$U19)))</f>
        <v>2026-196</v>
      </c>
      <c r="D19" s="18" t="str">
        <f>IF($U19="","",INDEX(NAVES!$C$7:$C$200,$U19))</f>
        <v>Por confirmar</v>
      </c>
      <c r="E19" s="18" t="str">
        <f>IF($U19="","",INDEX(NAVES!$D$7:$D$200,$U19))</f>
        <v>ALIOTH 2</v>
      </c>
      <c r="F19" s="19">
        <f>IF($U19="","",INDEX(NAVES!$E$7:$E$200,$U19))</f>
        <v>1</v>
      </c>
      <c r="G19" s="19">
        <f>IF($U19="","",IF(INDEX(NAVES!$F$7:$F$200,$U19)="","",INDEX(NAVES!$F$7:$F$200,$U19)))</f>
        <v>1</v>
      </c>
      <c r="H19" s="23">
        <f>IF($U19="","",IF(INDEX(NAVES!$G$7:$G$200,$U19)="","",INDEX(NAVES!$G$7:$G$200,$U19)))</f>
        <v>6.52</v>
      </c>
      <c r="I19" s="26" t="str">
        <f>IF($U19="","",INDEX(NAVES!$H$7:$H$200,$U19))</f>
        <v>Disponible</v>
      </c>
      <c r="J19" s="95">
        <f>IF($U19="","",N(INDEX(NAVES!$N$7:$N$200,$U19)))</f>
        <v>616</v>
      </c>
      <c r="K19" s="20">
        <f>IF($U19="","",N(INDEX(NAVES!$I$7:$I$200,$U19)))</f>
        <v>12383.721862717541</v>
      </c>
      <c r="L19" s="20">
        <f>IF($U19="","",N(INDEX(NAVES!$J$7:$J$200,$U19)))</f>
        <v>22315.251954821895</v>
      </c>
      <c r="M19" s="20">
        <f>IF($U19="","",IFERROR(F19/SUMIF(NAVES!$A$7:$A$200,$B$4,NAVES!$E$7:$E$200)*$I$4*$E$4,0))</f>
        <v>62670.841138140742</v>
      </c>
      <c r="N19" s="20">
        <f t="shared" si="0"/>
        <v>97369.81495568018</v>
      </c>
      <c r="O19" s="95">
        <f t="shared" si="1"/>
        <v>107.5909557521328</v>
      </c>
      <c r="P19" s="95">
        <f t="shared" si="2"/>
        <v>508.4090442478672</v>
      </c>
      <c r="Q19" s="96">
        <f t="shared" si="3"/>
        <v>0.82533935754523902</v>
      </c>
      <c r="R19" s="95">
        <f t="shared" si="4"/>
        <v>616</v>
      </c>
      <c r="S19" s="95">
        <f t="shared" si="5"/>
        <v>107.5909557521328</v>
      </c>
      <c r="U19" s="1">
        <f>IFERROR(MATCH(10,NAVES!$P$7:$P$200,0),"")</f>
        <v>85</v>
      </c>
    </row>
    <row r="20" spans="1:21" ht="19.5" customHeight="1" x14ac:dyDescent="0.25">
      <c r="A20" s="18">
        <f>IF($U20="","",11)</f>
        <v>11</v>
      </c>
      <c r="B20" s="18" t="str">
        <f>IF($U20="","",INDEX(NAVES!$B$7:$B$200,$U20))</f>
        <v>8437</v>
      </c>
      <c r="C20" s="18" t="str">
        <f>IF($U20="","",IF(INDEX(NAVES!$M$7:$M$200,$U20)="","",INDEX(NAVES!$M$7:$M$200,$U20)))</f>
        <v/>
      </c>
      <c r="D20" s="18" t="str">
        <f>IF($U20="","",INDEX(NAVES!$C$7:$C$200,$U20))</f>
        <v>Por confirmar</v>
      </c>
      <c r="E20" s="18" t="str">
        <f>IF($U20="","",INDEX(NAVES!$D$7:$D$200,$U20))</f>
        <v>CAPE BRUNO 2</v>
      </c>
      <c r="F20" s="19">
        <f>IF($U20="","",INDEX(NAVES!$E$7:$E$200,$U20))</f>
        <v>1</v>
      </c>
      <c r="G20" s="19">
        <f>IF($U20="","",IF(INDEX(NAVES!$F$7:$F$200,$U20)="","",INDEX(NAVES!$F$7:$F$200,$U20)))</f>
        <v>1</v>
      </c>
      <c r="H20" s="23">
        <f>IF($U20="","",IF(INDEX(NAVES!$G$7:$G$200,$U20)="","",INDEX(NAVES!$G$7:$G$200,$U20)))</f>
        <v>2.34</v>
      </c>
      <c r="I20" s="26" t="str">
        <f>IF($U20="","",INDEX(NAVES!$H$7:$H$200,$U20))</f>
        <v>Disponible</v>
      </c>
      <c r="J20" s="95">
        <f>IF($U20="","",N(INDEX(NAVES!$N$7:$N$200,$U20)))</f>
        <v>0</v>
      </c>
      <c r="K20" s="20">
        <f>IF($U20="","",N(INDEX(NAVES!$I$7:$I$200,$U20)))</f>
        <v>12383.721862717541</v>
      </c>
      <c r="L20" s="20">
        <f>IF($U20="","",N(INDEX(NAVES!$J$7:$J$200,$U20)))</f>
        <v>22315.251954821895</v>
      </c>
      <c r="M20" s="20">
        <f>IF($U20="","",IFERROR(F20/SUMIF(NAVES!$A$7:$A$200,$B$4,NAVES!$E$7:$E$200)*$I$4*$E$4,0))</f>
        <v>62670.841138140742</v>
      </c>
      <c r="N20" s="20">
        <f t="shared" si="0"/>
        <v>97369.81495568018</v>
      </c>
      <c r="O20" s="95">
        <f t="shared" si="1"/>
        <v>107.5909557521328</v>
      </c>
      <c r="P20" s="95">
        <f t="shared" si="2"/>
        <v>-107.5909557521328</v>
      </c>
      <c r="Q20" s="96" t="str">
        <f t="shared" si="3"/>
        <v/>
      </c>
      <c r="R20" s="95">
        <f t="shared" si="4"/>
        <v>0</v>
      </c>
      <c r="S20" s="95">
        <f t="shared" si="5"/>
        <v>107.5909557521328</v>
      </c>
      <c r="U20" s="1">
        <f>IFERROR(MATCH(11,NAVES!$P$7:$P$200,0),"")</f>
        <v>86</v>
      </c>
    </row>
    <row r="21" spans="1:21" ht="19.5" customHeight="1" x14ac:dyDescent="0.25">
      <c r="A21" s="18">
        <f>IF($U21="","",12)</f>
        <v>12</v>
      </c>
      <c r="B21" s="18" t="str">
        <f>IF($U21="","",INDEX(NAVES!$B$7:$B$200,$U21))</f>
        <v>8438</v>
      </c>
      <c r="C21" s="18" t="str">
        <f>IF($U21="","",IF(INDEX(NAVES!$M$7:$M$200,$U21)="","",INDEX(NAVES!$M$7:$M$200,$U21)))</f>
        <v>2026-190</v>
      </c>
      <c r="D21" s="18" t="str">
        <f>IF($U21="","",INDEX(NAVES!$C$7:$C$200,$U21))</f>
        <v>HAPAG LLOYD / ON</v>
      </c>
      <c r="E21" s="18" t="str">
        <f>IF($U21="","",INDEX(NAVES!$D$7:$D$200,$U21))</f>
        <v>ONE SINCERITY</v>
      </c>
      <c r="F21" s="19">
        <f>IF($U21="","",INDEX(NAVES!$E$7:$E$200,$U21))</f>
        <v>37</v>
      </c>
      <c r="G21" s="19">
        <f>IF($U21="","",IF(INDEX(NAVES!$F$7:$F$200,$U21)="","",INDEX(NAVES!$F$7:$F$200,$U21)))</f>
        <v>37</v>
      </c>
      <c r="H21" s="23">
        <f>IF($U21="","",IF(INDEX(NAVES!$G$7:$G$200,$U21)="","",INDEX(NAVES!$G$7:$G$200,$U21)))</f>
        <v>7.17</v>
      </c>
      <c r="I21" s="26" t="str">
        <f>IF($U21="","",INDEX(NAVES!$H$7:$H$200,$U21))</f>
        <v>Disponible</v>
      </c>
      <c r="J21" s="95">
        <f>IF($U21="","",N(INDEX(NAVES!$N$7:$N$200,$U21)))</f>
        <v>27608</v>
      </c>
      <c r="K21" s="20">
        <f>IF($U21="","",N(INDEX(NAVES!$I$7:$I$200,$U21)))</f>
        <v>458197.70892054896</v>
      </c>
      <c r="L21" s="20">
        <f>IF($U21="","",N(INDEX(NAVES!$J$7:$J$200,$U21)))</f>
        <v>825664.32232841011</v>
      </c>
      <c r="M21" s="20">
        <f>IF($U21="","",IFERROR(F21/SUMIF(NAVES!$A$7:$A$200,$B$4,NAVES!$E$7:$E$200)*$I$4*$E$4,0))</f>
        <v>2318821.1221112078</v>
      </c>
      <c r="N21" s="20">
        <f t="shared" si="0"/>
        <v>3602683.1533601666</v>
      </c>
      <c r="O21" s="95">
        <f t="shared" si="1"/>
        <v>3980.8653628289135</v>
      </c>
      <c r="P21" s="95">
        <f t="shared" si="2"/>
        <v>23627.134637171086</v>
      </c>
      <c r="Q21" s="96">
        <f t="shared" si="3"/>
        <v>0.85580754263876724</v>
      </c>
      <c r="R21" s="95">
        <f t="shared" si="4"/>
        <v>746.16216216216219</v>
      </c>
      <c r="S21" s="95">
        <f t="shared" si="5"/>
        <v>107.5909557521328</v>
      </c>
      <c r="U21" s="1">
        <f>IFERROR(MATCH(12,NAVES!$P$7:$P$200,0),"")</f>
        <v>87</v>
      </c>
    </row>
    <row r="22" spans="1:21" ht="19.5" customHeight="1" x14ac:dyDescent="0.25">
      <c r="A22" s="18">
        <f>IF($U22="","",13)</f>
        <v>13</v>
      </c>
      <c r="B22" s="18" t="str">
        <f>IF($U22="","",INDEX(NAVES!$B$7:$B$200,$U22))</f>
        <v>8439</v>
      </c>
      <c r="C22" s="18" t="str">
        <f>IF($U22="","",IF(INDEX(NAVES!$M$7:$M$200,$U22)="","",INDEX(NAVES!$M$7:$M$200,$U22)))</f>
        <v>2026-200</v>
      </c>
      <c r="D22" s="18" t="str">
        <f>IF($U22="","",INDEX(NAVES!$C$7:$C$200,$U22))</f>
        <v>MAERSK</v>
      </c>
      <c r="E22" s="18" t="str">
        <f>IF($U22="","",INDEX(NAVES!$D$7:$D$200,$U22))</f>
        <v>POLAR PERU</v>
      </c>
      <c r="F22" s="19">
        <f>IF($U22="","",INDEX(NAVES!$E$7:$E$200,$U22))</f>
        <v>166</v>
      </c>
      <c r="G22" s="19">
        <f>IF($U22="","",IF(INDEX(NAVES!$F$7:$F$200,$U22)="","",INDEX(NAVES!$F$7:$F$200,$U22)))</f>
        <v>166</v>
      </c>
      <c r="H22" s="23">
        <f>IF($U22="","",IF(INDEX(NAVES!$G$7:$G$200,$U22)="","",INDEX(NAVES!$G$7:$G$200,$U22)))</f>
        <v>2</v>
      </c>
      <c r="I22" s="26" t="str">
        <f>IF($U22="","",INDEX(NAVES!$H$7:$H$200,$U22))</f>
        <v>Disponible</v>
      </c>
      <c r="J22" s="95">
        <f>IF($U22="","",N(INDEX(NAVES!$N$7:$N$200,$U22)))</f>
        <v>69784</v>
      </c>
      <c r="K22" s="20">
        <f>IF($U22="","",N(INDEX(NAVES!$I$7:$I$200,$U22)))</f>
        <v>2055697.8292111116</v>
      </c>
      <c r="L22" s="20">
        <f>IF($U22="","",N(INDEX(NAVES!$J$7:$J$200,$U22)))</f>
        <v>3704331.8245004346</v>
      </c>
      <c r="M22" s="20">
        <f>IF($U22="","",IFERROR(F22/SUMIF(NAVES!$A$7:$A$200,$B$4,NAVES!$E$7:$E$200)*$I$4*$E$4,0))</f>
        <v>10403359.628931364</v>
      </c>
      <c r="N22" s="20">
        <f t="shared" si="0"/>
        <v>16163389.28264291</v>
      </c>
      <c r="O22" s="95">
        <f t="shared" si="1"/>
        <v>17860.098654854046</v>
      </c>
      <c r="P22" s="95">
        <f t="shared" si="2"/>
        <v>51923.901345145954</v>
      </c>
      <c r="Q22" s="96">
        <f t="shared" si="3"/>
        <v>0.74406599428444853</v>
      </c>
      <c r="R22" s="95">
        <f t="shared" si="4"/>
        <v>420.3855421686747</v>
      </c>
      <c r="S22" s="95">
        <f t="shared" si="5"/>
        <v>107.5909557521328</v>
      </c>
      <c r="U22" s="1">
        <f>IFERROR(MATCH(13,NAVES!$P$7:$P$200,0),"")</f>
        <v>88</v>
      </c>
    </row>
    <row r="23" spans="1:21" ht="19.5" customHeight="1" x14ac:dyDescent="0.25">
      <c r="A23" s="18">
        <f>IF($U23="","",14)</f>
        <v>14</v>
      </c>
      <c r="B23" s="18" t="str">
        <f>IF($U23="","",INDEX(NAVES!$B$7:$B$200,$U23))</f>
        <v>8440</v>
      </c>
      <c r="C23" s="18" t="str">
        <f>IF($U23="","",IF(INDEX(NAVES!$M$7:$M$200,$U23)="","",INDEX(NAVES!$M$7:$M$200,$U23)))</f>
        <v>2026-199</v>
      </c>
      <c r="D23" s="18" t="str">
        <f>IF($U23="","",INDEX(NAVES!$C$7:$C$200,$U23))</f>
        <v>MSC</v>
      </c>
      <c r="E23" s="18" t="str">
        <f>IF($U23="","",INDEX(NAVES!$D$7:$D$200,$U23))</f>
        <v>MSC FLORIANA VI</v>
      </c>
      <c r="F23" s="19">
        <f>IF($U23="","",INDEX(NAVES!$E$7:$E$200,$U23))</f>
        <v>2</v>
      </c>
      <c r="G23" s="19">
        <f>IF($U23="","",IF(INDEX(NAVES!$F$7:$F$200,$U23)="","",INDEX(NAVES!$F$7:$F$200,$U23)))</f>
        <v>2</v>
      </c>
      <c r="H23" s="23">
        <f>IF($U23="","",IF(INDEX(NAVES!$G$7:$G$200,$U23)="","",INDEX(NAVES!$G$7:$G$200,$U23)))</f>
        <v>12.09</v>
      </c>
      <c r="I23" s="26" t="str">
        <f>IF($U23="","",INDEX(NAVES!$H$7:$H$200,$U23))</f>
        <v>Disponible</v>
      </c>
      <c r="J23" s="95">
        <f>IF($U23="","",N(INDEX(NAVES!$N$7:$N$200,$U23)))</f>
        <v>4704</v>
      </c>
      <c r="K23" s="20">
        <f>IF($U23="","",N(INDEX(NAVES!$I$7:$I$200,$U23)))</f>
        <v>24767.443725435081</v>
      </c>
      <c r="L23" s="20">
        <f>IF($U23="","",N(INDEX(NAVES!$J$7:$J$200,$U23)))</f>
        <v>44630.50390964379</v>
      </c>
      <c r="M23" s="20">
        <f>IF($U23="","",IFERROR(F23/SUMIF(NAVES!$A$7:$A$200,$B$4,NAVES!$E$7:$E$200)*$I$4*$E$4,0))</f>
        <v>125341.68227628148</v>
      </c>
      <c r="N23" s="20">
        <f t="shared" si="0"/>
        <v>194739.62991136036</v>
      </c>
      <c r="O23" s="95">
        <f t="shared" si="1"/>
        <v>215.1819115042656</v>
      </c>
      <c r="P23" s="95">
        <f t="shared" si="2"/>
        <v>4488.8180884957346</v>
      </c>
      <c r="Q23" s="96">
        <f t="shared" si="3"/>
        <v>0.95425554602375307</v>
      </c>
      <c r="R23" s="95">
        <f t="shared" si="4"/>
        <v>2352</v>
      </c>
      <c r="S23" s="95">
        <f t="shared" si="5"/>
        <v>107.5909557521328</v>
      </c>
      <c r="U23" s="1">
        <f>IFERROR(MATCH(14,NAVES!$P$7:$P$200,0),"")</f>
        <v>89</v>
      </c>
    </row>
    <row r="24" spans="1:21" ht="19.5" customHeight="1" x14ac:dyDescent="0.25">
      <c r="A24" s="18">
        <f>IF($U24="","",15)</f>
        <v>15</v>
      </c>
      <c r="B24" s="18" t="str">
        <f>IF($U24="","",INDEX(NAVES!$B$7:$B$200,$U24))</f>
        <v>8442</v>
      </c>
      <c r="C24" s="18" t="str">
        <f>IF($U24="","",IF(INDEX(NAVES!$M$7:$M$200,$U24)="","",INDEX(NAVES!$M$7:$M$200,$U24)))</f>
        <v>2026-191</v>
      </c>
      <c r="D24" s="18" t="str">
        <f>IF($U24="","",INDEX(NAVES!$C$7:$C$200,$U24))</f>
        <v>HAPAG LLOYD / ON</v>
      </c>
      <c r="E24" s="18" t="str">
        <f>IF($U24="","",INDEX(NAVES!$D$7:$D$200,$U24))</f>
        <v>ONE SAPHIRE</v>
      </c>
      <c r="F24" s="19">
        <f>IF($U24="","",INDEX(NAVES!$E$7:$E$200,$U24))</f>
        <v>29</v>
      </c>
      <c r="G24" s="19">
        <f>IF($U24="","",IF(INDEX(NAVES!$F$7:$F$200,$U24)="","",INDEX(NAVES!$F$7:$F$200,$U24)))</f>
        <v>29</v>
      </c>
      <c r="H24" s="23">
        <f>IF($U24="","",IF(INDEX(NAVES!$G$7:$G$200,$U24)="","",INDEX(NAVES!$G$7:$G$200,$U24)))</f>
        <v>5.51</v>
      </c>
      <c r="I24" s="26" t="str">
        <f>IF($U24="","",INDEX(NAVES!$H$7:$H$200,$U24))</f>
        <v>Disponible</v>
      </c>
      <c r="J24" s="95">
        <f>IF($U24="","",N(INDEX(NAVES!$N$7:$N$200,$U24)))</f>
        <v>26856</v>
      </c>
      <c r="K24" s="20">
        <f>IF($U24="","",N(INDEX(NAVES!$I$7:$I$200,$U24)))</f>
        <v>359127.93401880871</v>
      </c>
      <c r="L24" s="20">
        <f>IF($U24="","",N(INDEX(NAVES!$J$7:$J$200,$U24)))</f>
        <v>647142.30668983492</v>
      </c>
      <c r="M24" s="20">
        <f>IF($U24="","",IFERROR(F24/SUMIF(NAVES!$A$7:$A$200,$B$4,NAVES!$E$7:$E$200)*$I$4*$E$4,0))</f>
        <v>1817454.3930060815</v>
      </c>
      <c r="N24" s="20">
        <f t="shared" si="0"/>
        <v>2823724.6337147253</v>
      </c>
      <c r="O24" s="95">
        <f t="shared" si="1"/>
        <v>3120.1377168118511</v>
      </c>
      <c r="P24" s="95">
        <f t="shared" si="2"/>
        <v>23735.862283188148</v>
      </c>
      <c r="Q24" s="96">
        <f t="shared" si="3"/>
        <v>0.88381971563852202</v>
      </c>
      <c r="R24" s="95">
        <f t="shared" si="4"/>
        <v>926.06896551724139</v>
      </c>
      <c r="S24" s="95">
        <f t="shared" si="5"/>
        <v>107.5909557521328</v>
      </c>
      <c r="U24" s="1">
        <f>IFERROR(MATCH(15,NAVES!$P$7:$P$200,0),"")</f>
        <v>90</v>
      </c>
    </row>
    <row r="25" spans="1:21" ht="19.5" customHeight="1" x14ac:dyDescent="0.25">
      <c r="A25" s="18">
        <f>IF($U25="","",16)</f>
        <v>16</v>
      </c>
      <c r="B25" s="18" t="str">
        <f>IF($U25="","",INDEX(NAVES!$B$7:$B$200,$U25))</f>
        <v>8443</v>
      </c>
      <c r="C25" s="18" t="str">
        <f>IF($U25="","",IF(INDEX(NAVES!$M$7:$M$200,$U25)="","",INDEX(NAVES!$M$7:$M$200,$U25)))</f>
        <v>2026-204</v>
      </c>
      <c r="D25" s="18" t="str">
        <f>IF($U25="","",INDEX(NAVES!$C$7:$C$200,$U25))</f>
        <v>MAERSK</v>
      </c>
      <c r="E25" s="18" t="str">
        <f>IF($U25="","",INDEX(NAVES!$D$7:$D$200,$U25))</f>
        <v>POLAR COLOMBIA</v>
      </c>
      <c r="F25" s="19">
        <f>IF($U25="","",INDEX(NAVES!$E$7:$E$200,$U25))</f>
        <v>387</v>
      </c>
      <c r="G25" s="19">
        <f>IF($U25="","",IF(INDEX(NAVES!$F$7:$F$200,$U25)="","",INDEX(NAVES!$F$7:$F$200,$U25)))</f>
        <v>385</v>
      </c>
      <c r="H25" s="23">
        <f>IF($U25="","",IF(INDEX(NAVES!$G$7:$G$200,$U25)="","",INDEX(NAVES!$G$7:$G$200,$U25)))</f>
        <v>2.02</v>
      </c>
      <c r="I25" s="26" t="str">
        <f>IF($U25="","",INDEX(NAVES!$H$7:$H$200,$U25))</f>
        <v>Parcial</v>
      </c>
      <c r="J25" s="95">
        <f>IF($U25="","",N(INDEX(NAVES!$N$7:$N$200,$U25)))</f>
        <v>166640</v>
      </c>
      <c r="K25" s="20">
        <f>IF($U25="","",N(INDEX(NAVES!$I$7:$I$200,$U25)))</f>
        <v>4792500.3608716875</v>
      </c>
      <c r="L25" s="20">
        <f>IF($U25="","",N(INDEX(NAVES!$J$7:$J$200,$U25)))</f>
        <v>8636002.5065160729</v>
      </c>
      <c r="M25" s="20">
        <f>IF($U25="","",IFERROR(F25/SUMIF(NAVES!$A$7:$A$200,$B$4,NAVES!$E$7:$E$200)*$I$4*$E$4,0))</f>
        <v>24253615.520460468</v>
      </c>
      <c r="N25" s="20">
        <f t="shared" si="0"/>
        <v>37682118.387848228</v>
      </c>
      <c r="O25" s="95">
        <f t="shared" si="1"/>
        <v>41637.699876075392</v>
      </c>
      <c r="P25" s="95">
        <f t="shared" si="2"/>
        <v>125002.30012392461</v>
      </c>
      <c r="Q25" s="96">
        <f t="shared" si="3"/>
        <v>0.7501338221550925</v>
      </c>
      <c r="R25" s="95">
        <f t="shared" si="4"/>
        <v>430.59431524547801</v>
      </c>
      <c r="S25" s="95">
        <f t="shared" si="5"/>
        <v>107.5909557521328</v>
      </c>
      <c r="U25" s="1">
        <f>IFERROR(MATCH(16,NAVES!$P$7:$P$200,0),"")</f>
        <v>91</v>
      </c>
    </row>
    <row r="26" spans="1:21" ht="19.5" customHeight="1" x14ac:dyDescent="0.25">
      <c r="A26" s="18">
        <f>IF($U26="","",17)</f>
        <v>17</v>
      </c>
      <c r="B26" s="18" t="str">
        <f>IF($U26="","",INDEX(NAVES!$B$7:$B$200,$U26))</f>
        <v>8444</v>
      </c>
      <c r="C26" s="18" t="str">
        <f>IF($U26="","",IF(INDEX(NAVES!$M$7:$M$200,$U26)="","",INDEX(NAVES!$M$7:$M$200,$U26)))</f>
        <v>2026-198</v>
      </c>
      <c r="D26" s="18" t="str">
        <f>IF($U26="","",INDEX(NAVES!$C$7:$C$200,$U26))</f>
        <v>Por confirmar</v>
      </c>
      <c r="E26" s="18" t="str">
        <f>IF($U26="","",INDEX(NAVES!$D$7:$D$200,$U26))</f>
        <v>ALIOTH 3</v>
      </c>
      <c r="F26" s="19">
        <f>IF($U26="","",INDEX(NAVES!$E$7:$E$200,$U26))</f>
        <v>1</v>
      </c>
      <c r="G26" s="19">
        <f>IF($U26="","",IF(INDEX(NAVES!$F$7:$F$200,$U26)="","",INDEX(NAVES!$F$7:$F$200,$U26)))</f>
        <v>1</v>
      </c>
      <c r="H26" s="23">
        <f>IF($U26="","",IF(INDEX(NAVES!$G$7:$G$200,$U26)="","",INDEX(NAVES!$G$7:$G$200,$U26)))</f>
        <v>4.01</v>
      </c>
      <c r="I26" s="26" t="str">
        <f>IF($U26="","",INDEX(NAVES!$H$7:$H$200,$U26))</f>
        <v>Disponible</v>
      </c>
      <c r="J26" s="95">
        <f>IF($U26="","",N(INDEX(NAVES!$N$7:$N$200,$U26)))</f>
        <v>656</v>
      </c>
      <c r="K26" s="20">
        <f>IF($U26="","",N(INDEX(NAVES!$I$7:$I$200,$U26)))</f>
        <v>12383.721862717541</v>
      </c>
      <c r="L26" s="20">
        <f>IF($U26="","",N(INDEX(NAVES!$J$7:$J$200,$U26)))</f>
        <v>22315.251954821895</v>
      </c>
      <c r="M26" s="20">
        <f>IF($U26="","",IFERROR(F26/SUMIF(NAVES!$A$7:$A$200,$B$4,NAVES!$E$7:$E$200)*$I$4*$E$4,0))</f>
        <v>62670.841138140742</v>
      </c>
      <c r="N26" s="20">
        <f t="shared" si="0"/>
        <v>97369.81495568018</v>
      </c>
      <c r="O26" s="95">
        <f t="shared" si="1"/>
        <v>107.5909557521328</v>
      </c>
      <c r="P26" s="95">
        <f t="shared" si="2"/>
        <v>548.4090442478672</v>
      </c>
      <c r="Q26" s="96">
        <f t="shared" si="3"/>
        <v>0.83598939671930972</v>
      </c>
      <c r="R26" s="95">
        <f t="shared" si="4"/>
        <v>656</v>
      </c>
      <c r="S26" s="95">
        <f t="shared" si="5"/>
        <v>107.5909557521328</v>
      </c>
      <c r="U26" s="1">
        <f>IFERROR(MATCH(17,NAVES!$P$7:$P$200,0),"")</f>
        <v>92</v>
      </c>
    </row>
    <row r="27" spans="1:21" ht="19.5" customHeight="1" x14ac:dyDescent="0.25">
      <c r="A27" s="18">
        <f>IF($U27="","",18)</f>
        <v>18</v>
      </c>
      <c r="B27" s="18" t="str">
        <f>IF($U27="","",INDEX(NAVES!$B$7:$B$200,$U27))</f>
        <v>8445</v>
      </c>
      <c r="C27" s="18" t="str">
        <f>IF($U27="","",IF(INDEX(NAVES!$M$7:$M$200,$U27)="","",INDEX(NAVES!$M$7:$M$200,$U27)))</f>
        <v>2026-202</v>
      </c>
      <c r="D27" s="18" t="str">
        <f>IF($U27="","",INDEX(NAVES!$C$7:$C$200,$U27))</f>
        <v>Por confirmar</v>
      </c>
      <c r="E27" s="18" t="str">
        <f>IF($U27="","",INDEX(NAVES!$D$7:$D$200,$U27))</f>
        <v>CAPE BRUNO 3</v>
      </c>
      <c r="F27" s="19">
        <f>IF($U27="","",INDEX(NAVES!$E$7:$E$200,$U27))</f>
        <v>3</v>
      </c>
      <c r="G27" s="19">
        <f>IF($U27="","",IF(INDEX(NAVES!$F$7:$F$200,$U27)="","",INDEX(NAVES!$F$7:$F$200,$U27)))</f>
        <v>1</v>
      </c>
      <c r="H27" s="23">
        <f>IF($U27="","",IF(INDEX(NAVES!$G$7:$G$200,$U27)="","",INDEX(NAVES!$G$7:$G$200,$U27)))</f>
        <v>2.42</v>
      </c>
      <c r="I27" s="26" t="str">
        <f>IF($U27="","",INDEX(NAVES!$H$7:$H$200,$U27))</f>
        <v>Parcial</v>
      </c>
      <c r="J27" s="95">
        <f>IF($U27="","",N(INDEX(NAVES!$N$7:$N$200,$U27)))</f>
        <v>552</v>
      </c>
      <c r="K27" s="20">
        <f>IF($U27="","",N(INDEX(NAVES!$I$7:$I$200,$U27)))</f>
        <v>37151.165588152617</v>
      </c>
      <c r="L27" s="20">
        <f>IF($U27="","",N(INDEX(NAVES!$J$7:$J$200,$U27)))</f>
        <v>66945.755864465682</v>
      </c>
      <c r="M27" s="20">
        <f>IF($U27="","",IFERROR(F27/SUMIF(NAVES!$A$7:$A$200,$B$4,NAVES!$E$7:$E$200)*$I$4*$E$4,0))</f>
        <v>188012.52341442223</v>
      </c>
      <c r="N27" s="20">
        <f t="shared" si="0"/>
        <v>292109.4448670405</v>
      </c>
      <c r="O27" s="95">
        <f t="shared" si="1"/>
        <v>322.77286725639834</v>
      </c>
      <c r="P27" s="95">
        <f t="shared" si="2"/>
        <v>229.22713274360166</v>
      </c>
      <c r="Q27" s="96">
        <f t="shared" si="3"/>
        <v>0.41526654482536535</v>
      </c>
      <c r="R27" s="95">
        <f t="shared" si="4"/>
        <v>184</v>
      </c>
      <c r="S27" s="95">
        <f t="shared" si="5"/>
        <v>107.59095575213279</v>
      </c>
      <c r="U27" s="1">
        <f>IFERROR(MATCH(18,NAVES!$P$7:$P$200,0),"")</f>
        <v>93</v>
      </c>
    </row>
    <row r="28" spans="1:21" ht="19.5" customHeight="1" x14ac:dyDescent="0.25">
      <c r="A28" s="18" t="str">
        <f>IF($U28="","",19)</f>
        <v/>
      </c>
      <c r="B28" s="18" t="str">
        <f>IF($U28="","",INDEX(NAVES!$B$7:$B$200,$U28))</f>
        <v/>
      </c>
      <c r="C28" s="18" t="str">
        <f>IF($U28="","",IF(INDEX(NAVES!$M$7:$M$200,$U28)="","",INDEX(NAVES!$M$7:$M$200,$U28)))</f>
        <v/>
      </c>
      <c r="D28" s="18" t="str">
        <f>IF($U28="","",INDEX(NAVES!$C$7:$C$200,$U28))</f>
        <v/>
      </c>
      <c r="E28" s="18" t="str">
        <f>IF($U28="","",INDEX(NAVES!$D$7:$D$200,$U28))</f>
        <v/>
      </c>
      <c r="F28" s="19" t="str">
        <f>IF($U28="","",INDEX(NAVES!$E$7:$E$200,$U28))</f>
        <v/>
      </c>
      <c r="G28" s="19" t="str">
        <f>IF($U28="","",IF(INDEX(NAVES!$F$7:$F$200,$U28)="","",INDEX(NAVES!$F$7:$F$200,$U28)))</f>
        <v/>
      </c>
      <c r="H28" s="23" t="str">
        <f>IF($U28="","",IF(INDEX(NAVES!$G$7:$G$200,$U28)="","",INDEX(NAVES!$G$7:$G$200,$U28)))</f>
        <v/>
      </c>
      <c r="I28" s="26" t="str">
        <f>IF($U28="","",INDEX(NAVES!$H$7:$H$200,$U28))</f>
        <v/>
      </c>
      <c r="J28" s="95" t="str">
        <f>IF($U28="","",N(INDEX(NAVES!$N$7:$N$200,$U28)))</f>
        <v/>
      </c>
      <c r="K28" s="20" t="str">
        <f>IF($U28="","",N(INDEX(NAVES!$I$7:$I$200,$U28)))</f>
        <v/>
      </c>
      <c r="L28" s="20" t="str">
        <f>IF($U28="","",N(INDEX(NAVES!$J$7:$J$200,$U28)))</f>
        <v/>
      </c>
      <c r="M28" s="20" t="str">
        <f>IF($U28="","",IFERROR(F28/SUMIF(NAVES!$A$7:$A$200,$B$4,NAVES!$E$7:$E$200)*$I$4*$E$4,0))</f>
        <v/>
      </c>
      <c r="N28" s="20" t="str">
        <f t="shared" si="0"/>
        <v/>
      </c>
      <c r="O28" s="95" t="str">
        <f t="shared" si="1"/>
        <v/>
      </c>
      <c r="P28" s="95" t="str">
        <f t="shared" si="2"/>
        <v/>
      </c>
      <c r="Q28" s="96" t="str">
        <f t="shared" si="3"/>
        <v/>
      </c>
      <c r="R28" s="95" t="str">
        <f t="shared" si="4"/>
        <v/>
      </c>
      <c r="S28" s="95" t="str">
        <f t="shared" si="5"/>
        <v/>
      </c>
      <c r="U28" s="1" t="str">
        <f>IFERROR(MATCH(19,NAVES!$P$7:$P$200,0),"")</f>
        <v/>
      </c>
    </row>
    <row r="29" spans="1:21" ht="19.5" customHeight="1" x14ac:dyDescent="0.25">
      <c r="A29" s="18" t="str">
        <f>IF($U29="","",20)</f>
        <v/>
      </c>
      <c r="B29" s="18" t="str">
        <f>IF($U29="","",INDEX(NAVES!$B$7:$B$200,$U29))</f>
        <v/>
      </c>
      <c r="C29" s="18" t="str">
        <f>IF($U29="","",IF(INDEX(NAVES!$M$7:$M$200,$U29)="","",INDEX(NAVES!$M$7:$M$200,$U29)))</f>
        <v/>
      </c>
      <c r="D29" s="18" t="str">
        <f>IF($U29="","",INDEX(NAVES!$C$7:$C$200,$U29))</f>
        <v/>
      </c>
      <c r="E29" s="18" t="str">
        <f>IF($U29="","",INDEX(NAVES!$D$7:$D$200,$U29))</f>
        <v/>
      </c>
      <c r="F29" s="19" t="str">
        <f>IF($U29="","",INDEX(NAVES!$E$7:$E$200,$U29))</f>
        <v/>
      </c>
      <c r="G29" s="19" t="str">
        <f>IF($U29="","",IF(INDEX(NAVES!$F$7:$F$200,$U29)="","",INDEX(NAVES!$F$7:$F$200,$U29)))</f>
        <v/>
      </c>
      <c r="H29" s="23" t="str">
        <f>IF($U29="","",IF(INDEX(NAVES!$G$7:$G$200,$U29)="","",INDEX(NAVES!$G$7:$G$200,$U29)))</f>
        <v/>
      </c>
      <c r="I29" s="26" t="str">
        <f>IF($U29="","",INDEX(NAVES!$H$7:$H$200,$U29))</f>
        <v/>
      </c>
      <c r="J29" s="95" t="str">
        <f>IF($U29="","",N(INDEX(NAVES!$N$7:$N$200,$U29)))</f>
        <v/>
      </c>
      <c r="K29" s="20" t="str">
        <f>IF($U29="","",N(INDEX(NAVES!$I$7:$I$200,$U29)))</f>
        <v/>
      </c>
      <c r="L29" s="20" t="str">
        <f>IF($U29="","",N(INDEX(NAVES!$J$7:$J$200,$U29)))</f>
        <v/>
      </c>
      <c r="M29" s="20" t="str">
        <f>IF($U29="","",IFERROR(F29/SUMIF(NAVES!$A$7:$A$200,$B$4,NAVES!$E$7:$E$200)*$I$4*$E$4,0))</f>
        <v/>
      </c>
      <c r="N29" s="20" t="str">
        <f t="shared" si="0"/>
        <v/>
      </c>
      <c r="O29" s="95" t="str">
        <f t="shared" si="1"/>
        <v/>
      </c>
      <c r="P29" s="95" t="str">
        <f t="shared" si="2"/>
        <v/>
      </c>
      <c r="Q29" s="96" t="str">
        <f t="shared" si="3"/>
        <v/>
      </c>
      <c r="R29" s="95" t="str">
        <f t="shared" si="4"/>
        <v/>
      </c>
      <c r="S29" s="95" t="str">
        <f t="shared" si="5"/>
        <v/>
      </c>
      <c r="U29" s="1" t="str">
        <f>IFERROR(MATCH(20,NAVES!$P$7:$P$200,0),"")</f>
        <v/>
      </c>
    </row>
    <row r="30" spans="1:21" ht="19.5" customHeight="1" x14ac:dyDescent="0.25">
      <c r="A30" s="18" t="str">
        <f>IF($U30="","",21)</f>
        <v/>
      </c>
      <c r="B30" s="18" t="str">
        <f>IF($U30="","",INDEX(NAVES!$B$7:$B$200,$U30))</f>
        <v/>
      </c>
      <c r="C30" s="18" t="str">
        <f>IF($U30="","",IF(INDEX(NAVES!$M$7:$M$200,$U30)="","",INDEX(NAVES!$M$7:$M$200,$U30)))</f>
        <v/>
      </c>
      <c r="D30" s="18" t="str">
        <f>IF($U30="","",INDEX(NAVES!$C$7:$C$200,$U30))</f>
        <v/>
      </c>
      <c r="E30" s="18" t="str">
        <f>IF($U30="","",INDEX(NAVES!$D$7:$D$200,$U30))</f>
        <v/>
      </c>
      <c r="F30" s="19" t="str">
        <f>IF($U30="","",INDEX(NAVES!$E$7:$E$200,$U30))</f>
        <v/>
      </c>
      <c r="G30" s="19" t="str">
        <f>IF($U30="","",IF(INDEX(NAVES!$F$7:$F$200,$U30)="","",INDEX(NAVES!$F$7:$F$200,$U30)))</f>
        <v/>
      </c>
      <c r="H30" s="23" t="str">
        <f>IF($U30="","",IF(INDEX(NAVES!$G$7:$G$200,$U30)="","",INDEX(NAVES!$G$7:$G$200,$U30)))</f>
        <v/>
      </c>
      <c r="I30" s="26" t="str">
        <f>IF($U30="","",INDEX(NAVES!$H$7:$H$200,$U30))</f>
        <v/>
      </c>
      <c r="J30" s="95" t="str">
        <f>IF($U30="","",N(INDEX(NAVES!$N$7:$N$200,$U30)))</f>
        <v/>
      </c>
      <c r="K30" s="20" t="str">
        <f>IF($U30="","",N(INDEX(NAVES!$I$7:$I$200,$U30)))</f>
        <v/>
      </c>
      <c r="L30" s="20" t="str">
        <f>IF($U30="","",N(INDEX(NAVES!$J$7:$J$200,$U30)))</f>
        <v/>
      </c>
      <c r="M30" s="20" t="str">
        <f>IF($U30="","",IFERROR(F30/SUMIF(NAVES!$A$7:$A$200,$B$4,NAVES!$E$7:$E$200)*$I$4*$E$4,0))</f>
        <v/>
      </c>
      <c r="N30" s="20" t="str">
        <f t="shared" si="0"/>
        <v/>
      </c>
      <c r="O30" s="95" t="str">
        <f t="shared" si="1"/>
        <v/>
      </c>
      <c r="P30" s="95" t="str">
        <f t="shared" si="2"/>
        <v/>
      </c>
      <c r="Q30" s="96" t="str">
        <f t="shared" si="3"/>
        <v/>
      </c>
      <c r="R30" s="95" t="str">
        <f t="shared" si="4"/>
        <v/>
      </c>
      <c r="S30" s="95" t="str">
        <f t="shared" si="5"/>
        <v/>
      </c>
      <c r="U30" s="1" t="str">
        <f>IFERROR(MATCH(21,NAVES!$P$7:$P$200,0),"")</f>
        <v/>
      </c>
    </row>
    <row r="31" spans="1:21" ht="19.5" customHeight="1" x14ac:dyDescent="0.25">
      <c r="A31" s="18" t="str">
        <f>IF($U31="","",22)</f>
        <v/>
      </c>
      <c r="B31" s="18" t="str">
        <f>IF($U31="","",INDEX(NAVES!$B$7:$B$200,$U31))</f>
        <v/>
      </c>
      <c r="C31" s="18" t="str">
        <f>IF($U31="","",IF(INDEX(NAVES!$M$7:$M$200,$U31)="","",INDEX(NAVES!$M$7:$M$200,$U31)))</f>
        <v/>
      </c>
      <c r="D31" s="18" t="str">
        <f>IF($U31="","",INDEX(NAVES!$C$7:$C$200,$U31))</f>
        <v/>
      </c>
      <c r="E31" s="18" t="str">
        <f>IF($U31="","",INDEX(NAVES!$D$7:$D$200,$U31))</f>
        <v/>
      </c>
      <c r="F31" s="19" t="str">
        <f>IF($U31="","",INDEX(NAVES!$E$7:$E$200,$U31))</f>
        <v/>
      </c>
      <c r="G31" s="19" t="str">
        <f>IF($U31="","",IF(INDEX(NAVES!$F$7:$F$200,$U31)="","",INDEX(NAVES!$F$7:$F$200,$U31)))</f>
        <v/>
      </c>
      <c r="H31" s="23" t="str">
        <f>IF($U31="","",IF(INDEX(NAVES!$G$7:$G$200,$U31)="","",INDEX(NAVES!$G$7:$G$200,$U31)))</f>
        <v/>
      </c>
      <c r="I31" s="26" t="str">
        <f>IF($U31="","",INDEX(NAVES!$H$7:$H$200,$U31))</f>
        <v/>
      </c>
      <c r="J31" s="95" t="str">
        <f>IF($U31="","",N(INDEX(NAVES!$N$7:$N$200,$U31)))</f>
        <v/>
      </c>
      <c r="K31" s="20" t="str">
        <f>IF($U31="","",N(INDEX(NAVES!$I$7:$I$200,$U31)))</f>
        <v/>
      </c>
      <c r="L31" s="20" t="str">
        <f>IF($U31="","",N(INDEX(NAVES!$J$7:$J$200,$U31)))</f>
        <v/>
      </c>
      <c r="M31" s="20" t="str">
        <f>IF($U31="","",IFERROR(F31/SUMIF(NAVES!$A$7:$A$200,$B$4,NAVES!$E$7:$E$200)*$I$4*$E$4,0))</f>
        <v/>
      </c>
      <c r="N31" s="20" t="str">
        <f t="shared" si="0"/>
        <v/>
      </c>
      <c r="O31" s="95" t="str">
        <f t="shared" si="1"/>
        <v/>
      </c>
      <c r="P31" s="95" t="str">
        <f t="shared" si="2"/>
        <v/>
      </c>
      <c r="Q31" s="96" t="str">
        <f t="shared" si="3"/>
        <v/>
      </c>
      <c r="R31" s="95" t="str">
        <f t="shared" si="4"/>
        <v/>
      </c>
      <c r="S31" s="95" t="str">
        <f t="shared" si="5"/>
        <v/>
      </c>
      <c r="U31" s="1" t="str">
        <f>IFERROR(MATCH(22,NAVES!$P$7:$P$200,0),"")</f>
        <v/>
      </c>
    </row>
    <row r="32" spans="1:21" ht="19.5" customHeight="1" x14ac:dyDescent="0.25">
      <c r="A32" s="18" t="str">
        <f>IF($U32="","",23)</f>
        <v/>
      </c>
      <c r="B32" s="18" t="str">
        <f>IF($U32="","",INDEX(NAVES!$B$7:$B$200,$U32))</f>
        <v/>
      </c>
      <c r="C32" s="18" t="str">
        <f>IF($U32="","",IF(INDEX(NAVES!$M$7:$M$200,$U32)="","",INDEX(NAVES!$M$7:$M$200,$U32)))</f>
        <v/>
      </c>
      <c r="D32" s="18" t="str">
        <f>IF($U32="","",INDEX(NAVES!$C$7:$C$200,$U32))</f>
        <v/>
      </c>
      <c r="E32" s="18" t="str">
        <f>IF($U32="","",INDEX(NAVES!$D$7:$D$200,$U32))</f>
        <v/>
      </c>
      <c r="F32" s="19" t="str">
        <f>IF($U32="","",INDEX(NAVES!$E$7:$E$200,$U32))</f>
        <v/>
      </c>
      <c r="G32" s="19" t="str">
        <f>IF($U32="","",IF(INDEX(NAVES!$F$7:$F$200,$U32)="","",INDEX(NAVES!$F$7:$F$200,$U32)))</f>
        <v/>
      </c>
      <c r="H32" s="23" t="str">
        <f>IF($U32="","",IF(INDEX(NAVES!$G$7:$G$200,$U32)="","",INDEX(NAVES!$G$7:$G$200,$U32)))</f>
        <v/>
      </c>
      <c r="I32" s="26" t="str">
        <f>IF($U32="","",INDEX(NAVES!$H$7:$H$200,$U32))</f>
        <v/>
      </c>
      <c r="J32" s="95" t="str">
        <f>IF($U32="","",N(INDEX(NAVES!$N$7:$N$200,$U32)))</f>
        <v/>
      </c>
      <c r="K32" s="20" t="str">
        <f>IF($U32="","",N(INDEX(NAVES!$I$7:$I$200,$U32)))</f>
        <v/>
      </c>
      <c r="L32" s="20" t="str">
        <f>IF($U32="","",N(INDEX(NAVES!$J$7:$J$200,$U32)))</f>
        <v/>
      </c>
      <c r="M32" s="20" t="str">
        <f>IF($U32="","",IFERROR(F32/SUMIF(NAVES!$A$7:$A$200,$B$4,NAVES!$E$7:$E$200)*$I$4*$E$4,0))</f>
        <v/>
      </c>
      <c r="N32" s="20" t="str">
        <f t="shared" si="0"/>
        <v/>
      </c>
      <c r="O32" s="95" t="str">
        <f t="shared" si="1"/>
        <v/>
      </c>
      <c r="P32" s="95" t="str">
        <f t="shared" si="2"/>
        <v/>
      </c>
      <c r="Q32" s="96" t="str">
        <f t="shared" si="3"/>
        <v/>
      </c>
      <c r="R32" s="95" t="str">
        <f t="shared" si="4"/>
        <v/>
      </c>
      <c r="S32" s="95" t="str">
        <f t="shared" si="5"/>
        <v/>
      </c>
      <c r="U32" s="1" t="str">
        <f>IFERROR(MATCH(23,NAVES!$P$7:$P$200,0),"")</f>
        <v/>
      </c>
    </row>
    <row r="33" spans="1:21" ht="19.5" customHeight="1" x14ac:dyDescent="0.25">
      <c r="A33" s="18" t="str">
        <f>IF($U33="","",24)</f>
        <v/>
      </c>
      <c r="B33" s="18" t="str">
        <f>IF($U33="","",INDEX(NAVES!$B$7:$B$200,$U33))</f>
        <v/>
      </c>
      <c r="C33" s="18" t="str">
        <f>IF($U33="","",IF(INDEX(NAVES!$M$7:$M$200,$U33)="","",INDEX(NAVES!$M$7:$M$200,$U33)))</f>
        <v/>
      </c>
      <c r="D33" s="18" t="str">
        <f>IF($U33="","",INDEX(NAVES!$C$7:$C$200,$U33))</f>
        <v/>
      </c>
      <c r="E33" s="18" t="str">
        <f>IF($U33="","",INDEX(NAVES!$D$7:$D$200,$U33))</f>
        <v/>
      </c>
      <c r="F33" s="19" t="str">
        <f>IF($U33="","",INDEX(NAVES!$E$7:$E$200,$U33))</f>
        <v/>
      </c>
      <c r="G33" s="19" t="str">
        <f>IF($U33="","",IF(INDEX(NAVES!$F$7:$F$200,$U33)="","",INDEX(NAVES!$F$7:$F$200,$U33)))</f>
        <v/>
      </c>
      <c r="H33" s="23" t="str">
        <f>IF($U33="","",IF(INDEX(NAVES!$G$7:$G$200,$U33)="","",INDEX(NAVES!$G$7:$G$200,$U33)))</f>
        <v/>
      </c>
      <c r="I33" s="26" t="str">
        <f>IF($U33="","",INDEX(NAVES!$H$7:$H$200,$U33))</f>
        <v/>
      </c>
      <c r="J33" s="95" t="str">
        <f>IF($U33="","",N(INDEX(NAVES!$N$7:$N$200,$U33)))</f>
        <v/>
      </c>
      <c r="K33" s="20" t="str">
        <f>IF($U33="","",N(INDEX(NAVES!$I$7:$I$200,$U33)))</f>
        <v/>
      </c>
      <c r="L33" s="20" t="str">
        <f>IF($U33="","",N(INDEX(NAVES!$J$7:$J$200,$U33)))</f>
        <v/>
      </c>
      <c r="M33" s="20" t="str">
        <f>IF($U33="","",IFERROR(F33/SUMIF(NAVES!$A$7:$A$200,$B$4,NAVES!$E$7:$E$200)*$I$4*$E$4,0))</f>
        <v/>
      </c>
      <c r="N33" s="20" t="str">
        <f t="shared" si="0"/>
        <v/>
      </c>
      <c r="O33" s="95" t="str">
        <f t="shared" si="1"/>
        <v/>
      </c>
      <c r="P33" s="95" t="str">
        <f t="shared" si="2"/>
        <v/>
      </c>
      <c r="Q33" s="96" t="str">
        <f t="shared" si="3"/>
        <v/>
      </c>
      <c r="R33" s="95" t="str">
        <f t="shared" si="4"/>
        <v/>
      </c>
      <c r="S33" s="95" t="str">
        <f t="shared" si="5"/>
        <v/>
      </c>
      <c r="U33" s="1" t="str">
        <f>IFERROR(MATCH(24,NAVES!$P$7:$P$200,0),"")</f>
        <v/>
      </c>
    </row>
    <row r="34" spans="1:21" ht="19.5" customHeight="1" x14ac:dyDescent="0.25">
      <c r="A34" s="18" t="str">
        <f>IF($U34="","",25)</f>
        <v/>
      </c>
      <c r="B34" s="18" t="str">
        <f>IF($U34="","",INDEX(NAVES!$B$7:$B$200,$U34))</f>
        <v/>
      </c>
      <c r="C34" s="18" t="str">
        <f>IF($U34="","",IF(INDEX(NAVES!$M$7:$M$200,$U34)="","",INDEX(NAVES!$M$7:$M$200,$U34)))</f>
        <v/>
      </c>
      <c r="D34" s="18" t="str">
        <f>IF($U34="","",INDEX(NAVES!$C$7:$C$200,$U34))</f>
        <v/>
      </c>
      <c r="E34" s="18" t="str">
        <f>IF($U34="","",INDEX(NAVES!$D$7:$D$200,$U34))</f>
        <v/>
      </c>
      <c r="F34" s="19" t="str">
        <f>IF($U34="","",INDEX(NAVES!$E$7:$E$200,$U34))</f>
        <v/>
      </c>
      <c r="G34" s="19" t="str">
        <f>IF($U34="","",IF(INDEX(NAVES!$F$7:$F$200,$U34)="","",INDEX(NAVES!$F$7:$F$200,$U34)))</f>
        <v/>
      </c>
      <c r="H34" s="23" t="str">
        <f>IF($U34="","",IF(INDEX(NAVES!$G$7:$G$200,$U34)="","",INDEX(NAVES!$G$7:$G$200,$U34)))</f>
        <v/>
      </c>
      <c r="I34" s="26" t="str">
        <f>IF($U34="","",INDEX(NAVES!$H$7:$H$200,$U34))</f>
        <v/>
      </c>
      <c r="J34" s="95" t="str">
        <f>IF($U34="","",N(INDEX(NAVES!$N$7:$N$200,$U34)))</f>
        <v/>
      </c>
      <c r="K34" s="20" t="str">
        <f>IF($U34="","",N(INDEX(NAVES!$I$7:$I$200,$U34)))</f>
        <v/>
      </c>
      <c r="L34" s="20" t="str">
        <f>IF($U34="","",N(INDEX(NAVES!$J$7:$J$200,$U34)))</f>
        <v/>
      </c>
      <c r="M34" s="20" t="str">
        <f>IF($U34="","",IFERROR(F34/SUMIF(NAVES!$A$7:$A$200,$B$4,NAVES!$E$7:$E$200)*$I$4*$E$4,0))</f>
        <v/>
      </c>
      <c r="N34" s="20" t="str">
        <f t="shared" si="0"/>
        <v/>
      </c>
      <c r="O34" s="95" t="str">
        <f t="shared" si="1"/>
        <v/>
      </c>
      <c r="P34" s="95" t="str">
        <f t="shared" si="2"/>
        <v/>
      </c>
      <c r="Q34" s="96" t="str">
        <f t="shared" si="3"/>
        <v/>
      </c>
      <c r="R34" s="95" t="str">
        <f t="shared" si="4"/>
        <v/>
      </c>
      <c r="S34" s="95" t="str">
        <f t="shared" si="5"/>
        <v/>
      </c>
      <c r="U34" s="1" t="str">
        <f>IFERROR(MATCH(25,NAVES!$P$7:$P$200,0),"")</f>
        <v/>
      </c>
    </row>
    <row r="35" spans="1:21" ht="19.5" customHeight="1" x14ac:dyDescent="0.25">
      <c r="A35" s="18" t="str">
        <f>IF($U35="","",26)</f>
        <v/>
      </c>
      <c r="B35" s="18" t="str">
        <f>IF($U35="","",INDEX(NAVES!$B$7:$B$200,$U35))</f>
        <v/>
      </c>
      <c r="C35" s="18" t="str">
        <f>IF($U35="","",IF(INDEX(NAVES!$M$7:$M$200,$U35)="","",INDEX(NAVES!$M$7:$M$200,$U35)))</f>
        <v/>
      </c>
      <c r="D35" s="18" t="str">
        <f>IF($U35="","",INDEX(NAVES!$C$7:$C$200,$U35))</f>
        <v/>
      </c>
      <c r="E35" s="18" t="str">
        <f>IF($U35="","",INDEX(NAVES!$D$7:$D$200,$U35))</f>
        <v/>
      </c>
      <c r="F35" s="19" t="str">
        <f>IF($U35="","",INDEX(NAVES!$E$7:$E$200,$U35))</f>
        <v/>
      </c>
      <c r="G35" s="19" t="str">
        <f>IF($U35="","",IF(INDEX(NAVES!$F$7:$F$200,$U35)="","",INDEX(NAVES!$F$7:$F$200,$U35)))</f>
        <v/>
      </c>
      <c r="H35" s="23" t="str">
        <f>IF($U35="","",IF(INDEX(NAVES!$G$7:$G$200,$U35)="","",INDEX(NAVES!$G$7:$G$200,$U35)))</f>
        <v/>
      </c>
      <c r="I35" s="26" t="str">
        <f>IF($U35="","",INDEX(NAVES!$H$7:$H$200,$U35))</f>
        <v/>
      </c>
      <c r="J35" s="95" t="str">
        <f>IF($U35="","",N(INDEX(NAVES!$N$7:$N$200,$U35)))</f>
        <v/>
      </c>
      <c r="K35" s="20" t="str">
        <f>IF($U35="","",N(INDEX(NAVES!$I$7:$I$200,$U35)))</f>
        <v/>
      </c>
      <c r="L35" s="20" t="str">
        <f>IF($U35="","",N(INDEX(NAVES!$J$7:$J$200,$U35)))</f>
        <v/>
      </c>
      <c r="M35" s="20" t="str">
        <f>IF($U35="","",IFERROR(F35/SUMIF(NAVES!$A$7:$A$200,$B$4,NAVES!$E$7:$E$200)*$I$4*$E$4,0))</f>
        <v/>
      </c>
      <c r="N35" s="20" t="str">
        <f t="shared" si="0"/>
        <v/>
      </c>
      <c r="O35" s="95" t="str">
        <f t="shared" si="1"/>
        <v/>
      </c>
      <c r="P35" s="95" t="str">
        <f t="shared" si="2"/>
        <v/>
      </c>
      <c r="Q35" s="96" t="str">
        <f t="shared" si="3"/>
        <v/>
      </c>
      <c r="R35" s="95" t="str">
        <f t="shared" si="4"/>
        <v/>
      </c>
      <c r="S35" s="95" t="str">
        <f t="shared" si="5"/>
        <v/>
      </c>
      <c r="U35" s="1" t="str">
        <f>IFERROR(MATCH(26,NAVES!$P$7:$P$200,0),"")</f>
        <v/>
      </c>
    </row>
    <row r="36" spans="1:21" ht="19.5" customHeight="1" x14ac:dyDescent="0.25">
      <c r="A36" s="18" t="str">
        <f>IF($U36="","",27)</f>
        <v/>
      </c>
      <c r="B36" s="18" t="str">
        <f>IF($U36="","",INDEX(NAVES!$B$7:$B$200,$U36))</f>
        <v/>
      </c>
      <c r="C36" s="18" t="str">
        <f>IF($U36="","",IF(INDEX(NAVES!$M$7:$M$200,$U36)="","",INDEX(NAVES!$M$7:$M$200,$U36)))</f>
        <v/>
      </c>
      <c r="D36" s="18" t="str">
        <f>IF($U36="","",INDEX(NAVES!$C$7:$C$200,$U36))</f>
        <v/>
      </c>
      <c r="E36" s="18" t="str">
        <f>IF($U36="","",INDEX(NAVES!$D$7:$D$200,$U36))</f>
        <v/>
      </c>
      <c r="F36" s="19" t="str">
        <f>IF($U36="","",INDEX(NAVES!$E$7:$E$200,$U36))</f>
        <v/>
      </c>
      <c r="G36" s="19" t="str">
        <f>IF($U36="","",IF(INDEX(NAVES!$F$7:$F$200,$U36)="","",INDEX(NAVES!$F$7:$F$200,$U36)))</f>
        <v/>
      </c>
      <c r="H36" s="23" t="str">
        <f>IF($U36="","",IF(INDEX(NAVES!$G$7:$G$200,$U36)="","",INDEX(NAVES!$G$7:$G$200,$U36)))</f>
        <v/>
      </c>
      <c r="I36" s="26" t="str">
        <f>IF($U36="","",INDEX(NAVES!$H$7:$H$200,$U36))</f>
        <v/>
      </c>
      <c r="J36" s="95" t="str">
        <f>IF($U36="","",N(INDEX(NAVES!$N$7:$N$200,$U36)))</f>
        <v/>
      </c>
      <c r="K36" s="20" t="str">
        <f>IF($U36="","",N(INDEX(NAVES!$I$7:$I$200,$U36)))</f>
        <v/>
      </c>
      <c r="L36" s="20" t="str">
        <f>IF($U36="","",N(INDEX(NAVES!$J$7:$J$200,$U36)))</f>
        <v/>
      </c>
      <c r="M36" s="20" t="str">
        <f>IF($U36="","",IFERROR(F36/SUMIF(NAVES!$A$7:$A$200,$B$4,NAVES!$E$7:$E$200)*$I$4*$E$4,0))</f>
        <v/>
      </c>
      <c r="N36" s="20" t="str">
        <f t="shared" si="0"/>
        <v/>
      </c>
      <c r="O36" s="95" t="str">
        <f t="shared" si="1"/>
        <v/>
      </c>
      <c r="P36" s="95" t="str">
        <f t="shared" si="2"/>
        <v/>
      </c>
      <c r="Q36" s="96" t="str">
        <f t="shared" si="3"/>
        <v/>
      </c>
      <c r="R36" s="95" t="str">
        <f t="shared" si="4"/>
        <v/>
      </c>
      <c r="S36" s="95" t="str">
        <f t="shared" si="5"/>
        <v/>
      </c>
      <c r="U36" s="1" t="str">
        <f>IFERROR(MATCH(27,NAVES!$P$7:$P$200,0),"")</f>
        <v/>
      </c>
    </row>
    <row r="37" spans="1:21" ht="19.5" customHeight="1" x14ac:dyDescent="0.25">
      <c r="A37" s="18" t="str">
        <f>IF($U37="","",28)</f>
        <v/>
      </c>
      <c r="B37" s="18" t="str">
        <f>IF($U37="","",INDEX(NAVES!$B$7:$B$200,$U37))</f>
        <v/>
      </c>
      <c r="C37" s="18" t="str">
        <f>IF($U37="","",IF(INDEX(NAVES!$M$7:$M$200,$U37)="","",INDEX(NAVES!$M$7:$M$200,$U37)))</f>
        <v/>
      </c>
      <c r="D37" s="18" t="str">
        <f>IF($U37="","",INDEX(NAVES!$C$7:$C$200,$U37))</f>
        <v/>
      </c>
      <c r="E37" s="18" t="str">
        <f>IF($U37="","",INDEX(NAVES!$D$7:$D$200,$U37))</f>
        <v/>
      </c>
      <c r="F37" s="19" t="str">
        <f>IF($U37="","",INDEX(NAVES!$E$7:$E$200,$U37))</f>
        <v/>
      </c>
      <c r="G37" s="19" t="str">
        <f>IF($U37="","",IF(INDEX(NAVES!$F$7:$F$200,$U37)="","",INDEX(NAVES!$F$7:$F$200,$U37)))</f>
        <v/>
      </c>
      <c r="H37" s="23" t="str">
        <f>IF($U37="","",IF(INDEX(NAVES!$G$7:$G$200,$U37)="","",INDEX(NAVES!$G$7:$G$200,$U37)))</f>
        <v/>
      </c>
      <c r="I37" s="26" t="str">
        <f>IF($U37="","",INDEX(NAVES!$H$7:$H$200,$U37))</f>
        <v/>
      </c>
      <c r="J37" s="95" t="str">
        <f>IF($U37="","",N(INDEX(NAVES!$N$7:$N$200,$U37)))</f>
        <v/>
      </c>
      <c r="K37" s="20" t="str">
        <f>IF($U37="","",N(INDEX(NAVES!$I$7:$I$200,$U37)))</f>
        <v/>
      </c>
      <c r="L37" s="20" t="str">
        <f>IF($U37="","",N(INDEX(NAVES!$J$7:$J$200,$U37)))</f>
        <v/>
      </c>
      <c r="M37" s="20" t="str">
        <f>IF($U37="","",IFERROR(F37/SUMIF(NAVES!$A$7:$A$200,$B$4,NAVES!$E$7:$E$200)*$I$4*$E$4,0))</f>
        <v/>
      </c>
      <c r="N37" s="20" t="str">
        <f t="shared" si="0"/>
        <v/>
      </c>
      <c r="O37" s="95" t="str">
        <f t="shared" si="1"/>
        <v/>
      </c>
      <c r="P37" s="95" t="str">
        <f t="shared" si="2"/>
        <v/>
      </c>
      <c r="Q37" s="96" t="str">
        <f t="shared" si="3"/>
        <v/>
      </c>
      <c r="R37" s="95" t="str">
        <f t="shared" si="4"/>
        <v/>
      </c>
      <c r="S37" s="95" t="str">
        <f t="shared" si="5"/>
        <v/>
      </c>
      <c r="U37" s="1" t="str">
        <f>IFERROR(MATCH(28,NAVES!$P$7:$P$200,0),"")</f>
        <v/>
      </c>
    </row>
    <row r="38" spans="1:21" ht="19.5" customHeight="1" x14ac:dyDescent="0.25">
      <c r="A38" s="18" t="str">
        <f>IF($U38="","",29)</f>
        <v/>
      </c>
      <c r="B38" s="18" t="str">
        <f>IF($U38="","",INDEX(NAVES!$B$7:$B$200,$U38))</f>
        <v/>
      </c>
      <c r="C38" s="18" t="str">
        <f>IF($U38="","",IF(INDEX(NAVES!$M$7:$M$200,$U38)="","",INDEX(NAVES!$M$7:$M$200,$U38)))</f>
        <v/>
      </c>
      <c r="D38" s="18" t="str">
        <f>IF($U38="","",INDEX(NAVES!$C$7:$C$200,$U38))</f>
        <v/>
      </c>
      <c r="E38" s="18" t="str">
        <f>IF($U38="","",INDEX(NAVES!$D$7:$D$200,$U38))</f>
        <v/>
      </c>
      <c r="F38" s="19" t="str">
        <f>IF($U38="","",INDEX(NAVES!$E$7:$E$200,$U38))</f>
        <v/>
      </c>
      <c r="G38" s="19" t="str">
        <f>IF($U38="","",IF(INDEX(NAVES!$F$7:$F$200,$U38)="","",INDEX(NAVES!$F$7:$F$200,$U38)))</f>
        <v/>
      </c>
      <c r="H38" s="23" t="str">
        <f>IF($U38="","",IF(INDEX(NAVES!$G$7:$G$200,$U38)="","",INDEX(NAVES!$G$7:$G$200,$U38)))</f>
        <v/>
      </c>
      <c r="I38" s="26" t="str">
        <f>IF($U38="","",INDEX(NAVES!$H$7:$H$200,$U38))</f>
        <v/>
      </c>
      <c r="J38" s="95" t="str">
        <f>IF($U38="","",N(INDEX(NAVES!$N$7:$N$200,$U38)))</f>
        <v/>
      </c>
      <c r="K38" s="20" t="str">
        <f>IF($U38="","",N(INDEX(NAVES!$I$7:$I$200,$U38)))</f>
        <v/>
      </c>
      <c r="L38" s="20" t="str">
        <f>IF($U38="","",N(INDEX(NAVES!$J$7:$J$200,$U38)))</f>
        <v/>
      </c>
      <c r="M38" s="20" t="str">
        <f>IF($U38="","",IFERROR(F38/SUMIF(NAVES!$A$7:$A$200,$B$4,NAVES!$E$7:$E$200)*$I$4*$E$4,0))</f>
        <v/>
      </c>
      <c r="N38" s="20" t="str">
        <f t="shared" si="0"/>
        <v/>
      </c>
      <c r="O38" s="95" t="str">
        <f t="shared" si="1"/>
        <v/>
      </c>
      <c r="P38" s="95" t="str">
        <f t="shared" si="2"/>
        <v/>
      </c>
      <c r="Q38" s="96" t="str">
        <f t="shared" si="3"/>
        <v/>
      </c>
      <c r="R38" s="95" t="str">
        <f t="shared" si="4"/>
        <v/>
      </c>
      <c r="S38" s="95" t="str">
        <f t="shared" si="5"/>
        <v/>
      </c>
      <c r="U38" s="1" t="str">
        <f>IFERROR(MATCH(29,NAVES!$P$7:$P$200,0),"")</f>
        <v/>
      </c>
    </row>
    <row r="39" spans="1:21" ht="19.5" customHeight="1" x14ac:dyDescent="0.25">
      <c r="A39" s="18" t="str">
        <f>IF($U39="","",30)</f>
        <v/>
      </c>
      <c r="B39" s="18" t="str">
        <f>IF($U39="","",INDEX(NAVES!$B$7:$B$200,$U39))</f>
        <v/>
      </c>
      <c r="C39" s="18" t="str">
        <f>IF($U39="","",IF(INDEX(NAVES!$M$7:$M$200,$U39)="","",INDEX(NAVES!$M$7:$M$200,$U39)))</f>
        <v/>
      </c>
      <c r="D39" s="18" t="str">
        <f>IF($U39="","",INDEX(NAVES!$C$7:$C$200,$U39))</f>
        <v/>
      </c>
      <c r="E39" s="18" t="str">
        <f>IF($U39="","",INDEX(NAVES!$D$7:$D$200,$U39))</f>
        <v/>
      </c>
      <c r="F39" s="19" t="str">
        <f>IF($U39="","",INDEX(NAVES!$E$7:$E$200,$U39))</f>
        <v/>
      </c>
      <c r="G39" s="19" t="str">
        <f>IF($U39="","",IF(INDEX(NAVES!$F$7:$F$200,$U39)="","",INDEX(NAVES!$F$7:$F$200,$U39)))</f>
        <v/>
      </c>
      <c r="H39" s="23" t="str">
        <f>IF($U39="","",IF(INDEX(NAVES!$G$7:$G$200,$U39)="","",INDEX(NAVES!$G$7:$G$200,$U39)))</f>
        <v/>
      </c>
      <c r="I39" s="26" t="str">
        <f>IF($U39="","",INDEX(NAVES!$H$7:$H$200,$U39))</f>
        <v/>
      </c>
      <c r="J39" s="95" t="str">
        <f>IF($U39="","",N(INDEX(NAVES!$N$7:$N$200,$U39)))</f>
        <v/>
      </c>
      <c r="K39" s="20" t="str">
        <f>IF($U39="","",N(INDEX(NAVES!$I$7:$I$200,$U39)))</f>
        <v/>
      </c>
      <c r="L39" s="20" t="str">
        <f>IF($U39="","",N(INDEX(NAVES!$J$7:$J$200,$U39)))</f>
        <v/>
      </c>
      <c r="M39" s="20" t="str">
        <f>IF($U39="","",IFERROR(F39/SUMIF(NAVES!$A$7:$A$200,$B$4,NAVES!$E$7:$E$200)*$I$4*$E$4,0))</f>
        <v/>
      </c>
      <c r="N39" s="20" t="str">
        <f t="shared" si="0"/>
        <v/>
      </c>
      <c r="O39" s="95" t="str">
        <f t="shared" si="1"/>
        <v/>
      </c>
      <c r="P39" s="95" t="str">
        <f t="shared" si="2"/>
        <v/>
      </c>
      <c r="Q39" s="96" t="str">
        <f t="shared" si="3"/>
        <v/>
      </c>
      <c r="R39" s="95" t="str">
        <f t="shared" si="4"/>
        <v/>
      </c>
      <c r="S39" s="95" t="str">
        <f t="shared" si="5"/>
        <v/>
      </c>
      <c r="U39" s="1" t="str">
        <f>IFERROR(MATCH(30,NAVES!$P$7:$P$200,0),"")</f>
        <v/>
      </c>
    </row>
    <row r="40" spans="1:21" ht="19.5" customHeight="1" x14ac:dyDescent="0.25">
      <c r="A40" s="142" t="s">
        <v>293</v>
      </c>
      <c r="B40" s="142"/>
      <c r="C40" s="142"/>
      <c r="D40" s="142"/>
      <c r="E40" s="142"/>
      <c r="F40" s="35">
        <f>SUM(F10:F39)</f>
        <v>1151</v>
      </c>
      <c r="G40" s="35">
        <f>SUM(G10:G39)</f>
        <v>1145</v>
      </c>
      <c r="H40" s="39">
        <f>IFERROR(SUMPRODUCT((NAVES!$A$7:$A$200=$B$4)*NAVES!$F$7:$F$200*NAVES!$G$7:$G$200)/SUMIF(NAVES!$A$7:$A$200,$B$4,NAVES!$F$7:$F$200),"")</f>
        <v>2.8327074235807861</v>
      </c>
      <c r="I40" s="34"/>
      <c r="J40" s="97">
        <f t="shared" ref="J40:P40" si="6">SUM(J10:J39)</f>
        <v>630824</v>
      </c>
      <c r="K40" s="36">
        <f t="shared" si="6"/>
        <v>14253663.863987889</v>
      </c>
      <c r="L40" s="36">
        <f t="shared" si="6"/>
        <v>25684855.000000004</v>
      </c>
      <c r="M40" s="36">
        <f t="shared" si="6"/>
        <v>72134138.149999976</v>
      </c>
      <c r="N40" s="36">
        <f t="shared" si="6"/>
        <v>112072657.0139879</v>
      </c>
      <c r="O40" s="97">
        <f t="shared" si="6"/>
        <v>123837.19007070483</v>
      </c>
      <c r="P40" s="97">
        <f t="shared" si="6"/>
        <v>506986.80992929521</v>
      </c>
      <c r="Q40" s="98">
        <f>IFERROR(P40/J40,"")</f>
        <v>0.80368979292052178</v>
      </c>
      <c r="R40" s="97">
        <f>IFERROR(J40/F40,"")</f>
        <v>548.06602953953086</v>
      </c>
      <c r="S40" s="97">
        <f>IFERROR(O40/F40,"")</f>
        <v>107.59095575213279</v>
      </c>
    </row>
    <row r="42" spans="1:21" ht="15" customHeight="1" x14ac:dyDescent="0.25">
      <c r="A42" s="140" t="s">
        <v>294</v>
      </c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</row>
    <row r="44" spans="1:21" ht="21.75" customHeight="1" x14ac:dyDescent="0.25">
      <c r="A44" s="136" t="str">
        <f>"VENTA vs COSTO POR NAVE — "&amp;UPPER($B$4)&amp;" 2026"</f>
        <v>VENTA vs COSTO POR NAVE — SEPTIEMBRE 2026</v>
      </c>
      <c r="B44" s="136"/>
      <c r="C44" s="136"/>
      <c r="D44" s="136"/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</row>
  </sheetData>
  <mergeCells count="27">
    <mergeCell ref="A1:S1"/>
    <mergeCell ref="A2:S2"/>
    <mergeCell ref="G4:H4"/>
    <mergeCell ref="N4:O4"/>
    <mergeCell ref="A6:B6"/>
    <mergeCell ref="C6:D6"/>
    <mergeCell ref="E6:F6"/>
    <mergeCell ref="G6:H6"/>
    <mergeCell ref="I6:J6"/>
    <mergeCell ref="K6:L6"/>
    <mergeCell ref="M6:N6"/>
    <mergeCell ref="O6:P6"/>
    <mergeCell ref="Q6:R6"/>
    <mergeCell ref="B4:C4"/>
    <mergeCell ref="L4:M4"/>
    <mergeCell ref="A44:S44"/>
    <mergeCell ref="K7:L7"/>
    <mergeCell ref="M7:N7"/>
    <mergeCell ref="O7:P7"/>
    <mergeCell ref="Q7:R7"/>
    <mergeCell ref="A42:S42"/>
    <mergeCell ref="A40:E40"/>
    <mergeCell ref="A7:B7"/>
    <mergeCell ref="C7:D7"/>
    <mergeCell ref="E7:F7"/>
    <mergeCell ref="G7:H7"/>
    <mergeCell ref="I7:J7"/>
  </mergeCells>
  <conditionalFormatting sqref="I10:I39">
    <cfRule type="cellIs" dxfId="51" priority="102" operator="equal">
      <formula>"Completo"</formula>
    </cfRule>
    <cfRule type="cellIs" dxfId="50" priority="103" operator="equal">
      <formula>"Disponible"</formula>
    </cfRule>
    <cfRule type="cellIs" dxfId="49" priority="104" operator="equal">
      <formula>"Disponible (solo EDP)"</formula>
    </cfRule>
    <cfRule type="cellIs" dxfId="48" priority="105" operator="equal">
      <formula>"Disponible incompleto"</formula>
    </cfRule>
    <cfRule type="cellIs" dxfId="47" priority="106" operator="equal">
      <formula>"Parcial"</formula>
    </cfRule>
    <cfRule type="cellIs" dxfId="46" priority="107" operator="equal">
      <formula>"EDP pendiente"</formula>
    </cfRule>
    <cfRule type="cellIs" dxfId="45" priority="108" operator="equal">
      <formula>"Pendiente"</formula>
    </cfRule>
    <cfRule type="cellIs" dxfId="44" priority="109" operator="equal">
      <formula>"Sin registro"</formula>
    </cfRule>
  </conditionalFormatting>
  <dataValidations count="1">
    <dataValidation type="list" allowBlank="1" showInputMessage="1" promptTitle="Mes" prompt="Elige el mes a revisar" sqref="B4" xr:uid="{00000000-0002-0000-0100-000000000000}">
      <formula1>"Enero,Febrero,Marzo,Abril,Mayo,Junio,Julio,Agosto,Septiembre,Octubre,Noviembre,Diciembre"</formula1>
    </dataValidation>
  </dataValidations>
  <pageMargins left="0.5" right="0.5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DE2D-70AC-4777-A3CD-B3224016B9B2}">
  <dimension ref="A1:Z57"/>
  <sheetViews>
    <sheetView showGridLines="0" topLeftCell="A13" zoomScale="40" zoomScaleNormal="40" workbookViewId="0">
      <selection activeCell="B4" sqref="B4:C4"/>
    </sheetView>
  </sheetViews>
  <sheetFormatPr baseColWidth="10" defaultColWidth="8.7265625" defaultRowHeight="12.5" x14ac:dyDescent="0.25"/>
  <cols>
    <col min="1" max="1" width="13" customWidth="1"/>
    <col min="2" max="2" width="9" customWidth="1"/>
    <col min="3" max="4" width="12" customWidth="1"/>
    <col min="5" max="5" width="17" customWidth="1"/>
    <col min="6" max="6" width="21" customWidth="1"/>
    <col min="7" max="7" width="12" customWidth="1"/>
    <col min="8" max="9" width="13" customWidth="1"/>
    <col min="10" max="10" width="3" customWidth="1"/>
    <col min="11" max="19" width="10" customWidth="1"/>
    <col min="25" max="26" width="6" hidden="1" customWidth="1"/>
  </cols>
  <sheetData>
    <row r="1" spans="1:26" ht="30" customHeight="1" x14ac:dyDescent="0.25">
      <c r="A1" s="132" t="s">
        <v>295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</row>
    <row r="2" spans="1:26" ht="24" customHeight="1" x14ac:dyDescent="0.25">
      <c r="A2" s="133" t="s">
        <v>296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</row>
    <row r="4" spans="1:26" ht="22" customHeight="1" x14ac:dyDescent="0.25">
      <c r="A4" s="93" t="s">
        <v>271</v>
      </c>
      <c r="B4" s="143" t="s">
        <v>42</v>
      </c>
      <c r="C4" s="143"/>
      <c r="E4" s="93" t="s">
        <v>297</v>
      </c>
      <c r="F4" s="103">
        <v>200</v>
      </c>
      <c r="H4" s="93" t="s">
        <v>298</v>
      </c>
      <c r="I4" s="146" t="str">
        <f>IF(COUNTIF(DATOS_CONEX!$B$7:$B$4000,$B$4)=0,"Falta EDP","Cargado ("&amp;COUNTIFS(DATOS_CONEX!$B$7:$B$4000,$B$4,DATOS_CONEX!$I$7:$I$4000,"Sí")&amp;" válidos)")</f>
        <v>Cargado (1146 válidos)</v>
      </c>
      <c r="J4" s="146"/>
      <c r="K4" s="146"/>
      <c r="M4" s="135" t="s">
        <v>299</v>
      </c>
      <c r="N4" s="135"/>
      <c r="O4" s="91">
        <f>COUNTIFS(DATOS_CONEX!$B$7:$B$4000,$B$4,DATOS_CONEX!$I$7:$I$4000,"No")</f>
        <v>8</v>
      </c>
      <c r="Z4" s="1">
        <f>MATCH($B$4,{"Enero","Febrero","Marzo","Abril","Mayo","Junio","Julio","Agosto","Septiembre","Octubre","Noviembre","Diciembre"},0)</f>
        <v>9</v>
      </c>
    </row>
    <row r="6" spans="1:26" ht="18" customHeight="1" x14ac:dyDescent="0.25">
      <c r="A6" s="135" t="s">
        <v>300</v>
      </c>
      <c r="B6" s="135"/>
      <c r="C6" s="135" t="s">
        <v>301</v>
      </c>
      <c r="D6" s="135"/>
      <c r="E6" s="135" t="s">
        <v>302</v>
      </c>
      <c r="F6" s="135"/>
      <c r="G6" s="135" t="s">
        <v>303</v>
      </c>
      <c r="H6" s="135"/>
      <c r="I6" s="135" t="s">
        <v>304</v>
      </c>
      <c r="J6" s="135"/>
      <c r="K6" s="135" t="s">
        <v>305</v>
      </c>
      <c r="L6" s="135"/>
      <c r="M6" s="135" t="s">
        <v>306</v>
      </c>
      <c r="N6" s="135"/>
      <c r="O6" s="135" t="s">
        <v>307</v>
      </c>
      <c r="P6" s="135"/>
    </row>
    <row r="7" spans="1:26" ht="26" customHeight="1" x14ac:dyDescent="0.25">
      <c r="A7" s="127">
        <f>IFERROR(MAX(D10:D40),"")</f>
        <v>400</v>
      </c>
      <c r="B7" s="127"/>
      <c r="C7" s="145">
        <f>IFERROR(IFERROR(INDEX(DATOS_CONEX!$F$7:$F$4000,MATCH($B$4&amp;"|"&amp;A7,DATOS_CONEX!$N$7:$N$4000,0)),"Inicio de mes"),"")</f>
        <v>46290.9375</v>
      </c>
      <c r="D7" s="145"/>
      <c r="E7" s="146" t="str">
        <f>IFERROR(IFERROR(INDEX(DATOS_CONEX!$C$7:$C$4000,MATCH($B$4&amp;"|"&amp;A7,DATOS_CONEX!$N$7:$N$4000,0)),"-"),"")</f>
        <v>POLAR COLOMBIA</v>
      </c>
      <c r="F7" s="146"/>
      <c r="G7" s="144">
        <f>IFERROR(SUMPRODUCT((DATOS_CONEX!$I$7:$I$4000="Sí")*(((DATOS_CONEX!$G$7:$G$4000+DATE(2026,$Z$4+1,1)-ABS(DATOS_CONEX!$G$7:$G$4000-DATE(2026,$Z$4+1,1)))/2-(DATOS_CONEX!$F$7:$F$4000+DATE(2026,$Z$4,1)+ABS(DATOS_CONEX!$F$7:$F$4000-DATE(2026,$Z$4,1)))/2)+ABS(((DATOS_CONEX!$G$7:$G$4000+DATE(2026,$Z$4+1,1)-ABS(DATOS_CONEX!$G$7:$G$4000-DATE(2026,$Z$4+1,1)))/2-(DATOS_CONEX!$F$7:$F$4000+DATE(2026,$Z$4,1)+ABS(DATOS_CONEX!$F$7:$F$4000-DATE(2026,$Z$4,1)))/2)))/2)/(DATE(2026,$Z$4+1,1)-DATE(2026,$Z$4,1)),"")</f>
        <v>105.59009259255497</v>
      </c>
      <c r="H7" s="144"/>
      <c r="I7" s="127">
        <f>IFERROR(COUNTIF(D10:D40,"&gt;="&amp;$F$4),"")</f>
        <v>10</v>
      </c>
      <c r="J7" s="127"/>
      <c r="K7" s="127">
        <f>IFERROR(MAX(G10:G40),"")</f>
        <v>8</v>
      </c>
      <c r="L7" s="127"/>
      <c r="M7" s="144">
        <f>IFERROR(IFERROR(AVERAGE(D10:D40),""),"")</f>
        <v>137.56666666666666</v>
      </c>
      <c r="N7" s="144"/>
      <c r="O7" s="144">
        <f>IFERROR(I41,"")</f>
        <v>3167.7027777766489</v>
      </c>
      <c r="P7" s="144"/>
    </row>
    <row r="9" spans="1:26" ht="45" customHeight="1" x14ac:dyDescent="0.25">
      <c r="A9" s="2" t="s">
        <v>308</v>
      </c>
      <c r="B9" s="2" t="s">
        <v>309</v>
      </c>
      <c r="C9" s="2" t="s">
        <v>310</v>
      </c>
      <c r="D9" s="2" t="s">
        <v>311</v>
      </c>
      <c r="E9" s="2" t="s">
        <v>312</v>
      </c>
      <c r="F9" s="2" t="s">
        <v>313</v>
      </c>
      <c r="G9" s="2" t="s">
        <v>314</v>
      </c>
      <c r="H9" s="2" t="s">
        <v>315</v>
      </c>
      <c r="I9" s="2" t="s">
        <v>316</v>
      </c>
    </row>
    <row r="10" spans="1:26" ht="19.5" customHeight="1" x14ac:dyDescent="0.35">
      <c r="A10" s="102">
        <f>IF(1&lt;=DAY(DATE(2026,$Z$4+1,1)-1),DATE(2026,$Z$4,1),"")</f>
        <v>46266</v>
      </c>
      <c r="B10" s="19">
        <f t="shared" ref="B10:B40" si="0">IF($A10="","",DAY($A10))</f>
        <v>1</v>
      </c>
      <c r="C10" s="19">
        <f>IF($A10="","",COUNTIFS(DATOS_CONEX!$F$7:$F$4000,"&lt;="&amp;$A10,DATOS_CONEX!$G$7:$G$4000,"&gt;"&amp;$A10,DATOS_CONEX!$I$7:$I$4000,"Sí"))</f>
        <v>31</v>
      </c>
      <c r="D10" s="19">
        <f>IF($A10="","",MAX(C10,_xlfn.MAXIFS(DATOS_CONEX!$L$7:$L$4000,DATOS_CONEX!$F$7:$F$4000,"&gt;="&amp;$A10,DATOS_CONEX!$F$7:$F$4000,"&lt;"&amp;($A10+1))))</f>
        <v>36</v>
      </c>
      <c r="E10" s="19">
        <f>IF($A10="","",COUNTIFS(DATOS_CONEX!$F$7:$F$4000,"&gt;"&amp;$A10,DATOS_CONEX!$F$7:$F$4000,"&lt;"&amp;($A10+1),DATOS_CONEX!$I$7:$I$4000,"Sí"))</f>
        <v>6</v>
      </c>
      <c r="F10" s="19">
        <f>IF($A10="","",COUNTIFS(DATOS_CONEX!$G$7:$G$4000,"&gt;="&amp;$A10,DATOS_CONEX!$G$7:$G$4000,"&lt;"&amp;($A10+1),DATOS_CONEX!$I$7:$I$4000,"Sí"))</f>
        <v>1</v>
      </c>
      <c r="G10" s="19">
        <f>IF($A10="","",COUNTIFS(DATOS_CONEX!$R$7:$R$4000,"&lt;="&amp;$A10,DATOS_CONEX!$S$7:$S$4000,"&gt;="&amp;$A10))</f>
        <v>2</v>
      </c>
      <c r="H10" s="19">
        <f>IF($A10="","",COUNTIFS(DATOS_CONEX!$F$7:$F$4000,"&lt;"&amp;($A10+1),DATOS_CONEX!$G$7:$G$4000,"&gt;"&amp;$A10,DATOS_CONEX!$I$7:$I$4000,"Sí"))</f>
        <v>37</v>
      </c>
      <c r="I10" s="21">
        <f>IF($A10="","",SUMPRODUCT((DATOS_CONEX!$I$7:$I$4000="Sí")*(((DATOS_CONEX!$G$7:$G$4000+($A10+1)-ABS(DATOS_CONEX!$G$7:$G$4000-($A10+1)))/2-(DATOS_CONEX!$F$7:$F$4000+$A10+ABS(DATOS_CONEX!$F$7:$F$4000-$A10))/2)+ABS(((DATOS_CONEX!$G$7:$G$4000+($A10+1)-ABS(DATOS_CONEX!$G$7:$G$4000-($A10+1)))/2-(DATOS_CONEX!$F$7:$F$4000+$A10+ABS(DATOS_CONEX!$F$7:$F$4000-$A10))/2)))/2))</f>
        <v>33.057638888902147</v>
      </c>
      <c r="Y10" s="104">
        <f t="shared" ref="Y10:Y40" si="1">IF($A10="","",-F10)</f>
        <v>-1</v>
      </c>
    </row>
    <row r="11" spans="1:26" ht="19.5" customHeight="1" x14ac:dyDescent="0.35">
      <c r="A11" s="102">
        <f>IF(2&lt;=DAY(DATE(2026,$Z$4+1,1)-1),DATE(2026,$Z$4,2),"")</f>
        <v>46267</v>
      </c>
      <c r="B11" s="19">
        <f t="shared" si="0"/>
        <v>2</v>
      </c>
      <c r="C11" s="19">
        <f>IF($A11="","",COUNTIFS(DATOS_CONEX!$F$7:$F$4000,"&lt;="&amp;$A11,DATOS_CONEX!$G$7:$G$4000,"&gt;"&amp;$A11,DATOS_CONEX!$I$7:$I$4000,"Sí"))</f>
        <v>37</v>
      </c>
      <c r="D11" s="19">
        <f>IF($A11="","",MAX(C11,_xlfn.MAXIFS(DATOS_CONEX!$L$7:$L$4000,DATOS_CONEX!$F$7:$F$4000,"&gt;="&amp;$A11,DATOS_CONEX!$F$7:$F$4000,"&lt;"&amp;($A11+1))))</f>
        <v>173</v>
      </c>
      <c r="E11" s="19">
        <f>IF($A11="","",COUNTIFS(DATOS_CONEX!$F$7:$F$4000,"&gt;"&amp;$A11,DATOS_CONEX!$F$7:$F$4000,"&lt;"&amp;($A11+1),DATOS_CONEX!$I$7:$I$4000,"Sí"))</f>
        <v>141</v>
      </c>
      <c r="F11" s="19">
        <f>IF($A11="","",COUNTIFS(DATOS_CONEX!$G$7:$G$4000,"&gt;="&amp;$A11,DATOS_CONEX!$G$7:$G$4000,"&lt;"&amp;($A11+1),DATOS_CONEX!$I$7:$I$4000,"Sí"))</f>
        <v>5</v>
      </c>
      <c r="G11" s="19">
        <f>IF($A11="","",COUNTIFS(DATOS_CONEX!$R$7:$R$4000,"&lt;="&amp;$A11,DATOS_CONEX!$S$7:$S$4000,"&gt;="&amp;$A11))</f>
        <v>3</v>
      </c>
      <c r="H11" s="19">
        <f>IF($A11="","",COUNTIFS(DATOS_CONEX!$F$7:$F$4000,"&lt;"&amp;($A11+1),DATOS_CONEX!$G$7:$G$4000,"&gt;"&amp;$A11,DATOS_CONEX!$I$7:$I$4000,"Sí"))</f>
        <v>178</v>
      </c>
      <c r="I11" s="21">
        <f>IF($A11="","",SUMPRODUCT((DATOS_CONEX!$I$7:$I$4000="Sí")*(((DATOS_CONEX!$G$7:$G$4000+($A11+1)-ABS(DATOS_CONEX!$G$7:$G$4000-($A11+1)))/2-(DATOS_CONEX!$F$7:$F$4000+$A11+ABS(DATOS_CONEX!$F$7:$F$4000-$A11))/2)+ABS(((DATOS_CONEX!$G$7:$G$4000+($A11+1)-ABS(DATOS_CONEX!$G$7:$G$4000-($A11+1)))/2-(DATOS_CONEX!$F$7:$F$4000+$A11+ABS(DATOS_CONEX!$F$7:$F$4000-$A11))/2)))/2))</f>
        <v>115.83263888882357</v>
      </c>
      <c r="Y11" s="104">
        <f t="shared" si="1"/>
        <v>-5</v>
      </c>
    </row>
    <row r="12" spans="1:26" ht="19.5" customHeight="1" x14ac:dyDescent="0.35">
      <c r="A12" s="102">
        <f>IF(3&lt;=DAY(DATE(2026,$Z$4+1,1)-1),DATE(2026,$Z$4,3),"")</f>
        <v>46268</v>
      </c>
      <c r="B12" s="19">
        <f t="shared" si="0"/>
        <v>3</v>
      </c>
      <c r="C12" s="19">
        <f>IF($A12="","",COUNTIFS(DATOS_CONEX!$F$7:$F$4000,"&lt;="&amp;$A12,DATOS_CONEX!$G$7:$G$4000,"&gt;"&amp;$A12,DATOS_CONEX!$I$7:$I$4000,"Sí"))</f>
        <v>173</v>
      </c>
      <c r="D12" s="19">
        <f>IF($A12="","",MAX(C12,_xlfn.MAXIFS(DATOS_CONEX!$L$7:$L$4000,DATOS_CONEX!$F$7:$F$4000,"&gt;="&amp;$A12,DATOS_CONEX!$F$7:$F$4000,"&lt;"&amp;($A12+1))))</f>
        <v>306</v>
      </c>
      <c r="E12" s="19">
        <f>IF($A12="","",COUNTIFS(DATOS_CONEX!$F$7:$F$4000,"&gt;"&amp;$A12,DATOS_CONEX!$F$7:$F$4000,"&lt;"&amp;($A12+1),DATOS_CONEX!$I$7:$I$4000,"Sí"))</f>
        <v>133</v>
      </c>
      <c r="F12" s="19">
        <f>IF($A12="","",COUNTIFS(DATOS_CONEX!$G$7:$G$4000,"&gt;="&amp;$A12,DATOS_CONEX!$G$7:$G$4000,"&lt;"&amp;($A12+1),DATOS_CONEX!$I$7:$I$4000,"Sí"))</f>
        <v>0</v>
      </c>
      <c r="G12" s="19">
        <f>IF($A12="","",COUNTIFS(DATOS_CONEX!$R$7:$R$4000,"&lt;="&amp;$A12,DATOS_CONEX!$S$7:$S$4000,"&gt;="&amp;$A12))</f>
        <v>5</v>
      </c>
      <c r="H12" s="19">
        <f>IF($A12="","",COUNTIFS(DATOS_CONEX!$F$7:$F$4000,"&lt;"&amp;($A12+1),DATOS_CONEX!$G$7:$G$4000,"&gt;"&amp;$A12,DATOS_CONEX!$I$7:$I$4000,"Sí"))</f>
        <v>306</v>
      </c>
      <c r="I12" s="21">
        <f>IF($A12="","",SUMPRODUCT((DATOS_CONEX!$I$7:$I$4000="Sí")*(((DATOS_CONEX!$G$7:$G$4000+($A12+1)-ABS(DATOS_CONEX!$G$7:$G$4000-($A12+1)))/2-(DATOS_CONEX!$F$7:$F$4000+$A12+ABS(DATOS_CONEX!$F$7:$F$4000-$A12))/2)+ABS(((DATOS_CONEX!$G$7:$G$4000+($A12+1)-ABS(DATOS_CONEX!$G$7:$G$4000-($A12+1)))/2-(DATOS_CONEX!$F$7:$F$4000+$A12+ABS(DATOS_CONEX!$F$7:$F$4000-$A12))/2)))/2))</f>
        <v>256.6583333331364</v>
      </c>
      <c r="Y12" s="104">
        <f t="shared" si="1"/>
        <v>0</v>
      </c>
    </row>
    <row r="13" spans="1:26" ht="19.5" customHeight="1" x14ac:dyDescent="0.35">
      <c r="A13" s="102">
        <f>IF(4&lt;=DAY(DATE(2026,$Z$4+1,1)-1),DATE(2026,$Z$4,4),"")</f>
        <v>46269</v>
      </c>
      <c r="B13" s="19">
        <f t="shared" si="0"/>
        <v>4</v>
      </c>
      <c r="C13" s="19">
        <f>IF($A13="","",COUNTIFS(DATOS_CONEX!$F$7:$F$4000,"&lt;="&amp;$A13,DATOS_CONEX!$G$7:$G$4000,"&gt;"&amp;$A13,DATOS_CONEX!$I$7:$I$4000,"Sí"))</f>
        <v>306</v>
      </c>
      <c r="D13" s="19">
        <f>IF($A13="","",MAX(C13,_xlfn.MAXIFS(DATOS_CONEX!$L$7:$L$4000,DATOS_CONEX!$F$7:$F$4000,"&gt;="&amp;$A13,DATOS_CONEX!$F$7:$F$4000,"&lt;"&amp;($A13+1))))</f>
        <v>307</v>
      </c>
      <c r="E13" s="19">
        <f>IF($A13="","",COUNTIFS(DATOS_CONEX!$F$7:$F$4000,"&gt;"&amp;$A13,DATOS_CONEX!$F$7:$F$4000,"&lt;"&amp;($A13+1),DATOS_CONEX!$I$7:$I$4000,"Sí"))</f>
        <v>1</v>
      </c>
      <c r="F13" s="19">
        <f>IF($A13="","",COUNTIFS(DATOS_CONEX!$G$7:$G$4000,"&gt;="&amp;$A13,DATOS_CONEX!$G$7:$G$4000,"&lt;"&amp;($A13+1),DATOS_CONEX!$I$7:$I$4000,"Sí"))</f>
        <v>0</v>
      </c>
      <c r="G13" s="19">
        <f>IF($A13="","",COUNTIFS(DATOS_CONEX!$R$7:$R$4000,"&lt;="&amp;$A13,DATOS_CONEX!$S$7:$S$4000,"&gt;="&amp;$A13))</f>
        <v>5</v>
      </c>
      <c r="H13" s="19">
        <f>IF($A13="","",COUNTIFS(DATOS_CONEX!$F$7:$F$4000,"&lt;"&amp;($A13+1),DATOS_CONEX!$G$7:$G$4000,"&gt;"&amp;$A13,DATOS_CONEX!$I$7:$I$4000,"Sí"))</f>
        <v>307</v>
      </c>
      <c r="I13" s="21">
        <f>IF($A13="","",SUMPRODUCT((DATOS_CONEX!$I$7:$I$4000="Sí")*(((DATOS_CONEX!$G$7:$G$4000+($A13+1)-ABS(DATOS_CONEX!$G$7:$G$4000-($A13+1)))/2-(DATOS_CONEX!$F$7:$F$4000+$A13+ABS(DATOS_CONEX!$F$7:$F$4000-$A13))/2)+ABS(((DATOS_CONEX!$G$7:$G$4000+($A13+1)-ABS(DATOS_CONEX!$G$7:$G$4000-($A13+1)))/2-(DATOS_CONEX!$F$7:$F$4000+$A13+ABS(DATOS_CONEX!$F$7:$F$4000-$A13))/2)))/2))</f>
        <v>306.56180555555329</v>
      </c>
      <c r="Y13" s="104">
        <f t="shared" si="1"/>
        <v>0</v>
      </c>
    </row>
    <row r="14" spans="1:26" ht="19.5" customHeight="1" x14ac:dyDescent="0.35">
      <c r="A14" s="102">
        <f>IF(5&lt;=DAY(DATE(2026,$Z$4+1,1)-1),DATE(2026,$Z$4,5),"")</f>
        <v>46270</v>
      </c>
      <c r="B14" s="19">
        <f t="shared" si="0"/>
        <v>5</v>
      </c>
      <c r="C14" s="19">
        <f>IF($A14="","",COUNTIFS(DATOS_CONEX!$F$7:$F$4000,"&lt;="&amp;$A14,DATOS_CONEX!$G$7:$G$4000,"&gt;"&amp;$A14,DATOS_CONEX!$I$7:$I$4000,"Sí"))</f>
        <v>307</v>
      </c>
      <c r="D14" s="19">
        <f>IF($A14="","",MAX(C14,_xlfn.MAXIFS(DATOS_CONEX!$L$7:$L$4000,DATOS_CONEX!$F$7:$F$4000,"&gt;="&amp;$A14,DATOS_CONEX!$F$7:$F$4000,"&lt;"&amp;($A14+1))))</f>
        <v>307</v>
      </c>
      <c r="E14" s="19">
        <f>IF($A14="","",COUNTIFS(DATOS_CONEX!$F$7:$F$4000,"&gt;"&amp;$A14,DATOS_CONEX!$F$7:$F$4000,"&lt;"&amp;($A14+1),DATOS_CONEX!$I$7:$I$4000,"Sí"))</f>
        <v>13</v>
      </c>
      <c r="F14" s="19">
        <f>IF($A14="","",COUNTIFS(DATOS_CONEX!$G$7:$G$4000,"&gt;="&amp;$A14,DATOS_CONEX!$G$7:$G$4000,"&lt;"&amp;($A14+1),DATOS_CONEX!$I$7:$I$4000,"Sí"))</f>
        <v>267</v>
      </c>
      <c r="G14" s="19">
        <f>IF($A14="","",COUNTIFS(DATOS_CONEX!$R$7:$R$4000,"&lt;="&amp;$A14,DATOS_CONEX!$S$7:$S$4000,"&gt;="&amp;$A14))</f>
        <v>4</v>
      </c>
      <c r="H14" s="19">
        <f>IF($A14="","",COUNTIFS(DATOS_CONEX!$F$7:$F$4000,"&lt;"&amp;($A14+1),DATOS_CONEX!$G$7:$G$4000,"&gt;"&amp;$A14,DATOS_CONEX!$I$7:$I$4000,"Sí"))</f>
        <v>320</v>
      </c>
      <c r="I14" s="21">
        <f>IF($A14="","",SUMPRODUCT((DATOS_CONEX!$I$7:$I$4000="Sí")*(((DATOS_CONEX!$G$7:$G$4000+($A14+1)-ABS(DATOS_CONEX!$G$7:$G$4000-($A14+1)))/2-(DATOS_CONEX!$F$7:$F$4000+$A14+ABS(DATOS_CONEX!$F$7:$F$4000-$A14))/2)+ABS(((DATOS_CONEX!$G$7:$G$4000+($A14+1)-ABS(DATOS_CONEX!$G$7:$G$4000-($A14+1)))/2-(DATOS_CONEX!$F$7:$F$4000+$A14+ABS(DATOS_CONEX!$F$7:$F$4000-$A14))/2)))/2))</f>
        <v>193.45902777800802</v>
      </c>
      <c r="Y14" s="104">
        <f t="shared" si="1"/>
        <v>-267</v>
      </c>
    </row>
    <row r="15" spans="1:26" ht="19.5" customHeight="1" x14ac:dyDescent="0.35">
      <c r="A15" s="102">
        <f>IF(6&lt;=DAY(DATE(2026,$Z$4+1,1)-1),DATE(2026,$Z$4,6),"")</f>
        <v>46271</v>
      </c>
      <c r="B15" s="19">
        <f t="shared" si="0"/>
        <v>6</v>
      </c>
      <c r="C15" s="19">
        <f>IF($A15="","",COUNTIFS(DATOS_CONEX!$F$7:$F$4000,"&lt;="&amp;$A15,DATOS_CONEX!$G$7:$G$4000,"&gt;"&amp;$A15,DATOS_CONEX!$I$7:$I$4000,"Sí"))</f>
        <v>53</v>
      </c>
      <c r="D15" s="19">
        <f>IF($A15="","",MAX(C15,_xlfn.MAXIFS(DATOS_CONEX!$L$7:$L$4000,DATOS_CONEX!$F$7:$F$4000,"&gt;="&amp;$A15,DATOS_CONEX!$F$7:$F$4000,"&lt;"&amp;($A15+1))))</f>
        <v>53</v>
      </c>
      <c r="E15" s="19">
        <f>IF($A15="","",COUNTIFS(DATOS_CONEX!$F$7:$F$4000,"&gt;"&amp;$A15,DATOS_CONEX!$F$7:$F$4000,"&lt;"&amp;($A15+1),DATOS_CONEX!$I$7:$I$4000,"Sí"))</f>
        <v>0</v>
      </c>
      <c r="F15" s="19">
        <f>IF($A15="","",COUNTIFS(DATOS_CONEX!$G$7:$G$4000,"&gt;="&amp;$A15,DATOS_CONEX!$G$7:$G$4000,"&lt;"&amp;($A15+1),DATOS_CONEX!$I$7:$I$4000,"Sí"))</f>
        <v>10</v>
      </c>
      <c r="G15" s="19">
        <f>IF($A15="","",COUNTIFS(DATOS_CONEX!$R$7:$R$4000,"&lt;="&amp;$A15,DATOS_CONEX!$S$7:$S$4000,"&gt;="&amp;$A15))</f>
        <v>4</v>
      </c>
      <c r="H15" s="19">
        <f>IF($A15="","",COUNTIFS(DATOS_CONEX!$F$7:$F$4000,"&lt;"&amp;($A15+1),DATOS_CONEX!$G$7:$G$4000,"&gt;"&amp;$A15,DATOS_CONEX!$I$7:$I$4000,"Sí"))</f>
        <v>53</v>
      </c>
      <c r="I15" s="21">
        <f>IF($A15="","",SUMPRODUCT((DATOS_CONEX!$I$7:$I$4000="Sí")*(((DATOS_CONEX!$G$7:$G$4000+($A15+1)-ABS(DATOS_CONEX!$G$7:$G$4000-($A15+1)))/2-(DATOS_CONEX!$F$7:$F$4000+$A15+ABS(DATOS_CONEX!$F$7:$F$4000-$A15))/2)+ABS(((DATOS_CONEX!$G$7:$G$4000+($A15+1)-ABS(DATOS_CONEX!$G$7:$G$4000-($A15+1)))/2-(DATOS_CONEX!$F$7:$F$4000+$A15+ABS(DATOS_CONEX!$F$7:$F$4000-$A15))/2)))/2))</f>
        <v>52.158333333340124</v>
      </c>
      <c r="Y15" s="104">
        <f t="shared" si="1"/>
        <v>-10</v>
      </c>
    </row>
    <row r="16" spans="1:26" ht="19.5" customHeight="1" x14ac:dyDescent="0.35">
      <c r="A16" s="102">
        <f>IF(7&lt;=DAY(DATE(2026,$Z$4+1,1)-1),DATE(2026,$Z$4,7),"")</f>
        <v>46272</v>
      </c>
      <c r="B16" s="19">
        <f t="shared" si="0"/>
        <v>7</v>
      </c>
      <c r="C16" s="19">
        <f>IF($A16="","",COUNTIFS(DATOS_CONEX!$F$7:$F$4000,"&lt;="&amp;$A16,DATOS_CONEX!$G$7:$G$4000,"&gt;"&amp;$A16,DATOS_CONEX!$I$7:$I$4000,"Sí"))</f>
        <v>43</v>
      </c>
      <c r="D16" s="19">
        <f>IF($A16="","",MAX(C16,_xlfn.MAXIFS(DATOS_CONEX!$L$7:$L$4000,DATOS_CONEX!$F$7:$F$4000,"&gt;="&amp;$A16,DATOS_CONEX!$F$7:$F$4000,"&lt;"&amp;($A16+1))))</f>
        <v>44</v>
      </c>
      <c r="E16" s="19">
        <f>IF($A16="","",COUNTIFS(DATOS_CONEX!$F$7:$F$4000,"&gt;"&amp;$A16,DATOS_CONEX!$F$7:$F$4000,"&lt;"&amp;($A16+1),DATOS_CONEX!$I$7:$I$4000,"Sí"))</f>
        <v>4</v>
      </c>
      <c r="F16" s="19">
        <f>IF($A16="","",COUNTIFS(DATOS_CONEX!$G$7:$G$4000,"&gt;="&amp;$A16,DATOS_CONEX!$G$7:$G$4000,"&lt;"&amp;($A16+1),DATOS_CONEX!$I$7:$I$4000,"Sí"))</f>
        <v>4</v>
      </c>
      <c r="G16" s="19">
        <f>IF($A16="","",COUNTIFS(DATOS_CONEX!$R$7:$R$4000,"&lt;="&amp;$A16,DATOS_CONEX!$S$7:$S$4000,"&gt;="&amp;$A16))</f>
        <v>2</v>
      </c>
      <c r="H16" s="19">
        <f>IF($A16="","",COUNTIFS(DATOS_CONEX!$F$7:$F$4000,"&lt;"&amp;($A16+1),DATOS_CONEX!$G$7:$G$4000,"&gt;"&amp;$A16,DATOS_CONEX!$I$7:$I$4000,"Sí"))</f>
        <v>47</v>
      </c>
      <c r="I16" s="21">
        <f>IF($A16="","",SUMPRODUCT((DATOS_CONEX!$I$7:$I$4000="Sí")*(((DATOS_CONEX!$G$7:$G$4000+($A16+1)-ABS(DATOS_CONEX!$G$7:$G$4000-($A16+1)))/2-(DATOS_CONEX!$F$7:$F$4000+$A16+ABS(DATOS_CONEX!$F$7:$F$4000-$A16))/2)+ABS(((DATOS_CONEX!$G$7:$G$4000+($A16+1)-ABS(DATOS_CONEX!$G$7:$G$4000-($A16+1)))/2-(DATOS_CONEX!$F$7:$F$4000+$A16+ABS(DATOS_CONEX!$F$7:$F$4000-$A16))/2)))/2))</f>
        <v>42.381944444481633</v>
      </c>
      <c r="Y16" s="104">
        <f t="shared" si="1"/>
        <v>-4</v>
      </c>
    </row>
    <row r="17" spans="1:25" ht="19.5" customHeight="1" x14ac:dyDescent="0.35">
      <c r="A17" s="102">
        <f>IF(8&lt;=DAY(DATE(2026,$Z$4+1,1)-1),DATE(2026,$Z$4,8),"")</f>
        <v>46273</v>
      </c>
      <c r="B17" s="19">
        <f t="shared" si="0"/>
        <v>8</v>
      </c>
      <c r="C17" s="19">
        <f>IF($A17="","",COUNTIFS(DATOS_CONEX!$F$7:$F$4000,"&lt;="&amp;$A17,DATOS_CONEX!$G$7:$G$4000,"&gt;"&amp;$A17,DATOS_CONEX!$I$7:$I$4000,"Sí"))</f>
        <v>43</v>
      </c>
      <c r="D17" s="19">
        <f>IF($A17="","",MAX(C17,_xlfn.MAXIFS(DATOS_CONEX!$L$7:$L$4000,DATOS_CONEX!$F$7:$F$4000,"&gt;="&amp;$A17,DATOS_CONEX!$F$7:$F$4000,"&lt;"&amp;($A17+1))))</f>
        <v>51</v>
      </c>
      <c r="E17" s="19">
        <f>IF($A17="","",COUNTIFS(DATOS_CONEX!$F$7:$F$4000,"&gt;"&amp;$A17,DATOS_CONEX!$F$7:$F$4000,"&lt;"&amp;($A17+1),DATOS_CONEX!$I$7:$I$4000,"Sí"))</f>
        <v>11</v>
      </c>
      <c r="F17" s="19">
        <f>IF($A17="","",COUNTIFS(DATOS_CONEX!$G$7:$G$4000,"&gt;="&amp;$A17,DATOS_CONEX!$G$7:$G$4000,"&lt;"&amp;($A17+1),DATOS_CONEX!$I$7:$I$4000,"Sí"))</f>
        <v>3</v>
      </c>
      <c r="G17" s="19">
        <f>IF($A17="","",COUNTIFS(DATOS_CONEX!$R$7:$R$4000,"&lt;="&amp;$A17,DATOS_CONEX!$S$7:$S$4000,"&gt;="&amp;$A17))</f>
        <v>2</v>
      </c>
      <c r="H17" s="19">
        <f>IF($A17="","",COUNTIFS(DATOS_CONEX!$F$7:$F$4000,"&lt;"&amp;($A17+1),DATOS_CONEX!$G$7:$G$4000,"&gt;"&amp;$A17,DATOS_CONEX!$I$7:$I$4000,"Sí"))</f>
        <v>54</v>
      </c>
      <c r="I17" s="21">
        <f>IF($A17="","",SUMPRODUCT((DATOS_CONEX!$I$7:$I$4000="Sí")*(((DATOS_CONEX!$G$7:$G$4000+($A17+1)-ABS(DATOS_CONEX!$G$7:$G$4000-($A17+1)))/2-(DATOS_CONEX!$F$7:$F$4000+$A17+ABS(DATOS_CONEX!$F$7:$F$4000-$A17))/2)+ABS(((DATOS_CONEX!$G$7:$G$4000+($A17+1)-ABS(DATOS_CONEX!$G$7:$G$4000-($A17+1)))/2-(DATOS_CONEX!$F$7:$F$4000+$A17+ABS(DATOS_CONEX!$F$7:$F$4000-$A17))/2)))/2))</f>
        <v>45.02777777776646</v>
      </c>
      <c r="Y17" s="104">
        <f t="shared" si="1"/>
        <v>-3</v>
      </c>
    </row>
    <row r="18" spans="1:25" ht="19.5" customHeight="1" x14ac:dyDescent="0.35">
      <c r="A18" s="102">
        <f>IF(9&lt;=DAY(DATE(2026,$Z$4+1,1)-1),DATE(2026,$Z$4,9),"")</f>
        <v>46274</v>
      </c>
      <c r="B18" s="19">
        <f t="shared" si="0"/>
        <v>9</v>
      </c>
      <c r="C18" s="19">
        <f>IF($A18="","",COUNTIFS(DATOS_CONEX!$F$7:$F$4000,"&lt;="&amp;$A18,DATOS_CONEX!$G$7:$G$4000,"&gt;"&amp;$A18,DATOS_CONEX!$I$7:$I$4000,"Sí"))</f>
        <v>51</v>
      </c>
      <c r="D18" s="19">
        <f>IF($A18="","",MAX(C18,_xlfn.MAXIFS(DATOS_CONEX!$L$7:$L$4000,DATOS_CONEX!$F$7:$F$4000,"&gt;="&amp;$A18,DATOS_CONEX!$F$7:$F$4000,"&lt;"&amp;($A18+1))))</f>
        <v>51</v>
      </c>
      <c r="E18" s="19">
        <f>IF($A18="","",COUNTIFS(DATOS_CONEX!$F$7:$F$4000,"&gt;"&amp;$A18,DATOS_CONEX!$F$7:$F$4000,"&lt;"&amp;($A18+1),DATOS_CONEX!$I$7:$I$4000,"Sí"))</f>
        <v>3</v>
      </c>
      <c r="F18" s="19">
        <f>IF($A18="","",COUNTIFS(DATOS_CONEX!$G$7:$G$4000,"&gt;="&amp;$A18,DATOS_CONEX!$G$7:$G$4000,"&lt;"&amp;($A18+1),DATOS_CONEX!$I$7:$I$4000,"Sí"))</f>
        <v>14</v>
      </c>
      <c r="G18" s="19">
        <f>IF($A18="","",COUNTIFS(DATOS_CONEX!$R$7:$R$4000,"&lt;="&amp;$A18,DATOS_CONEX!$S$7:$S$4000,"&gt;="&amp;$A18))</f>
        <v>2</v>
      </c>
      <c r="H18" s="19">
        <f>IF($A18="","",COUNTIFS(DATOS_CONEX!$F$7:$F$4000,"&lt;"&amp;($A18+1),DATOS_CONEX!$G$7:$G$4000,"&gt;"&amp;$A18,DATOS_CONEX!$I$7:$I$4000,"Sí"))</f>
        <v>54</v>
      </c>
      <c r="I18" s="21">
        <f>IF($A18="","",SUMPRODUCT((DATOS_CONEX!$I$7:$I$4000="Sí")*(((DATOS_CONEX!$G$7:$G$4000+($A18+1)-ABS(DATOS_CONEX!$G$7:$G$4000-($A18+1)))/2-(DATOS_CONEX!$F$7:$F$4000+$A18+ABS(DATOS_CONEX!$F$7:$F$4000-$A18))/2)+ABS(((DATOS_CONEX!$G$7:$G$4000+($A18+1)-ABS(DATOS_CONEX!$G$7:$G$4000-($A18+1)))/2-(DATOS_CONEX!$F$7:$F$4000+$A18+ABS(DATOS_CONEX!$F$7:$F$4000-$A18))/2)))/2))</f>
        <v>46.298611111109494</v>
      </c>
      <c r="Y18" s="104">
        <f t="shared" si="1"/>
        <v>-14</v>
      </c>
    </row>
    <row r="19" spans="1:25" ht="19.5" customHeight="1" x14ac:dyDescent="0.35">
      <c r="A19" s="102">
        <f>IF(10&lt;=DAY(DATE(2026,$Z$4+1,1)-1),DATE(2026,$Z$4,10),"")</f>
        <v>46275</v>
      </c>
      <c r="B19" s="19">
        <f t="shared" si="0"/>
        <v>10</v>
      </c>
      <c r="C19" s="19">
        <f>IF($A19="","",COUNTIFS(DATOS_CONEX!$F$7:$F$4000,"&lt;="&amp;$A19,DATOS_CONEX!$G$7:$G$4000,"&gt;"&amp;$A19,DATOS_CONEX!$I$7:$I$4000,"Sí"))</f>
        <v>41</v>
      </c>
      <c r="D19" s="19">
        <f>IF($A19="","",MAX(C19,_xlfn.MAXIFS(DATOS_CONEX!$L$7:$L$4000,DATOS_CONEX!$F$7:$F$4000,"&gt;="&amp;$A19,DATOS_CONEX!$F$7:$F$4000,"&lt;"&amp;($A19+1))))</f>
        <v>235</v>
      </c>
      <c r="E19" s="19">
        <f>IF($A19="","",COUNTIFS(DATOS_CONEX!$F$7:$F$4000,"&gt;"&amp;$A19,DATOS_CONEX!$F$7:$F$4000,"&lt;"&amp;($A19+1),DATOS_CONEX!$I$7:$I$4000,"Sí"))</f>
        <v>197</v>
      </c>
      <c r="F19" s="19">
        <f>IF($A19="","",COUNTIFS(DATOS_CONEX!$G$7:$G$4000,"&gt;="&amp;$A19,DATOS_CONEX!$G$7:$G$4000,"&lt;"&amp;($A19+1),DATOS_CONEX!$I$7:$I$4000,"Sí"))</f>
        <v>6</v>
      </c>
      <c r="G19" s="19">
        <f>IF($A19="","",COUNTIFS(DATOS_CONEX!$R$7:$R$4000,"&lt;="&amp;$A19,DATOS_CONEX!$S$7:$S$4000,"&gt;="&amp;$A19))</f>
        <v>5</v>
      </c>
      <c r="H19" s="19">
        <f>IF($A19="","",COUNTIFS(DATOS_CONEX!$F$7:$F$4000,"&lt;"&amp;($A19+1),DATOS_CONEX!$G$7:$G$4000,"&gt;"&amp;$A19,DATOS_CONEX!$I$7:$I$4000,"Sí"))</f>
        <v>238</v>
      </c>
      <c r="I19" s="21">
        <f>IF($A19="","",SUMPRODUCT((DATOS_CONEX!$I$7:$I$4000="Sí")*(((DATOS_CONEX!$G$7:$G$4000+($A19+1)-ABS(DATOS_CONEX!$G$7:$G$4000-($A19+1)))/2-(DATOS_CONEX!$F$7:$F$4000+$A19+ABS(DATOS_CONEX!$F$7:$F$4000-$A19))/2)+ABS(((DATOS_CONEX!$G$7:$G$4000+($A19+1)-ABS(DATOS_CONEX!$G$7:$G$4000-($A19+1)))/2-(DATOS_CONEX!$F$7:$F$4000+$A19+ABS(DATOS_CONEX!$F$7:$F$4000-$A19))/2)))/2))</f>
        <v>180.96250000003783</v>
      </c>
      <c r="Y19" s="104">
        <f t="shared" si="1"/>
        <v>-6</v>
      </c>
    </row>
    <row r="20" spans="1:25" ht="19.5" customHeight="1" x14ac:dyDescent="0.35">
      <c r="A20" s="102">
        <f>IF(11&lt;=DAY(DATE(2026,$Z$4+1,1)-1),DATE(2026,$Z$4,11),"")</f>
        <v>46276</v>
      </c>
      <c r="B20" s="19">
        <f t="shared" si="0"/>
        <v>11</v>
      </c>
      <c r="C20" s="19">
        <f>IF($A20="","",COUNTIFS(DATOS_CONEX!$F$7:$F$4000,"&lt;="&amp;$A20,DATOS_CONEX!$G$7:$G$4000,"&gt;"&amp;$A20,DATOS_CONEX!$I$7:$I$4000,"Sí"))</f>
        <v>232</v>
      </c>
      <c r="D20" s="19">
        <f>IF($A20="","",MAX(C20,_xlfn.MAXIFS(DATOS_CONEX!$L$7:$L$4000,DATOS_CONEX!$F$7:$F$4000,"&gt;="&amp;$A20,DATOS_CONEX!$F$7:$F$4000,"&lt;"&amp;($A20+1))))</f>
        <v>240</v>
      </c>
      <c r="E20" s="19">
        <f>IF($A20="","",COUNTIFS(DATOS_CONEX!$F$7:$F$4000,"&gt;"&amp;$A20,DATOS_CONEX!$F$7:$F$4000,"&lt;"&amp;($A20+1),DATOS_CONEX!$I$7:$I$4000,"Sí"))</f>
        <v>10</v>
      </c>
      <c r="F20" s="19">
        <f>IF($A20="","",COUNTIFS(DATOS_CONEX!$G$7:$G$4000,"&gt;="&amp;$A20,DATOS_CONEX!$G$7:$G$4000,"&lt;"&amp;($A20+1),DATOS_CONEX!$I$7:$I$4000,"Sí"))</f>
        <v>2</v>
      </c>
      <c r="G20" s="19">
        <f>IF($A20="","",COUNTIFS(DATOS_CONEX!$R$7:$R$4000,"&lt;="&amp;$A20,DATOS_CONEX!$S$7:$S$4000,"&gt;="&amp;$A20))</f>
        <v>5</v>
      </c>
      <c r="H20" s="19">
        <f>IF($A20="","",COUNTIFS(DATOS_CONEX!$F$7:$F$4000,"&lt;"&amp;($A20+1),DATOS_CONEX!$G$7:$G$4000,"&gt;"&amp;$A20,DATOS_CONEX!$I$7:$I$4000,"Sí"))</f>
        <v>242</v>
      </c>
      <c r="I20" s="21">
        <f>IF($A20="","",SUMPRODUCT((DATOS_CONEX!$I$7:$I$4000="Sí")*(((DATOS_CONEX!$G$7:$G$4000+($A20+1)-ABS(DATOS_CONEX!$G$7:$G$4000-($A20+1)))/2-(DATOS_CONEX!$F$7:$F$4000+$A20+ABS(DATOS_CONEX!$F$7:$F$4000-$A20))/2)+ABS(((DATOS_CONEX!$G$7:$G$4000+($A20+1)-ABS(DATOS_CONEX!$G$7:$G$4000-($A20+1)))/2-(DATOS_CONEX!$F$7:$F$4000+$A20+ABS(DATOS_CONEX!$F$7:$F$4000-$A20))/2)))/2))</f>
        <v>234.37291666660167</v>
      </c>
      <c r="Y20" s="104">
        <f t="shared" si="1"/>
        <v>-2</v>
      </c>
    </row>
    <row r="21" spans="1:25" ht="19.5" customHeight="1" x14ac:dyDescent="0.35">
      <c r="A21" s="102">
        <f>IF(12&lt;=DAY(DATE(2026,$Z$4+1,1)-1),DATE(2026,$Z$4,12),"")</f>
        <v>46277</v>
      </c>
      <c r="B21" s="19">
        <f t="shared" si="0"/>
        <v>12</v>
      </c>
      <c r="C21" s="19">
        <f>IF($A21="","",COUNTIFS(DATOS_CONEX!$F$7:$F$4000,"&lt;="&amp;$A21,DATOS_CONEX!$G$7:$G$4000,"&gt;"&amp;$A21,DATOS_CONEX!$I$7:$I$4000,"Sí"))</f>
        <v>240</v>
      </c>
      <c r="D21" s="19">
        <f>IF($A21="","",MAX(C21,_xlfn.MAXIFS(DATOS_CONEX!$L$7:$L$4000,DATOS_CONEX!$F$7:$F$4000,"&gt;="&amp;$A21,DATOS_CONEX!$F$7:$F$4000,"&lt;"&amp;($A21+1))))</f>
        <v>240</v>
      </c>
      <c r="E21" s="19">
        <f>IF($A21="","",COUNTIFS(DATOS_CONEX!$F$7:$F$4000,"&gt;"&amp;$A21,DATOS_CONEX!$F$7:$F$4000,"&lt;"&amp;($A21+1),DATOS_CONEX!$I$7:$I$4000,"Sí"))</f>
        <v>4</v>
      </c>
      <c r="F21" s="19">
        <f>IF($A21="","",COUNTIFS(DATOS_CONEX!$G$7:$G$4000,"&gt;="&amp;$A21,DATOS_CONEX!$G$7:$G$4000,"&lt;"&amp;($A21+1),DATOS_CONEX!$I$7:$I$4000,"Sí"))</f>
        <v>160</v>
      </c>
      <c r="G21" s="19">
        <f>IF($A21="","",COUNTIFS(DATOS_CONEX!$R$7:$R$4000,"&lt;="&amp;$A21,DATOS_CONEX!$S$7:$S$4000,"&gt;="&amp;$A21))</f>
        <v>5</v>
      </c>
      <c r="H21" s="19">
        <f>IF($A21="","",COUNTIFS(DATOS_CONEX!$F$7:$F$4000,"&lt;"&amp;($A21+1),DATOS_CONEX!$G$7:$G$4000,"&gt;"&amp;$A21,DATOS_CONEX!$I$7:$I$4000,"Sí"))</f>
        <v>244</v>
      </c>
      <c r="I21" s="21">
        <f>IF($A21="","",SUMPRODUCT((DATOS_CONEX!$I$7:$I$4000="Sí")*(((DATOS_CONEX!$G$7:$G$4000+($A21+1)-ABS(DATOS_CONEX!$G$7:$G$4000-($A21+1)))/2-(DATOS_CONEX!$F$7:$F$4000+$A21+ABS(DATOS_CONEX!$F$7:$F$4000-$A21))/2)+ABS(((DATOS_CONEX!$G$7:$G$4000+($A21+1)-ABS(DATOS_CONEX!$G$7:$G$4000-($A21+1)))/2-(DATOS_CONEX!$F$7:$F$4000+$A21+ABS(DATOS_CONEX!$F$7:$F$4000-$A21))/2)))/2))</f>
        <v>196.02638888861111</v>
      </c>
      <c r="Y21" s="104">
        <f t="shared" si="1"/>
        <v>-160</v>
      </c>
    </row>
    <row r="22" spans="1:25" ht="19.5" customHeight="1" x14ac:dyDescent="0.35">
      <c r="A22" s="102">
        <f>IF(13&lt;=DAY(DATE(2026,$Z$4+1,1)-1),DATE(2026,$Z$4,13),"")</f>
        <v>46278</v>
      </c>
      <c r="B22" s="19">
        <f t="shared" si="0"/>
        <v>13</v>
      </c>
      <c r="C22" s="19">
        <f>IF($A22="","",COUNTIFS(DATOS_CONEX!$F$7:$F$4000,"&lt;="&amp;$A22,DATOS_CONEX!$G$7:$G$4000,"&gt;"&amp;$A22,DATOS_CONEX!$I$7:$I$4000,"Sí"))</f>
        <v>84</v>
      </c>
      <c r="D22" s="19">
        <f>IF($A22="","",MAX(C22,_xlfn.MAXIFS(DATOS_CONEX!$L$7:$L$4000,DATOS_CONEX!$F$7:$F$4000,"&gt;="&amp;$A22,DATOS_CONEX!$F$7:$F$4000,"&lt;"&amp;($A22+1))))</f>
        <v>84</v>
      </c>
      <c r="E22" s="19">
        <f>IF($A22="","",COUNTIFS(DATOS_CONEX!$F$7:$F$4000,"&gt;"&amp;$A22,DATOS_CONEX!$F$7:$F$4000,"&lt;"&amp;($A22+1),DATOS_CONEX!$I$7:$I$4000,"Sí"))</f>
        <v>0</v>
      </c>
      <c r="F22" s="19">
        <f>IF($A22="","",COUNTIFS(DATOS_CONEX!$G$7:$G$4000,"&gt;="&amp;$A22,DATOS_CONEX!$G$7:$G$4000,"&lt;"&amp;($A22+1),DATOS_CONEX!$I$7:$I$4000,"Sí"))</f>
        <v>51</v>
      </c>
      <c r="G22" s="19">
        <f>IF($A22="","",COUNTIFS(DATOS_CONEX!$R$7:$R$4000,"&lt;="&amp;$A22,DATOS_CONEX!$S$7:$S$4000,"&gt;="&amp;$A22))</f>
        <v>2</v>
      </c>
      <c r="H22" s="19">
        <f>IF($A22="","",COUNTIFS(DATOS_CONEX!$F$7:$F$4000,"&lt;"&amp;($A22+1),DATOS_CONEX!$G$7:$G$4000,"&gt;"&amp;$A22,DATOS_CONEX!$I$7:$I$4000,"Sí"))</f>
        <v>84</v>
      </c>
      <c r="I22" s="21">
        <f>IF($A22="","",SUMPRODUCT((DATOS_CONEX!$I$7:$I$4000="Sí")*(((DATOS_CONEX!$G$7:$G$4000+($A22+1)-ABS(DATOS_CONEX!$G$7:$G$4000-($A22+1)))/2-(DATOS_CONEX!$F$7:$F$4000+$A22+ABS(DATOS_CONEX!$F$7:$F$4000-$A22))/2)+ABS(((DATOS_CONEX!$G$7:$G$4000+($A22+1)-ABS(DATOS_CONEX!$G$7:$G$4000-($A22+1)))/2-(DATOS_CONEX!$F$7:$F$4000+$A22+ABS(DATOS_CONEX!$F$7:$F$4000-$A22))/2)))/2))</f>
        <v>37.07430555539031</v>
      </c>
      <c r="Y22" s="104">
        <f t="shared" si="1"/>
        <v>-51</v>
      </c>
    </row>
    <row r="23" spans="1:25" ht="19.5" customHeight="1" x14ac:dyDescent="0.35">
      <c r="A23" s="102">
        <f>IF(14&lt;=DAY(DATE(2026,$Z$4+1,1)-1),DATE(2026,$Z$4,14),"")</f>
        <v>46279</v>
      </c>
      <c r="B23" s="19">
        <f t="shared" si="0"/>
        <v>14</v>
      </c>
      <c r="C23" s="19">
        <f>IF($A23="","",COUNTIFS(DATOS_CONEX!$F$7:$F$4000,"&lt;="&amp;$A23,DATOS_CONEX!$G$7:$G$4000,"&gt;"&amp;$A23,DATOS_CONEX!$I$7:$I$4000,"Sí"))</f>
        <v>33</v>
      </c>
      <c r="D23" s="19">
        <f>IF($A23="","",MAX(C23,_xlfn.MAXIFS(DATOS_CONEX!$L$7:$L$4000,DATOS_CONEX!$F$7:$F$4000,"&gt;="&amp;$A23,DATOS_CONEX!$F$7:$F$4000,"&lt;"&amp;($A23+1))))</f>
        <v>38</v>
      </c>
      <c r="E23" s="19">
        <f>IF($A23="","",COUNTIFS(DATOS_CONEX!$F$7:$F$4000,"&gt;"&amp;$A23,DATOS_CONEX!$F$7:$F$4000,"&lt;"&amp;($A23+1),DATOS_CONEX!$I$7:$I$4000,"Sí"))</f>
        <v>5</v>
      </c>
      <c r="F23" s="19">
        <f>IF($A23="","",COUNTIFS(DATOS_CONEX!$G$7:$G$4000,"&gt;="&amp;$A23,DATOS_CONEX!$G$7:$G$4000,"&lt;"&amp;($A23+1),DATOS_CONEX!$I$7:$I$4000,"Sí"))</f>
        <v>0</v>
      </c>
      <c r="G23" s="19">
        <f>IF($A23="","",COUNTIFS(DATOS_CONEX!$R$7:$R$4000,"&lt;="&amp;$A23,DATOS_CONEX!$S$7:$S$4000,"&gt;="&amp;$A23))</f>
        <v>1</v>
      </c>
      <c r="H23" s="19">
        <f>IF($A23="","",COUNTIFS(DATOS_CONEX!$F$7:$F$4000,"&lt;"&amp;($A23+1),DATOS_CONEX!$G$7:$G$4000,"&gt;"&amp;$A23,DATOS_CONEX!$I$7:$I$4000,"Sí"))</f>
        <v>38</v>
      </c>
      <c r="I23" s="21">
        <f>IF($A23="","",SUMPRODUCT((DATOS_CONEX!$I$7:$I$4000="Sí")*(((DATOS_CONEX!$G$7:$G$4000+($A23+1)-ABS(DATOS_CONEX!$G$7:$G$4000-($A23+1)))/2-(DATOS_CONEX!$F$7:$F$4000+$A23+ABS(DATOS_CONEX!$F$7:$F$4000-$A23))/2)+ABS(((DATOS_CONEX!$G$7:$G$4000+($A23+1)-ABS(DATOS_CONEX!$G$7:$G$4000-($A23+1)))/2-(DATOS_CONEX!$F$7:$F$4000+$A23+ABS(DATOS_CONEX!$F$7:$F$4000-$A23))/2)))/2))</f>
        <v>34.97013888892252</v>
      </c>
      <c r="Y23" s="104">
        <f t="shared" si="1"/>
        <v>0</v>
      </c>
    </row>
    <row r="24" spans="1:25" ht="19.5" customHeight="1" x14ac:dyDescent="0.35">
      <c r="A24" s="102">
        <f>IF(15&lt;=DAY(DATE(2026,$Z$4+1,1)-1),DATE(2026,$Z$4,15),"")</f>
        <v>46280</v>
      </c>
      <c r="B24" s="19">
        <f t="shared" si="0"/>
        <v>15</v>
      </c>
      <c r="C24" s="19">
        <f>IF($A24="","",COUNTIFS(DATOS_CONEX!$F$7:$F$4000,"&lt;="&amp;$A24,DATOS_CONEX!$G$7:$G$4000,"&gt;"&amp;$A24,DATOS_CONEX!$I$7:$I$4000,"Sí"))</f>
        <v>38</v>
      </c>
      <c r="D24" s="19">
        <f>IF($A24="","",MAX(C24,_xlfn.MAXIFS(DATOS_CONEX!$L$7:$L$4000,DATOS_CONEX!$F$7:$F$4000,"&gt;="&amp;$A24,DATOS_CONEX!$F$7:$F$4000,"&lt;"&amp;($A24+1))))</f>
        <v>44</v>
      </c>
      <c r="E24" s="19">
        <f>IF($A24="","",COUNTIFS(DATOS_CONEX!$F$7:$F$4000,"&gt;"&amp;$A24,DATOS_CONEX!$F$7:$F$4000,"&lt;"&amp;($A24+1),DATOS_CONEX!$I$7:$I$4000,"Sí"))</f>
        <v>7</v>
      </c>
      <c r="F24" s="19">
        <f>IF($A24="","",COUNTIFS(DATOS_CONEX!$G$7:$G$4000,"&gt;="&amp;$A24,DATOS_CONEX!$G$7:$G$4000,"&lt;"&amp;($A24+1),DATOS_CONEX!$I$7:$I$4000,"Sí"))</f>
        <v>1</v>
      </c>
      <c r="G24" s="19">
        <f>IF($A24="","",COUNTIFS(DATOS_CONEX!$R$7:$R$4000,"&lt;="&amp;$A24,DATOS_CONEX!$S$7:$S$4000,"&gt;="&amp;$A24))</f>
        <v>1</v>
      </c>
      <c r="H24" s="19">
        <f>IF($A24="","",COUNTIFS(DATOS_CONEX!$F$7:$F$4000,"&lt;"&amp;($A24+1),DATOS_CONEX!$G$7:$G$4000,"&gt;"&amp;$A24,DATOS_CONEX!$I$7:$I$4000,"Sí"))</f>
        <v>45</v>
      </c>
      <c r="I24" s="21">
        <f>IF($A24="","",SUMPRODUCT((DATOS_CONEX!$I$7:$I$4000="Sí")*(((DATOS_CONEX!$G$7:$G$4000+($A24+1)-ABS(DATOS_CONEX!$G$7:$G$4000-($A24+1)))/2-(DATOS_CONEX!$F$7:$F$4000+$A24+ABS(DATOS_CONEX!$F$7:$F$4000-$A24))/2)+ABS(((DATOS_CONEX!$G$7:$G$4000+($A24+1)-ABS(DATOS_CONEX!$G$7:$G$4000-($A24+1)))/2-(DATOS_CONEX!$F$7:$F$4000+$A24+ABS(DATOS_CONEX!$F$7:$F$4000-$A24))/2)))/2))</f>
        <v>40.813888888864312</v>
      </c>
      <c r="Y24" s="104">
        <f t="shared" si="1"/>
        <v>-1</v>
      </c>
    </row>
    <row r="25" spans="1:25" ht="19.5" customHeight="1" x14ac:dyDescent="0.35">
      <c r="A25" s="102">
        <f>IF(16&lt;=DAY(DATE(2026,$Z$4+1,1)-1),DATE(2026,$Z$4,16),"")</f>
        <v>46281</v>
      </c>
      <c r="B25" s="19">
        <f t="shared" si="0"/>
        <v>16</v>
      </c>
      <c r="C25" s="19">
        <f>IF($A25="","",COUNTIFS(DATOS_CONEX!$F$7:$F$4000,"&lt;="&amp;$A25,DATOS_CONEX!$G$7:$G$4000,"&gt;"&amp;$A25,DATOS_CONEX!$I$7:$I$4000,"Sí"))</f>
        <v>44</v>
      </c>
      <c r="D25" s="19">
        <f>IF($A25="","",MAX(C25,_xlfn.MAXIFS(DATOS_CONEX!$L$7:$L$4000,DATOS_CONEX!$F$7:$F$4000,"&gt;="&amp;$A25,DATOS_CONEX!$F$7:$F$4000,"&lt;"&amp;($A25+1))))</f>
        <v>45</v>
      </c>
      <c r="E25" s="19">
        <f>IF($A25="","",COUNTIFS(DATOS_CONEX!$F$7:$F$4000,"&gt;"&amp;$A25,DATOS_CONEX!$F$7:$F$4000,"&lt;"&amp;($A25+1),DATOS_CONEX!$I$7:$I$4000,"Sí"))</f>
        <v>1</v>
      </c>
      <c r="F25" s="19">
        <f>IF($A25="","",COUNTIFS(DATOS_CONEX!$G$7:$G$4000,"&gt;="&amp;$A25,DATOS_CONEX!$G$7:$G$4000,"&lt;"&amp;($A25+1),DATOS_CONEX!$I$7:$I$4000,"Sí"))</f>
        <v>0</v>
      </c>
      <c r="G25" s="19">
        <f>IF($A25="","",COUNTIFS(DATOS_CONEX!$R$7:$R$4000,"&lt;="&amp;$A25,DATOS_CONEX!$S$7:$S$4000,"&gt;="&amp;$A25))</f>
        <v>1</v>
      </c>
      <c r="H25" s="19">
        <f>IF($A25="","",COUNTIFS(DATOS_CONEX!$F$7:$F$4000,"&lt;"&amp;($A25+1),DATOS_CONEX!$G$7:$G$4000,"&gt;"&amp;$A25,DATOS_CONEX!$I$7:$I$4000,"Sí"))</f>
        <v>45</v>
      </c>
      <c r="I25" s="21">
        <f>IF($A25="","",SUMPRODUCT((DATOS_CONEX!$I$7:$I$4000="Sí")*(((DATOS_CONEX!$G$7:$G$4000+($A25+1)-ABS(DATOS_CONEX!$G$7:$G$4000-($A25+1)))/2-(DATOS_CONEX!$F$7:$F$4000+$A25+ABS(DATOS_CONEX!$F$7:$F$4000-$A25))/2)+ABS(((DATOS_CONEX!$G$7:$G$4000+($A25+1)-ABS(DATOS_CONEX!$G$7:$G$4000-($A25+1)))/2-(DATOS_CONEX!$F$7:$F$4000+$A25+ABS(DATOS_CONEX!$F$7:$F$4000-$A25))/2)))/2))</f>
        <v>44.370833333334303</v>
      </c>
      <c r="Y25" s="104">
        <f t="shared" si="1"/>
        <v>0</v>
      </c>
    </row>
    <row r="26" spans="1:25" ht="19.5" customHeight="1" x14ac:dyDescent="0.35">
      <c r="A26" s="102">
        <f>IF(17&lt;=DAY(DATE(2026,$Z$4+1,1)-1),DATE(2026,$Z$4,17),"")</f>
        <v>46282</v>
      </c>
      <c r="B26" s="19">
        <f t="shared" si="0"/>
        <v>17</v>
      </c>
      <c r="C26" s="19">
        <f>IF($A26="","",COUNTIFS(DATOS_CONEX!$F$7:$F$4000,"&lt;="&amp;$A26,DATOS_CONEX!$G$7:$G$4000,"&gt;"&amp;$A26,DATOS_CONEX!$I$7:$I$4000,"Sí"))</f>
        <v>45</v>
      </c>
      <c r="D26" s="19">
        <f>IF($A26="","",MAX(C26,_xlfn.MAXIFS(DATOS_CONEX!$L$7:$L$4000,DATOS_CONEX!$F$7:$F$4000,"&gt;="&amp;$A26,DATOS_CONEX!$F$7:$F$4000,"&lt;"&amp;($A26+1))))</f>
        <v>209</v>
      </c>
      <c r="E26" s="19">
        <f>IF($A26="","",COUNTIFS(DATOS_CONEX!$F$7:$F$4000,"&gt;"&amp;$A26,DATOS_CONEX!$F$7:$F$4000,"&lt;"&amp;($A26+1),DATOS_CONEX!$I$7:$I$4000,"Sí"))</f>
        <v>165</v>
      </c>
      <c r="F26" s="19">
        <f>IF($A26="","",COUNTIFS(DATOS_CONEX!$G$7:$G$4000,"&gt;="&amp;$A26,DATOS_CONEX!$G$7:$G$4000,"&lt;"&amp;($A26+1),DATOS_CONEX!$I$7:$I$4000,"Sí"))</f>
        <v>19</v>
      </c>
      <c r="G26" s="19">
        <f>IF($A26="","",COUNTIFS(DATOS_CONEX!$R$7:$R$4000,"&lt;="&amp;$A26,DATOS_CONEX!$S$7:$S$4000,"&gt;="&amp;$A26))</f>
        <v>4</v>
      </c>
      <c r="H26" s="19">
        <f>IF($A26="","",COUNTIFS(DATOS_CONEX!$F$7:$F$4000,"&lt;"&amp;($A26+1),DATOS_CONEX!$G$7:$G$4000,"&gt;"&amp;$A26,DATOS_CONEX!$I$7:$I$4000,"Sí"))</f>
        <v>210</v>
      </c>
      <c r="I26" s="21">
        <f>IF($A26="","",SUMPRODUCT((DATOS_CONEX!$I$7:$I$4000="Sí")*(((DATOS_CONEX!$G$7:$G$4000+($A26+1)-ABS(DATOS_CONEX!$G$7:$G$4000-($A26+1)))/2-(DATOS_CONEX!$F$7:$F$4000+$A26+ABS(DATOS_CONEX!$F$7:$F$4000-$A26))/2)+ABS(((DATOS_CONEX!$G$7:$G$4000+($A26+1)-ABS(DATOS_CONEX!$G$7:$G$4000-($A26+1)))/2-(DATOS_CONEX!$F$7:$F$4000+$A26+ABS(DATOS_CONEX!$F$7:$F$4000-$A26))/2)))/2))</f>
        <v>168.00277777787414</v>
      </c>
      <c r="Y26" s="104">
        <f t="shared" si="1"/>
        <v>-19</v>
      </c>
    </row>
    <row r="27" spans="1:25" ht="19.5" customHeight="1" x14ac:dyDescent="0.35">
      <c r="A27" s="102">
        <f>IF(18&lt;=DAY(DATE(2026,$Z$4+1,1)-1),DATE(2026,$Z$4,18),"")</f>
        <v>46283</v>
      </c>
      <c r="B27" s="19">
        <f t="shared" si="0"/>
        <v>18</v>
      </c>
      <c r="C27" s="19">
        <f>IF($A27="","",COUNTIFS(DATOS_CONEX!$F$7:$F$4000,"&lt;="&amp;$A27,DATOS_CONEX!$G$7:$G$4000,"&gt;"&amp;$A27,DATOS_CONEX!$I$7:$I$4000,"Sí"))</f>
        <v>191</v>
      </c>
      <c r="D27" s="19">
        <f>IF($A27="","",MAX(C27,_xlfn.MAXIFS(DATOS_CONEX!$L$7:$L$4000,DATOS_CONEX!$F$7:$F$4000,"&gt;="&amp;$A27,DATOS_CONEX!$F$7:$F$4000,"&lt;"&amp;($A27+1))))</f>
        <v>191</v>
      </c>
      <c r="E27" s="19">
        <f>IF($A27="","",COUNTIFS(DATOS_CONEX!$F$7:$F$4000,"&gt;"&amp;$A27,DATOS_CONEX!$F$7:$F$4000,"&lt;"&amp;($A27+1),DATOS_CONEX!$I$7:$I$4000,"Sí"))</f>
        <v>0</v>
      </c>
      <c r="F27" s="19">
        <f>IF($A27="","",COUNTIFS(DATOS_CONEX!$G$7:$G$4000,"&gt;="&amp;$A27,DATOS_CONEX!$G$7:$G$4000,"&lt;"&amp;($A27+1),DATOS_CONEX!$I$7:$I$4000,"Sí"))</f>
        <v>60</v>
      </c>
      <c r="G27" s="19">
        <f>IF($A27="","",COUNTIFS(DATOS_CONEX!$R$7:$R$4000,"&lt;="&amp;$A27,DATOS_CONEX!$S$7:$S$4000,"&gt;="&amp;$A27))</f>
        <v>4</v>
      </c>
      <c r="H27" s="19">
        <f>IF($A27="","",COUNTIFS(DATOS_CONEX!$F$7:$F$4000,"&lt;"&amp;($A27+1),DATOS_CONEX!$G$7:$G$4000,"&gt;"&amp;$A27,DATOS_CONEX!$I$7:$I$4000,"Sí"))</f>
        <v>191</v>
      </c>
      <c r="I27" s="21">
        <f>IF($A27="","",SUMPRODUCT((DATOS_CONEX!$I$7:$I$4000="Sí")*(((DATOS_CONEX!$G$7:$G$4000+($A27+1)-ABS(DATOS_CONEX!$G$7:$G$4000-($A27+1)))/2-(DATOS_CONEX!$F$7:$F$4000+$A27+ABS(DATOS_CONEX!$F$7:$F$4000-$A27))/2)+ABS(((DATOS_CONEX!$G$7:$G$4000+($A27+1)-ABS(DATOS_CONEX!$G$7:$G$4000-($A27+1)))/2-(DATOS_CONEX!$F$7:$F$4000+$A27+ABS(DATOS_CONEX!$F$7:$F$4000-$A27))/2)))/2))</f>
        <v>165.57361111098726</v>
      </c>
      <c r="Y27" s="104">
        <f t="shared" si="1"/>
        <v>-60</v>
      </c>
    </row>
    <row r="28" spans="1:25" ht="19.5" customHeight="1" x14ac:dyDescent="0.35">
      <c r="A28" s="102">
        <f>IF(19&lt;=DAY(DATE(2026,$Z$4+1,1)-1),DATE(2026,$Z$4,19),"")</f>
        <v>46284</v>
      </c>
      <c r="B28" s="19">
        <f t="shared" si="0"/>
        <v>19</v>
      </c>
      <c r="C28" s="19">
        <f>IF($A28="","",COUNTIFS(DATOS_CONEX!$F$7:$F$4000,"&lt;="&amp;$A28,DATOS_CONEX!$G$7:$G$4000,"&gt;"&amp;$A28,DATOS_CONEX!$I$7:$I$4000,"Sí"))</f>
        <v>131</v>
      </c>
      <c r="D28" s="19">
        <f>IF($A28="","",MAX(C28,_xlfn.MAXIFS(DATOS_CONEX!$L$7:$L$4000,DATOS_CONEX!$F$7:$F$4000,"&gt;="&amp;$A28,DATOS_CONEX!$F$7:$F$4000,"&lt;"&amp;($A28+1))))</f>
        <v>131</v>
      </c>
      <c r="E28" s="19">
        <f>IF($A28="","",COUNTIFS(DATOS_CONEX!$F$7:$F$4000,"&gt;"&amp;$A28,DATOS_CONEX!$F$7:$F$4000,"&lt;"&amp;($A28+1),DATOS_CONEX!$I$7:$I$4000,"Sí"))</f>
        <v>6</v>
      </c>
      <c r="F28" s="19">
        <f>IF($A28="","",COUNTIFS(DATOS_CONEX!$G$7:$G$4000,"&gt;="&amp;$A28,DATOS_CONEX!$G$7:$G$4000,"&lt;"&amp;($A28+1),DATOS_CONEX!$I$7:$I$4000,"Sí"))</f>
        <v>125</v>
      </c>
      <c r="G28" s="19">
        <f>IF($A28="","",COUNTIFS(DATOS_CONEX!$R$7:$R$4000,"&lt;="&amp;$A28,DATOS_CONEX!$S$7:$S$4000,"&gt;="&amp;$A28))</f>
        <v>3</v>
      </c>
      <c r="H28" s="19">
        <f>IF($A28="","",COUNTIFS(DATOS_CONEX!$F$7:$F$4000,"&lt;"&amp;($A28+1),DATOS_CONEX!$G$7:$G$4000,"&gt;"&amp;$A28,DATOS_CONEX!$I$7:$I$4000,"Sí"))</f>
        <v>137</v>
      </c>
      <c r="I28" s="21">
        <f>IF($A28="","",SUMPRODUCT((DATOS_CONEX!$I$7:$I$4000="Sí")*(((DATOS_CONEX!$G$7:$G$4000+($A28+1)-ABS(DATOS_CONEX!$G$7:$G$4000-($A28+1)))/2-(DATOS_CONEX!$F$7:$F$4000+$A28+ABS(DATOS_CONEX!$F$7:$F$4000-$A28))/2)+ABS(((DATOS_CONEX!$G$7:$G$4000+($A28+1)-ABS(DATOS_CONEX!$G$7:$G$4000-($A28+1)))/2-(DATOS_CONEX!$F$7:$F$4000+$A28+ABS(DATOS_CONEX!$F$7:$F$4000-$A28))/2)))/2))</f>
        <v>49.280555555335013</v>
      </c>
      <c r="Y28" s="104">
        <f t="shared" si="1"/>
        <v>-125</v>
      </c>
    </row>
    <row r="29" spans="1:25" ht="19.5" customHeight="1" x14ac:dyDescent="0.35">
      <c r="A29" s="102">
        <f>IF(20&lt;=DAY(DATE(2026,$Z$4+1,1)-1),DATE(2026,$Z$4,20),"")</f>
        <v>46285</v>
      </c>
      <c r="B29" s="19">
        <f t="shared" si="0"/>
        <v>20</v>
      </c>
      <c r="C29" s="19">
        <f>IF($A29="","",COUNTIFS(DATOS_CONEX!$F$7:$F$4000,"&lt;="&amp;$A29,DATOS_CONEX!$G$7:$G$4000,"&gt;"&amp;$A29,DATOS_CONEX!$I$7:$I$4000,"Sí"))</f>
        <v>12</v>
      </c>
      <c r="D29" s="19">
        <f>IF($A29="","",MAX(C29,_xlfn.MAXIFS(DATOS_CONEX!$L$7:$L$4000,DATOS_CONEX!$F$7:$F$4000,"&gt;="&amp;$A29,DATOS_CONEX!$F$7:$F$4000,"&lt;"&amp;($A29+1))))</f>
        <v>12</v>
      </c>
      <c r="E29" s="19">
        <f>IF($A29="","",COUNTIFS(DATOS_CONEX!$F$7:$F$4000,"&gt;"&amp;$A29,DATOS_CONEX!$F$7:$F$4000,"&lt;"&amp;($A29+1),DATOS_CONEX!$I$7:$I$4000,"Sí"))</f>
        <v>0</v>
      </c>
      <c r="F29" s="19">
        <f>IF($A29="","",COUNTIFS(DATOS_CONEX!$G$7:$G$4000,"&gt;="&amp;$A29,DATOS_CONEX!$G$7:$G$4000,"&lt;"&amp;($A29+1),DATOS_CONEX!$I$7:$I$4000,"Sí"))</f>
        <v>2</v>
      </c>
      <c r="G29" s="19">
        <f>IF($A29="","",COUNTIFS(DATOS_CONEX!$R$7:$R$4000,"&lt;="&amp;$A29,DATOS_CONEX!$S$7:$S$4000,"&gt;="&amp;$A29))</f>
        <v>1</v>
      </c>
      <c r="H29" s="19">
        <f>IF($A29="","",COUNTIFS(DATOS_CONEX!$F$7:$F$4000,"&lt;"&amp;($A29+1),DATOS_CONEX!$G$7:$G$4000,"&gt;"&amp;$A29,DATOS_CONEX!$I$7:$I$4000,"Sí"))</f>
        <v>12</v>
      </c>
      <c r="I29" s="21">
        <f>IF($A29="","",SUMPRODUCT((DATOS_CONEX!$I$7:$I$4000="Sí")*(((DATOS_CONEX!$G$7:$G$4000+($A29+1)-ABS(DATOS_CONEX!$G$7:$G$4000-($A29+1)))/2-(DATOS_CONEX!$F$7:$F$4000+$A29+ABS(DATOS_CONEX!$F$7:$F$4000-$A29))/2)+ABS(((DATOS_CONEX!$G$7:$G$4000+($A29+1)-ABS(DATOS_CONEX!$G$7:$G$4000-($A29+1)))/2-(DATOS_CONEX!$F$7:$F$4000+$A29+ABS(DATOS_CONEX!$F$7:$F$4000-$A29))/2)))/2))</f>
        <v>11.465277777781012</v>
      </c>
      <c r="Y29" s="104">
        <f t="shared" si="1"/>
        <v>-2</v>
      </c>
    </row>
    <row r="30" spans="1:25" ht="19.5" customHeight="1" x14ac:dyDescent="0.35">
      <c r="A30" s="102">
        <f>IF(21&lt;=DAY(DATE(2026,$Z$4+1,1)-1),DATE(2026,$Z$4,21),"")</f>
        <v>46286</v>
      </c>
      <c r="B30" s="19">
        <f t="shared" si="0"/>
        <v>21</v>
      </c>
      <c r="C30" s="19">
        <f>IF($A30="","",COUNTIFS(DATOS_CONEX!$F$7:$F$4000,"&lt;="&amp;$A30,DATOS_CONEX!$G$7:$G$4000,"&gt;"&amp;$A30,DATOS_CONEX!$I$7:$I$4000,"Sí"))</f>
        <v>10</v>
      </c>
      <c r="D30" s="19">
        <f>IF($A30="","",MAX(C30,_xlfn.MAXIFS(DATOS_CONEX!$L$7:$L$4000,DATOS_CONEX!$F$7:$F$4000,"&gt;="&amp;$A30,DATOS_CONEX!$F$7:$F$4000,"&lt;"&amp;($A30+1))))</f>
        <v>29</v>
      </c>
      <c r="E30" s="19">
        <f>IF($A30="","",COUNTIFS(DATOS_CONEX!$F$7:$F$4000,"&gt;"&amp;$A30,DATOS_CONEX!$F$7:$F$4000,"&lt;"&amp;($A30+1),DATOS_CONEX!$I$7:$I$4000,"Sí"))</f>
        <v>19</v>
      </c>
      <c r="F30" s="19">
        <f>IF($A30="","",COUNTIFS(DATOS_CONEX!$G$7:$G$4000,"&gt;="&amp;$A30,DATOS_CONEX!$G$7:$G$4000,"&lt;"&amp;($A30+1),DATOS_CONEX!$I$7:$I$4000,"Sí"))</f>
        <v>0</v>
      </c>
      <c r="G30" s="19">
        <f>IF($A30="","",COUNTIFS(DATOS_CONEX!$R$7:$R$4000,"&lt;="&amp;$A30,DATOS_CONEX!$S$7:$S$4000,"&gt;="&amp;$A30))</f>
        <v>1</v>
      </c>
      <c r="H30" s="19">
        <f>IF($A30="","",COUNTIFS(DATOS_CONEX!$F$7:$F$4000,"&lt;"&amp;($A30+1),DATOS_CONEX!$G$7:$G$4000,"&gt;"&amp;$A30,DATOS_CONEX!$I$7:$I$4000,"Sí"))</f>
        <v>29</v>
      </c>
      <c r="I30" s="21">
        <f>IF($A30="","",SUMPRODUCT((DATOS_CONEX!$I$7:$I$4000="Sí")*(((DATOS_CONEX!$G$7:$G$4000+($A30+1)-ABS(DATOS_CONEX!$G$7:$G$4000-($A30+1)))/2-(DATOS_CONEX!$F$7:$F$4000+$A30+ABS(DATOS_CONEX!$F$7:$F$4000-$A30))/2)+ABS(((DATOS_CONEX!$G$7:$G$4000+($A30+1)-ABS(DATOS_CONEX!$G$7:$G$4000-($A30+1)))/2-(DATOS_CONEX!$F$7:$F$4000+$A30+ABS(DATOS_CONEX!$F$7:$F$4000-$A30))/2)))/2))</f>
        <v>18.086805555562023</v>
      </c>
      <c r="Y30" s="104">
        <f t="shared" si="1"/>
        <v>0</v>
      </c>
    </row>
    <row r="31" spans="1:25" ht="19.5" customHeight="1" x14ac:dyDescent="0.35">
      <c r="A31" s="102">
        <f>IF(22&lt;=DAY(DATE(2026,$Z$4+1,1)-1),DATE(2026,$Z$4,22),"")</f>
        <v>46287</v>
      </c>
      <c r="B31" s="19">
        <f t="shared" si="0"/>
        <v>22</v>
      </c>
      <c r="C31" s="19">
        <f>IF($A31="","",COUNTIFS(DATOS_CONEX!$F$7:$F$4000,"&lt;="&amp;$A31,DATOS_CONEX!$G$7:$G$4000,"&gt;"&amp;$A31,DATOS_CONEX!$I$7:$I$4000,"Sí"))</f>
        <v>29</v>
      </c>
      <c r="D31" s="19">
        <f>IF($A31="","",MAX(C31,_xlfn.MAXIFS(DATOS_CONEX!$L$7:$L$4000,DATOS_CONEX!$F$7:$F$4000,"&gt;="&amp;$A31,DATOS_CONEX!$F$7:$F$4000,"&lt;"&amp;($A31+1))))</f>
        <v>29</v>
      </c>
      <c r="E31" s="19">
        <f>IF($A31="","",COUNTIFS(DATOS_CONEX!$F$7:$F$4000,"&gt;"&amp;$A31,DATOS_CONEX!$F$7:$F$4000,"&lt;"&amp;($A31+1),DATOS_CONEX!$I$7:$I$4000,"Sí"))</f>
        <v>0</v>
      </c>
      <c r="F31" s="19">
        <f>IF($A31="","",COUNTIFS(DATOS_CONEX!$G$7:$G$4000,"&gt;="&amp;$A31,DATOS_CONEX!$G$7:$G$4000,"&lt;"&amp;($A31+1),DATOS_CONEX!$I$7:$I$4000,"Sí"))</f>
        <v>0</v>
      </c>
      <c r="G31" s="19">
        <f>IF($A31="","",COUNTIFS(DATOS_CONEX!$R$7:$R$4000,"&lt;="&amp;$A31,DATOS_CONEX!$S$7:$S$4000,"&gt;="&amp;$A31))</f>
        <v>1</v>
      </c>
      <c r="H31" s="19">
        <f>IF($A31="","",COUNTIFS(DATOS_CONEX!$F$7:$F$4000,"&lt;"&amp;($A31+1),DATOS_CONEX!$G$7:$G$4000,"&gt;"&amp;$A31,DATOS_CONEX!$I$7:$I$4000,"Sí"))</f>
        <v>29</v>
      </c>
      <c r="I31" s="21">
        <f>IF($A31="","",SUMPRODUCT((DATOS_CONEX!$I$7:$I$4000="Sí")*(((DATOS_CONEX!$G$7:$G$4000+($A31+1)-ABS(DATOS_CONEX!$G$7:$G$4000-($A31+1)))/2-(DATOS_CONEX!$F$7:$F$4000+$A31+ABS(DATOS_CONEX!$F$7:$F$4000-$A31))/2)+ABS(((DATOS_CONEX!$G$7:$G$4000+($A31+1)-ABS(DATOS_CONEX!$G$7:$G$4000-($A31+1)))/2-(DATOS_CONEX!$F$7:$F$4000+$A31+ABS(DATOS_CONEX!$F$7:$F$4000-$A31))/2)))/2))</f>
        <v>29</v>
      </c>
      <c r="Y31" s="104">
        <f t="shared" si="1"/>
        <v>0</v>
      </c>
    </row>
    <row r="32" spans="1:25" ht="19.5" customHeight="1" x14ac:dyDescent="0.35">
      <c r="A32" s="102">
        <f>IF(23&lt;=DAY(DATE(2026,$Z$4+1,1)-1),DATE(2026,$Z$4,23),"")</f>
        <v>46288</v>
      </c>
      <c r="B32" s="19">
        <f t="shared" si="0"/>
        <v>23</v>
      </c>
      <c r="C32" s="19">
        <f>IF($A32="","",COUNTIFS(DATOS_CONEX!$F$7:$F$4000,"&lt;="&amp;$A32,DATOS_CONEX!$G$7:$G$4000,"&gt;"&amp;$A32,DATOS_CONEX!$I$7:$I$4000,"Sí"))</f>
        <v>29</v>
      </c>
      <c r="D32" s="19">
        <f>IF($A32="","",MAX(C32,_xlfn.MAXIFS(DATOS_CONEX!$L$7:$L$4000,DATOS_CONEX!$F$7:$F$4000,"&gt;="&amp;$A32,DATOS_CONEX!$F$7:$F$4000,"&lt;"&amp;($A32+1))))</f>
        <v>29</v>
      </c>
      <c r="E32" s="19">
        <f>IF($A32="","",COUNTIFS(DATOS_CONEX!$F$7:$F$4000,"&gt;"&amp;$A32,DATOS_CONEX!$F$7:$F$4000,"&lt;"&amp;($A32+1),DATOS_CONEX!$I$7:$I$4000,"Sí"))</f>
        <v>0</v>
      </c>
      <c r="F32" s="19">
        <f>IF($A32="","",COUNTIFS(DATOS_CONEX!$G$7:$G$4000,"&gt;="&amp;$A32,DATOS_CONEX!$G$7:$G$4000,"&lt;"&amp;($A32+1),DATOS_CONEX!$I$7:$I$4000,"Sí"))</f>
        <v>0</v>
      </c>
      <c r="G32" s="19">
        <f>IF($A32="","",COUNTIFS(DATOS_CONEX!$R$7:$R$4000,"&lt;="&amp;$A32,DATOS_CONEX!$S$7:$S$4000,"&gt;="&amp;$A32))</f>
        <v>1</v>
      </c>
      <c r="H32" s="19">
        <f>IF($A32="","",COUNTIFS(DATOS_CONEX!$F$7:$F$4000,"&lt;"&amp;($A32+1),DATOS_CONEX!$G$7:$G$4000,"&gt;"&amp;$A32,DATOS_CONEX!$I$7:$I$4000,"Sí"))</f>
        <v>29</v>
      </c>
      <c r="I32" s="21">
        <f>IF($A32="","",SUMPRODUCT((DATOS_CONEX!$I$7:$I$4000="Sí")*(((DATOS_CONEX!$G$7:$G$4000+($A32+1)-ABS(DATOS_CONEX!$G$7:$G$4000-($A32+1)))/2-(DATOS_CONEX!$F$7:$F$4000+$A32+ABS(DATOS_CONEX!$F$7:$F$4000-$A32))/2)+ABS(((DATOS_CONEX!$G$7:$G$4000+($A32+1)-ABS(DATOS_CONEX!$G$7:$G$4000-($A32+1)))/2-(DATOS_CONEX!$F$7:$F$4000+$A32+ABS(DATOS_CONEX!$F$7:$F$4000-$A32))/2)))/2))</f>
        <v>29</v>
      </c>
      <c r="Y32" s="104">
        <f t="shared" si="1"/>
        <v>0</v>
      </c>
    </row>
    <row r="33" spans="1:25" ht="19.5" customHeight="1" x14ac:dyDescent="0.35">
      <c r="A33" s="102">
        <f>IF(24&lt;=DAY(DATE(2026,$Z$4+1,1)-1),DATE(2026,$Z$4,24),"")</f>
        <v>46289</v>
      </c>
      <c r="B33" s="19">
        <f t="shared" si="0"/>
        <v>24</v>
      </c>
      <c r="C33" s="19">
        <f>IF($A33="","",COUNTIFS(DATOS_CONEX!$F$7:$F$4000,"&lt;="&amp;$A33,DATOS_CONEX!$G$7:$G$4000,"&gt;"&amp;$A33,DATOS_CONEX!$I$7:$I$4000,"Sí"))</f>
        <v>29</v>
      </c>
      <c r="D33" s="19">
        <f>IF($A33="","",MAX(C33,_xlfn.MAXIFS(DATOS_CONEX!$L$7:$L$4000,DATOS_CONEX!$F$7:$F$4000,"&gt;="&amp;$A33,DATOS_CONEX!$F$7:$F$4000,"&lt;"&amp;($A33+1))))</f>
        <v>114</v>
      </c>
      <c r="E33" s="19">
        <f>IF($A33="","",COUNTIFS(DATOS_CONEX!$F$7:$F$4000,"&gt;"&amp;$A33,DATOS_CONEX!$F$7:$F$4000,"&lt;"&amp;($A33+1),DATOS_CONEX!$I$7:$I$4000,"Sí"))</f>
        <v>85</v>
      </c>
      <c r="F33" s="19">
        <f>IF($A33="","",COUNTIFS(DATOS_CONEX!$G$7:$G$4000,"&gt;="&amp;$A33,DATOS_CONEX!$G$7:$G$4000,"&lt;"&amp;($A33+1),DATOS_CONEX!$I$7:$I$4000,"Sí"))</f>
        <v>0</v>
      </c>
      <c r="G33" s="19">
        <f>IF($A33="","",COUNTIFS(DATOS_CONEX!$R$7:$R$4000,"&lt;="&amp;$A33,DATOS_CONEX!$S$7:$S$4000,"&gt;="&amp;$A33))</f>
        <v>3</v>
      </c>
      <c r="H33" s="19">
        <f>IF($A33="","",COUNTIFS(DATOS_CONEX!$F$7:$F$4000,"&lt;"&amp;($A33+1),DATOS_CONEX!$G$7:$G$4000,"&gt;"&amp;$A33,DATOS_CONEX!$I$7:$I$4000,"Sí"))</f>
        <v>114</v>
      </c>
      <c r="I33" s="21">
        <f>IF($A33="","",SUMPRODUCT((DATOS_CONEX!$I$7:$I$4000="Sí")*(((DATOS_CONEX!$G$7:$G$4000+($A33+1)-ABS(DATOS_CONEX!$G$7:$G$4000-($A33+1)))/2-(DATOS_CONEX!$F$7:$F$4000+$A33+ABS(DATOS_CONEX!$F$7:$F$4000-$A33))/2)+ABS(((DATOS_CONEX!$G$7:$G$4000+($A33+1)-ABS(DATOS_CONEX!$G$7:$G$4000-($A33+1)))/2-(DATOS_CONEX!$F$7:$F$4000+$A33+ABS(DATOS_CONEX!$F$7:$F$4000-$A33))/2)))/2))</f>
        <v>46.999999999941792</v>
      </c>
      <c r="Y33" s="104">
        <f t="shared" si="1"/>
        <v>0</v>
      </c>
    </row>
    <row r="34" spans="1:25" ht="19.5" customHeight="1" x14ac:dyDescent="0.35">
      <c r="A34" s="102">
        <f>IF(25&lt;=DAY(DATE(2026,$Z$4+1,1)-1),DATE(2026,$Z$4,25),"")</f>
        <v>46290</v>
      </c>
      <c r="B34" s="19">
        <f t="shared" si="0"/>
        <v>25</v>
      </c>
      <c r="C34" s="19">
        <f>IF($A34="","",COUNTIFS(DATOS_CONEX!$F$7:$F$4000,"&lt;="&amp;$A34,DATOS_CONEX!$G$7:$G$4000,"&gt;"&amp;$A34,DATOS_CONEX!$I$7:$I$4000,"Sí"))</f>
        <v>114</v>
      </c>
      <c r="D34" s="19">
        <f>IF($A34="","",MAX(C34,_xlfn.MAXIFS(DATOS_CONEX!$L$7:$L$4000,DATOS_CONEX!$F$7:$F$4000,"&gt;="&amp;$A34,DATOS_CONEX!$F$7:$F$4000,"&lt;"&amp;($A34+1))))</f>
        <v>400</v>
      </c>
      <c r="E34" s="19">
        <f>IF($A34="","",COUNTIFS(DATOS_CONEX!$F$7:$F$4000,"&gt;"&amp;$A34,DATOS_CONEX!$F$7:$F$4000,"&lt;"&amp;($A34+1),DATOS_CONEX!$I$7:$I$4000,"Sí"))</f>
        <v>301</v>
      </c>
      <c r="F34" s="19">
        <f>IF($A34="","",COUNTIFS(DATOS_CONEX!$G$7:$G$4000,"&gt;="&amp;$A34,DATOS_CONEX!$G$7:$G$4000,"&lt;"&amp;($A34+1),DATOS_CONEX!$I$7:$I$4000,"Sí"))</f>
        <v>15</v>
      </c>
      <c r="G34" s="19">
        <f>IF($A34="","",COUNTIFS(DATOS_CONEX!$R$7:$R$4000,"&lt;="&amp;$A34,DATOS_CONEX!$S$7:$S$4000,"&gt;="&amp;$A34))</f>
        <v>8</v>
      </c>
      <c r="H34" s="19">
        <f>IF($A34="","",COUNTIFS(DATOS_CONEX!$F$7:$F$4000,"&lt;"&amp;($A34+1),DATOS_CONEX!$G$7:$G$4000,"&gt;"&amp;$A34,DATOS_CONEX!$I$7:$I$4000,"Sí"))</f>
        <v>415</v>
      </c>
      <c r="I34" s="21">
        <f>IF($A34="","",SUMPRODUCT((DATOS_CONEX!$I$7:$I$4000="Sí")*(((DATOS_CONEX!$G$7:$G$4000+($A34+1)-ABS(DATOS_CONEX!$G$7:$G$4000-($A34+1)))/2-(DATOS_CONEX!$F$7:$F$4000+$A34+ABS(DATOS_CONEX!$F$7:$F$4000-$A34))/2)+ABS(((DATOS_CONEX!$G$7:$G$4000+($A34+1)-ABS(DATOS_CONEX!$G$7:$G$4000-($A34+1)))/2-(DATOS_CONEX!$F$7:$F$4000+$A34+ABS(DATOS_CONEX!$F$7:$F$4000-$A34))/2)))/2))</f>
        <v>246.97083333344199</v>
      </c>
      <c r="Y34" s="104">
        <f t="shared" si="1"/>
        <v>-15</v>
      </c>
    </row>
    <row r="35" spans="1:25" ht="19.5" customHeight="1" x14ac:dyDescent="0.35">
      <c r="A35" s="102">
        <f>IF(26&lt;=DAY(DATE(2026,$Z$4+1,1)-1),DATE(2026,$Z$4,26),"")</f>
        <v>46291</v>
      </c>
      <c r="B35" s="19">
        <f t="shared" si="0"/>
        <v>26</v>
      </c>
      <c r="C35" s="19">
        <f>IF($A35="","",COUNTIFS(DATOS_CONEX!$F$7:$F$4000,"&lt;="&amp;$A35,DATOS_CONEX!$G$7:$G$4000,"&gt;"&amp;$A35,DATOS_CONEX!$I$7:$I$4000,"Sí"))</f>
        <v>400</v>
      </c>
      <c r="D35" s="19">
        <f>IF($A35="","",MAX(C35,_xlfn.MAXIFS(DATOS_CONEX!$L$7:$L$4000,DATOS_CONEX!$F$7:$F$4000,"&gt;="&amp;$A35,DATOS_CONEX!$F$7:$F$4000,"&lt;"&amp;($A35+1))))</f>
        <v>400</v>
      </c>
      <c r="E35" s="19">
        <f>IF($A35="","",COUNTIFS(DATOS_CONEX!$F$7:$F$4000,"&gt;"&amp;$A35,DATOS_CONEX!$F$7:$F$4000,"&lt;"&amp;($A35+1),DATOS_CONEX!$I$7:$I$4000,"Sí"))</f>
        <v>0</v>
      </c>
      <c r="F35" s="19">
        <f>IF($A35="","",COUNTIFS(DATOS_CONEX!$G$7:$G$4000,"&gt;="&amp;$A35,DATOS_CONEX!$G$7:$G$4000,"&lt;"&amp;($A35+1),DATOS_CONEX!$I$7:$I$4000,"Sí"))</f>
        <v>76</v>
      </c>
      <c r="G35" s="19">
        <f>IF($A35="","",COUNTIFS(DATOS_CONEX!$R$7:$R$4000,"&lt;="&amp;$A35,DATOS_CONEX!$S$7:$S$4000,"&gt;="&amp;$A35))</f>
        <v>8</v>
      </c>
      <c r="H35" s="19">
        <f>IF($A35="","",COUNTIFS(DATOS_CONEX!$F$7:$F$4000,"&lt;"&amp;($A35+1),DATOS_CONEX!$G$7:$G$4000,"&gt;"&amp;$A35,DATOS_CONEX!$I$7:$I$4000,"Sí"))</f>
        <v>400</v>
      </c>
      <c r="I35" s="21">
        <f>IF($A35="","",SUMPRODUCT((DATOS_CONEX!$I$7:$I$4000="Sí")*(((DATOS_CONEX!$G$7:$G$4000+($A35+1)-ABS(DATOS_CONEX!$G$7:$G$4000-($A35+1)))/2-(DATOS_CONEX!$F$7:$F$4000+$A35+ABS(DATOS_CONEX!$F$7:$F$4000-$A35))/2)+ABS(((DATOS_CONEX!$G$7:$G$4000+($A35+1)-ABS(DATOS_CONEX!$G$7:$G$4000-($A35+1)))/2-(DATOS_CONEX!$F$7:$F$4000+$A35+ABS(DATOS_CONEX!$F$7:$F$4000-$A35))/2)))/2))</f>
        <v>369.46388888900401</v>
      </c>
      <c r="Y35" s="104">
        <f t="shared" si="1"/>
        <v>-76</v>
      </c>
    </row>
    <row r="36" spans="1:25" ht="19.5" customHeight="1" x14ac:dyDescent="0.35">
      <c r="A36" s="102">
        <f>IF(27&lt;=DAY(DATE(2026,$Z$4+1,1)-1),DATE(2026,$Z$4,27),"")</f>
        <v>46292</v>
      </c>
      <c r="B36" s="19">
        <f t="shared" si="0"/>
        <v>27</v>
      </c>
      <c r="C36" s="19">
        <f>IF($A36="","",COUNTIFS(DATOS_CONEX!$F$7:$F$4000,"&lt;="&amp;$A36,DATOS_CONEX!$G$7:$G$4000,"&gt;"&amp;$A36,DATOS_CONEX!$I$7:$I$4000,"Sí"))</f>
        <v>324</v>
      </c>
      <c r="D36" s="19">
        <f>IF($A36="","",MAX(C36,_xlfn.MAXIFS(DATOS_CONEX!$L$7:$L$4000,DATOS_CONEX!$F$7:$F$4000,"&gt;="&amp;$A36,DATOS_CONEX!$F$7:$F$4000,"&lt;"&amp;($A36+1))))</f>
        <v>324</v>
      </c>
      <c r="E36" s="19">
        <f>IF($A36="","",COUNTIFS(DATOS_CONEX!$F$7:$F$4000,"&gt;"&amp;$A36,DATOS_CONEX!$F$7:$F$4000,"&lt;"&amp;($A36+1),DATOS_CONEX!$I$7:$I$4000,"Sí"))</f>
        <v>0</v>
      </c>
      <c r="F36" s="19">
        <f>IF($A36="","",COUNTIFS(DATOS_CONEX!$G$7:$G$4000,"&gt;="&amp;$A36,DATOS_CONEX!$G$7:$G$4000,"&lt;"&amp;($A36+1),DATOS_CONEX!$I$7:$I$4000,"Sí"))</f>
        <v>323</v>
      </c>
      <c r="G36" s="19">
        <f>IF($A36="","",COUNTIFS(DATOS_CONEX!$R$7:$R$4000,"&lt;="&amp;$A36,DATOS_CONEX!$S$7:$S$4000,"&gt;="&amp;$A36))</f>
        <v>4</v>
      </c>
      <c r="H36" s="19">
        <f>IF($A36="","",COUNTIFS(DATOS_CONEX!$F$7:$F$4000,"&lt;"&amp;($A36+1),DATOS_CONEX!$G$7:$G$4000,"&gt;"&amp;$A36,DATOS_CONEX!$I$7:$I$4000,"Sí"))</f>
        <v>324</v>
      </c>
      <c r="I36" s="21">
        <f>IF($A36="","",SUMPRODUCT((DATOS_CONEX!$I$7:$I$4000="Sí")*(((DATOS_CONEX!$G$7:$G$4000+($A36+1)-ABS(DATOS_CONEX!$G$7:$G$4000-($A36+1)))/2-(DATOS_CONEX!$F$7:$F$4000+$A36+ABS(DATOS_CONEX!$F$7:$F$4000-$A36))/2)+ABS(((DATOS_CONEX!$G$7:$G$4000+($A36+1)-ABS(DATOS_CONEX!$G$7:$G$4000-($A36+1)))/2-(DATOS_CONEX!$F$7:$F$4000+$A36+ABS(DATOS_CONEX!$F$7:$F$4000-$A36))/2)))/2))</f>
        <v>169.83680555495084</v>
      </c>
      <c r="Y36" s="104">
        <f t="shared" si="1"/>
        <v>-323</v>
      </c>
    </row>
    <row r="37" spans="1:25" ht="19.5" customHeight="1" x14ac:dyDescent="0.35">
      <c r="A37" s="102">
        <f>IF(28&lt;=DAY(DATE(2026,$Z$4+1,1)-1),DATE(2026,$Z$4,28),"")</f>
        <v>46293</v>
      </c>
      <c r="B37" s="19">
        <f t="shared" si="0"/>
        <v>28</v>
      </c>
      <c r="C37" s="19">
        <f>IF($A37="","",COUNTIFS(DATOS_CONEX!$F$7:$F$4000,"&lt;="&amp;$A37,DATOS_CONEX!$G$7:$G$4000,"&gt;"&amp;$A37,DATOS_CONEX!$I$7:$I$4000,"Sí"))</f>
        <v>1</v>
      </c>
      <c r="D37" s="19">
        <f>IF($A37="","",MAX(C37,_xlfn.MAXIFS(DATOS_CONEX!$L$7:$L$4000,DATOS_CONEX!$F$7:$F$4000,"&gt;="&amp;$A37,DATOS_CONEX!$F$7:$F$4000,"&lt;"&amp;($A37+1))))</f>
        <v>2</v>
      </c>
      <c r="E37" s="19">
        <f>IF($A37="","",COUNTIFS(DATOS_CONEX!$F$7:$F$4000,"&gt;"&amp;$A37,DATOS_CONEX!$F$7:$F$4000,"&lt;"&amp;($A37+1),DATOS_CONEX!$I$7:$I$4000,"Sí"))</f>
        <v>1</v>
      </c>
      <c r="F37" s="19">
        <f>IF($A37="","",COUNTIFS(DATOS_CONEX!$G$7:$G$4000,"&gt;="&amp;$A37,DATOS_CONEX!$G$7:$G$4000,"&lt;"&amp;($A37+1),DATOS_CONEX!$I$7:$I$4000,"Sí"))</f>
        <v>0</v>
      </c>
      <c r="G37" s="19">
        <f>IF($A37="","",COUNTIFS(DATOS_CONEX!$R$7:$R$4000,"&lt;="&amp;$A37,DATOS_CONEX!$S$7:$S$4000,"&gt;="&amp;$A37))</f>
        <v>1</v>
      </c>
      <c r="H37" s="19">
        <f>IF($A37="","",COUNTIFS(DATOS_CONEX!$F$7:$F$4000,"&lt;"&amp;($A37+1),DATOS_CONEX!$G$7:$G$4000,"&gt;"&amp;$A37,DATOS_CONEX!$I$7:$I$4000,"Sí"))</f>
        <v>2</v>
      </c>
      <c r="I37" s="21">
        <f>IF($A37="","",SUMPRODUCT((DATOS_CONEX!$I$7:$I$4000="Sí")*(((DATOS_CONEX!$G$7:$G$4000+($A37+1)-ABS(DATOS_CONEX!$G$7:$G$4000-($A37+1)))/2-(DATOS_CONEX!$F$7:$F$4000+$A37+ABS(DATOS_CONEX!$F$7:$F$4000-$A37))/2)+ABS(((DATOS_CONEX!$G$7:$G$4000+($A37+1)-ABS(DATOS_CONEX!$G$7:$G$4000-($A37+1)))/2-(DATOS_CONEX!$F$7:$F$4000+$A37+ABS(DATOS_CONEX!$F$7:$F$4000-$A37))/2)))/2))</f>
        <v>1.4326388888875954</v>
      </c>
      <c r="Y37" s="104">
        <f t="shared" si="1"/>
        <v>0</v>
      </c>
    </row>
    <row r="38" spans="1:25" ht="19.5" customHeight="1" x14ac:dyDescent="0.35">
      <c r="A38" s="102">
        <f>IF(29&lt;=DAY(DATE(2026,$Z$4+1,1)-1),DATE(2026,$Z$4,29),"")</f>
        <v>46294</v>
      </c>
      <c r="B38" s="19">
        <f t="shared" si="0"/>
        <v>29</v>
      </c>
      <c r="C38" s="19">
        <f>IF($A38="","",COUNTIFS(DATOS_CONEX!$F$7:$F$4000,"&lt;="&amp;$A38,DATOS_CONEX!$G$7:$G$4000,"&gt;"&amp;$A38,DATOS_CONEX!$I$7:$I$4000,"Sí"))</f>
        <v>2</v>
      </c>
      <c r="D38" s="19">
        <f>IF($A38="","",MAX(C38,_xlfn.MAXIFS(DATOS_CONEX!$L$7:$L$4000,DATOS_CONEX!$F$7:$F$4000,"&gt;="&amp;$A38,DATOS_CONEX!$F$7:$F$4000,"&lt;"&amp;($A38+1))))</f>
        <v>2</v>
      </c>
      <c r="E38" s="19">
        <f>IF($A38="","",COUNTIFS(DATOS_CONEX!$F$7:$F$4000,"&gt;"&amp;$A38,DATOS_CONEX!$F$7:$F$4000,"&lt;"&amp;($A38+1),DATOS_CONEX!$I$7:$I$4000,"Sí"))</f>
        <v>0</v>
      </c>
      <c r="F38" s="19">
        <f>IF($A38="","",COUNTIFS(DATOS_CONEX!$G$7:$G$4000,"&gt;="&amp;$A38,DATOS_CONEX!$G$7:$G$4000,"&lt;"&amp;($A38+1),DATOS_CONEX!$I$7:$I$4000,"Sí"))</f>
        <v>1</v>
      </c>
      <c r="G38" s="19">
        <f>IF($A38="","",COUNTIFS(DATOS_CONEX!$R$7:$R$4000,"&lt;="&amp;$A38,DATOS_CONEX!$S$7:$S$4000,"&gt;="&amp;$A38))</f>
        <v>1</v>
      </c>
      <c r="H38" s="19">
        <f>IF($A38="","",COUNTIFS(DATOS_CONEX!$F$7:$F$4000,"&lt;"&amp;($A38+1),DATOS_CONEX!$G$7:$G$4000,"&gt;"&amp;$A38,DATOS_CONEX!$I$7:$I$4000,"Sí"))</f>
        <v>2</v>
      </c>
      <c r="I38" s="21">
        <f>IF($A38="","",SUMPRODUCT((DATOS_CONEX!$I$7:$I$4000="Sí")*(((DATOS_CONEX!$G$7:$G$4000+($A38+1)-ABS(DATOS_CONEX!$G$7:$G$4000-($A38+1)))/2-(DATOS_CONEX!$F$7:$F$4000+$A38+ABS(DATOS_CONEX!$F$7:$F$4000-$A38))/2)+ABS(((DATOS_CONEX!$G$7:$G$4000+($A38+1)-ABS(DATOS_CONEX!$G$7:$G$4000-($A38+1)))/2-(DATOS_CONEX!$F$7:$F$4000+$A38+ABS(DATOS_CONEX!$F$7:$F$4000-$A38))/2)))/2))</f>
        <v>1.5743055555503815</v>
      </c>
      <c r="Y38" s="104">
        <f t="shared" si="1"/>
        <v>-1</v>
      </c>
    </row>
    <row r="39" spans="1:25" ht="19.5" customHeight="1" x14ac:dyDescent="0.35">
      <c r="A39" s="102">
        <f>IF(30&lt;=DAY(DATE(2026,$Z$4+1,1)-1),DATE(2026,$Z$4,30),"")</f>
        <v>46295</v>
      </c>
      <c r="B39" s="19">
        <f t="shared" si="0"/>
        <v>30</v>
      </c>
      <c r="C39" s="19">
        <f>IF($A39="","",COUNTIFS(DATOS_CONEX!$F$7:$F$4000,"&lt;="&amp;$A39,DATOS_CONEX!$G$7:$G$4000,"&gt;"&amp;$A39,DATOS_CONEX!$I$7:$I$4000,"Sí"))</f>
        <v>1</v>
      </c>
      <c r="D39" s="19">
        <f>IF($A39="","",MAX(C39,_xlfn.MAXIFS(DATOS_CONEX!$L$7:$L$4000,DATOS_CONEX!$F$7:$F$4000,"&gt;="&amp;$A39,DATOS_CONEX!$F$7:$F$4000,"&lt;"&amp;($A39+1))))</f>
        <v>1</v>
      </c>
      <c r="E39" s="19">
        <f>IF($A39="","",COUNTIFS(DATOS_CONEX!$F$7:$F$4000,"&gt;"&amp;$A39,DATOS_CONEX!$F$7:$F$4000,"&lt;"&amp;($A39+1),DATOS_CONEX!$I$7:$I$4000,"Sí"))</f>
        <v>0</v>
      </c>
      <c r="F39" s="19">
        <f>IF($A39="","",COUNTIFS(DATOS_CONEX!$G$7:$G$4000,"&gt;="&amp;$A39,DATOS_CONEX!$G$7:$G$4000,"&lt;"&amp;($A39+1),DATOS_CONEX!$I$7:$I$4000,"Sí"))</f>
        <v>1</v>
      </c>
      <c r="G39" s="19">
        <f>IF($A39="","",COUNTIFS(DATOS_CONEX!$R$7:$R$4000,"&lt;="&amp;$A39,DATOS_CONEX!$S$7:$S$4000,"&gt;="&amp;$A39))</f>
        <v>1</v>
      </c>
      <c r="H39" s="19">
        <f>IF($A39="","",COUNTIFS(DATOS_CONEX!$F$7:$F$4000,"&lt;"&amp;($A39+1),DATOS_CONEX!$G$7:$G$4000,"&gt;"&amp;$A39,DATOS_CONEX!$I$7:$I$4000,"Sí"))</f>
        <v>1</v>
      </c>
      <c r="I39" s="21">
        <f>IF($A39="","",SUMPRODUCT((DATOS_CONEX!$I$7:$I$4000="Sí")*(((DATOS_CONEX!$G$7:$G$4000+($A39+1)-ABS(DATOS_CONEX!$G$7:$G$4000-($A39+1)))/2-(DATOS_CONEX!$F$7:$F$4000+$A39+ABS(DATOS_CONEX!$F$7:$F$4000-$A39))/2)+ABS(((DATOS_CONEX!$G$7:$G$4000+($A39+1)-ABS(DATOS_CONEX!$G$7:$G$4000-($A39+1)))/2-(DATOS_CONEX!$F$7:$F$4000+$A39+ABS(DATOS_CONEX!$F$7:$F$4000-$A39))/2)))/2))</f>
        <v>0.98819444444961846</v>
      </c>
      <c r="Y39" s="104">
        <f t="shared" si="1"/>
        <v>-1</v>
      </c>
    </row>
    <row r="40" spans="1:25" ht="19.5" customHeight="1" x14ac:dyDescent="0.35">
      <c r="A40" s="102" t="str">
        <f>IF(31&lt;=DAY(DATE(2026,$Z$4+1,1)-1),DATE(2026,$Z$4,31),"")</f>
        <v/>
      </c>
      <c r="B40" s="19" t="str">
        <f t="shared" si="0"/>
        <v/>
      </c>
      <c r="C40" s="19" t="str">
        <f>IF($A40="","",COUNTIFS(DATOS_CONEX!$F$7:$F$4000,"&lt;="&amp;$A40,DATOS_CONEX!$G$7:$G$4000,"&gt;"&amp;$A40,DATOS_CONEX!$I$7:$I$4000,"Sí"))</f>
        <v/>
      </c>
      <c r="D40" s="19" t="str">
        <f>IF($A40="","",MAX(C40,_xlfn.MAXIFS(DATOS_CONEX!$L$7:$L$4000,DATOS_CONEX!$F$7:$F$4000,"&gt;="&amp;$A40,DATOS_CONEX!$F$7:$F$4000,"&lt;"&amp;($A40+1))))</f>
        <v/>
      </c>
      <c r="E40" s="19" t="str">
        <f>IF($A40="","",COUNTIFS(DATOS_CONEX!$F$7:$F$4000,"&gt;"&amp;$A40,DATOS_CONEX!$F$7:$F$4000,"&lt;"&amp;($A40+1),DATOS_CONEX!$I$7:$I$4000,"Sí"))</f>
        <v/>
      </c>
      <c r="F40" s="19" t="str">
        <f>IF($A40="","",COUNTIFS(DATOS_CONEX!$G$7:$G$4000,"&gt;="&amp;$A40,DATOS_CONEX!$G$7:$G$4000,"&lt;"&amp;($A40+1),DATOS_CONEX!$I$7:$I$4000,"Sí"))</f>
        <v/>
      </c>
      <c r="G40" s="19" t="str">
        <f>IF($A40="","",COUNTIFS(DATOS_CONEX!$R$7:$R$4000,"&lt;="&amp;$A40,DATOS_CONEX!$S$7:$S$4000,"&gt;="&amp;$A40))</f>
        <v/>
      </c>
      <c r="H40" s="19" t="str">
        <f>IF($A40="","",COUNTIFS(DATOS_CONEX!$F$7:$F$4000,"&lt;"&amp;($A40+1),DATOS_CONEX!$G$7:$G$4000,"&gt;"&amp;$A40,DATOS_CONEX!$I$7:$I$4000,"Sí"))</f>
        <v/>
      </c>
      <c r="I40" s="21" t="str">
        <f>IF($A40="","",SUMPRODUCT((DATOS_CONEX!$I$7:$I$4000="Sí")*(((DATOS_CONEX!$G$7:$G$4000+($A40+1)-ABS(DATOS_CONEX!$G$7:$G$4000-($A40+1)))/2-(DATOS_CONEX!$F$7:$F$4000+$A40+ABS(DATOS_CONEX!$F$7:$F$4000-$A40))/2)+ABS(((DATOS_CONEX!$G$7:$G$4000+($A40+1)-ABS(DATOS_CONEX!$G$7:$G$4000-($A40+1)))/2-(DATOS_CONEX!$F$7:$F$4000+$A40+ABS(DATOS_CONEX!$F$7:$F$4000-$A40))/2)))/2))</f>
        <v/>
      </c>
      <c r="Y40" s="104" t="str">
        <f t="shared" si="1"/>
        <v/>
      </c>
    </row>
    <row r="41" spans="1:25" ht="19.5" customHeight="1" x14ac:dyDescent="0.25">
      <c r="A41" s="34" t="s">
        <v>271</v>
      </c>
      <c r="B41" s="34"/>
      <c r="C41" s="37">
        <f>IFERROR(AVERAGE(C10:C40),"")</f>
        <v>102.46666666666667</v>
      </c>
      <c r="D41" s="35">
        <f>MAX(D10:D40)</f>
        <v>400</v>
      </c>
      <c r="E41" s="35">
        <f>SUM(E10:E40)</f>
        <v>1113</v>
      </c>
      <c r="F41" s="35">
        <f>SUM(F10:F40)</f>
        <v>1146</v>
      </c>
      <c r="G41" s="35">
        <f>MAX(G10:G40)</f>
        <v>8</v>
      </c>
      <c r="H41" s="35">
        <f>SUM(H10:H40)</f>
        <v>4187</v>
      </c>
      <c r="I41" s="37">
        <f>SUM(I10:I40)</f>
        <v>3167.7027777766489</v>
      </c>
    </row>
    <row r="42" spans="1:25" ht="15" customHeight="1" x14ac:dyDescent="0.25">
      <c r="A42" s="140" t="s">
        <v>317</v>
      </c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</row>
    <row r="44" spans="1:25" ht="21.75" customHeight="1" x14ac:dyDescent="0.25">
      <c r="A44" s="136" t="s">
        <v>318</v>
      </c>
      <c r="B44" s="136"/>
      <c r="C44" s="136"/>
      <c r="D44" s="136"/>
      <c r="E44" s="136"/>
      <c r="F44" s="136"/>
      <c r="G44" s="136"/>
      <c r="H44" s="136"/>
    </row>
    <row r="45" spans="1:25" ht="33.75" customHeight="1" x14ac:dyDescent="0.25">
      <c r="A45" s="2" t="s">
        <v>9</v>
      </c>
      <c r="B45" s="2" t="s">
        <v>319</v>
      </c>
      <c r="C45" s="2" t="s">
        <v>320</v>
      </c>
      <c r="D45" s="2" t="s">
        <v>311</v>
      </c>
      <c r="E45" s="2" t="s">
        <v>321</v>
      </c>
      <c r="F45" s="2" t="s">
        <v>322</v>
      </c>
      <c r="G45" s="2" t="s">
        <v>323</v>
      </c>
      <c r="H45" s="2" t="s">
        <v>324</v>
      </c>
    </row>
    <row r="46" spans="1:25" ht="19.5" customHeight="1" x14ac:dyDescent="0.25">
      <c r="A46" s="18" t="s">
        <v>34</v>
      </c>
      <c r="B46" s="26" t="str">
        <f ca="1">IF(COUNTIF(DATOS_CONEX!$B$7:$B$4000,A46)&gt;0,"Cargado",IF(DATE(2026,1,1)&gt;TODAY(),"","Falta EDP"))</f>
        <v>Cargado</v>
      </c>
      <c r="C46" s="19">
        <f>IF(COUNTIFS(DATOS_CONEX!$G$7:$G$4000,"&gt;="&amp;DATE(2026,1,1),DATOS_CONEX!$G$7:$G$4000,"&lt;"&amp;DATE(2026,2,1),DATOS_CONEX!$I$7:$I$4000,"Sí")=0,"",COUNTIFS(DATOS_CONEX!$G$7:$G$4000,"&gt;="&amp;DATE(2026,1,1),DATOS_CONEX!$G$7:$G$4000,"&lt;"&amp;DATE(2026,2,1),DATOS_CONEX!$I$7:$I$4000,"Sí"))</f>
        <v>81</v>
      </c>
      <c r="D46" s="19">
        <f>IF(C46="","",MAX(_xlfn.MAXIFS(DATOS_CONEX!$L$7:$L$4000,DATOS_CONEX!$F$7:$F$4000,"&gt;="&amp;DATE(2026,1,1),DATOS_CONEX!$F$7:$F$4000,"&lt;"&amp;DATE(2026,2,1)),COUNTIFS(DATOS_CONEX!$F$7:$F$4000,"&lt;="&amp;DATE(2026,1,1),DATOS_CONEX!$G$7:$G$4000,"&gt;"&amp;DATE(2026,1,1),DATOS_CONEX!$I$7:$I$4000,"Sí")))</f>
        <v>29</v>
      </c>
      <c r="E46" s="101">
        <f>IF(D46="","",IFERROR(INDEX(DATOS_CONEX!$F$7:$F$4000,MATCH(A46&amp;"|"&amp;D46,DATOS_CONEX!$N$7:$N$4000,0)),"Inicio de mes"))</f>
        <v>46046.743055555555</v>
      </c>
      <c r="F46" s="18" t="str">
        <f>IF(D46="","",IFERROR(INDEX(DATOS_CONEX!$C$7:$C$4000,MATCH(A46&amp;"|"&amp;D46,DATOS_CONEX!$N$7:$N$4000,0)),"-"))</f>
        <v>HMM BLESSING</v>
      </c>
      <c r="G46" s="21">
        <f>IF(C46="","",SUMPRODUCT((DATOS_CONEX!$I$7:$I$4000="Sí")*(((DATOS_CONEX!$G$7:$G$4000+DATE(2026,2,1)-ABS(DATOS_CONEX!$G$7:$G$4000-DATE(2026,2,1)))/2-(DATOS_CONEX!$F$7:$F$4000+DATE(2026,1,1)+ABS(DATOS_CONEX!$F$7:$F$4000-DATE(2026,1,1)))/2)+ABS(((DATOS_CONEX!$G$7:$G$4000+DATE(2026,2,1)-ABS(DATOS_CONEX!$G$7:$G$4000-DATE(2026,2,1)))/2-(DATOS_CONEX!$F$7:$F$4000+DATE(2026,1,1)+ABS(DATOS_CONEX!$F$7:$F$4000-DATE(2026,1,1)))/2)))/2)/(DATE(2026,2,1)-DATE(2026,1,1)))</f>
        <v>15.796953405021227</v>
      </c>
      <c r="H46" s="21">
        <f>IF(C46="","",SUMPRODUCT((DATOS_CONEX!$I$7:$I$4000="Sí")*(((DATOS_CONEX!$G$7:$G$4000+DATE(2026,2,1)-ABS(DATOS_CONEX!$G$7:$G$4000-DATE(2026,2,1)))/2-(DATOS_CONEX!$F$7:$F$4000+DATE(2026,1,1)+ABS(DATOS_CONEX!$F$7:$F$4000-DATE(2026,1,1)))/2)+ABS(((DATOS_CONEX!$G$7:$G$4000+DATE(2026,2,1)-ABS(DATOS_CONEX!$G$7:$G$4000-DATE(2026,2,1)))/2-(DATOS_CONEX!$F$7:$F$4000+DATE(2026,1,1)+ABS(DATOS_CONEX!$F$7:$F$4000-DATE(2026,1,1)))/2)))/2))</f>
        <v>489.70555555565807</v>
      </c>
    </row>
    <row r="47" spans="1:25" ht="19.5" customHeight="1" x14ac:dyDescent="0.25">
      <c r="A47" s="18" t="s">
        <v>35</v>
      </c>
      <c r="B47" s="26" t="str">
        <f ca="1">IF(COUNTIF(DATOS_CONEX!$B$7:$B$4000,A47)&gt;0,"Cargado",IF(DATE(2026,2,1)&gt;TODAY(),"","Falta EDP"))</f>
        <v>Cargado</v>
      </c>
      <c r="C47" s="19">
        <f>IF(COUNTIFS(DATOS_CONEX!$G$7:$G$4000,"&gt;="&amp;DATE(2026,2,1),DATOS_CONEX!$G$7:$G$4000,"&lt;"&amp;DATE(2026,3,1),DATOS_CONEX!$I$7:$I$4000,"Sí")=0,"",COUNTIFS(DATOS_CONEX!$G$7:$G$4000,"&gt;="&amp;DATE(2026,2,1),DATOS_CONEX!$G$7:$G$4000,"&lt;"&amp;DATE(2026,3,1),DATOS_CONEX!$I$7:$I$4000,"Sí"))</f>
        <v>58</v>
      </c>
      <c r="D47" s="19">
        <f>IF(C47="","",MAX(_xlfn.MAXIFS(DATOS_CONEX!$L$7:$L$4000,DATOS_CONEX!$F$7:$F$4000,"&gt;="&amp;DATE(2026,2,1),DATOS_CONEX!$F$7:$F$4000,"&lt;"&amp;DATE(2026,3,1)),COUNTIFS(DATOS_CONEX!$F$7:$F$4000,"&lt;="&amp;DATE(2026,2,1),DATOS_CONEX!$G$7:$G$4000,"&gt;"&amp;DATE(2026,2,1),DATOS_CONEX!$I$7:$I$4000,"Sí")))</f>
        <v>25</v>
      </c>
      <c r="E47" s="101">
        <f>IF(D47="","",IFERROR(INDEX(DATOS_CONEX!$F$7:$F$4000,MATCH(A47&amp;"|"&amp;D47,DATOS_CONEX!$N$7:$N$4000,0)),"Inicio de mes"))</f>
        <v>46069</v>
      </c>
      <c r="F47" s="18" t="str">
        <f>IF(D47="","",IFERROR(INDEX(DATOS_CONEX!$C$7:$C$4000,MATCH(A47&amp;"|"&amp;D47,DATOS_CONEX!$N$7:$N$4000,0)),"-"))</f>
        <v>BUENAVENTURA EXPRESS</v>
      </c>
      <c r="G47" s="21">
        <f>IF(C47="","",SUMPRODUCT((DATOS_CONEX!$I$7:$I$4000="Sí")*(((DATOS_CONEX!$G$7:$G$4000+DATE(2026,3,1)-ABS(DATOS_CONEX!$G$7:$G$4000-DATE(2026,3,1)))/2-(DATOS_CONEX!$F$7:$F$4000+DATE(2026,2,1)+ABS(DATOS_CONEX!$F$7:$F$4000-DATE(2026,2,1)))/2)+ABS(((DATOS_CONEX!$G$7:$G$4000+DATE(2026,3,1)-ABS(DATOS_CONEX!$G$7:$G$4000-DATE(2026,3,1)))/2-(DATOS_CONEX!$F$7:$F$4000+DATE(2026,2,1)+ABS(DATOS_CONEX!$F$7:$F$4000-DATE(2026,2,1)))/2)))/2)/(DATE(2026,3,1)-DATE(2026,2,1)))</f>
        <v>15.75912698413023</v>
      </c>
      <c r="H47" s="21">
        <f>IF(C47="","",SUMPRODUCT((DATOS_CONEX!$I$7:$I$4000="Sí")*(((DATOS_CONEX!$G$7:$G$4000+DATE(2026,3,1)-ABS(DATOS_CONEX!$G$7:$G$4000-DATE(2026,3,1)))/2-(DATOS_CONEX!$F$7:$F$4000+DATE(2026,2,1)+ABS(DATOS_CONEX!$F$7:$F$4000-DATE(2026,2,1)))/2)+ABS(((DATOS_CONEX!$G$7:$G$4000+DATE(2026,3,1)-ABS(DATOS_CONEX!$G$7:$G$4000-DATE(2026,3,1)))/2-(DATOS_CONEX!$F$7:$F$4000+DATE(2026,2,1)+ABS(DATOS_CONEX!$F$7:$F$4000-DATE(2026,2,1)))/2)))/2))</f>
        <v>441.25555555564642</v>
      </c>
    </row>
    <row r="48" spans="1:25" ht="19.5" customHeight="1" x14ac:dyDescent="0.25">
      <c r="A48" s="18" t="s">
        <v>36</v>
      </c>
      <c r="B48" s="26" t="str">
        <f ca="1">IF(COUNTIF(DATOS_CONEX!$B$7:$B$4000,A48)&gt;0,"Cargado",IF(DATE(2026,3,1)&gt;TODAY(),"","Falta EDP"))</f>
        <v>Cargado</v>
      </c>
      <c r="C48" s="19">
        <f>IF(COUNTIFS(DATOS_CONEX!$G$7:$G$4000,"&gt;="&amp;DATE(2026,3,1),DATOS_CONEX!$G$7:$G$4000,"&lt;"&amp;DATE(2026,4,1),DATOS_CONEX!$I$7:$I$4000,"Sí")=0,"",COUNTIFS(DATOS_CONEX!$G$7:$G$4000,"&gt;="&amp;DATE(2026,3,1),DATOS_CONEX!$G$7:$G$4000,"&lt;"&amp;DATE(2026,4,1),DATOS_CONEX!$I$7:$I$4000,"Sí"))</f>
        <v>74</v>
      </c>
      <c r="D48" s="19">
        <f>IF(C48="","",MAX(_xlfn.MAXIFS(DATOS_CONEX!$L$7:$L$4000,DATOS_CONEX!$F$7:$F$4000,"&gt;="&amp;DATE(2026,3,1),DATOS_CONEX!$F$7:$F$4000,"&lt;"&amp;DATE(2026,4,1)),COUNTIFS(DATOS_CONEX!$F$7:$F$4000,"&lt;="&amp;DATE(2026,3,1),DATOS_CONEX!$G$7:$G$4000,"&gt;"&amp;DATE(2026,3,1),DATOS_CONEX!$I$7:$I$4000,"Sí")))</f>
        <v>35</v>
      </c>
      <c r="E48" s="101">
        <f>IF(D48="","",IFERROR(INDEX(DATOS_CONEX!$F$7:$F$4000,MATCH(A48&amp;"|"&amp;D48,DATOS_CONEX!$N$7:$N$4000,0)),"Inicio de mes"))</f>
        <v>46097.604861111111</v>
      </c>
      <c r="F48" s="18" t="str">
        <f>IF(D48="","",IFERROR(INDEX(DATOS_CONEX!$C$7:$C$4000,MATCH(A48&amp;"|"&amp;D48,DATOS_CONEX!$N$7:$N$4000,0)),"-"))</f>
        <v>ONE SINCERITY</v>
      </c>
      <c r="G48" s="21">
        <f>IF(C48="","",SUMPRODUCT((DATOS_CONEX!$I$7:$I$4000="Sí")*(((DATOS_CONEX!$G$7:$G$4000+DATE(2026,4,1)-ABS(DATOS_CONEX!$G$7:$G$4000-DATE(2026,4,1)))/2-(DATOS_CONEX!$F$7:$F$4000+DATE(2026,3,1)+ABS(DATOS_CONEX!$F$7:$F$4000-DATE(2026,3,1)))/2)+ABS(((DATOS_CONEX!$G$7:$G$4000+DATE(2026,4,1)-ABS(DATOS_CONEX!$G$7:$G$4000-DATE(2026,4,1)))/2-(DATOS_CONEX!$F$7:$F$4000+DATE(2026,3,1)+ABS(DATOS_CONEX!$F$7:$F$4000-DATE(2026,3,1)))/2)))/2)/(DATE(2026,4,1)-DATE(2026,3,1)))</f>
        <v>16.706227598566329</v>
      </c>
      <c r="H48" s="21">
        <f>IF(C48="","",SUMPRODUCT((DATOS_CONEX!$I$7:$I$4000="Sí")*(((DATOS_CONEX!$G$7:$G$4000+DATE(2026,4,1)-ABS(DATOS_CONEX!$G$7:$G$4000-DATE(2026,4,1)))/2-(DATOS_CONEX!$F$7:$F$4000+DATE(2026,3,1)+ABS(DATOS_CONEX!$F$7:$F$4000-DATE(2026,3,1)))/2)+ABS(((DATOS_CONEX!$G$7:$G$4000+DATE(2026,4,1)-ABS(DATOS_CONEX!$G$7:$G$4000-DATE(2026,4,1)))/2-(DATOS_CONEX!$F$7:$F$4000+DATE(2026,3,1)+ABS(DATOS_CONEX!$F$7:$F$4000-DATE(2026,3,1)))/2)))/2))</f>
        <v>517.8930555555562</v>
      </c>
    </row>
    <row r="49" spans="1:8" ht="19.5" customHeight="1" x14ac:dyDescent="0.25">
      <c r="A49" s="18" t="s">
        <v>37</v>
      </c>
      <c r="B49" s="26" t="str">
        <f ca="1">IF(COUNTIF(DATOS_CONEX!$B$7:$B$4000,A49)&gt;0,"Cargado",IF(DATE(2026,4,1)&gt;TODAY(),"","Falta EDP"))</f>
        <v>Cargado</v>
      </c>
      <c r="C49" s="19">
        <f>IF(COUNTIFS(DATOS_CONEX!$G$7:$G$4000,"&gt;="&amp;DATE(2026,4,1),DATOS_CONEX!$G$7:$G$4000,"&lt;"&amp;DATE(2026,5,1),DATOS_CONEX!$I$7:$I$4000,"Sí")=0,"",COUNTIFS(DATOS_CONEX!$G$7:$G$4000,"&gt;="&amp;DATE(2026,4,1),DATOS_CONEX!$G$7:$G$4000,"&lt;"&amp;DATE(2026,5,1),DATOS_CONEX!$I$7:$I$4000,"Sí"))</f>
        <v>26</v>
      </c>
      <c r="D49" s="19">
        <f>IF(C49="","",MAX(_xlfn.MAXIFS(DATOS_CONEX!$L$7:$L$4000,DATOS_CONEX!$F$7:$F$4000,"&gt;="&amp;DATE(2026,4,1),DATOS_CONEX!$F$7:$F$4000,"&lt;"&amp;DATE(2026,5,1)),COUNTIFS(DATOS_CONEX!$F$7:$F$4000,"&lt;="&amp;DATE(2026,4,1),DATOS_CONEX!$G$7:$G$4000,"&gt;"&amp;DATE(2026,4,1),DATOS_CONEX!$I$7:$I$4000,"Sí")))</f>
        <v>16</v>
      </c>
      <c r="E49" s="101">
        <f>IF(D49="","",IFERROR(INDEX(DATOS_CONEX!$F$7:$F$4000,MATCH(A49&amp;"|"&amp;D49,DATOS_CONEX!$N$7:$N$4000,0)),"Inicio de mes"))</f>
        <v>46142.519444444442</v>
      </c>
      <c r="F49" s="18" t="str">
        <f>IF(D49="","",IFERROR(INDEX(DATOS_CONEX!$C$7:$C$4000,MATCH(A49&amp;"|"&amp;D49,DATOS_CONEX!$N$7:$N$4000,0)),"-"))</f>
        <v>ITAJAI EXPRESS</v>
      </c>
      <c r="G49" s="21">
        <f>IF(C49="","",SUMPRODUCT((DATOS_CONEX!$I$7:$I$4000="Sí")*(((DATOS_CONEX!$G$7:$G$4000+DATE(2026,5,1)-ABS(DATOS_CONEX!$G$7:$G$4000-DATE(2026,5,1)))/2-(DATOS_CONEX!$F$7:$F$4000+DATE(2026,4,1)+ABS(DATOS_CONEX!$F$7:$F$4000-DATE(2026,4,1)))/2)+ABS(((DATOS_CONEX!$G$7:$G$4000+DATE(2026,5,1)-ABS(DATOS_CONEX!$G$7:$G$4000-DATE(2026,5,1)))/2-(DATOS_CONEX!$F$7:$F$4000+DATE(2026,4,1)+ABS(DATOS_CONEX!$F$7:$F$4000-DATE(2026,4,1)))/2)))/2)/(DATE(2026,5,1)-DATE(2026,4,1)))</f>
        <v>6.3112500000002907</v>
      </c>
      <c r="H49" s="21">
        <f>IF(C49="","",SUMPRODUCT((DATOS_CONEX!$I$7:$I$4000="Sí")*(((DATOS_CONEX!$G$7:$G$4000+DATE(2026,5,1)-ABS(DATOS_CONEX!$G$7:$G$4000-DATE(2026,5,1)))/2-(DATOS_CONEX!$F$7:$F$4000+DATE(2026,4,1)+ABS(DATOS_CONEX!$F$7:$F$4000-DATE(2026,4,1)))/2)+ABS(((DATOS_CONEX!$G$7:$G$4000+DATE(2026,5,1)-ABS(DATOS_CONEX!$G$7:$G$4000-DATE(2026,5,1)))/2-(DATOS_CONEX!$F$7:$F$4000+DATE(2026,4,1)+ABS(DATOS_CONEX!$F$7:$F$4000-DATE(2026,4,1)))/2)))/2))</f>
        <v>189.33750000000873</v>
      </c>
    </row>
    <row r="50" spans="1:8" ht="19.5" customHeight="1" x14ac:dyDescent="0.25">
      <c r="A50" s="18" t="s">
        <v>38</v>
      </c>
      <c r="B50" s="26" t="str">
        <f ca="1">IF(COUNTIF(DATOS_CONEX!$B$7:$B$4000,A50)&gt;0,"Cargado",IF(DATE(2026,5,1)&gt;TODAY(),"","Falta EDP"))</f>
        <v>Cargado</v>
      </c>
      <c r="C50" s="19">
        <f>IF(COUNTIFS(DATOS_CONEX!$G$7:$G$4000,"&gt;="&amp;DATE(2026,5,1),DATOS_CONEX!$G$7:$G$4000,"&lt;"&amp;DATE(2026,6,1),DATOS_CONEX!$I$7:$I$4000,"Sí")=0,"",COUNTIFS(DATOS_CONEX!$G$7:$G$4000,"&gt;="&amp;DATE(2026,5,1),DATOS_CONEX!$G$7:$G$4000,"&lt;"&amp;DATE(2026,6,1),DATOS_CONEX!$I$7:$I$4000,"Sí"))</f>
        <v>54</v>
      </c>
      <c r="D50" s="19">
        <f>IF(C50="","",MAX(_xlfn.MAXIFS(DATOS_CONEX!$L$7:$L$4000,DATOS_CONEX!$F$7:$F$4000,"&gt;="&amp;DATE(2026,5,1),DATOS_CONEX!$F$7:$F$4000,"&lt;"&amp;DATE(2026,6,1)),COUNTIFS(DATOS_CONEX!$F$7:$F$4000,"&lt;="&amp;DATE(2026,5,1),DATOS_CONEX!$G$7:$G$4000,"&gt;"&amp;DATE(2026,5,1),DATOS_CONEX!$I$7:$I$4000,"Sí")))</f>
        <v>21</v>
      </c>
      <c r="E50" s="101">
        <f>IF(D50="","",IFERROR(INDEX(DATOS_CONEX!$F$7:$F$4000,MATCH(A50&amp;"|"&amp;D50,DATOS_CONEX!$N$7:$N$4000,0)),"Inicio de mes"))</f>
        <v>46144.540972222225</v>
      </c>
      <c r="F50" s="18" t="str">
        <f>IF(D50="","",IFERROR(INDEX(DATOS_CONEX!$C$7:$C$4000,MATCH(A50&amp;"|"&amp;D50,DATOS_CONEX!$N$7:$N$4000,0)),"-"))</f>
        <v>RIO JANEIRO EXPRESS</v>
      </c>
      <c r="G50" s="21">
        <f>IF(C50="","",SUMPRODUCT((DATOS_CONEX!$I$7:$I$4000="Sí")*(((DATOS_CONEX!$G$7:$G$4000+DATE(2026,6,1)-ABS(DATOS_CONEX!$G$7:$G$4000-DATE(2026,6,1)))/2-(DATOS_CONEX!$F$7:$F$4000+DATE(2026,5,1)+ABS(DATOS_CONEX!$F$7:$F$4000-DATE(2026,5,1)))/2)+ABS(((DATOS_CONEX!$G$7:$G$4000+DATE(2026,6,1)-ABS(DATOS_CONEX!$G$7:$G$4000-DATE(2026,6,1)))/2-(DATOS_CONEX!$F$7:$F$4000+DATE(2026,5,1)+ABS(DATOS_CONEX!$F$7:$F$4000-DATE(2026,5,1)))/2)))/2)/(DATE(2026,6,1)-DATE(2026,5,1)))</f>
        <v>8.8870295698913147</v>
      </c>
      <c r="H50" s="21">
        <f>IF(C50="","",SUMPRODUCT((DATOS_CONEX!$I$7:$I$4000="Sí")*(((DATOS_CONEX!$G$7:$G$4000+DATE(2026,6,1)-ABS(DATOS_CONEX!$G$7:$G$4000-DATE(2026,6,1)))/2-(DATOS_CONEX!$F$7:$F$4000+DATE(2026,5,1)+ABS(DATOS_CONEX!$F$7:$F$4000-DATE(2026,5,1)))/2)+ABS(((DATOS_CONEX!$G$7:$G$4000+DATE(2026,6,1)-ABS(DATOS_CONEX!$G$7:$G$4000-DATE(2026,6,1)))/2-(DATOS_CONEX!$F$7:$F$4000+DATE(2026,5,1)+ABS(DATOS_CONEX!$F$7:$F$4000-DATE(2026,5,1)))/2)))/2))</f>
        <v>275.49791666663077</v>
      </c>
    </row>
    <row r="51" spans="1:8" ht="19.5" customHeight="1" x14ac:dyDescent="0.25">
      <c r="A51" s="18" t="s">
        <v>39</v>
      </c>
      <c r="B51" s="26" t="str">
        <f ca="1">IF(COUNTIF(DATOS_CONEX!$B$7:$B$4000,A51)&gt;0,"Cargado",IF(DATE(2026,6,1)&gt;TODAY(),"","Falta EDP"))</f>
        <v>Cargado</v>
      </c>
      <c r="C51" s="19">
        <f>IF(COUNTIFS(DATOS_CONEX!$G$7:$G$4000,"&gt;="&amp;DATE(2026,6,1),DATOS_CONEX!$G$7:$G$4000,"&lt;"&amp;DATE(2026,7,1),DATOS_CONEX!$I$7:$I$4000,"Sí")=0,"",COUNTIFS(DATOS_CONEX!$G$7:$G$4000,"&gt;="&amp;DATE(2026,6,1),DATOS_CONEX!$G$7:$G$4000,"&lt;"&amp;DATE(2026,7,1),DATOS_CONEX!$I$7:$I$4000,"Sí"))</f>
        <v>220</v>
      </c>
      <c r="D51" s="19">
        <f>IF(C51="","",MAX(_xlfn.MAXIFS(DATOS_CONEX!$L$7:$L$4000,DATOS_CONEX!$F$7:$F$4000,"&gt;="&amp;DATE(2026,6,1),DATOS_CONEX!$F$7:$F$4000,"&lt;"&amp;DATE(2026,7,1)),COUNTIFS(DATOS_CONEX!$F$7:$F$4000,"&lt;="&amp;DATE(2026,6,1),DATOS_CONEX!$G$7:$G$4000,"&gt;"&amp;DATE(2026,6,1),DATOS_CONEX!$I$7:$I$4000,"Sí")))</f>
        <v>174</v>
      </c>
      <c r="E51" s="101">
        <f>IF(D51="","",IFERROR(INDEX(DATOS_CONEX!$F$7:$F$4000,MATCH(A51&amp;"|"&amp;D51,DATOS_CONEX!$N$7:$N$4000,0)),"Inicio de mes"))</f>
        <v>46192.539583333331</v>
      </c>
      <c r="F51" s="18" t="str">
        <f>IF(D51="","",IFERROR(INDEX(DATOS_CONEX!$C$7:$C$4000,MATCH(A51&amp;"|"&amp;D51,DATOS_CONEX!$N$7:$N$4000,0)),"-"))</f>
        <v>POLAR ARGENTINA</v>
      </c>
      <c r="G51" s="21">
        <f>IF(C51="","",SUMPRODUCT((DATOS_CONEX!$I$7:$I$4000="Sí")*(((DATOS_CONEX!$G$7:$G$4000+DATE(2026,7,1)-ABS(DATOS_CONEX!$G$7:$G$4000-DATE(2026,7,1)))/2-(DATOS_CONEX!$F$7:$F$4000+DATE(2026,6,1)+ABS(DATOS_CONEX!$F$7:$F$4000-DATE(2026,6,1)))/2)+ABS(((DATOS_CONEX!$G$7:$G$4000+DATE(2026,7,1)-ABS(DATOS_CONEX!$G$7:$G$4000-DATE(2026,7,1)))/2-(DATOS_CONEX!$F$7:$F$4000+DATE(2026,6,1)+ABS(DATOS_CONEX!$F$7:$F$4000-DATE(2026,6,1)))/2)))/2)/(DATE(2026,7,1)-DATE(2026,6,1)))</f>
        <v>16.034837962964957</v>
      </c>
      <c r="H51" s="21">
        <f>IF(C51="","",SUMPRODUCT((DATOS_CONEX!$I$7:$I$4000="Sí")*(((DATOS_CONEX!$G$7:$G$4000+DATE(2026,7,1)-ABS(DATOS_CONEX!$G$7:$G$4000-DATE(2026,7,1)))/2-(DATOS_CONEX!$F$7:$F$4000+DATE(2026,6,1)+ABS(DATOS_CONEX!$F$7:$F$4000-DATE(2026,6,1)))/2)+ABS(((DATOS_CONEX!$G$7:$G$4000+DATE(2026,7,1)-ABS(DATOS_CONEX!$G$7:$G$4000-DATE(2026,7,1)))/2-(DATOS_CONEX!$F$7:$F$4000+DATE(2026,6,1)+ABS(DATOS_CONEX!$F$7:$F$4000-DATE(2026,6,1)))/2)))/2))</f>
        <v>481.04513888894871</v>
      </c>
    </row>
    <row r="52" spans="1:8" ht="19.5" customHeight="1" x14ac:dyDescent="0.25">
      <c r="A52" s="18" t="s">
        <v>40</v>
      </c>
      <c r="B52" s="26" t="str">
        <f ca="1">IF(COUNTIF(DATOS_CONEX!$B$7:$B$4000,A52)&gt;0,"Cargado",IF(DATE(2026,7,1)&gt;TODAY(),"","Falta EDP"))</f>
        <v>Cargado</v>
      </c>
      <c r="C52" s="19">
        <f>IF(COUNTIFS(DATOS_CONEX!$G$7:$G$4000,"&gt;="&amp;DATE(2026,7,1),DATOS_CONEX!$G$7:$G$4000,"&lt;"&amp;DATE(2026,8,1),DATOS_CONEX!$I$7:$I$4000,"Sí")=0,"",COUNTIFS(DATOS_CONEX!$G$7:$G$4000,"&gt;="&amp;DATE(2026,7,1),DATOS_CONEX!$G$7:$G$4000,"&lt;"&amp;DATE(2026,8,1),DATOS_CONEX!$I$7:$I$4000,"Sí"))</f>
        <v>521</v>
      </c>
      <c r="D52" s="19">
        <f>IF(C52="","",MAX(_xlfn.MAXIFS(DATOS_CONEX!$L$7:$L$4000,DATOS_CONEX!$F$7:$F$4000,"&gt;="&amp;DATE(2026,7,1),DATOS_CONEX!$F$7:$F$4000,"&lt;"&amp;DATE(2026,8,1)),COUNTIFS(DATOS_CONEX!$F$7:$F$4000,"&lt;="&amp;DATE(2026,7,1),DATOS_CONEX!$G$7:$G$4000,"&gt;"&amp;DATE(2026,7,1),DATOS_CONEX!$I$7:$I$4000,"Sí")))</f>
        <v>205</v>
      </c>
      <c r="E52" s="101">
        <f>IF(D52="","",IFERROR(INDEX(DATOS_CONEX!$F$7:$F$4000,MATCH(A52&amp;"|"&amp;D52,DATOS_CONEX!$N$7:$N$4000,0)),"Inicio de mes"))</f>
        <v>46234.563194444447</v>
      </c>
      <c r="F52" s="18" t="str">
        <f>IF(D52="","",IFERROR(INDEX(DATOS_CONEX!$C$7:$C$4000,MATCH(A52&amp;"|"&amp;D52,DATOS_CONEX!$N$7:$N$4000,0)),"-"))</f>
        <v>RIO JANEIRO EXPRESS</v>
      </c>
      <c r="G52" s="21">
        <f>IF(C52="","",SUMPRODUCT((DATOS_CONEX!$I$7:$I$4000="Sí")*(((DATOS_CONEX!$G$7:$G$4000+DATE(2026,8,1)-ABS(DATOS_CONEX!$G$7:$G$4000-DATE(2026,8,1)))/2-(DATOS_CONEX!$F$7:$F$4000+DATE(2026,7,1)+ABS(DATOS_CONEX!$F$7:$F$4000-DATE(2026,7,1)))/2)+ABS(((DATOS_CONEX!$G$7:$G$4000+DATE(2026,8,1)-ABS(DATOS_CONEX!$G$7:$G$4000-DATE(2026,8,1)))/2-(DATOS_CONEX!$F$7:$F$4000+DATE(2026,7,1)+ABS(DATOS_CONEX!$F$7:$F$4000-DATE(2026,7,1)))/2)))/2)/(DATE(2026,8,1)-DATE(2026,7,1)))</f>
        <v>41.796258960582968</v>
      </c>
      <c r="H52" s="21">
        <f>IF(C52="","",SUMPRODUCT((DATOS_CONEX!$I$7:$I$4000="Sí")*(((DATOS_CONEX!$G$7:$G$4000+DATE(2026,8,1)-ABS(DATOS_CONEX!$G$7:$G$4000-DATE(2026,8,1)))/2-(DATOS_CONEX!$F$7:$F$4000+DATE(2026,7,1)+ABS(DATOS_CONEX!$F$7:$F$4000-DATE(2026,7,1)))/2)+ABS(((DATOS_CONEX!$G$7:$G$4000+DATE(2026,8,1)-ABS(DATOS_CONEX!$G$7:$G$4000-DATE(2026,8,1)))/2-(DATOS_CONEX!$F$7:$F$4000+DATE(2026,7,1)+ABS(DATOS_CONEX!$F$7:$F$4000-DATE(2026,7,1)))/2)))/2))</f>
        <v>1295.684027778072</v>
      </c>
    </row>
    <row r="53" spans="1:8" ht="19.5" customHeight="1" x14ac:dyDescent="0.25">
      <c r="A53" s="18" t="s">
        <v>41</v>
      </c>
      <c r="B53" s="26" t="str">
        <f ca="1">IF(COUNTIF(DATOS_CONEX!$B$7:$B$4000,A53)&gt;0,"Cargado",IF(DATE(2026,8,1)&gt;TODAY(),"","Falta EDP"))</f>
        <v>Cargado</v>
      </c>
      <c r="C53" s="19">
        <f>IF(COUNTIFS(DATOS_CONEX!$G$7:$G$4000,"&gt;="&amp;DATE(2026,8,1),DATOS_CONEX!$G$7:$G$4000,"&lt;"&amp;DATE(2026,9,1),DATOS_CONEX!$I$7:$I$4000,"Sí")=0,"",COUNTIFS(DATOS_CONEX!$G$7:$G$4000,"&gt;="&amp;DATE(2026,8,1),DATOS_CONEX!$G$7:$G$4000,"&lt;"&amp;DATE(2026,9,1),DATOS_CONEX!$I$7:$I$4000,"Sí"))</f>
        <v>746</v>
      </c>
      <c r="D53" s="19">
        <f>IF(C53="","",MAX(_xlfn.MAXIFS(DATOS_CONEX!$L$7:$L$4000,DATOS_CONEX!$F$7:$F$4000,"&gt;="&amp;DATE(2026,8,1),DATOS_CONEX!$F$7:$F$4000,"&lt;"&amp;DATE(2026,9,1)),COUNTIFS(DATOS_CONEX!$F$7:$F$4000,"&lt;="&amp;DATE(2026,8,1),DATOS_CONEX!$G$7:$G$4000,"&gt;"&amp;DATE(2026,8,1),DATOS_CONEX!$I$7:$I$4000,"Sí")))</f>
        <v>344</v>
      </c>
      <c r="E53" s="101">
        <f>IF(D53="","",IFERROR(INDEX(DATOS_CONEX!$F$7:$F$4000,MATCH(A53&amp;"|"&amp;D53,DATOS_CONEX!$N$7:$N$4000,0)),"Inicio de mes"))</f>
        <v>46257.869444444441</v>
      </c>
      <c r="F53" s="18" t="str">
        <f>IF(D53="","",IFERROR(INDEX(DATOS_CONEX!$C$7:$C$4000,MATCH(A53&amp;"|"&amp;D53,DATOS_CONEX!$N$7:$N$4000,0)),"-"))</f>
        <v>POLAR PERU</v>
      </c>
      <c r="G53" s="21">
        <f>IF(C53="","",SUMPRODUCT((DATOS_CONEX!$I$7:$I$4000="Sí")*(((DATOS_CONEX!$G$7:$G$4000+DATE(2026,9,1)-ABS(DATOS_CONEX!$G$7:$G$4000-DATE(2026,9,1)))/2-(DATOS_CONEX!$F$7:$F$4000+DATE(2026,8,1)+ABS(DATOS_CONEX!$F$7:$F$4000-DATE(2026,8,1)))/2)+ABS(((DATOS_CONEX!$G$7:$G$4000+DATE(2026,9,1)-ABS(DATOS_CONEX!$G$7:$G$4000-DATE(2026,9,1)))/2-(DATOS_CONEX!$F$7:$F$4000+DATE(2026,8,1)+ABS(DATOS_CONEX!$F$7:$F$4000-DATE(2026,8,1)))/2)))/2)/(DATE(2026,9,1)-DATE(2026,8,1)))</f>
        <v>66.730062724024449</v>
      </c>
      <c r="H53" s="21">
        <f>IF(C53="","",SUMPRODUCT((DATOS_CONEX!$I$7:$I$4000="Sí")*(((DATOS_CONEX!$G$7:$G$4000+DATE(2026,9,1)-ABS(DATOS_CONEX!$G$7:$G$4000-DATE(2026,9,1)))/2-(DATOS_CONEX!$F$7:$F$4000+DATE(2026,8,1)+ABS(DATOS_CONEX!$F$7:$F$4000-DATE(2026,8,1)))/2)+ABS(((DATOS_CONEX!$G$7:$G$4000+DATE(2026,9,1)-ABS(DATOS_CONEX!$G$7:$G$4000-DATE(2026,9,1)))/2-(DATOS_CONEX!$F$7:$F$4000+DATE(2026,8,1)+ABS(DATOS_CONEX!$F$7:$F$4000-DATE(2026,8,1)))/2)))/2))</f>
        <v>2068.6319444447581</v>
      </c>
    </row>
    <row r="54" spans="1:8" ht="19.5" customHeight="1" x14ac:dyDescent="0.25">
      <c r="A54" s="18" t="s">
        <v>42</v>
      </c>
      <c r="B54" s="26" t="str">
        <f ca="1">IF(COUNTIF(DATOS_CONEX!$B$7:$B$4000,A54)&gt;0,"Cargado",IF(DATE(2026,9,1)&gt;TODAY(),"","Falta EDP"))</f>
        <v>Cargado</v>
      </c>
      <c r="C54" s="19">
        <f>IF(COUNTIFS(DATOS_CONEX!$G$7:$G$4000,"&gt;="&amp;DATE(2026,9,1),DATOS_CONEX!$G$7:$G$4000,"&lt;"&amp;DATE(2026,10,1),DATOS_CONEX!$I$7:$I$4000,"Sí")=0,"",COUNTIFS(DATOS_CONEX!$G$7:$G$4000,"&gt;="&amp;DATE(2026,9,1),DATOS_CONEX!$G$7:$G$4000,"&lt;"&amp;DATE(2026,10,1),DATOS_CONEX!$I$7:$I$4000,"Sí"))</f>
        <v>1146</v>
      </c>
      <c r="D54" s="19">
        <f>IF(C54="","",MAX(_xlfn.MAXIFS(DATOS_CONEX!$L$7:$L$4000,DATOS_CONEX!$F$7:$F$4000,"&gt;="&amp;DATE(2026,9,1),DATOS_CONEX!$F$7:$F$4000,"&lt;"&amp;DATE(2026,10,1)),COUNTIFS(DATOS_CONEX!$F$7:$F$4000,"&lt;="&amp;DATE(2026,9,1),DATOS_CONEX!$G$7:$G$4000,"&gt;"&amp;DATE(2026,9,1),DATOS_CONEX!$I$7:$I$4000,"Sí")))</f>
        <v>400</v>
      </c>
      <c r="E54" s="101">
        <f>IF(D54="","",IFERROR(INDEX(DATOS_CONEX!$F$7:$F$4000,MATCH(A54&amp;"|"&amp;D54,DATOS_CONEX!$N$7:$N$4000,0)),"Inicio de mes"))</f>
        <v>46290.9375</v>
      </c>
      <c r="F54" s="18" t="str">
        <f>IF(D54="","",IFERROR(INDEX(DATOS_CONEX!$C$7:$C$4000,MATCH(A54&amp;"|"&amp;D54,DATOS_CONEX!$N$7:$N$4000,0)),"-"))</f>
        <v>POLAR COLOMBIA</v>
      </c>
      <c r="G54" s="21">
        <f>IF(C54="","",SUMPRODUCT((DATOS_CONEX!$I$7:$I$4000="Sí")*(((DATOS_CONEX!$G$7:$G$4000+DATE(2026,10,1)-ABS(DATOS_CONEX!$G$7:$G$4000-DATE(2026,10,1)))/2-(DATOS_CONEX!$F$7:$F$4000+DATE(2026,9,1)+ABS(DATOS_CONEX!$F$7:$F$4000-DATE(2026,9,1)))/2)+ABS(((DATOS_CONEX!$G$7:$G$4000+DATE(2026,10,1)-ABS(DATOS_CONEX!$G$7:$G$4000-DATE(2026,10,1)))/2-(DATOS_CONEX!$F$7:$F$4000+DATE(2026,9,1)+ABS(DATOS_CONEX!$F$7:$F$4000-DATE(2026,9,1)))/2)))/2)/(DATE(2026,10,1)-DATE(2026,9,1)))</f>
        <v>105.59009259255497</v>
      </c>
      <c r="H54" s="21">
        <f>IF(C54="","",SUMPRODUCT((DATOS_CONEX!$I$7:$I$4000="Sí")*(((DATOS_CONEX!$G$7:$G$4000+DATE(2026,10,1)-ABS(DATOS_CONEX!$G$7:$G$4000-DATE(2026,10,1)))/2-(DATOS_CONEX!$F$7:$F$4000+DATE(2026,9,1)+ABS(DATOS_CONEX!$F$7:$F$4000-DATE(2026,9,1)))/2)+ABS(((DATOS_CONEX!$G$7:$G$4000+DATE(2026,10,1)-ABS(DATOS_CONEX!$G$7:$G$4000-DATE(2026,10,1)))/2-(DATOS_CONEX!$F$7:$F$4000+DATE(2026,9,1)+ABS(DATOS_CONEX!$F$7:$F$4000-DATE(2026,9,1)))/2)))/2))</f>
        <v>3167.7027777766489</v>
      </c>
    </row>
    <row r="55" spans="1:8" ht="19.5" customHeight="1" x14ac:dyDescent="0.25">
      <c r="A55" s="18" t="s">
        <v>43</v>
      </c>
      <c r="B55" s="26" t="str">
        <f ca="1">IF(COUNTIF(DATOS_CONEX!$B$7:$B$4000,A55)&gt;0,"Cargado",IF(DATE(2026,10,1)&gt;TODAY(),"","Falta EDP"))</f>
        <v>Falta EDP</v>
      </c>
      <c r="C55" s="19" t="str">
        <f>IF(COUNTIFS(DATOS_CONEX!$G$7:$G$4000,"&gt;="&amp;DATE(2026,10,1),DATOS_CONEX!$G$7:$G$4000,"&lt;"&amp;DATE(2026,11,1),DATOS_CONEX!$I$7:$I$4000,"Sí")=0,"",COUNTIFS(DATOS_CONEX!$G$7:$G$4000,"&gt;="&amp;DATE(2026,10,1),DATOS_CONEX!$G$7:$G$4000,"&lt;"&amp;DATE(2026,11,1),DATOS_CONEX!$I$7:$I$4000,"Sí"))</f>
        <v/>
      </c>
      <c r="D55" s="19" t="str">
        <f>IF(C55="","",MAX(_xlfn.MAXIFS(DATOS_CONEX!$L$7:$L$4000,DATOS_CONEX!$F$7:$F$4000,"&gt;="&amp;DATE(2026,10,1),DATOS_CONEX!$F$7:$F$4000,"&lt;"&amp;DATE(2026,11,1)),COUNTIFS(DATOS_CONEX!$F$7:$F$4000,"&lt;="&amp;DATE(2026,10,1),DATOS_CONEX!$G$7:$G$4000,"&gt;"&amp;DATE(2026,10,1),DATOS_CONEX!$I$7:$I$4000,"Sí")))</f>
        <v/>
      </c>
      <c r="E55" s="101" t="str">
        <f>IF(D55="","",IFERROR(INDEX(DATOS_CONEX!$F$7:$F$4000,MATCH(A55&amp;"|"&amp;D55,DATOS_CONEX!$N$7:$N$4000,0)),"Inicio de mes"))</f>
        <v/>
      </c>
      <c r="F55" s="18" t="str">
        <f>IF(D55="","",IFERROR(INDEX(DATOS_CONEX!$C$7:$C$4000,MATCH(A55&amp;"|"&amp;D55,DATOS_CONEX!$N$7:$N$4000,0)),"-"))</f>
        <v/>
      </c>
      <c r="G55" s="21" t="str">
        <f>IF(C55="","",SUMPRODUCT((DATOS_CONEX!$I$7:$I$4000="Sí")*(((DATOS_CONEX!$G$7:$G$4000+DATE(2026,11,1)-ABS(DATOS_CONEX!$G$7:$G$4000-DATE(2026,11,1)))/2-(DATOS_CONEX!$F$7:$F$4000+DATE(2026,10,1)+ABS(DATOS_CONEX!$F$7:$F$4000-DATE(2026,10,1)))/2)+ABS(((DATOS_CONEX!$G$7:$G$4000+DATE(2026,11,1)-ABS(DATOS_CONEX!$G$7:$G$4000-DATE(2026,11,1)))/2-(DATOS_CONEX!$F$7:$F$4000+DATE(2026,10,1)+ABS(DATOS_CONEX!$F$7:$F$4000-DATE(2026,10,1)))/2)))/2)/(DATE(2026,11,1)-DATE(2026,10,1)))</f>
        <v/>
      </c>
      <c r="H55" s="21" t="str">
        <f>IF(C55="","",SUMPRODUCT((DATOS_CONEX!$I$7:$I$4000="Sí")*(((DATOS_CONEX!$G$7:$G$4000+DATE(2026,11,1)-ABS(DATOS_CONEX!$G$7:$G$4000-DATE(2026,11,1)))/2-(DATOS_CONEX!$F$7:$F$4000+DATE(2026,10,1)+ABS(DATOS_CONEX!$F$7:$F$4000-DATE(2026,10,1)))/2)+ABS(((DATOS_CONEX!$G$7:$G$4000+DATE(2026,11,1)-ABS(DATOS_CONEX!$G$7:$G$4000-DATE(2026,11,1)))/2-(DATOS_CONEX!$F$7:$F$4000+DATE(2026,10,1)+ABS(DATOS_CONEX!$F$7:$F$4000-DATE(2026,10,1)))/2)))/2))</f>
        <v/>
      </c>
    </row>
    <row r="56" spans="1:8" ht="19.5" customHeight="1" x14ac:dyDescent="0.25">
      <c r="A56" s="18" t="s">
        <v>44</v>
      </c>
      <c r="B56" s="26" t="str">
        <f ca="1">IF(COUNTIF(DATOS_CONEX!$B$7:$B$4000,A56)&gt;0,"Cargado",IF(DATE(2026,11,1)&gt;TODAY(),"","Falta EDP"))</f>
        <v/>
      </c>
      <c r="C56" s="19" t="str">
        <f>IF(COUNTIFS(DATOS_CONEX!$G$7:$G$4000,"&gt;="&amp;DATE(2026,11,1),DATOS_CONEX!$G$7:$G$4000,"&lt;"&amp;DATE(2026,12,1),DATOS_CONEX!$I$7:$I$4000,"Sí")=0,"",COUNTIFS(DATOS_CONEX!$G$7:$G$4000,"&gt;="&amp;DATE(2026,11,1),DATOS_CONEX!$G$7:$G$4000,"&lt;"&amp;DATE(2026,12,1),DATOS_CONEX!$I$7:$I$4000,"Sí"))</f>
        <v/>
      </c>
      <c r="D56" s="19" t="str">
        <f>IF(C56="","",MAX(_xlfn.MAXIFS(DATOS_CONEX!$L$7:$L$4000,DATOS_CONEX!$F$7:$F$4000,"&gt;="&amp;DATE(2026,11,1),DATOS_CONEX!$F$7:$F$4000,"&lt;"&amp;DATE(2026,12,1)),COUNTIFS(DATOS_CONEX!$F$7:$F$4000,"&lt;="&amp;DATE(2026,11,1),DATOS_CONEX!$G$7:$G$4000,"&gt;"&amp;DATE(2026,11,1),DATOS_CONEX!$I$7:$I$4000,"Sí")))</f>
        <v/>
      </c>
      <c r="E56" s="101" t="str">
        <f>IF(D56="","",IFERROR(INDEX(DATOS_CONEX!$F$7:$F$4000,MATCH(A56&amp;"|"&amp;D56,DATOS_CONEX!$N$7:$N$4000,0)),"Inicio de mes"))</f>
        <v/>
      </c>
      <c r="F56" s="18" t="str">
        <f>IF(D56="","",IFERROR(INDEX(DATOS_CONEX!$C$7:$C$4000,MATCH(A56&amp;"|"&amp;D56,DATOS_CONEX!$N$7:$N$4000,0)),"-"))</f>
        <v/>
      </c>
      <c r="G56" s="21" t="str">
        <f>IF(C56="","",SUMPRODUCT((DATOS_CONEX!$I$7:$I$4000="Sí")*(((DATOS_CONEX!$G$7:$G$4000+DATE(2026,12,1)-ABS(DATOS_CONEX!$G$7:$G$4000-DATE(2026,12,1)))/2-(DATOS_CONEX!$F$7:$F$4000+DATE(2026,11,1)+ABS(DATOS_CONEX!$F$7:$F$4000-DATE(2026,11,1)))/2)+ABS(((DATOS_CONEX!$G$7:$G$4000+DATE(2026,12,1)-ABS(DATOS_CONEX!$G$7:$G$4000-DATE(2026,12,1)))/2-(DATOS_CONEX!$F$7:$F$4000+DATE(2026,11,1)+ABS(DATOS_CONEX!$F$7:$F$4000-DATE(2026,11,1)))/2)))/2)/(DATE(2026,12,1)-DATE(2026,11,1)))</f>
        <v/>
      </c>
      <c r="H56" s="21" t="str">
        <f>IF(C56="","",SUMPRODUCT((DATOS_CONEX!$I$7:$I$4000="Sí")*(((DATOS_CONEX!$G$7:$G$4000+DATE(2026,12,1)-ABS(DATOS_CONEX!$G$7:$G$4000-DATE(2026,12,1)))/2-(DATOS_CONEX!$F$7:$F$4000+DATE(2026,11,1)+ABS(DATOS_CONEX!$F$7:$F$4000-DATE(2026,11,1)))/2)+ABS(((DATOS_CONEX!$G$7:$G$4000+DATE(2026,12,1)-ABS(DATOS_CONEX!$G$7:$G$4000-DATE(2026,12,1)))/2-(DATOS_CONEX!$F$7:$F$4000+DATE(2026,11,1)+ABS(DATOS_CONEX!$F$7:$F$4000-DATE(2026,11,1)))/2)))/2))</f>
        <v/>
      </c>
    </row>
    <row r="57" spans="1:8" ht="19.5" customHeight="1" x14ac:dyDescent="0.25">
      <c r="A57" s="18" t="s">
        <v>45</v>
      </c>
      <c r="B57" s="26" t="str">
        <f ca="1">IF(COUNTIF(DATOS_CONEX!$B$7:$B$4000,A57)&gt;0,"Cargado",IF(DATE(2026,12,1)&gt;TODAY(),"","Falta EDP"))</f>
        <v/>
      </c>
      <c r="C57" s="19" t="str">
        <f>IF(COUNTIFS(DATOS_CONEX!$G$7:$G$4000,"&gt;="&amp;DATE(2026,12,1),DATOS_CONEX!$G$7:$G$4000,"&lt;"&amp;DATE(2026,13,1),DATOS_CONEX!$I$7:$I$4000,"Sí")=0,"",COUNTIFS(DATOS_CONEX!$G$7:$G$4000,"&gt;="&amp;DATE(2026,12,1),DATOS_CONEX!$G$7:$G$4000,"&lt;"&amp;DATE(2026,13,1),DATOS_CONEX!$I$7:$I$4000,"Sí"))</f>
        <v/>
      </c>
      <c r="D57" s="19" t="str">
        <f>IF(C57="","",MAX(_xlfn.MAXIFS(DATOS_CONEX!$L$7:$L$4000,DATOS_CONEX!$F$7:$F$4000,"&gt;="&amp;DATE(2026,12,1),DATOS_CONEX!$F$7:$F$4000,"&lt;"&amp;DATE(2026,13,1)),COUNTIFS(DATOS_CONEX!$F$7:$F$4000,"&lt;="&amp;DATE(2026,12,1),DATOS_CONEX!$G$7:$G$4000,"&gt;"&amp;DATE(2026,12,1),DATOS_CONEX!$I$7:$I$4000,"Sí")))</f>
        <v/>
      </c>
      <c r="E57" s="101" t="str">
        <f>IF(D57="","",IFERROR(INDEX(DATOS_CONEX!$F$7:$F$4000,MATCH(A57&amp;"|"&amp;D57,DATOS_CONEX!$N$7:$N$4000,0)),"Inicio de mes"))</f>
        <v/>
      </c>
      <c r="F57" s="18" t="str">
        <f>IF(D57="","",IFERROR(INDEX(DATOS_CONEX!$C$7:$C$4000,MATCH(A57&amp;"|"&amp;D57,DATOS_CONEX!$N$7:$N$4000,0)),"-"))</f>
        <v/>
      </c>
      <c r="G57" s="21" t="str">
        <f>IF(C57="","",SUMPRODUCT((DATOS_CONEX!$I$7:$I$4000="Sí")*(((DATOS_CONEX!$G$7:$G$4000+DATE(2026,13,1)-ABS(DATOS_CONEX!$G$7:$G$4000-DATE(2026,13,1)))/2-(DATOS_CONEX!$F$7:$F$4000+DATE(2026,12,1)+ABS(DATOS_CONEX!$F$7:$F$4000-DATE(2026,12,1)))/2)+ABS(((DATOS_CONEX!$G$7:$G$4000+DATE(2026,13,1)-ABS(DATOS_CONEX!$G$7:$G$4000-DATE(2026,13,1)))/2-(DATOS_CONEX!$F$7:$F$4000+DATE(2026,12,1)+ABS(DATOS_CONEX!$F$7:$F$4000-DATE(2026,12,1)))/2)))/2)/(DATE(2026,13,1)-DATE(2026,12,1)))</f>
        <v/>
      </c>
      <c r="H57" s="21" t="str">
        <f>IF(C57="","",SUMPRODUCT((DATOS_CONEX!$I$7:$I$4000="Sí")*(((DATOS_CONEX!$G$7:$G$4000+DATE(2026,13,1)-ABS(DATOS_CONEX!$G$7:$G$4000-DATE(2026,13,1)))/2-(DATOS_CONEX!$F$7:$F$4000+DATE(2026,12,1)+ABS(DATOS_CONEX!$F$7:$F$4000-DATE(2026,12,1)))/2)+ABS(((DATOS_CONEX!$G$7:$G$4000+DATE(2026,13,1)-ABS(DATOS_CONEX!$G$7:$G$4000-DATE(2026,13,1)))/2-(DATOS_CONEX!$F$7:$F$4000+DATE(2026,12,1)+ABS(DATOS_CONEX!$F$7:$F$4000-DATE(2026,12,1)))/2)))/2))</f>
        <v/>
      </c>
    </row>
  </sheetData>
  <mergeCells count="23">
    <mergeCell ref="I7:J7"/>
    <mergeCell ref="K7:L7"/>
    <mergeCell ref="A1:S1"/>
    <mergeCell ref="A2:S2"/>
    <mergeCell ref="B4:C4"/>
    <mergeCell ref="I4:K4"/>
    <mergeCell ref="M4:N4"/>
    <mergeCell ref="M7:N7"/>
    <mergeCell ref="O7:P7"/>
    <mergeCell ref="A44:H44"/>
    <mergeCell ref="A42:S42"/>
    <mergeCell ref="A6:B6"/>
    <mergeCell ref="C6:D6"/>
    <mergeCell ref="E6:F6"/>
    <mergeCell ref="G6:H6"/>
    <mergeCell ref="I6:J6"/>
    <mergeCell ref="K6:L6"/>
    <mergeCell ref="M6:N6"/>
    <mergeCell ref="O6:P6"/>
    <mergeCell ref="A7:B7"/>
    <mergeCell ref="C7:D7"/>
    <mergeCell ref="E7:F7"/>
    <mergeCell ref="G7:H7"/>
  </mergeCells>
  <conditionalFormatting sqref="B46:B57">
    <cfRule type="cellIs" dxfId="43" priority="1" operator="equal">
      <formula>"Falta EDP"</formula>
    </cfRule>
    <cfRule type="cellIs" dxfId="42" priority="2" operator="equal">
      <formula>"Cargado"</formula>
    </cfRule>
  </conditionalFormatting>
  <conditionalFormatting sqref="D10:D40">
    <cfRule type="cellIs" dxfId="41" priority="3" operator="greaterThanOrEqual">
      <formula>$F$4</formula>
    </cfRule>
  </conditionalFormatting>
  <dataValidations count="2">
    <dataValidation type="list" allowBlank="1" showInputMessage="1" promptTitle="Mes" prompt="Elige el mes" sqref="B4:C4" xr:uid="{00000000-0002-0000-0200-000000000000}">
      <formula1>"Enero,Febrero,Marzo,Abril,Mayo,Junio,Julio,Agosto,Septiembre,Octubre,Noviembre,Diciembre"</formula1>
    </dataValidation>
    <dataValidation type="whole" operator="greaterThan" allowBlank="1" sqref="F4" xr:uid="{00000000-0002-0000-0200-000001000000}">
      <formula1>0</formula1>
    </dataValidation>
  </dataValidations>
  <pageMargins left="0.5" right="0.5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C32B-9C06-41EE-8C6F-52CECFD44EAF}">
  <dimension ref="A1:AH53"/>
  <sheetViews>
    <sheetView showGridLines="0" topLeftCell="A4" zoomScale="50" zoomScaleNormal="50" workbookViewId="0">
      <selection activeCell="R5" sqref="R5"/>
    </sheetView>
  </sheetViews>
  <sheetFormatPr baseColWidth="10" defaultColWidth="8.7265625" defaultRowHeight="12.5" x14ac:dyDescent="0.25"/>
  <cols>
    <col min="1" max="1" width="22" customWidth="1"/>
    <col min="2" max="32" width="6.6328125" customWidth="1"/>
    <col min="34" max="34" width="6" hidden="1" customWidth="1"/>
  </cols>
  <sheetData>
    <row r="1" spans="1:34" ht="30" customHeight="1" x14ac:dyDescent="0.25">
      <c r="A1" s="132" t="s">
        <v>325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2"/>
      <c r="AE1" s="132"/>
      <c r="AF1" s="132"/>
    </row>
    <row r="2" spans="1:34" ht="24" customHeight="1" x14ac:dyDescent="0.25">
      <c r="A2" s="133" t="s">
        <v>326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</row>
    <row r="4" spans="1:34" ht="22" customHeight="1" x14ac:dyDescent="0.25">
      <c r="A4" s="93" t="s">
        <v>271</v>
      </c>
      <c r="B4" s="143" t="s">
        <v>42</v>
      </c>
      <c r="C4" s="143"/>
      <c r="D4" s="143"/>
      <c r="E4" s="143"/>
      <c r="F4" s="143"/>
      <c r="H4" s="135" t="s">
        <v>298</v>
      </c>
      <c r="I4" s="135"/>
      <c r="J4" s="135"/>
      <c r="K4" s="146" t="str">
        <f>IF(COUNTIF(DATOS_CONEX!$B$7:$B$4000,$B$4)=0,"Falta EDP","Cargado ("&amp;COUNTIFS(DATOS_CONEX!$B$7:$B$4000,$B$4,DATOS_CONEX!$I$7:$I$4000,"Sí")&amp;" válidos)")</f>
        <v>Cargado (1146 válidos)</v>
      </c>
      <c r="L4" s="146"/>
      <c r="M4" s="146"/>
      <c r="N4" s="146"/>
      <c r="O4" s="146"/>
      <c r="P4" s="146"/>
      <c r="R4" s="135" t="s">
        <v>327</v>
      </c>
      <c r="S4" s="135"/>
      <c r="T4" s="135"/>
      <c r="U4" s="127">
        <f>MAX(B47:AF47)</f>
        <v>415</v>
      </c>
      <c r="V4" s="127"/>
      <c r="X4" s="135" t="s">
        <v>328</v>
      </c>
      <c r="Y4" s="135"/>
      <c r="Z4" s="135"/>
      <c r="AA4" s="127">
        <f>MAX(B48:AF48)</f>
        <v>8</v>
      </c>
      <c r="AB4" s="127"/>
      <c r="AH4" s="1">
        <f>MATCH($B$4,{"Enero","Febrero","Marzo","Abril","Mayo","Junio","Julio","Agosto","Septiembre","Octubre","Noviembre","Diciembre"},0)</f>
        <v>9</v>
      </c>
    </row>
    <row r="42" spans="1:32" ht="21.75" customHeight="1" x14ac:dyDescent="0.25">
      <c r="A42" s="136" t="s">
        <v>329</v>
      </c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</row>
    <row r="43" spans="1:32" ht="21" customHeight="1" x14ac:dyDescent="0.25">
      <c r="A43" s="112" t="s">
        <v>309</v>
      </c>
      <c r="B43" s="112">
        <f t="shared" ref="B43:AF43" si="0">IF(B$52="","",DAY(B$52))</f>
        <v>1</v>
      </c>
      <c r="C43" s="112">
        <f t="shared" si="0"/>
        <v>2</v>
      </c>
      <c r="D43" s="112">
        <f t="shared" si="0"/>
        <v>3</v>
      </c>
      <c r="E43" s="112">
        <f t="shared" si="0"/>
        <v>4</v>
      </c>
      <c r="F43" s="112">
        <f t="shared" si="0"/>
        <v>5</v>
      </c>
      <c r="G43" s="112">
        <f t="shared" si="0"/>
        <v>6</v>
      </c>
      <c r="H43" s="112">
        <f t="shared" si="0"/>
        <v>7</v>
      </c>
      <c r="I43" s="112">
        <f t="shared" si="0"/>
        <v>8</v>
      </c>
      <c r="J43" s="112">
        <f t="shared" si="0"/>
        <v>9</v>
      </c>
      <c r="K43" s="112">
        <f t="shared" si="0"/>
        <v>10</v>
      </c>
      <c r="L43" s="112">
        <f t="shared" si="0"/>
        <v>11</v>
      </c>
      <c r="M43" s="112">
        <f t="shared" si="0"/>
        <v>12</v>
      </c>
      <c r="N43" s="112">
        <f t="shared" si="0"/>
        <v>13</v>
      </c>
      <c r="O43" s="112">
        <f t="shared" si="0"/>
        <v>14</v>
      </c>
      <c r="P43" s="112">
        <f t="shared" si="0"/>
        <v>15</v>
      </c>
      <c r="Q43" s="112">
        <f t="shared" si="0"/>
        <v>16</v>
      </c>
      <c r="R43" s="112">
        <f t="shared" si="0"/>
        <v>17</v>
      </c>
      <c r="S43" s="112">
        <f t="shared" si="0"/>
        <v>18</v>
      </c>
      <c r="T43" s="112">
        <f t="shared" si="0"/>
        <v>19</v>
      </c>
      <c r="U43" s="112">
        <f t="shared" si="0"/>
        <v>20</v>
      </c>
      <c r="V43" s="112">
        <f t="shared" si="0"/>
        <v>21</v>
      </c>
      <c r="W43" s="112">
        <f t="shared" si="0"/>
        <v>22</v>
      </c>
      <c r="X43" s="112">
        <f t="shared" si="0"/>
        <v>23</v>
      </c>
      <c r="Y43" s="112">
        <f t="shared" si="0"/>
        <v>24</v>
      </c>
      <c r="Z43" s="112">
        <f t="shared" si="0"/>
        <v>25</v>
      </c>
      <c r="AA43" s="112">
        <f t="shared" si="0"/>
        <v>26</v>
      </c>
      <c r="AB43" s="112">
        <f t="shared" si="0"/>
        <v>27</v>
      </c>
      <c r="AC43" s="112">
        <f t="shared" si="0"/>
        <v>28</v>
      </c>
      <c r="AD43" s="112">
        <f t="shared" si="0"/>
        <v>29</v>
      </c>
      <c r="AE43" s="112">
        <f t="shared" si="0"/>
        <v>30</v>
      </c>
      <c r="AF43" s="112" t="str">
        <f t="shared" si="0"/>
        <v/>
      </c>
    </row>
    <row r="44" spans="1:32" ht="21" customHeight="1" x14ac:dyDescent="0.25">
      <c r="A44" s="105" t="s">
        <v>310</v>
      </c>
      <c r="B44" s="110">
        <f>IF(B$52="","",COUNTIFS(DATOS_CONEX!$F$7:$F$4000,"&lt;="&amp;B$52,DATOS_CONEX!$G$7:$G$4000,"&gt;"&amp;B$52,DATOS_CONEX!$I$7:$I$4000,"Sí"))</f>
        <v>31</v>
      </c>
      <c r="C44" s="110">
        <f>IF(C$52="","",COUNTIFS(DATOS_CONEX!$F$7:$F$4000,"&lt;="&amp;C$52,DATOS_CONEX!$G$7:$G$4000,"&gt;"&amp;C$52,DATOS_CONEX!$I$7:$I$4000,"Sí"))</f>
        <v>37</v>
      </c>
      <c r="D44" s="110">
        <f>IF(D$52="","",COUNTIFS(DATOS_CONEX!$F$7:$F$4000,"&lt;="&amp;D$52,DATOS_CONEX!$G$7:$G$4000,"&gt;"&amp;D$52,DATOS_CONEX!$I$7:$I$4000,"Sí"))</f>
        <v>173</v>
      </c>
      <c r="E44" s="110">
        <f>IF(E$52="","",COUNTIFS(DATOS_CONEX!$F$7:$F$4000,"&lt;="&amp;E$52,DATOS_CONEX!$G$7:$G$4000,"&gt;"&amp;E$52,DATOS_CONEX!$I$7:$I$4000,"Sí"))</f>
        <v>306</v>
      </c>
      <c r="F44" s="110">
        <f>IF(F$52="","",COUNTIFS(DATOS_CONEX!$F$7:$F$4000,"&lt;="&amp;F$52,DATOS_CONEX!$G$7:$G$4000,"&gt;"&amp;F$52,DATOS_CONEX!$I$7:$I$4000,"Sí"))</f>
        <v>307</v>
      </c>
      <c r="G44" s="110">
        <f>IF(G$52="","",COUNTIFS(DATOS_CONEX!$F$7:$F$4000,"&lt;="&amp;G$52,DATOS_CONEX!$G$7:$G$4000,"&gt;"&amp;G$52,DATOS_CONEX!$I$7:$I$4000,"Sí"))</f>
        <v>53</v>
      </c>
      <c r="H44" s="110">
        <f>IF(H$52="","",COUNTIFS(DATOS_CONEX!$F$7:$F$4000,"&lt;="&amp;H$52,DATOS_CONEX!$G$7:$G$4000,"&gt;"&amp;H$52,DATOS_CONEX!$I$7:$I$4000,"Sí"))</f>
        <v>43</v>
      </c>
      <c r="I44" s="110">
        <f>IF(I$52="","",COUNTIFS(DATOS_CONEX!$F$7:$F$4000,"&lt;="&amp;I$52,DATOS_CONEX!$G$7:$G$4000,"&gt;"&amp;I$52,DATOS_CONEX!$I$7:$I$4000,"Sí"))</f>
        <v>43</v>
      </c>
      <c r="J44" s="110">
        <f>IF(J$52="","",COUNTIFS(DATOS_CONEX!$F$7:$F$4000,"&lt;="&amp;J$52,DATOS_CONEX!$G$7:$G$4000,"&gt;"&amp;J$52,DATOS_CONEX!$I$7:$I$4000,"Sí"))</f>
        <v>51</v>
      </c>
      <c r="K44" s="110">
        <f>IF(K$52="","",COUNTIFS(DATOS_CONEX!$F$7:$F$4000,"&lt;="&amp;K$52,DATOS_CONEX!$G$7:$G$4000,"&gt;"&amp;K$52,DATOS_CONEX!$I$7:$I$4000,"Sí"))</f>
        <v>41</v>
      </c>
      <c r="L44" s="110">
        <f>IF(L$52="","",COUNTIFS(DATOS_CONEX!$F$7:$F$4000,"&lt;="&amp;L$52,DATOS_CONEX!$G$7:$G$4000,"&gt;"&amp;L$52,DATOS_CONEX!$I$7:$I$4000,"Sí"))</f>
        <v>232</v>
      </c>
      <c r="M44" s="110">
        <f>IF(M$52="","",COUNTIFS(DATOS_CONEX!$F$7:$F$4000,"&lt;="&amp;M$52,DATOS_CONEX!$G$7:$G$4000,"&gt;"&amp;M$52,DATOS_CONEX!$I$7:$I$4000,"Sí"))</f>
        <v>240</v>
      </c>
      <c r="N44" s="110">
        <f>IF(N$52="","",COUNTIFS(DATOS_CONEX!$F$7:$F$4000,"&lt;="&amp;N$52,DATOS_CONEX!$G$7:$G$4000,"&gt;"&amp;N$52,DATOS_CONEX!$I$7:$I$4000,"Sí"))</f>
        <v>84</v>
      </c>
      <c r="O44" s="110">
        <f>IF(O$52="","",COUNTIFS(DATOS_CONEX!$F$7:$F$4000,"&lt;="&amp;O$52,DATOS_CONEX!$G$7:$G$4000,"&gt;"&amp;O$52,DATOS_CONEX!$I$7:$I$4000,"Sí"))</f>
        <v>33</v>
      </c>
      <c r="P44" s="110">
        <f>IF(P$52="","",COUNTIFS(DATOS_CONEX!$F$7:$F$4000,"&lt;="&amp;P$52,DATOS_CONEX!$G$7:$G$4000,"&gt;"&amp;P$52,DATOS_CONEX!$I$7:$I$4000,"Sí"))</f>
        <v>38</v>
      </c>
      <c r="Q44" s="110">
        <f>IF(Q$52="","",COUNTIFS(DATOS_CONEX!$F$7:$F$4000,"&lt;="&amp;Q$52,DATOS_CONEX!$G$7:$G$4000,"&gt;"&amp;Q$52,DATOS_CONEX!$I$7:$I$4000,"Sí"))</f>
        <v>44</v>
      </c>
      <c r="R44" s="110">
        <f>IF(R$52="","",COUNTIFS(DATOS_CONEX!$F$7:$F$4000,"&lt;="&amp;R$52,DATOS_CONEX!$G$7:$G$4000,"&gt;"&amp;R$52,DATOS_CONEX!$I$7:$I$4000,"Sí"))</f>
        <v>45</v>
      </c>
      <c r="S44" s="110">
        <f>IF(S$52="","",COUNTIFS(DATOS_CONEX!$F$7:$F$4000,"&lt;="&amp;S$52,DATOS_CONEX!$G$7:$G$4000,"&gt;"&amp;S$52,DATOS_CONEX!$I$7:$I$4000,"Sí"))</f>
        <v>191</v>
      </c>
      <c r="T44" s="110">
        <f>IF(T$52="","",COUNTIFS(DATOS_CONEX!$F$7:$F$4000,"&lt;="&amp;T$52,DATOS_CONEX!$G$7:$G$4000,"&gt;"&amp;T$52,DATOS_CONEX!$I$7:$I$4000,"Sí"))</f>
        <v>131</v>
      </c>
      <c r="U44" s="110">
        <f>IF(U$52="","",COUNTIFS(DATOS_CONEX!$F$7:$F$4000,"&lt;="&amp;U$52,DATOS_CONEX!$G$7:$G$4000,"&gt;"&amp;U$52,DATOS_CONEX!$I$7:$I$4000,"Sí"))</f>
        <v>12</v>
      </c>
      <c r="V44" s="110">
        <f>IF(V$52="","",COUNTIFS(DATOS_CONEX!$F$7:$F$4000,"&lt;="&amp;V$52,DATOS_CONEX!$G$7:$G$4000,"&gt;"&amp;V$52,DATOS_CONEX!$I$7:$I$4000,"Sí"))</f>
        <v>10</v>
      </c>
      <c r="W44" s="110">
        <f>IF(W$52="","",COUNTIFS(DATOS_CONEX!$F$7:$F$4000,"&lt;="&amp;W$52,DATOS_CONEX!$G$7:$G$4000,"&gt;"&amp;W$52,DATOS_CONEX!$I$7:$I$4000,"Sí"))</f>
        <v>29</v>
      </c>
      <c r="X44" s="110">
        <f>IF(X$52="","",COUNTIFS(DATOS_CONEX!$F$7:$F$4000,"&lt;="&amp;X$52,DATOS_CONEX!$G$7:$G$4000,"&gt;"&amp;X$52,DATOS_CONEX!$I$7:$I$4000,"Sí"))</f>
        <v>29</v>
      </c>
      <c r="Y44" s="110">
        <f>IF(Y$52="","",COUNTIFS(DATOS_CONEX!$F$7:$F$4000,"&lt;="&amp;Y$52,DATOS_CONEX!$G$7:$G$4000,"&gt;"&amp;Y$52,DATOS_CONEX!$I$7:$I$4000,"Sí"))</f>
        <v>29</v>
      </c>
      <c r="Z44" s="110">
        <f>IF(Z$52="","",COUNTIFS(DATOS_CONEX!$F$7:$F$4000,"&lt;="&amp;Z$52,DATOS_CONEX!$G$7:$G$4000,"&gt;"&amp;Z$52,DATOS_CONEX!$I$7:$I$4000,"Sí"))</f>
        <v>114</v>
      </c>
      <c r="AA44" s="110">
        <f>IF(AA$52="","",COUNTIFS(DATOS_CONEX!$F$7:$F$4000,"&lt;="&amp;AA$52,DATOS_CONEX!$G$7:$G$4000,"&gt;"&amp;AA$52,DATOS_CONEX!$I$7:$I$4000,"Sí"))</f>
        <v>400</v>
      </c>
      <c r="AB44" s="110">
        <f>IF(AB$52="","",COUNTIFS(DATOS_CONEX!$F$7:$F$4000,"&lt;="&amp;AB$52,DATOS_CONEX!$G$7:$G$4000,"&gt;"&amp;AB$52,DATOS_CONEX!$I$7:$I$4000,"Sí"))</f>
        <v>324</v>
      </c>
      <c r="AC44" s="110">
        <f>IF(AC$52="","",COUNTIFS(DATOS_CONEX!$F$7:$F$4000,"&lt;="&amp;AC$52,DATOS_CONEX!$G$7:$G$4000,"&gt;"&amp;AC$52,DATOS_CONEX!$I$7:$I$4000,"Sí"))</f>
        <v>1</v>
      </c>
      <c r="AD44" s="110">
        <f>IF(AD$52="","",COUNTIFS(DATOS_CONEX!$F$7:$F$4000,"&lt;="&amp;AD$52,DATOS_CONEX!$G$7:$G$4000,"&gt;"&amp;AD$52,DATOS_CONEX!$I$7:$I$4000,"Sí"))</f>
        <v>2</v>
      </c>
      <c r="AE44" s="110">
        <f>IF(AE$52="","",COUNTIFS(DATOS_CONEX!$F$7:$F$4000,"&lt;="&amp;AE$52,DATOS_CONEX!$G$7:$G$4000,"&gt;"&amp;AE$52,DATOS_CONEX!$I$7:$I$4000,"Sí"))</f>
        <v>1</v>
      </c>
      <c r="AF44" s="110" t="str">
        <f>IF(AF$52="","",COUNTIFS(DATOS_CONEX!$F$7:$F$4000,"&lt;="&amp;AF$52,DATOS_CONEX!$G$7:$G$4000,"&gt;"&amp;AF$52,DATOS_CONEX!$I$7:$I$4000,"Sí"))</f>
        <v/>
      </c>
    </row>
    <row r="45" spans="1:32" ht="21" customHeight="1" x14ac:dyDescent="0.25">
      <c r="A45" s="106" t="s">
        <v>330</v>
      </c>
      <c r="B45" s="110">
        <f>IF(B$52="","",COUNTIFS(DATOS_CONEX!$F$7:$F$4000,"&gt;"&amp;B$52,DATOS_CONEX!$F$7:$F$4000,"&lt;"&amp;(B$52+1),DATOS_CONEX!$I$7:$I$4000,"Sí"))</f>
        <v>6</v>
      </c>
      <c r="C45" s="110">
        <f>IF(C$52="","",COUNTIFS(DATOS_CONEX!$F$7:$F$4000,"&gt;"&amp;C$52,DATOS_CONEX!$F$7:$F$4000,"&lt;"&amp;(C$52+1),DATOS_CONEX!$I$7:$I$4000,"Sí"))</f>
        <v>141</v>
      </c>
      <c r="D45" s="110">
        <f>IF(D$52="","",COUNTIFS(DATOS_CONEX!$F$7:$F$4000,"&gt;"&amp;D$52,DATOS_CONEX!$F$7:$F$4000,"&lt;"&amp;(D$52+1),DATOS_CONEX!$I$7:$I$4000,"Sí"))</f>
        <v>133</v>
      </c>
      <c r="E45" s="110">
        <f>IF(E$52="","",COUNTIFS(DATOS_CONEX!$F$7:$F$4000,"&gt;"&amp;E$52,DATOS_CONEX!$F$7:$F$4000,"&lt;"&amp;(E$52+1),DATOS_CONEX!$I$7:$I$4000,"Sí"))</f>
        <v>1</v>
      </c>
      <c r="F45" s="110">
        <f>IF(F$52="","",COUNTIFS(DATOS_CONEX!$F$7:$F$4000,"&gt;"&amp;F$52,DATOS_CONEX!$F$7:$F$4000,"&lt;"&amp;(F$52+1),DATOS_CONEX!$I$7:$I$4000,"Sí"))</f>
        <v>13</v>
      </c>
      <c r="G45" s="110">
        <f>IF(G$52="","",COUNTIFS(DATOS_CONEX!$F$7:$F$4000,"&gt;"&amp;G$52,DATOS_CONEX!$F$7:$F$4000,"&lt;"&amp;(G$52+1),DATOS_CONEX!$I$7:$I$4000,"Sí"))</f>
        <v>0</v>
      </c>
      <c r="H45" s="110">
        <f>IF(H$52="","",COUNTIFS(DATOS_CONEX!$F$7:$F$4000,"&gt;"&amp;H$52,DATOS_CONEX!$F$7:$F$4000,"&lt;"&amp;(H$52+1),DATOS_CONEX!$I$7:$I$4000,"Sí"))</f>
        <v>4</v>
      </c>
      <c r="I45" s="110">
        <f>IF(I$52="","",COUNTIFS(DATOS_CONEX!$F$7:$F$4000,"&gt;"&amp;I$52,DATOS_CONEX!$F$7:$F$4000,"&lt;"&amp;(I$52+1),DATOS_CONEX!$I$7:$I$4000,"Sí"))</f>
        <v>11</v>
      </c>
      <c r="J45" s="110">
        <f>IF(J$52="","",COUNTIFS(DATOS_CONEX!$F$7:$F$4000,"&gt;"&amp;J$52,DATOS_CONEX!$F$7:$F$4000,"&lt;"&amp;(J$52+1),DATOS_CONEX!$I$7:$I$4000,"Sí"))</f>
        <v>3</v>
      </c>
      <c r="K45" s="110">
        <f>IF(K$52="","",COUNTIFS(DATOS_CONEX!$F$7:$F$4000,"&gt;"&amp;K$52,DATOS_CONEX!$F$7:$F$4000,"&lt;"&amp;(K$52+1),DATOS_CONEX!$I$7:$I$4000,"Sí"))</f>
        <v>197</v>
      </c>
      <c r="L45" s="110">
        <f>IF(L$52="","",COUNTIFS(DATOS_CONEX!$F$7:$F$4000,"&gt;"&amp;L$52,DATOS_CONEX!$F$7:$F$4000,"&lt;"&amp;(L$52+1),DATOS_CONEX!$I$7:$I$4000,"Sí"))</f>
        <v>10</v>
      </c>
      <c r="M45" s="110">
        <f>IF(M$52="","",COUNTIFS(DATOS_CONEX!$F$7:$F$4000,"&gt;"&amp;M$52,DATOS_CONEX!$F$7:$F$4000,"&lt;"&amp;(M$52+1),DATOS_CONEX!$I$7:$I$4000,"Sí"))</f>
        <v>4</v>
      </c>
      <c r="N45" s="110">
        <f>IF(N$52="","",COUNTIFS(DATOS_CONEX!$F$7:$F$4000,"&gt;"&amp;N$52,DATOS_CONEX!$F$7:$F$4000,"&lt;"&amp;(N$52+1),DATOS_CONEX!$I$7:$I$4000,"Sí"))</f>
        <v>0</v>
      </c>
      <c r="O45" s="110">
        <f>IF(O$52="","",COUNTIFS(DATOS_CONEX!$F$7:$F$4000,"&gt;"&amp;O$52,DATOS_CONEX!$F$7:$F$4000,"&lt;"&amp;(O$52+1),DATOS_CONEX!$I$7:$I$4000,"Sí"))</f>
        <v>5</v>
      </c>
      <c r="P45" s="110">
        <f>IF(P$52="","",COUNTIFS(DATOS_CONEX!$F$7:$F$4000,"&gt;"&amp;P$52,DATOS_CONEX!$F$7:$F$4000,"&lt;"&amp;(P$52+1),DATOS_CONEX!$I$7:$I$4000,"Sí"))</f>
        <v>7</v>
      </c>
      <c r="Q45" s="110">
        <f>IF(Q$52="","",COUNTIFS(DATOS_CONEX!$F$7:$F$4000,"&gt;"&amp;Q$52,DATOS_CONEX!$F$7:$F$4000,"&lt;"&amp;(Q$52+1),DATOS_CONEX!$I$7:$I$4000,"Sí"))</f>
        <v>1</v>
      </c>
      <c r="R45" s="110">
        <f>IF(R$52="","",COUNTIFS(DATOS_CONEX!$F$7:$F$4000,"&gt;"&amp;R$52,DATOS_CONEX!$F$7:$F$4000,"&lt;"&amp;(R$52+1),DATOS_CONEX!$I$7:$I$4000,"Sí"))</f>
        <v>165</v>
      </c>
      <c r="S45" s="110">
        <f>IF(S$52="","",COUNTIFS(DATOS_CONEX!$F$7:$F$4000,"&gt;"&amp;S$52,DATOS_CONEX!$F$7:$F$4000,"&lt;"&amp;(S$52+1),DATOS_CONEX!$I$7:$I$4000,"Sí"))</f>
        <v>0</v>
      </c>
      <c r="T45" s="110">
        <f>IF(T$52="","",COUNTIFS(DATOS_CONEX!$F$7:$F$4000,"&gt;"&amp;T$52,DATOS_CONEX!$F$7:$F$4000,"&lt;"&amp;(T$52+1),DATOS_CONEX!$I$7:$I$4000,"Sí"))</f>
        <v>6</v>
      </c>
      <c r="U45" s="110">
        <f>IF(U$52="","",COUNTIFS(DATOS_CONEX!$F$7:$F$4000,"&gt;"&amp;U$52,DATOS_CONEX!$F$7:$F$4000,"&lt;"&amp;(U$52+1),DATOS_CONEX!$I$7:$I$4000,"Sí"))</f>
        <v>0</v>
      </c>
      <c r="V45" s="110">
        <f>IF(V$52="","",COUNTIFS(DATOS_CONEX!$F$7:$F$4000,"&gt;"&amp;V$52,DATOS_CONEX!$F$7:$F$4000,"&lt;"&amp;(V$52+1),DATOS_CONEX!$I$7:$I$4000,"Sí"))</f>
        <v>19</v>
      </c>
      <c r="W45" s="110">
        <f>IF(W$52="","",COUNTIFS(DATOS_CONEX!$F$7:$F$4000,"&gt;"&amp;W$52,DATOS_CONEX!$F$7:$F$4000,"&lt;"&amp;(W$52+1),DATOS_CONEX!$I$7:$I$4000,"Sí"))</f>
        <v>0</v>
      </c>
      <c r="X45" s="110">
        <f>IF(X$52="","",COUNTIFS(DATOS_CONEX!$F$7:$F$4000,"&gt;"&amp;X$52,DATOS_CONEX!$F$7:$F$4000,"&lt;"&amp;(X$52+1),DATOS_CONEX!$I$7:$I$4000,"Sí"))</f>
        <v>0</v>
      </c>
      <c r="Y45" s="110">
        <f>IF(Y$52="","",COUNTIFS(DATOS_CONEX!$F$7:$F$4000,"&gt;"&amp;Y$52,DATOS_CONEX!$F$7:$F$4000,"&lt;"&amp;(Y$52+1),DATOS_CONEX!$I$7:$I$4000,"Sí"))</f>
        <v>85</v>
      </c>
      <c r="Z45" s="110">
        <f>IF(Z$52="","",COUNTIFS(DATOS_CONEX!$F$7:$F$4000,"&gt;"&amp;Z$52,DATOS_CONEX!$F$7:$F$4000,"&lt;"&amp;(Z$52+1),DATOS_CONEX!$I$7:$I$4000,"Sí"))</f>
        <v>301</v>
      </c>
      <c r="AA45" s="110">
        <f>IF(AA$52="","",COUNTIFS(DATOS_CONEX!$F$7:$F$4000,"&gt;"&amp;AA$52,DATOS_CONEX!$F$7:$F$4000,"&lt;"&amp;(AA$52+1),DATOS_CONEX!$I$7:$I$4000,"Sí"))</f>
        <v>0</v>
      </c>
      <c r="AB45" s="110">
        <f>IF(AB$52="","",COUNTIFS(DATOS_CONEX!$F$7:$F$4000,"&gt;"&amp;AB$52,DATOS_CONEX!$F$7:$F$4000,"&lt;"&amp;(AB$52+1),DATOS_CONEX!$I$7:$I$4000,"Sí"))</f>
        <v>0</v>
      </c>
      <c r="AC45" s="110">
        <f>IF(AC$52="","",COUNTIFS(DATOS_CONEX!$F$7:$F$4000,"&gt;"&amp;AC$52,DATOS_CONEX!$F$7:$F$4000,"&lt;"&amp;(AC$52+1),DATOS_CONEX!$I$7:$I$4000,"Sí"))</f>
        <v>1</v>
      </c>
      <c r="AD45" s="110">
        <f>IF(AD$52="","",COUNTIFS(DATOS_CONEX!$F$7:$F$4000,"&gt;"&amp;AD$52,DATOS_CONEX!$F$7:$F$4000,"&lt;"&amp;(AD$52+1),DATOS_CONEX!$I$7:$I$4000,"Sí"))</f>
        <v>0</v>
      </c>
      <c r="AE45" s="110">
        <f>IF(AE$52="","",COUNTIFS(DATOS_CONEX!$F$7:$F$4000,"&gt;"&amp;AE$52,DATOS_CONEX!$F$7:$F$4000,"&lt;"&amp;(AE$52+1),DATOS_CONEX!$I$7:$I$4000,"Sí"))</f>
        <v>0</v>
      </c>
      <c r="AF45" s="110" t="str">
        <f>IF(AF$52="","",COUNTIFS(DATOS_CONEX!$F$7:$F$4000,"&gt;"&amp;AF$52,DATOS_CONEX!$F$7:$F$4000,"&lt;"&amp;(AF$52+1),DATOS_CONEX!$I$7:$I$4000,"Sí"))</f>
        <v/>
      </c>
    </row>
    <row r="46" spans="1:32" ht="21" customHeight="1" x14ac:dyDescent="0.25">
      <c r="A46" s="107" t="s">
        <v>313</v>
      </c>
      <c r="B46" s="110">
        <f>IF(B$52="","",COUNTIFS(DATOS_CONEX!$G$7:$G$4000,"&gt;="&amp;B$52,DATOS_CONEX!$G$7:$G$4000,"&lt;"&amp;(B$52+1),DATOS_CONEX!$I$7:$I$4000,"Sí"))</f>
        <v>1</v>
      </c>
      <c r="C46" s="110">
        <f>IF(C$52="","",COUNTIFS(DATOS_CONEX!$G$7:$G$4000,"&gt;="&amp;C$52,DATOS_CONEX!$G$7:$G$4000,"&lt;"&amp;(C$52+1),DATOS_CONEX!$I$7:$I$4000,"Sí"))</f>
        <v>5</v>
      </c>
      <c r="D46" s="110">
        <f>IF(D$52="","",COUNTIFS(DATOS_CONEX!$G$7:$G$4000,"&gt;="&amp;D$52,DATOS_CONEX!$G$7:$G$4000,"&lt;"&amp;(D$52+1),DATOS_CONEX!$I$7:$I$4000,"Sí"))</f>
        <v>0</v>
      </c>
      <c r="E46" s="110">
        <f>IF(E$52="","",COUNTIFS(DATOS_CONEX!$G$7:$G$4000,"&gt;="&amp;E$52,DATOS_CONEX!$G$7:$G$4000,"&lt;"&amp;(E$52+1),DATOS_CONEX!$I$7:$I$4000,"Sí"))</f>
        <v>0</v>
      </c>
      <c r="F46" s="110">
        <f>IF(F$52="","",COUNTIFS(DATOS_CONEX!$G$7:$G$4000,"&gt;="&amp;F$52,DATOS_CONEX!$G$7:$G$4000,"&lt;"&amp;(F$52+1),DATOS_CONEX!$I$7:$I$4000,"Sí"))</f>
        <v>267</v>
      </c>
      <c r="G46" s="110">
        <f>IF(G$52="","",COUNTIFS(DATOS_CONEX!$G$7:$G$4000,"&gt;="&amp;G$52,DATOS_CONEX!$G$7:$G$4000,"&lt;"&amp;(G$52+1),DATOS_CONEX!$I$7:$I$4000,"Sí"))</f>
        <v>10</v>
      </c>
      <c r="H46" s="110">
        <f>IF(H$52="","",COUNTIFS(DATOS_CONEX!$G$7:$G$4000,"&gt;="&amp;H$52,DATOS_CONEX!$G$7:$G$4000,"&lt;"&amp;(H$52+1),DATOS_CONEX!$I$7:$I$4000,"Sí"))</f>
        <v>4</v>
      </c>
      <c r="I46" s="110">
        <f>IF(I$52="","",COUNTIFS(DATOS_CONEX!$G$7:$G$4000,"&gt;="&amp;I$52,DATOS_CONEX!$G$7:$G$4000,"&lt;"&amp;(I$52+1),DATOS_CONEX!$I$7:$I$4000,"Sí"))</f>
        <v>3</v>
      </c>
      <c r="J46" s="110">
        <f>IF(J$52="","",COUNTIFS(DATOS_CONEX!$G$7:$G$4000,"&gt;="&amp;J$52,DATOS_CONEX!$G$7:$G$4000,"&lt;"&amp;(J$52+1),DATOS_CONEX!$I$7:$I$4000,"Sí"))</f>
        <v>14</v>
      </c>
      <c r="K46" s="110">
        <f>IF(K$52="","",COUNTIFS(DATOS_CONEX!$G$7:$G$4000,"&gt;="&amp;K$52,DATOS_CONEX!$G$7:$G$4000,"&lt;"&amp;(K$52+1),DATOS_CONEX!$I$7:$I$4000,"Sí"))</f>
        <v>6</v>
      </c>
      <c r="L46" s="110">
        <f>IF(L$52="","",COUNTIFS(DATOS_CONEX!$G$7:$G$4000,"&gt;="&amp;L$52,DATOS_CONEX!$G$7:$G$4000,"&lt;"&amp;(L$52+1),DATOS_CONEX!$I$7:$I$4000,"Sí"))</f>
        <v>2</v>
      </c>
      <c r="M46" s="110">
        <f>IF(M$52="","",COUNTIFS(DATOS_CONEX!$G$7:$G$4000,"&gt;="&amp;M$52,DATOS_CONEX!$G$7:$G$4000,"&lt;"&amp;(M$52+1),DATOS_CONEX!$I$7:$I$4000,"Sí"))</f>
        <v>160</v>
      </c>
      <c r="N46" s="110">
        <f>IF(N$52="","",COUNTIFS(DATOS_CONEX!$G$7:$G$4000,"&gt;="&amp;N$52,DATOS_CONEX!$G$7:$G$4000,"&lt;"&amp;(N$52+1),DATOS_CONEX!$I$7:$I$4000,"Sí"))</f>
        <v>51</v>
      </c>
      <c r="O46" s="110">
        <f>IF(O$52="","",COUNTIFS(DATOS_CONEX!$G$7:$G$4000,"&gt;="&amp;O$52,DATOS_CONEX!$G$7:$G$4000,"&lt;"&amp;(O$52+1),DATOS_CONEX!$I$7:$I$4000,"Sí"))</f>
        <v>0</v>
      </c>
      <c r="P46" s="110">
        <f>IF(P$52="","",COUNTIFS(DATOS_CONEX!$G$7:$G$4000,"&gt;="&amp;P$52,DATOS_CONEX!$G$7:$G$4000,"&lt;"&amp;(P$52+1),DATOS_CONEX!$I$7:$I$4000,"Sí"))</f>
        <v>1</v>
      </c>
      <c r="Q46" s="110">
        <f>IF(Q$52="","",COUNTIFS(DATOS_CONEX!$G$7:$G$4000,"&gt;="&amp;Q$52,DATOS_CONEX!$G$7:$G$4000,"&lt;"&amp;(Q$52+1),DATOS_CONEX!$I$7:$I$4000,"Sí"))</f>
        <v>0</v>
      </c>
      <c r="R46" s="110">
        <f>IF(R$52="","",COUNTIFS(DATOS_CONEX!$G$7:$G$4000,"&gt;="&amp;R$52,DATOS_CONEX!$G$7:$G$4000,"&lt;"&amp;(R$52+1),DATOS_CONEX!$I$7:$I$4000,"Sí"))</f>
        <v>19</v>
      </c>
      <c r="S46" s="110">
        <f>IF(S$52="","",COUNTIFS(DATOS_CONEX!$G$7:$G$4000,"&gt;="&amp;S$52,DATOS_CONEX!$G$7:$G$4000,"&lt;"&amp;(S$52+1),DATOS_CONEX!$I$7:$I$4000,"Sí"))</f>
        <v>60</v>
      </c>
      <c r="T46" s="110">
        <f>IF(T$52="","",COUNTIFS(DATOS_CONEX!$G$7:$G$4000,"&gt;="&amp;T$52,DATOS_CONEX!$G$7:$G$4000,"&lt;"&amp;(T$52+1),DATOS_CONEX!$I$7:$I$4000,"Sí"))</f>
        <v>125</v>
      </c>
      <c r="U46" s="110">
        <f>IF(U$52="","",COUNTIFS(DATOS_CONEX!$G$7:$G$4000,"&gt;="&amp;U$52,DATOS_CONEX!$G$7:$G$4000,"&lt;"&amp;(U$52+1),DATOS_CONEX!$I$7:$I$4000,"Sí"))</f>
        <v>2</v>
      </c>
      <c r="V46" s="110">
        <f>IF(V$52="","",COUNTIFS(DATOS_CONEX!$G$7:$G$4000,"&gt;="&amp;V$52,DATOS_CONEX!$G$7:$G$4000,"&lt;"&amp;(V$52+1),DATOS_CONEX!$I$7:$I$4000,"Sí"))</f>
        <v>0</v>
      </c>
      <c r="W46" s="110">
        <f>IF(W$52="","",COUNTIFS(DATOS_CONEX!$G$7:$G$4000,"&gt;="&amp;W$52,DATOS_CONEX!$G$7:$G$4000,"&lt;"&amp;(W$52+1),DATOS_CONEX!$I$7:$I$4000,"Sí"))</f>
        <v>0</v>
      </c>
      <c r="X46" s="110">
        <f>IF(X$52="","",COUNTIFS(DATOS_CONEX!$G$7:$G$4000,"&gt;="&amp;X$52,DATOS_CONEX!$G$7:$G$4000,"&lt;"&amp;(X$52+1),DATOS_CONEX!$I$7:$I$4000,"Sí"))</f>
        <v>0</v>
      </c>
      <c r="Y46" s="110">
        <f>IF(Y$52="","",COUNTIFS(DATOS_CONEX!$G$7:$G$4000,"&gt;="&amp;Y$52,DATOS_CONEX!$G$7:$G$4000,"&lt;"&amp;(Y$52+1),DATOS_CONEX!$I$7:$I$4000,"Sí"))</f>
        <v>0</v>
      </c>
      <c r="Z46" s="110">
        <f>IF(Z$52="","",COUNTIFS(DATOS_CONEX!$G$7:$G$4000,"&gt;="&amp;Z$52,DATOS_CONEX!$G$7:$G$4000,"&lt;"&amp;(Z$52+1),DATOS_CONEX!$I$7:$I$4000,"Sí"))</f>
        <v>15</v>
      </c>
      <c r="AA46" s="110">
        <f>IF(AA$52="","",COUNTIFS(DATOS_CONEX!$G$7:$G$4000,"&gt;="&amp;AA$52,DATOS_CONEX!$G$7:$G$4000,"&lt;"&amp;(AA$52+1),DATOS_CONEX!$I$7:$I$4000,"Sí"))</f>
        <v>76</v>
      </c>
      <c r="AB46" s="110">
        <f>IF(AB$52="","",COUNTIFS(DATOS_CONEX!$G$7:$G$4000,"&gt;="&amp;AB$52,DATOS_CONEX!$G$7:$G$4000,"&lt;"&amp;(AB$52+1),DATOS_CONEX!$I$7:$I$4000,"Sí"))</f>
        <v>323</v>
      </c>
      <c r="AC46" s="110">
        <f>IF(AC$52="","",COUNTIFS(DATOS_CONEX!$G$7:$G$4000,"&gt;="&amp;AC$52,DATOS_CONEX!$G$7:$G$4000,"&lt;"&amp;(AC$52+1),DATOS_CONEX!$I$7:$I$4000,"Sí"))</f>
        <v>0</v>
      </c>
      <c r="AD46" s="110">
        <f>IF(AD$52="","",COUNTIFS(DATOS_CONEX!$G$7:$G$4000,"&gt;="&amp;AD$52,DATOS_CONEX!$G$7:$G$4000,"&lt;"&amp;(AD$52+1),DATOS_CONEX!$I$7:$I$4000,"Sí"))</f>
        <v>1</v>
      </c>
      <c r="AE46" s="110">
        <f>IF(AE$52="","",COUNTIFS(DATOS_CONEX!$G$7:$G$4000,"&gt;="&amp;AE$52,DATOS_CONEX!$G$7:$G$4000,"&lt;"&amp;(AE$52+1),DATOS_CONEX!$I$7:$I$4000,"Sí"))</f>
        <v>1</v>
      </c>
      <c r="AF46" s="110" t="str">
        <f>IF(AF$52="","",COUNTIFS(DATOS_CONEX!$G$7:$G$4000,"&gt;="&amp;AF$52,DATOS_CONEX!$G$7:$G$4000,"&lt;"&amp;(AF$52+1),DATOS_CONEX!$I$7:$I$4000,"Sí"))</f>
        <v/>
      </c>
    </row>
    <row r="47" spans="1:32" ht="21" customHeight="1" x14ac:dyDescent="0.25">
      <c r="A47" s="108" t="s">
        <v>331</v>
      </c>
      <c r="B47" s="111">
        <f t="shared" ref="B47:AF47" si="1">IF(B$52="","",B44+B45)</f>
        <v>37</v>
      </c>
      <c r="C47" s="111">
        <f t="shared" si="1"/>
        <v>178</v>
      </c>
      <c r="D47" s="111">
        <f t="shared" si="1"/>
        <v>306</v>
      </c>
      <c r="E47" s="111">
        <f t="shared" si="1"/>
        <v>307</v>
      </c>
      <c r="F47" s="111">
        <f t="shared" si="1"/>
        <v>320</v>
      </c>
      <c r="G47" s="111">
        <f t="shared" si="1"/>
        <v>53</v>
      </c>
      <c r="H47" s="111">
        <f t="shared" si="1"/>
        <v>47</v>
      </c>
      <c r="I47" s="111">
        <f t="shared" si="1"/>
        <v>54</v>
      </c>
      <c r="J47" s="111">
        <f t="shared" si="1"/>
        <v>54</v>
      </c>
      <c r="K47" s="111">
        <f t="shared" si="1"/>
        <v>238</v>
      </c>
      <c r="L47" s="111">
        <f t="shared" si="1"/>
        <v>242</v>
      </c>
      <c r="M47" s="111">
        <f t="shared" si="1"/>
        <v>244</v>
      </c>
      <c r="N47" s="111">
        <f t="shared" si="1"/>
        <v>84</v>
      </c>
      <c r="O47" s="111">
        <f t="shared" si="1"/>
        <v>38</v>
      </c>
      <c r="P47" s="111">
        <f t="shared" si="1"/>
        <v>45</v>
      </c>
      <c r="Q47" s="111">
        <f t="shared" si="1"/>
        <v>45</v>
      </c>
      <c r="R47" s="111">
        <f t="shared" si="1"/>
        <v>210</v>
      </c>
      <c r="S47" s="111">
        <f t="shared" si="1"/>
        <v>191</v>
      </c>
      <c r="T47" s="111">
        <f t="shared" si="1"/>
        <v>137</v>
      </c>
      <c r="U47" s="111">
        <f t="shared" si="1"/>
        <v>12</v>
      </c>
      <c r="V47" s="111">
        <f t="shared" si="1"/>
        <v>29</v>
      </c>
      <c r="W47" s="111">
        <f t="shared" si="1"/>
        <v>29</v>
      </c>
      <c r="X47" s="111">
        <f t="shared" si="1"/>
        <v>29</v>
      </c>
      <c r="Y47" s="111">
        <f t="shared" si="1"/>
        <v>114</v>
      </c>
      <c r="Z47" s="111">
        <f t="shared" si="1"/>
        <v>415</v>
      </c>
      <c r="AA47" s="111">
        <f t="shared" si="1"/>
        <v>400</v>
      </c>
      <c r="AB47" s="111">
        <f t="shared" si="1"/>
        <v>324</v>
      </c>
      <c r="AC47" s="111">
        <f t="shared" si="1"/>
        <v>2</v>
      </c>
      <c r="AD47" s="111">
        <f t="shared" si="1"/>
        <v>2</v>
      </c>
      <c r="AE47" s="111">
        <f t="shared" si="1"/>
        <v>1</v>
      </c>
      <c r="AF47" s="111" t="str">
        <f t="shared" si="1"/>
        <v/>
      </c>
    </row>
    <row r="48" spans="1:32" ht="21" customHeight="1" x14ac:dyDescent="0.25">
      <c r="A48" s="109" t="s">
        <v>314</v>
      </c>
      <c r="B48" s="110">
        <f>IF(B$52="","",COUNTIFS(DATOS_CONEX!$R$7:$R$4000,"&lt;="&amp;B$52,DATOS_CONEX!$S$7:$S$4000,"&gt;="&amp;B$52))</f>
        <v>2</v>
      </c>
      <c r="C48" s="110">
        <f>IF(C$52="","",COUNTIFS(DATOS_CONEX!$R$7:$R$4000,"&lt;="&amp;C$52,DATOS_CONEX!$S$7:$S$4000,"&gt;="&amp;C$52))</f>
        <v>3</v>
      </c>
      <c r="D48" s="110">
        <f>IF(D$52="","",COUNTIFS(DATOS_CONEX!$R$7:$R$4000,"&lt;="&amp;D$52,DATOS_CONEX!$S$7:$S$4000,"&gt;="&amp;D$52))</f>
        <v>5</v>
      </c>
      <c r="E48" s="110">
        <f>IF(E$52="","",COUNTIFS(DATOS_CONEX!$R$7:$R$4000,"&lt;="&amp;E$52,DATOS_CONEX!$S$7:$S$4000,"&gt;="&amp;E$52))</f>
        <v>5</v>
      </c>
      <c r="F48" s="110">
        <f>IF(F$52="","",COUNTIFS(DATOS_CONEX!$R$7:$R$4000,"&lt;="&amp;F$52,DATOS_CONEX!$S$7:$S$4000,"&gt;="&amp;F$52))</f>
        <v>4</v>
      </c>
      <c r="G48" s="110">
        <f>IF(G$52="","",COUNTIFS(DATOS_CONEX!$R$7:$R$4000,"&lt;="&amp;G$52,DATOS_CONEX!$S$7:$S$4000,"&gt;="&amp;G$52))</f>
        <v>4</v>
      </c>
      <c r="H48" s="110">
        <f>IF(H$52="","",COUNTIFS(DATOS_CONEX!$R$7:$R$4000,"&lt;="&amp;H$52,DATOS_CONEX!$S$7:$S$4000,"&gt;="&amp;H$52))</f>
        <v>2</v>
      </c>
      <c r="I48" s="110">
        <f>IF(I$52="","",COUNTIFS(DATOS_CONEX!$R$7:$R$4000,"&lt;="&amp;I$52,DATOS_CONEX!$S$7:$S$4000,"&gt;="&amp;I$52))</f>
        <v>2</v>
      </c>
      <c r="J48" s="110">
        <f>IF(J$52="","",COUNTIFS(DATOS_CONEX!$R$7:$R$4000,"&lt;="&amp;J$52,DATOS_CONEX!$S$7:$S$4000,"&gt;="&amp;J$52))</f>
        <v>2</v>
      </c>
      <c r="K48" s="110">
        <f>IF(K$52="","",COUNTIFS(DATOS_CONEX!$R$7:$R$4000,"&lt;="&amp;K$52,DATOS_CONEX!$S$7:$S$4000,"&gt;="&amp;K$52))</f>
        <v>5</v>
      </c>
      <c r="L48" s="110">
        <f>IF(L$52="","",COUNTIFS(DATOS_CONEX!$R$7:$R$4000,"&lt;="&amp;L$52,DATOS_CONEX!$S$7:$S$4000,"&gt;="&amp;L$52))</f>
        <v>5</v>
      </c>
      <c r="M48" s="110">
        <f>IF(M$52="","",COUNTIFS(DATOS_CONEX!$R$7:$R$4000,"&lt;="&amp;M$52,DATOS_CONEX!$S$7:$S$4000,"&gt;="&amp;M$52))</f>
        <v>5</v>
      </c>
      <c r="N48" s="110">
        <f>IF(N$52="","",COUNTIFS(DATOS_CONEX!$R$7:$R$4000,"&lt;="&amp;N$52,DATOS_CONEX!$S$7:$S$4000,"&gt;="&amp;N$52))</f>
        <v>2</v>
      </c>
      <c r="O48" s="110">
        <f>IF(O$52="","",COUNTIFS(DATOS_CONEX!$R$7:$R$4000,"&lt;="&amp;O$52,DATOS_CONEX!$S$7:$S$4000,"&gt;="&amp;O$52))</f>
        <v>1</v>
      </c>
      <c r="P48" s="110">
        <f>IF(P$52="","",COUNTIFS(DATOS_CONEX!$R$7:$R$4000,"&lt;="&amp;P$52,DATOS_CONEX!$S$7:$S$4000,"&gt;="&amp;P$52))</f>
        <v>1</v>
      </c>
      <c r="Q48" s="110">
        <f>IF(Q$52="","",COUNTIFS(DATOS_CONEX!$R$7:$R$4000,"&lt;="&amp;Q$52,DATOS_CONEX!$S$7:$S$4000,"&gt;="&amp;Q$52))</f>
        <v>1</v>
      </c>
      <c r="R48" s="110">
        <f>IF(R$52="","",COUNTIFS(DATOS_CONEX!$R$7:$R$4000,"&lt;="&amp;R$52,DATOS_CONEX!$S$7:$S$4000,"&gt;="&amp;R$52))</f>
        <v>4</v>
      </c>
      <c r="S48" s="110">
        <f>IF(S$52="","",COUNTIFS(DATOS_CONEX!$R$7:$R$4000,"&lt;="&amp;S$52,DATOS_CONEX!$S$7:$S$4000,"&gt;="&amp;S$52))</f>
        <v>4</v>
      </c>
      <c r="T48" s="110">
        <f>IF(T$52="","",COUNTIFS(DATOS_CONEX!$R$7:$R$4000,"&lt;="&amp;T$52,DATOS_CONEX!$S$7:$S$4000,"&gt;="&amp;T$52))</f>
        <v>3</v>
      </c>
      <c r="U48" s="110">
        <f>IF(U$52="","",COUNTIFS(DATOS_CONEX!$R$7:$R$4000,"&lt;="&amp;U$52,DATOS_CONEX!$S$7:$S$4000,"&gt;="&amp;U$52))</f>
        <v>1</v>
      </c>
      <c r="V48" s="110">
        <f>IF(V$52="","",COUNTIFS(DATOS_CONEX!$R$7:$R$4000,"&lt;="&amp;V$52,DATOS_CONEX!$S$7:$S$4000,"&gt;="&amp;V$52))</f>
        <v>1</v>
      </c>
      <c r="W48" s="110">
        <f>IF(W$52="","",COUNTIFS(DATOS_CONEX!$R$7:$R$4000,"&lt;="&amp;W$52,DATOS_CONEX!$S$7:$S$4000,"&gt;="&amp;W$52))</f>
        <v>1</v>
      </c>
      <c r="X48" s="110">
        <f>IF(X$52="","",COUNTIFS(DATOS_CONEX!$R$7:$R$4000,"&lt;="&amp;X$52,DATOS_CONEX!$S$7:$S$4000,"&gt;="&amp;X$52))</f>
        <v>1</v>
      </c>
      <c r="Y48" s="110">
        <f>IF(Y$52="","",COUNTIFS(DATOS_CONEX!$R$7:$R$4000,"&lt;="&amp;Y$52,DATOS_CONEX!$S$7:$S$4000,"&gt;="&amp;Y$52))</f>
        <v>3</v>
      </c>
      <c r="Z48" s="110">
        <f>IF(Z$52="","",COUNTIFS(DATOS_CONEX!$R$7:$R$4000,"&lt;="&amp;Z$52,DATOS_CONEX!$S$7:$S$4000,"&gt;="&amp;Z$52))</f>
        <v>8</v>
      </c>
      <c r="AA48" s="110">
        <f>IF(AA$52="","",COUNTIFS(DATOS_CONEX!$R$7:$R$4000,"&lt;="&amp;AA$52,DATOS_CONEX!$S$7:$S$4000,"&gt;="&amp;AA$52))</f>
        <v>8</v>
      </c>
      <c r="AB48" s="110">
        <f>IF(AB$52="","",COUNTIFS(DATOS_CONEX!$R$7:$R$4000,"&lt;="&amp;AB$52,DATOS_CONEX!$S$7:$S$4000,"&gt;="&amp;AB$52))</f>
        <v>4</v>
      </c>
      <c r="AC48" s="110">
        <f>IF(AC$52="","",COUNTIFS(DATOS_CONEX!$R$7:$R$4000,"&lt;="&amp;AC$52,DATOS_CONEX!$S$7:$S$4000,"&gt;="&amp;AC$52))</f>
        <v>1</v>
      </c>
      <c r="AD48" s="110">
        <f>IF(AD$52="","",COUNTIFS(DATOS_CONEX!$R$7:$R$4000,"&lt;="&amp;AD$52,DATOS_CONEX!$S$7:$S$4000,"&gt;="&amp;AD$52))</f>
        <v>1</v>
      </c>
      <c r="AE48" s="110">
        <f>IF(AE$52="","",COUNTIFS(DATOS_CONEX!$R$7:$R$4000,"&lt;="&amp;AE$52,DATOS_CONEX!$S$7:$S$4000,"&gt;="&amp;AE$52))</f>
        <v>1</v>
      </c>
      <c r="AF48" s="110" t="str">
        <f>IF(AF$52="","",COUNTIFS(DATOS_CONEX!$R$7:$R$4000,"&lt;="&amp;AF$52,DATOS_CONEX!$S$7:$S$4000,"&gt;="&amp;AF$52))</f>
        <v/>
      </c>
    </row>
    <row r="50" spans="1:32" ht="15" customHeight="1" x14ac:dyDescent="0.25">
      <c r="A50" s="140" t="s">
        <v>332</v>
      </c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</row>
    <row r="52" spans="1:32" ht="14.5" hidden="1" x14ac:dyDescent="0.25">
      <c r="A52" s="1" t="s">
        <v>308</v>
      </c>
      <c r="B52" s="102">
        <f>IF(1&lt;=DAY(DATE(2026,$AH$4+1,1)-1),DATE(2026,$AH$4,1),"")</f>
        <v>46266</v>
      </c>
      <c r="C52" s="102">
        <f>IF(2&lt;=DAY(DATE(2026,$AH$4+1,1)-1),DATE(2026,$AH$4,2),"")</f>
        <v>46267</v>
      </c>
      <c r="D52" s="102">
        <f>IF(3&lt;=DAY(DATE(2026,$AH$4+1,1)-1),DATE(2026,$AH$4,3),"")</f>
        <v>46268</v>
      </c>
      <c r="E52" s="102">
        <f>IF(4&lt;=DAY(DATE(2026,$AH$4+1,1)-1),DATE(2026,$AH$4,4),"")</f>
        <v>46269</v>
      </c>
      <c r="F52" s="102">
        <f>IF(5&lt;=DAY(DATE(2026,$AH$4+1,1)-1),DATE(2026,$AH$4,5),"")</f>
        <v>46270</v>
      </c>
      <c r="G52" s="102">
        <f>IF(6&lt;=DAY(DATE(2026,$AH$4+1,1)-1),DATE(2026,$AH$4,6),"")</f>
        <v>46271</v>
      </c>
      <c r="H52" s="102">
        <f>IF(7&lt;=DAY(DATE(2026,$AH$4+1,1)-1),DATE(2026,$AH$4,7),"")</f>
        <v>46272</v>
      </c>
      <c r="I52" s="102">
        <f>IF(8&lt;=DAY(DATE(2026,$AH$4+1,1)-1),DATE(2026,$AH$4,8),"")</f>
        <v>46273</v>
      </c>
      <c r="J52" s="102">
        <f>IF(9&lt;=DAY(DATE(2026,$AH$4+1,1)-1),DATE(2026,$AH$4,9),"")</f>
        <v>46274</v>
      </c>
      <c r="K52" s="102">
        <f>IF(10&lt;=DAY(DATE(2026,$AH$4+1,1)-1),DATE(2026,$AH$4,10),"")</f>
        <v>46275</v>
      </c>
      <c r="L52" s="102">
        <f>IF(11&lt;=DAY(DATE(2026,$AH$4+1,1)-1),DATE(2026,$AH$4,11),"")</f>
        <v>46276</v>
      </c>
      <c r="M52" s="102">
        <f>IF(12&lt;=DAY(DATE(2026,$AH$4+1,1)-1),DATE(2026,$AH$4,12),"")</f>
        <v>46277</v>
      </c>
      <c r="N52" s="102">
        <f>IF(13&lt;=DAY(DATE(2026,$AH$4+1,1)-1),DATE(2026,$AH$4,13),"")</f>
        <v>46278</v>
      </c>
      <c r="O52" s="102">
        <f>IF(14&lt;=DAY(DATE(2026,$AH$4+1,1)-1),DATE(2026,$AH$4,14),"")</f>
        <v>46279</v>
      </c>
      <c r="P52" s="102">
        <f>IF(15&lt;=DAY(DATE(2026,$AH$4+1,1)-1),DATE(2026,$AH$4,15),"")</f>
        <v>46280</v>
      </c>
      <c r="Q52" s="102">
        <f>IF(16&lt;=DAY(DATE(2026,$AH$4+1,1)-1),DATE(2026,$AH$4,16),"")</f>
        <v>46281</v>
      </c>
      <c r="R52" s="102">
        <f>IF(17&lt;=DAY(DATE(2026,$AH$4+1,1)-1),DATE(2026,$AH$4,17),"")</f>
        <v>46282</v>
      </c>
      <c r="S52" s="102">
        <f>IF(18&lt;=DAY(DATE(2026,$AH$4+1,1)-1),DATE(2026,$AH$4,18),"")</f>
        <v>46283</v>
      </c>
      <c r="T52" s="102">
        <f>IF(19&lt;=DAY(DATE(2026,$AH$4+1,1)-1),DATE(2026,$AH$4,19),"")</f>
        <v>46284</v>
      </c>
      <c r="U52" s="102">
        <f>IF(20&lt;=DAY(DATE(2026,$AH$4+1,1)-1),DATE(2026,$AH$4,20),"")</f>
        <v>46285</v>
      </c>
      <c r="V52" s="102">
        <f>IF(21&lt;=DAY(DATE(2026,$AH$4+1,1)-1),DATE(2026,$AH$4,21),"")</f>
        <v>46286</v>
      </c>
      <c r="W52" s="102">
        <f>IF(22&lt;=DAY(DATE(2026,$AH$4+1,1)-1),DATE(2026,$AH$4,22),"")</f>
        <v>46287</v>
      </c>
      <c r="X52" s="102">
        <f>IF(23&lt;=DAY(DATE(2026,$AH$4+1,1)-1),DATE(2026,$AH$4,23),"")</f>
        <v>46288</v>
      </c>
      <c r="Y52" s="102">
        <f>IF(24&lt;=DAY(DATE(2026,$AH$4+1,1)-1),DATE(2026,$AH$4,24),"")</f>
        <v>46289</v>
      </c>
      <c r="Z52" s="102">
        <f>IF(25&lt;=DAY(DATE(2026,$AH$4+1,1)-1),DATE(2026,$AH$4,25),"")</f>
        <v>46290</v>
      </c>
      <c r="AA52" s="102">
        <f>IF(26&lt;=DAY(DATE(2026,$AH$4+1,1)-1),DATE(2026,$AH$4,26),"")</f>
        <v>46291</v>
      </c>
      <c r="AB52" s="102">
        <f>IF(27&lt;=DAY(DATE(2026,$AH$4+1,1)-1),DATE(2026,$AH$4,27),"")</f>
        <v>46292</v>
      </c>
      <c r="AC52" s="102">
        <f>IF(28&lt;=DAY(DATE(2026,$AH$4+1,1)-1),DATE(2026,$AH$4,28),"")</f>
        <v>46293</v>
      </c>
      <c r="AD52" s="102">
        <f>IF(29&lt;=DAY(DATE(2026,$AH$4+1,1)-1),DATE(2026,$AH$4,29),"")</f>
        <v>46294</v>
      </c>
      <c r="AE52" s="102">
        <f>IF(30&lt;=DAY(DATE(2026,$AH$4+1,1)-1),DATE(2026,$AH$4,30),"")</f>
        <v>46295</v>
      </c>
      <c r="AF52" s="102" t="str">
        <f>IF(31&lt;=DAY(DATE(2026,$AH$4+1,1)-1),DATE(2026,$AH$4,31),"")</f>
        <v/>
      </c>
    </row>
    <row r="53" spans="1:32" hidden="1" x14ac:dyDescent="0.25">
      <c r="A53" s="1" t="s">
        <v>333</v>
      </c>
      <c r="B53" s="1">
        <f t="shared" ref="B53:AF53" si="2">IF(B46="","",-B46)</f>
        <v>-1</v>
      </c>
      <c r="C53" s="1">
        <f t="shared" si="2"/>
        <v>-5</v>
      </c>
      <c r="D53" s="1">
        <f t="shared" si="2"/>
        <v>0</v>
      </c>
      <c r="E53" s="1">
        <f t="shared" si="2"/>
        <v>0</v>
      </c>
      <c r="F53" s="1">
        <f t="shared" si="2"/>
        <v>-267</v>
      </c>
      <c r="G53" s="1">
        <f t="shared" si="2"/>
        <v>-10</v>
      </c>
      <c r="H53" s="1">
        <f t="shared" si="2"/>
        <v>-4</v>
      </c>
      <c r="I53" s="1">
        <f t="shared" si="2"/>
        <v>-3</v>
      </c>
      <c r="J53" s="1">
        <f t="shared" si="2"/>
        <v>-14</v>
      </c>
      <c r="K53" s="1">
        <f t="shared" si="2"/>
        <v>-6</v>
      </c>
      <c r="L53" s="1">
        <f t="shared" si="2"/>
        <v>-2</v>
      </c>
      <c r="M53" s="1">
        <f t="shared" si="2"/>
        <v>-160</v>
      </c>
      <c r="N53" s="1">
        <f t="shared" si="2"/>
        <v>-51</v>
      </c>
      <c r="O53" s="1">
        <f t="shared" si="2"/>
        <v>0</v>
      </c>
      <c r="P53" s="1">
        <f t="shared" si="2"/>
        <v>-1</v>
      </c>
      <c r="Q53" s="1">
        <f t="shared" si="2"/>
        <v>0</v>
      </c>
      <c r="R53" s="1">
        <f t="shared" si="2"/>
        <v>-19</v>
      </c>
      <c r="S53" s="1">
        <f t="shared" si="2"/>
        <v>-60</v>
      </c>
      <c r="T53" s="1">
        <f t="shared" si="2"/>
        <v>-125</v>
      </c>
      <c r="U53" s="1">
        <f t="shared" si="2"/>
        <v>-2</v>
      </c>
      <c r="V53" s="1">
        <f t="shared" si="2"/>
        <v>0</v>
      </c>
      <c r="W53" s="1">
        <f t="shared" si="2"/>
        <v>0</v>
      </c>
      <c r="X53" s="1">
        <f t="shared" si="2"/>
        <v>0</v>
      </c>
      <c r="Y53" s="1">
        <f t="shared" si="2"/>
        <v>0</v>
      </c>
      <c r="Z53" s="1">
        <f t="shared" si="2"/>
        <v>-15</v>
      </c>
      <c r="AA53" s="1">
        <f t="shared" si="2"/>
        <v>-76</v>
      </c>
      <c r="AB53" s="1">
        <f t="shared" si="2"/>
        <v>-323</v>
      </c>
      <c r="AC53" s="1">
        <f t="shared" si="2"/>
        <v>0</v>
      </c>
      <c r="AD53" s="1">
        <f t="shared" si="2"/>
        <v>-1</v>
      </c>
      <c r="AE53" s="1">
        <f t="shared" si="2"/>
        <v>-1</v>
      </c>
      <c r="AF53" s="1" t="str">
        <f t="shared" si="2"/>
        <v/>
      </c>
    </row>
  </sheetData>
  <mergeCells count="11">
    <mergeCell ref="A42:AF42"/>
    <mergeCell ref="A50:AF50"/>
    <mergeCell ref="A1:AF1"/>
    <mergeCell ref="A2:AF2"/>
    <mergeCell ref="B4:F4"/>
    <mergeCell ref="H4:J4"/>
    <mergeCell ref="K4:P4"/>
    <mergeCell ref="R4:T4"/>
    <mergeCell ref="U4:V4"/>
    <mergeCell ref="X4:Z4"/>
    <mergeCell ref="AA4:AB4"/>
  </mergeCells>
  <conditionalFormatting sqref="B46:AF46">
    <cfRule type="cellIs" dxfId="40" priority="1" operator="greaterThanOrEqual">
      <formula>20</formula>
    </cfRule>
  </conditionalFormatting>
  <dataValidations count="1">
    <dataValidation type="list" allowBlank="1" showInputMessage="1" promptTitle="Mes" prompt="Elige el mes" sqref="B4:F4" xr:uid="{00000000-0002-0000-0300-000000000000}">
      <formula1>"Enero,Febrero,Marzo,Abril,Mayo,Junio,Julio,Agosto,Septiembre,Octubre,Noviembre,Diciembre"</formula1>
    </dataValidation>
  </dataValidations>
  <pageMargins left="0.3" right="0.3" top="0.5" bottom="0.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5E0EA-014D-4851-B10D-C8EC6C87007B}">
  <dimension ref="A1:S60"/>
  <sheetViews>
    <sheetView zoomScale="80" zoomScaleNormal="80" workbookViewId="0">
      <selection activeCell="L8" sqref="L8"/>
    </sheetView>
  </sheetViews>
  <sheetFormatPr baseColWidth="10" defaultColWidth="8.6328125" defaultRowHeight="12.5" x14ac:dyDescent="0.25"/>
  <cols>
    <col min="1" max="1" width="21" customWidth="1"/>
    <col min="2" max="5" width="14" customWidth="1"/>
    <col min="6" max="17" width="14.453125" customWidth="1"/>
    <col min="19" max="19" width="6" hidden="1" customWidth="1"/>
  </cols>
  <sheetData>
    <row r="1" spans="1:19" ht="25.5" customHeight="1" x14ac:dyDescent="0.25">
      <c r="A1" s="123" t="s">
        <v>334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</row>
    <row r="2" spans="1:19" ht="15" customHeight="1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</row>
    <row r="3" spans="1:19" ht="15" customHeight="1" x14ac:dyDescent="0.25">
      <c r="A3" s="124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</row>
    <row r="5" spans="1:19" ht="21" customHeight="1" x14ac:dyDescent="0.25">
      <c r="A5" s="44" t="s">
        <v>335</v>
      </c>
      <c r="B5" s="99" t="s">
        <v>39</v>
      </c>
      <c r="D5" s="120" t="s">
        <v>336</v>
      </c>
      <c r="S5">
        <f>MATCH($B$5,$A$30:$A$41,0)</f>
        <v>6</v>
      </c>
    </row>
    <row r="7" spans="1:19" ht="21" customHeight="1" x14ac:dyDescent="0.25">
      <c r="A7" s="119" t="str">
        <f>"MES: "&amp;UPPER($B$5)</f>
        <v>MES: JUNIO</v>
      </c>
    </row>
    <row r="8" spans="1:19" ht="21" customHeight="1" x14ac:dyDescent="0.25">
      <c r="A8" s="44" t="s">
        <v>337</v>
      </c>
      <c r="B8" s="44" t="s">
        <v>338</v>
      </c>
      <c r="C8" s="44" t="s">
        <v>339</v>
      </c>
      <c r="D8" s="44" t="s">
        <v>340</v>
      </c>
      <c r="E8" s="44" t="s">
        <v>341</v>
      </c>
      <c r="F8" s="44" t="s">
        <v>50</v>
      </c>
      <c r="G8" s="44" t="s">
        <v>342</v>
      </c>
      <c r="H8" s="44" t="s">
        <v>341</v>
      </c>
      <c r="I8" s="44" t="s">
        <v>343</v>
      </c>
      <c r="J8" s="44" t="s">
        <v>344</v>
      </c>
      <c r="K8" s="44" t="s">
        <v>341</v>
      </c>
    </row>
    <row r="9" spans="1:19" ht="15" customHeight="1" x14ac:dyDescent="0.35">
      <c r="A9" s="45" t="s">
        <v>52</v>
      </c>
      <c r="B9" s="116">
        <f>IF(INDEX(E$30:E$41,$S$5)="","",INDEX(E$30:E$41,$S$5))</f>
        <v>213</v>
      </c>
      <c r="C9" s="46">
        <f>INDEX(B$30:B$41,$S$5)</f>
        <v>199</v>
      </c>
      <c r="D9" s="113">
        <f>IF($B9="","",$B9-C9)</f>
        <v>14</v>
      </c>
      <c r="E9" s="115">
        <f>IF(OR($B9="",C9=0),"",$B9/C9-1)</f>
        <v>7.0351758793969932E-2</v>
      </c>
      <c r="F9" s="46">
        <f>INDEX(C$30:C$41,$S$5)</f>
        <v>207</v>
      </c>
      <c r="G9" s="113">
        <f>IF($B9="","",$B9-F9)</f>
        <v>6</v>
      </c>
      <c r="H9" s="115">
        <f>IF(OR($B9="",F9=0),"",$B9/F9-1)</f>
        <v>2.8985507246376718E-2</v>
      </c>
      <c r="I9" s="46">
        <f>INDEX(D$30:D$41,$S$5)</f>
        <v>213</v>
      </c>
      <c r="J9" s="113">
        <f>IF($B9="","",$B9-I9)</f>
        <v>0</v>
      </c>
      <c r="K9" s="115">
        <f>IF(OR($B9="",I9=0),"",$B9/I9-1)</f>
        <v>0</v>
      </c>
    </row>
    <row r="10" spans="1:19" ht="15" customHeight="1" x14ac:dyDescent="0.35">
      <c r="A10" s="45" t="s">
        <v>53</v>
      </c>
      <c r="B10" s="117">
        <f>IF(INDEX(I$30:I$41,$S$5)="","",INDEX(I$30:I$41,$S$5))</f>
        <v>54592</v>
      </c>
      <c r="C10" s="16">
        <f>INDEX(F$30:F$41,$S$5)</f>
        <v>130845.71</v>
      </c>
      <c r="D10" s="114">
        <f>IF($B10="","",$B10-C10)</f>
        <v>-76253.710000000006</v>
      </c>
      <c r="E10" s="115">
        <f>IF(OR($B10="",C10=0),"",$B10/C10-1)</f>
        <v>-0.58277577461270991</v>
      </c>
      <c r="F10" s="16">
        <f>INDEX(G$30:G$41,$S$5)</f>
        <v>137672.35</v>
      </c>
      <c r="G10" s="114">
        <f>IF($B10="","",$B10-F10)</f>
        <v>-83080.350000000006</v>
      </c>
      <c r="H10" s="115">
        <f>IF(OR($B10="",F10=0),"",$B10/F10-1)</f>
        <v>-0.60346431218759622</v>
      </c>
      <c r="I10" s="16">
        <f>INDEX(H$30:H$41,$S$5)</f>
        <v>54592</v>
      </c>
      <c r="J10" s="114">
        <f>IF($B10="","",$B10-I10)</f>
        <v>0</v>
      </c>
      <c r="K10" s="115">
        <f>IF(OR($B10="",I10=0),"",$B10/I10-1)</f>
        <v>0</v>
      </c>
    </row>
    <row r="11" spans="1:19" ht="15" customHeight="1" x14ac:dyDescent="0.35">
      <c r="A11" s="45" t="s">
        <v>54</v>
      </c>
      <c r="B11" s="117">
        <f>IF(INDEX(M$30:M$41,$S$5)="","",INDEX(M$30:M$41,$S$5))</f>
        <v>32451.086961325967</v>
      </c>
      <c r="C11" s="16">
        <f>INDEX(J$30:J$41,$S$5)</f>
        <v>33961.949999999997</v>
      </c>
      <c r="D11" s="114">
        <f>IF($B11="","",$B11-C11)</f>
        <v>-1510.8630386740297</v>
      </c>
      <c r="E11" s="115">
        <f>IF(OR($B11="",C11=0),"",$B11/C11-1)</f>
        <v>-4.4486934309544313E-2</v>
      </c>
      <c r="F11" s="16">
        <f>INDEX(K$30:K$41,$S$5)</f>
        <v>42558.9</v>
      </c>
      <c r="G11" s="114">
        <f>IF($B11="","",$B11-F11)</f>
        <v>-10107.813038674034</v>
      </c>
      <c r="H11" s="115">
        <f>IF(OR($B11="",F11=0),"",$B11/F11-1)</f>
        <v>-0.23750174554967429</v>
      </c>
      <c r="I11" s="16">
        <f>INDEX(L$30:L$41,$S$5)</f>
        <v>31360.91</v>
      </c>
      <c r="J11" s="114">
        <f>IF($B11="","",$B11-I11)</f>
        <v>1090.1769613259676</v>
      </c>
      <c r="K11" s="115">
        <f>IF(OR($B11="",I11=0),"",$B11/I11-1)</f>
        <v>3.476228723356467E-2</v>
      </c>
    </row>
    <row r="12" spans="1:19" ht="15" customHeight="1" x14ac:dyDescent="0.35">
      <c r="A12" s="45" t="s">
        <v>55</v>
      </c>
      <c r="B12" s="117">
        <f>IF(INDEX(Q$30:Q$41,$S$5)="","",INDEX(Q$30:Q$41,$S$5))</f>
        <v>22140.913038674033</v>
      </c>
      <c r="C12" s="16">
        <f>INDEX(N$30:N$41,$S$5)</f>
        <v>96883.760000000009</v>
      </c>
      <c r="D12" s="114">
        <f>IF($B12="","",$B12-C12)</f>
        <v>-74742.84696132598</v>
      </c>
      <c r="E12" s="115">
        <f>IF(OR($B12="",C12=0),"",$B12/C12-1)</f>
        <v>-0.77146930467320807</v>
      </c>
      <c r="F12" s="16">
        <f>INDEX(O$30:O$41,$S$5)</f>
        <v>95113.450000000012</v>
      </c>
      <c r="G12" s="114">
        <f>IF($B12="","",$B12-F12)</f>
        <v>-72972.536961325983</v>
      </c>
      <c r="H12" s="115">
        <f>IF(OR($B12="",F12=0),"",$B12/F12-1)</f>
        <v>-0.76721575088829153</v>
      </c>
      <c r="I12" s="16">
        <f>INDEX(P$30:P$41,$S$5)</f>
        <v>23231.09</v>
      </c>
      <c r="J12" s="114">
        <f>IF($B12="","",$B12-I12)</f>
        <v>-1090.1769613259676</v>
      </c>
      <c r="K12" s="115">
        <f>IF(OR($B12="",I12=0),"",$B12/I12-1)</f>
        <v>-4.6927499369421199E-2</v>
      </c>
    </row>
    <row r="13" spans="1:19" ht="15" customHeight="1" x14ac:dyDescent="0.35">
      <c r="A13" s="45" t="s">
        <v>290</v>
      </c>
      <c r="B13" s="118">
        <f>IF(B12="","",IFERROR(B12/B10,""))</f>
        <v>0.40557065208591064</v>
      </c>
      <c r="C13" s="17">
        <f>IFERROR(C12/C10,"")</f>
        <v>0.74044277034378891</v>
      </c>
      <c r="D13" s="115">
        <f>IF(OR($B13="",C13=""),"",$B13-C13)</f>
        <v>-0.33487211825787827</v>
      </c>
      <c r="E13" s="115"/>
      <c r="F13" s="17">
        <f>IFERROR(F12/F10,"")</f>
        <v>0.69086820992014741</v>
      </c>
      <c r="G13" s="115">
        <f>IF(OR($B13="",F13=""),"",$B13-F13)</f>
        <v>-0.28529755783423677</v>
      </c>
      <c r="H13" s="115"/>
      <c r="I13" s="17">
        <f>IFERROR(I12/I10,"")</f>
        <v>0.42554018903868701</v>
      </c>
      <c r="J13" s="115">
        <f>IF(OR($B13="",I13=""),"",$B13-I13)</f>
        <v>-1.9969536952776368E-2</v>
      </c>
      <c r="K13" s="115"/>
    </row>
    <row r="15" spans="1:19" ht="21" customHeight="1" x14ac:dyDescent="0.25">
      <c r="A15" s="119" t="str">
        <f>"ACUMULADO ENERO – "&amp;UPPER($B$5)</f>
        <v>ACUMULADO ENERO – JUNIO</v>
      </c>
    </row>
    <row r="16" spans="1:19" ht="21" customHeight="1" x14ac:dyDescent="0.25">
      <c r="A16" s="44" t="s">
        <v>337</v>
      </c>
      <c r="B16" s="44" t="s">
        <v>338</v>
      </c>
      <c r="C16" s="44" t="s">
        <v>339</v>
      </c>
      <c r="D16" s="44" t="s">
        <v>340</v>
      </c>
      <c r="E16" s="44" t="s">
        <v>341</v>
      </c>
      <c r="F16" s="44" t="s">
        <v>50</v>
      </c>
      <c r="G16" s="44" t="s">
        <v>342</v>
      </c>
      <c r="H16" s="44" t="s">
        <v>341</v>
      </c>
      <c r="I16" s="44" t="s">
        <v>343</v>
      </c>
      <c r="J16" s="44" t="s">
        <v>344</v>
      </c>
      <c r="K16" s="44" t="s">
        <v>341</v>
      </c>
    </row>
    <row r="17" spans="1:17" ht="15" customHeight="1" x14ac:dyDescent="0.35">
      <c r="A17" s="45" t="s">
        <v>52</v>
      </c>
      <c r="B17" s="116">
        <f>IF(INDEX(E$30:E$41,$S$5)="","",SUM(E$30:INDEX(E$30:E$41,$S$5)))</f>
        <v>497</v>
      </c>
      <c r="C17" s="46">
        <f>SUM(B$30:INDEX(B$30:B$41,$S$5))</f>
        <v>618</v>
      </c>
      <c r="D17" s="113">
        <f>IF($B17="","",$B17-C17)</f>
        <v>-121</v>
      </c>
      <c r="E17" s="115">
        <f>IF(OR($B17="",C17=0),"",$B17/C17-1)</f>
        <v>-0.19579288025889963</v>
      </c>
      <c r="F17" s="46">
        <f>SUM(C$30:INDEX(C$30:C$41,$S$5))</f>
        <v>533</v>
      </c>
      <c r="G17" s="113">
        <f>IF($B17="","",$B17-F17)</f>
        <v>-36</v>
      </c>
      <c r="H17" s="115">
        <f>IF(OR($B17="",F17=0),"",$B17/F17-1)</f>
        <v>-6.7542213883677316E-2</v>
      </c>
      <c r="I17" s="46">
        <f>SUM(D$30:INDEX(D$30:D$41,$S$5))</f>
        <v>485</v>
      </c>
      <c r="J17" s="113">
        <f>IF($B17="","",$B17-I17)</f>
        <v>12</v>
      </c>
      <c r="K17" s="115">
        <f>IF(OR($B17="",I17=0),"",$B17/I17-1)</f>
        <v>2.4742268041237025E-2</v>
      </c>
    </row>
    <row r="18" spans="1:17" ht="15" customHeight="1" x14ac:dyDescent="0.35">
      <c r="A18" s="45" t="s">
        <v>53</v>
      </c>
      <c r="B18" s="117">
        <f>IF(INDEX(I$30:I$41,$S$5)="","",SUM(I$30:INDEX(I$30:I$41,$S$5)))</f>
        <v>312359</v>
      </c>
      <c r="C18" s="16">
        <f>SUM(F$30:INDEX(F$30:F$41,$S$5))</f>
        <v>417567.46</v>
      </c>
      <c r="D18" s="114">
        <f>IF($B18="","",$B18-C18)</f>
        <v>-105208.46000000002</v>
      </c>
      <c r="E18" s="115">
        <f>IF(OR($B18="",C18=0),"",$B18/C18-1)</f>
        <v>-0.25195560018014818</v>
      </c>
      <c r="F18" s="16">
        <f>SUM(G$30:INDEX(G$30:G$41,$S$5))</f>
        <v>395439.35</v>
      </c>
      <c r="G18" s="114">
        <f>IF($B18="","",$B18-F18)</f>
        <v>-83080.349999999977</v>
      </c>
      <c r="H18" s="115">
        <f>IF(OR($B18="",F18=0),"",$B18/F18-1)</f>
        <v>-0.21009631439056331</v>
      </c>
      <c r="I18" s="16">
        <f>SUM(H$30:INDEX(H$30:H$41,$S$5))</f>
        <v>312359</v>
      </c>
      <c r="J18" s="114">
        <f>IF($B18="","",$B18-I18)</f>
        <v>0</v>
      </c>
      <c r="K18" s="115">
        <f>IF(OR($B18="",I18=0),"",$B18/I18-1)</f>
        <v>0</v>
      </c>
    </row>
    <row r="19" spans="1:17" ht="15" customHeight="1" x14ac:dyDescent="0.35">
      <c r="A19" s="45" t="s">
        <v>54</v>
      </c>
      <c r="B19" s="117">
        <f>IF(INDEX(M$30:M$41,$S$5)="","",SUM(M$30:INDEX(M$30:M$41,$S$5)))</f>
        <v>197527.26080251485</v>
      </c>
      <c r="C19" s="16">
        <f>SUM(J$30:INDEX(J$30:J$41,$S$5))</f>
        <v>175208.44</v>
      </c>
      <c r="D19" s="114">
        <f>IF($B19="","",$B19-C19)</f>
        <v>22318.820802514849</v>
      </c>
      <c r="E19" s="115">
        <f>IF(OR($B19="",C19=0),"",$B19/C19-1)</f>
        <v>0.12738439314062067</v>
      </c>
      <c r="F19" s="16">
        <f>SUM(K$30:INDEX(K$30:K$41,$S$5))</f>
        <v>206559</v>
      </c>
      <c r="G19" s="114">
        <f>IF($B19="","",$B19-F19)</f>
        <v>-9031.7391974851489</v>
      </c>
      <c r="H19" s="115">
        <f>IF(OR($B19="",F19=0),"",$B19/F19-1)</f>
        <v>-4.3724743039447067E-2</v>
      </c>
      <c r="I19" s="16">
        <f>SUM(L$30:INDEX(L$30:L$41,$S$5))</f>
        <v>195361.01</v>
      </c>
      <c r="J19" s="114">
        <f>IF($B19="","",$B19-I19)</f>
        <v>2166.2508025148418</v>
      </c>
      <c r="K19" s="115">
        <f>IF(OR($B19="",I19=0),"",$B19/I19-1)</f>
        <v>1.1088450057229027E-2</v>
      </c>
    </row>
    <row r="20" spans="1:17" ht="15" customHeight="1" x14ac:dyDescent="0.35">
      <c r="A20" s="45" t="s">
        <v>55</v>
      </c>
      <c r="B20" s="117">
        <f>IF(INDEX(Q$30:Q$41,$S$5)="","",SUM(Q$30:INDEX(Q$30:Q$41,$S$5)))</f>
        <v>114831.73919748515</v>
      </c>
      <c r="C20" s="16">
        <f>SUM(N$30:INDEX(N$30:N$41,$S$5))</f>
        <v>242359.02000000002</v>
      </c>
      <c r="D20" s="114">
        <f>IF($B20="","",$B20-C20)</f>
        <v>-127527.28080251487</v>
      </c>
      <c r="E20" s="115">
        <f>IF(OR($B20="",C20=0),"",$B20/C20-1)</f>
        <v>-0.52619160121424347</v>
      </c>
      <c r="F20" s="16">
        <f>SUM(O$30:INDEX(O$30:O$41,$S$5))</f>
        <v>188880.35</v>
      </c>
      <c r="G20" s="114">
        <f>IF($B20="","",$B20-F20)</f>
        <v>-74048.610802514857</v>
      </c>
      <c r="H20" s="115">
        <f>IF(OR($B20="",F20=0),"",$B20/F20-1)</f>
        <v>-0.39203977969394299</v>
      </c>
      <c r="I20" s="16">
        <f>SUM(P$30:INDEX(P$30:P$41,$S$5))</f>
        <v>116997.98999999999</v>
      </c>
      <c r="J20" s="114">
        <f>IF($B20="","",$B20-I20)</f>
        <v>-2166.2508025148418</v>
      </c>
      <c r="K20" s="115">
        <f>IF(OR($B20="",I20=0),"",$B20/I20-1)</f>
        <v>-1.8515282207111738E-2</v>
      </c>
    </row>
    <row r="21" spans="1:17" ht="15" customHeight="1" x14ac:dyDescent="0.35">
      <c r="A21" s="45" t="s">
        <v>290</v>
      </c>
      <c r="B21" s="118">
        <f>IF(B20="","",IFERROR(B20/B18,""))</f>
        <v>0.3676274389323988</v>
      </c>
      <c r="C21" s="17">
        <f>IFERROR(C20/C18,"")</f>
        <v>0.58040686407892039</v>
      </c>
      <c r="D21" s="115">
        <f>IF(OR($B21="",C21=""),"",$B21-C21)</f>
        <v>-0.21277942514652159</v>
      </c>
      <c r="E21" s="115"/>
      <c r="F21" s="17">
        <f>IFERROR(F20/F18,"")</f>
        <v>0.47764682498087258</v>
      </c>
      <c r="G21" s="115">
        <f>IF(OR($B21="",F21=""),"",$B21-F21)</f>
        <v>-0.11001938604847378</v>
      </c>
      <c r="H21" s="115"/>
      <c r="I21" s="17">
        <f>IFERROR(I20/I18,"")</f>
        <v>0.3745625706318691</v>
      </c>
      <c r="J21" s="115">
        <f>IF(OR($B21="",I21=""),"",$B21-I21)</f>
        <v>-6.9351316994702983E-3</v>
      </c>
      <c r="K21" s="115"/>
    </row>
    <row r="23" spans="1:17" ht="27.75" customHeight="1" x14ac:dyDescent="0.25">
      <c r="A23" s="44" t="s">
        <v>48</v>
      </c>
      <c r="B23" s="44" t="s">
        <v>49</v>
      </c>
      <c r="C23" s="44" t="s">
        <v>50</v>
      </c>
      <c r="D23" s="44" t="s">
        <v>343</v>
      </c>
      <c r="E23" s="44" t="s">
        <v>51</v>
      </c>
      <c r="F23" s="44" t="s">
        <v>345</v>
      </c>
      <c r="G23" s="44" t="s">
        <v>346</v>
      </c>
      <c r="H23" s="44" t="s">
        <v>347</v>
      </c>
      <c r="I23" s="44" t="s">
        <v>348</v>
      </c>
      <c r="J23" s="44" t="s">
        <v>349</v>
      </c>
      <c r="K23" s="44" t="s">
        <v>350</v>
      </c>
    </row>
    <row r="24" spans="1:17" ht="15" customHeight="1" x14ac:dyDescent="0.3">
      <c r="A24" s="45" t="s">
        <v>52</v>
      </c>
      <c r="B24" s="46">
        <f>SUM(B30:B41)</f>
        <v>1438</v>
      </c>
      <c r="C24" s="46">
        <f>SUM(C30:C41)</f>
        <v>1383</v>
      </c>
      <c r="D24" s="46">
        <f>SUM(D30:D41)</f>
        <v>1845</v>
      </c>
      <c r="E24" s="46">
        <f>IFERROR(SUM(E30:E41),"")</f>
        <v>2946</v>
      </c>
      <c r="F24" s="46">
        <f>IFERROR(C24-B24,"")</f>
        <v>-55</v>
      </c>
      <c r="G24" s="17">
        <f>IFERROR(C24/B24-1,"")</f>
        <v>-3.8247566063977723E-2</v>
      </c>
      <c r="H24" s="46">
        <f>IFERROR(D24-B24,"")</f>
        <v>407</v>
      </c>
      <c r="I24" s="17">
        <f>IFERROR(D24/B24-1,"")</f>
        <v>0.28303198887343539</v>
      </c>
      <c r="J24" s="46">
        <f>IFERROR(D24-C24,"")</f>
        <v>462</v>
      </c>
      <c r="K24" s="17">
        <f>IFERROR(D24/C24-1,"")</f>
        <v>0.3340563991323211</v>
      </c>
    </row>
    <row r="25" spans="1:17" ht="15" customHeight="1" x14ac:dyDescent="0.3">
      <c r="A25" s="45" t="s">
        <v>53</v>
      </c>
      <c r="B25" s="16">
        <f>SUM(F30:F41)</f>
        <v>962703.5199999999</v>
      </c>
      <c r="C25" s="16">
        <f>SUM(G30:G41)</f>
        <v>967972.72</v>
      </c>
      <c r="D25" s="16">
        <f>SUM(H30:H41)</f>
        <v>1028097.2216759776</v>
      </c>
      <c r="E25" s="16">
        <f>IFERROR(SUM(I30:I41),"")</f>
        <v>1446679</v>
      </c>
      <c r="F25" s="16">
        <f>IFERROR(C25-B25,"")</f>
        <v>5269.2000000000698</v>
      </c>
      <c r="G25" s="17">
        <f>IFERROR(C25/B25-1,"")</f>
        <v>5.4733361731138519E-3</v>
      </c>
      <c r="H25" s="16">
        <f>IFERROR(D25-B25,"")</f>
        <v>65393.701675977674</v>
      </c>
      <c r="I25" s="17">
        <f>IFERROR(D25/B25-1,"")</f>
        <v>6.7927145084062612E-2</v>
      </c>
      <c r="J25" s="16">
        <f>IFERROR(D25-C25,"")</f>
        <v>60124.501675977604</v>
      </c>
      <c r="K25" s="17">
        <f>IFERROR(D25/C25-1,"")</f>
        <v>6.2113838989158232E-2</v>
      </c>
    </row>
    <row r="26" spans="1:17" ht="15" customHeight="1" x14ac:dyDescent="0.3">
      <c r="A26" s="45" t="s">
        <v>54</v>
      </c>
      <c r="B26" s="16">
        <f>SUM(J30:J41)</f>
        <v>324738.54000000004</v>
      </c>
      <c r="C26" s="16">
        <f>SUM(K30:K41)</f>
        <v>385417.58000000007</v>
      </c>
      <c r="D26" s="16">
        <f>SUM(L30:L41)</f>
        <v>460003.51516448508</v>
      </c>
      <c r="E26" s="16">
        <f>IFERROR(SUM(M30:M41),"")</f>
        <v>456973.61871365807</v>
      </c>
      <c r="F26" s="16">
        <f>IFERROR(C26-B26,"")</f>
        <v>60679.040000000037</v>
      </c>
      <c r="G26" s="17">
        <f>IFERROR(C26/B26-1,"")</f>
        <v>0.18685506192150769</v>
      </c>
      <c r="H26" s="16">
        <f>IFERROR(D26-B26,"")</f>
        <v>135264.97516448505</v>
      </c>
      <c r="I26" s="17">
        <f>IFERROR(D26/B26-1,"")</f>
        <v>0.41653502280476173</v>
      </c>
      <c r="J26" s="16">
        <f>IFERROR(D26-C26,"")</f>
        <v>74585.93516448501</v>
      </c>
      <c r="K26" s="17">
        <f>IFERROR(D26/C26-1,"")</f>
        <v>0.19351980562091908</v>
      </c>
    </row>
    <row r="27" spans="1:17" ht="15" customHeight="1" x14ac:dyDescent="0.3">
      <c r="A27" s="45" t="s">
        <v>55</v>
      </c>
      <c r="B27" s="16">
        <f>B25-B26</f>
        <v>637964.97999999986</v>
      </c>
      <c r="C27" s="16">
        <f>C25-C26</f>
        <v>582555.1399999999</v>
      </c>
      <c r="D27" s="16">
        <f>D25-D26</f>
        <v>568093.70651149249</v>
      </c>
      <c r="E27" s="16">
        <f>IFERROR(E25-E26,"")</f>
        <v>989705.38128634193</v>
      </c>
      <c r="F27" s="16">
        <f>IFERROR(C27-B27,"")</f>
        <v>-55409.839999999967</v>
      </c>
      <c r="G27" s="17">
        <f>IFERROR(C27/B27-1,"")</f>
        <v>-8.6854046439978516E-2</v>
      </c>
      <c r="H27" s="16">
        <f>IFERROR(D27-B27,"")</f>
        <v>-69871.273488507373</v>
      </c>
      <c r="I27" s="17">
        <f>IFERROR(D27/B27-1,"")</f>
        <v>-0.10952211434631942</v>
      </c>
      <c r="J27" s="16">
        <f>IFERROR(D27-C27,"")</f>
        <v>-14461.433488507406</v>
      </c>
      <c r="K27" s="17">
        <f>IFERROR(D27/C27-1,"")</f>
        <v>-2.4824145382199236E-2</v>
      </c>
    </row>
    <row r="29" spans="1:17" ht="30" customHeight="1" x14ac:dyDescent="0.25">
      <c r="A29" s="44" t="s">
        <v>9</v>
      </c>
      <c r="B29" s="44" t="s">
        <v>56</v>
      </c>
      <c r="C29" s="44" t="s">
        <v>57</v>
      </c>
      <c r="D29" s="44" t="s">
        <v>351</v>
      </c>
      <c r="E29" s="44" t="s">
        <v>58</v>
      </c>
      <c r="F29" s="44" t="s">
        <v>59</v>
      </c>
      <c r="G29" s="44" t="s">
        <v>60</v>
      </c>
      <c r="H29" s="44" t="s">
        <v>352</v>
      </c>
      <c r="I29" s="44" t="s">
        <v>61</v>
      </c>
      <c r="J29" s="44" t="s">
        <v>62</v>
      </c>
      <c r="K29" s="44" t="s">
        <v>63</v>
      </c>
      <c r="L29" s="44" t="s">
        <v>353</v>
      </c>
      <c r="M29" s="44" t="s">
        <v>64</v>
      </c>
      <c r="N29" s="44" t="s">
        <v>65</v>
      </c>
      <c r="O29" s="44" t="s">
        <v>66</v>
      </c>
      <c r="P29" s="44" t="s">
        <v>354</v>
      </c>
      <c r="Q29" s="44" t="s">
        <v>67</v>
      </c>
    </row>
    <row r="30" spans="1:17" ht="15" customHeight="1" x14ac:dyDescent="0.35">
      <c r="A30" s="47" t="s">
        <v>34</v>
      </c>
      <c r="B30" s="46">
        <v>80</v>
      </c>
      <c r="C30" s="46">
        <v>86</v>
      </c>
      <c r="D30" s="46">
        <v>75</v>
      </c>
      <c r="E30" s="46">
        <f>IFERROR(RESUMEN!B9,"")</f>
        <v>88</v>
      </c>
      <c r="F30" s="16">
        <v>54744.01</v>
      </c>
      <c r="G30" s="16">
        <v>71088.33</v>
      </c>
      <c r="H30" s="16">
        <v>71088.33</v>
      </c>
      <c r="I30" s="48">
        <f>IF(RESUMEN!V9="","",RESUMEN!V9)</f>
        <v>71088.33</v>
      </c>
      <c r="J30" s="16">
        <v>28797.69</v>
      </c>
      <c r="K30" s="16">
        <v>31893.9</v>
      </c>
      <c r="L30" s="16">
        <v>31893.9</v>
      </c>
      <c r="M30" s="16">
        <f>IFERROR(RESUMEN!N9/RESUMEN!M9,"")</f>
        <v>33912.568287292816</v>
      </c>
      <c r="N30" s="16">
        <f t="shared" ref="N30:N41" si="0">F30-J30</f>
        <v>25946.320000000003</v>
      </c>
      <c r="O30" s="16">
        <f t="shared" ref="O30:O41" si="1">G30-K30</f>
        <v>39194.43</v>
      </c>
      <c r="P30" s="16">
        <f t="shared" ref="P30:P41" si="2">H30-L30</f>
        <v>39194.43</v>
      </c>
      <c r="Q30" s="16">
        <f t="shared" ref="Q30:Q41" si="3">IFERROR(I30-M30,"")</f>
        <v>37175.761712707186</v>
      </c>
    </row>
    <row r="31" spans="1:17" ht="15" customHeight="1" x14ac:dyDescent="0.35">
      <c r="A31" s="49" t="s">
        <v>35</v>
      </c>
      <c r="B31" s="50">
        <v>80</v>
      </c>
      <c r="C31" s="50">
        <v>66</v>
      </c>
      <c r="D31" s="50">
        <v>55</v>
      </c>
      <c r="E31" s="50">
        <f>IFERROR(RESUMEN!B10,"")</f>
        <v>54</v>
      </c>
      <c r="F31" s="51">
        <v>54744.01</v>
      </c>
      <c r="G31" s="51">
        <v>53916.57</v>
      </c>
      <c r="H31" s="51">
        <v>53916.57</v>
      </c>
      <c r="I31" s="48">
        <f>IF(RESUMEN!V10="","",RESUMEN!V10)</f>
        <v>53916.57</v>
      </c>
      <c r="J31" s="51">
        <v>27977.919999999998</v>
      </c>
      <c r="K31" s="51">
        <v>36712.93</v>
      </c>
      <c r="L31" s="51">
        <v>36712.93</v>
      </c>
      <c r="M31" s="51">
        <f>IFERROR(RESUMEN!N10/RESUMEN!M10,"")</f>
        <v>35560.254309392265</v>
      </c>
      <c r="N31" s="51">
        <f t="shared" si="0"/>
        <v>26766.090000000004</v>
      </c>
      <c r="O31" s="51">
        <f t="shared" si="1"/>
        <v>17203.64</v>
      </c>
      <c r="P31" s="51">
        <f t="shared" si="2"/>
        <v>17203.64</v>
      </c>
      <c r="Q31" s="51">
        <f t="shared" si="3"/>
        <v>18356.315690607735</v>
      </c>
    </row>
    <row r="32" spans="1:17" ht="15" customHeight="1" x14ac:dyDescent="0.35">
      <c r="A32" s="47" t="s">
        <v>36</v>
      </c>
      <c r="B32" s="46">
        <v>99</v>
      </c>
      <c r="C32" s="46">
        <v>77</v>
      </c>
      <c r="D32" s="46">
        <v>72</v>
      </c>
      <c r="E32" s="46">
        <f>IFERROR(RESUMEN!B11,"")</f>
        <v>72</v>
      </c>
      <c r="F32" s="16">
        <v>67745.710000000006</v>
      </c>
      <c r="G32" s="16">
        <v>71738.100000000006</v>
      </c>
      <c r="H32" s="16">
        <v>71738.100000000006</v>
      </c>
      <c r="I32" s="48">
        <f>IF(RESUMEN!V11="","",RESUMEN!V11)</f>
        <v>71738.100000000006</v>
      </c>
      <c r="J32" s="16">
        <v>30289.57</v>
      </c>
      <c r="K32" s="16">
        <v>31860.89</v>
      </c>
      <c r="L32" s="16">
        <v>31860.89</v>
      </c>
      <c r="M32" s="16">
        <f>IFERROR(RESUMEN!N11/RESUMEN!M11,"")</f>
        <v>33704.168287292821</v>
      </c>
      <c r="N32" s="16">
        <f t="shared" si="0"/>
        <v>37456.140000000007</v>
      </c>
      <c r="O32" s="16">
        <f t="shared" si="1"/>
        <v>39877.210000000006</v>
      </c>
      <c r="P32" s="16">
        <f t="shared" si="2"/>
        <v>39877.210000000006</v>
      </c>
      <c r="Q32" s="16">
        <f t="shared" si="3"/>
        <v>38033.931712707184</v>
      </c>
    </row>
    <row r="33" spans="1:17" ht="15" customHeight="1" x14ac:dyDescent="0.35">
      <c r="A33" s="49" t="s">
        <v>37</v>
      </c>
      <c r="B33" s="50">
        <v>80</v>
      </c>
      <c r="C33" s="50">
        <v>31</v>
      </c>
      <c r="D33" s="50">
        <v>23</v>
      </c>
      <c r="E33" s="50">
        <f>IFERROR(RESUMEN!B12,"")</f>
        <v>23</v>
      </c>
      <c r="F33" s="51">
        <v>54744.01</v>
      </c>
      <c r="G33" s="51">
        <v>19736</v>
      </c>
      <c r="H33" s="51">
        <v>19736</v>
      </c>
      <c r="I33" s="48">
        <f>IF(RESUMEN!V12="","",RESUMEN!V12)</f>
        <v>19736</v>
      </c>
      <c r="J33" s="51">
        <v>28524.43</v>
      </c>
      <c r="K33" s="51">
        <v>26545.42</v>
      </c>
      <c r="L33" s="51">
        <v>26545.42</v>
      </c>
      <c r="M33" s="51">
        <f>IFERROR(RESUMEN!N12/RESUMEN!M12,"")</f>
        <v>25525.009613259666</v>
      </c>
      <c r="N33" s="51">
        <f t="shared" si="0"/>
        <v>26219.58</v>
      </c>
      <c r="O33" s="51">
        <f t="shared" si="1"/>
        <v>-6809.4199999999983</v>
      </c>
      <c r="P33" s="51">
        <f t="shared" si="2"/>
        <v>-6809.4199999999983</v>
      </c>
      <c r="Q33" s="51">
        <f t="shared" si="3"/>
        <v>-5789.0096132596664</v>
      </c>
    </row>
    <row r="34" spans="1:17" ht="15" customHeight="1" x14ac:dyDescent="0.35">
      <c r="A34" s="47" t="s">
        <v>38</v>
      </c>
      <c r="B34" s="46">
        <v>80</v>
      </c>
      <c r="C34" s="46">
        <v>66</v>
      </c>
      <c r="D34" s="46">
        <v>47</v>
      </c>
      <c r="E34" s="46">
        <f>IFERROR(RESUMEN!B13,"")</f>
        <v>47</v>
      </c>
      <c r="F34" s="16">
        <v>54744.01</v>
      </c>
      <c r="G34" s="16">
        <v>41288</v>
      </c>
      <c r="H34" s="16">
        <v>41288</v>
      </c>
      <c r="I34" s="48">
        <f>IF(RESUMEN!V13="","",RESUMEN!V13)</f>
        <v>41288</v>
      </c>
      <c r="J34" s="16">
        <v>25656.880000000001</v>
      </c>
      <c r="K34" s="16">
        <v>36986.959999999999</v>
      </c>
      <c r="L34" s="16">
        <v>36986.959999999999</v>
      </c>
      <c r="M34" s="16">
        <f>IFERROR(RESUMEN!N13/RESUMEN!M13,"")</f>
        <v>36374.173343951319</v>
      </c>
      <c r="N34" s="16">
        <f t="shared" si="0"/>
        <v>29087.13</v>
      </c>
      <c r="O34" s="16">
        <f t="shared" si="1"/>
        <v>4301.0400000000009</v>
      </c>
      <c r="P34" s="16">
        <f t="shared" si="2"/>
        <v>4301.0400000000009</v>
      </c>
      <c r="Q34" s="16">
        <f t="shared" si="3"/>
        <v>4913.8266560486809</v>
      </c>
    </row>
    <row r="35" spans="1:17" ht="15" customHeight="1" x14ac:dyDescent="0.35">
      <c r="A35" s="49" t="s">
        <v>39</v>
      </c>
      <c r="B35" s="50">
        <v>199</v>
      </c>
      <c r="C35" s="50">
        <v>207</v>
      </c>
      <c r="D35" s="50">
        <v>213</v>
      </c>
      <c r="E35" s="50">
        <f>IFERROR(RESUMEN!B14,"")</f>
        <v>213</v>
      </c>
      <c r="F35" s="51">
        <v>130845.71</v>
      </c>
      <c r="G35" s="51">
        <v>137672.35</v>
      </c>
      <c r="H35" s="51">
        <v>54592</v>
      </c>
      <c r="I35" s="48">
        <f>IF(RESUMEN!V14="","",RESUMEN!V14)</f>
        <v>54592</v>
      </c>
      <c r="J35" s="51">
        <v>33961.949999999997</v>
      </c>
      <c r="K35" s="51">
        <v>42558.9</v>
      </c>
      <c r="L35" s="51">
        <v>31360.91</v>
      </c>
      <c r="M35" s="51">
        <f>IFERROR(RESUMEN!N14/RESUMEN!M14,"")</f>
        <v>32451.086961325967</v>
      </c>
      <c r="N35" s="51">
        <f t="shared" si="0"/>
        <v>96883.760000000009</v>
      </c>
      <c r="O35" s="51">
        <f t="shared" si="1"/>
        <v>95113.450000000012</v>
      </c>
      <c r="P35" s="51">
        <f t="shared" si="2"/>
        <v>23231.09</v>
      </c>
      <c r="Q35" s="51">
        <f t="shared" si="3"/>
        <v>22140.913038674033</v>
      </c>
    </row>
    <row r="36" spans="1:17" ht="15" customHeight="1" x14ac:dyDescent="0.35">
      <c r="A36" s="47" t="s">
        <v>40</v>
      </c>
      <c r="B36" s="46">
        <v>180</v>
      </c>
      <c r="C36" s="46">
        <v>188</v>
      </c>
      <c r="D36" s="46">
        <v>547</v>
      </c>
      <c r="E36" s="46">
        <f>IFERROR(RESUMEN!B15,"")</f>
        <v>547</v>
      </c>
      <c r="F36" s="16">
        <v>117844.01</v>
      </c>
      <c r="G36" s="16">
        <v>124416.27</v>
      </c>
      <c r="H36" s="16">
        <v>198088</v>
      </c>
      <c r="I36" s="48">
        <f>IF(RESUMEN!V15="","",RESUMEN!V15)</f>
        <v>198088</v>
      </c>
      <c r="J36" s="16">
        <v>33116.29</v>
      </c>
      <c r="K36" s="16">
        <v>41218.720000000001</v>
      </c>
      <c r="L36" s="16">
        <v>48024.46</v>
      </c>
      <c r="M36" s="16">
        <f>IFERROR(RESUMEN!N15/RESUMEN!M15,"")</f>
        <v>48769.220201098229</v>
      </c>
      <c r="N36" s="16">
        <f t="shared" si="0"/>
        <v>84727.72</v>
      </c>
      <c r="O36" s="16">
        <f t="shared" si="1"/>
        <v>83197.55</v>
      </c>
      <c r="P36" s="16">
        <f t="shared" si="2"/>
        <v>150063.54</v>
      </c>
      <c r="Q36" s="16">
        <f t="shared" si="3"/>
        <v>149318.77979890176</v>
      </c>
    </row>
    <row r="37" spans="1:17" ht="15" customHeight="1" x14ac:dyDescent="0.35">
      <c r="A37" s="49" t="s">
        <v>41</v>
      </c>
      <c r="B37" s="50">
        <v>180</v>
      </c>
      <c r="C37" s="50">
        <v>188</v>
      </c>
      <c r="D37" s="50">
        <v>349</v>
      </c>
      <c r="E37" s="50">
        <f>IFERROR(RESUMEN!B16,"")</f>
        <v>751</v>
      </c>
      <c r="F37" s="51">
        <v>117844.01</v>
      </c>
      <c r="G37" s="51">
        <v>124416.27</v>
      </c>
      <c r="H37" s="51">
        <v>305408</v>
      </c>
      <c r="I37" s="48">
        <f>IF(RESUMEN!V16="","",RESUMEN!V16)</f>
        <v>305408</v>
      </c>
      <c r="J37" s="51">
        <v>33116.29</v>
      </c>
      <c r="K37" s="51">
        <v>41218.720000000001</v>
      </c>
      <c r="L37" s="51">
        <v>82416.453017358057</v>
      </c>
      <c r="M37" s="51">
        <f>IFERROR(RESUMEN!N16/RESUMEN!M16,"")</f>
        <v>86839.947639340113</v>
      </c>
      <c r="N37" s="51">
        <f t="shared" si="0"/>
        <v>84727.72</v>
      </c>
      <c r="O37" s="51">
        <f t="shared" si="1"/>
        <v>83197.55</v>
      </c>
      <c r="P37" s="51">
        <f t="shared" si="2"/>
        <v>222991.54698264194</v>
      </c>
      <c r="Q37" s="51">
        <f t="shared" si="3"/>
        <v>218568.05236065987</v>
      </c>
    </row>
    <row r="38" spans="1:17" ht="15" customHeight="1" x14ac:dyDescent="0.35">
      <c r="A38" s="47" t="s">
        <v>42</v>
      </c>
      <c r="B38" s="46">
        <v>199</v>
      </c>
      <c r="C38" s="46">
        <v>208</v>
      </c>
      <c r="D38" s="46">
        <v>316</v>
      </c>
      <c r="E38" s="46">
        <f>IFERROR(RESUMEN!B17,"")</f>
        <v>1151</v>
      </c>
      <c r="F38" s="16">
        <v>130845.71</v>
      </c>
      <c r="G38" s="16">
        <v>138370.04</v>
      </c>
      <c r="H38" s="16">
        <v>110965.80513966481</v>
      </c>
      <c r="I38" s="48">
        <f>IF(RESUMEN!V17="","",RESUMEN!V17)</f>
        <v>630824</v>
      </c>
      <c r="J38" s="16">
        <v>33961.949999999997</v>
      </c>
      <c r="K38" s="16">
        <v>42645.38</v>
      </c>
      <c r="L38" s="16">
        <v>51783.304287014063</v>
      </c>
      <c r="M38" s="16">
        <f>IFERROR(RESUMEN!N17/RESUMEN!M17,"")</f>
        <v>123837.19007070485</v>
      </c>
      <c r="N38" s="16">
        <f t="shared" si="0"/>
        <v>96883.760000000009</v>
      </c>
      <c r="O38" s="16">
        <f t="shared" si="1"/>
        <v>95724.66</v>
      </c>
      <c r="P38" s="16">
        <f t="shared" si="2"/>
        <v>59182.500852650744</v>
      </c>
      <c r="Q38" s="16">
        <f t="shared" si="3"/>
        <v>506986.80992929515</v>
      </c>
    </row>
    <row r="39" spans="1:17" ht="15" customHeight="1" x14ac:dyDescent="0.35">
      <c r="A39" s="49" t="s">
        <v>43</v>
      </c>
      <c r="B39" s="50">
        <v>82</v>
      </c>
      <c r="C39" s="50">
        <v>89</v>
      </c>
      <c r="D39" s="50">
        <v>46</v>
      </c>
      <c r="E39" s="50" t="str">
        <f>IFERROR(RESUMEN!B18,"")</f>
        <v/>
      </c>
      <c r="F39" s="51">
        <v>56112.61</v>
      </c>
      <c r="G39" s="51">
        <v>62000.57</v>
      </c>
      <c r="H39" s="51">
        <v>31477.805139664804</v>
      </c>
      <c r="I39" s="48" t="str">
        <f>IF(RESUMEN!V18="","",RESUMEN!V18)</f>
        <v/>
      </c>
      <c r="J39" s="51">
        <v>16248.89</v>
      </c>
      <c r="K39" s="51">
        <v>17938.34</v>
      </c>
      <c r="L39" s="51">
        <v>27385.479077321961</v>
      </c>
      <c r="M39" s="51" t="str">
        <f>IFERROR(RESUMEN!N18/RESUMEN!M18,"")</f>
        <v/>
      </c>
      <c r="N39" s="51">
        <f t="shared" si="0"/>
        <v>39863.72</v>
      </c>
      <c r="O39" s="51">
        <f t="shared" si="1"/>
        <v>44062.229999999996</v>
      </c>
      <c r="P39" s="51">
        <f t="shared" si="2"/>
        <v>4092.3260623428432</v>
      </c>
      <c r="Q39" s="51" t="str">
        <f t="shared" si="3"/>
        <v/>
      </c>
    </row>
    <row r="40" spans="1:17" ht="15" customHeight="1" x14ac:dyDescent="0.35">
      <c r="A40" s="47" t="s">
        <v>44</v>
      </c>
      <c r="B40" s="46">
        <v>80</v>
      </c>
      <c r="C40" s="46">
        <v>88</v>
      </c>
      <c r="D40" s="46">
        <v>56</v>
      </c>
      <c r="E40" s="46" t="str">
        <f>IFERROR(RESUMEN!B19,"")</f>
        <v/>
      </c>
      <c r="F40" s="16">
        <v>54744.01</v>
      </c>
      <c r="G40" s="16">
        <v>61316.27</v>
      </c>
      <c r="H40" s="16">
        <v>38320.80625698324</v>
      </c>
      <c r="I40" s="48" t="str">
        <f>IF(RESUMEN!V19="","",RESUMEN!V19)</f>
        <v/>
      </c>
      <c r="J40" s="16">
        <v>16170.37</v>
      </c>
      <c r="K40" s="16">
        <v>17899.080000000002</v>
      </c>
      <c r="L40" s="16">
        <v>27647.329705469056</v>
      </c>
      <c r="M40" s="16" t="str">
        <f>IFERROR(RESUMEN!N19/RESUMEN!M19,"")</f>
        <v/>
      </c>
      <c r="N40" s="16">
        <f t="shared" si="0"/>
        <v>38573.64</v>
      </c>
      <c r="O40" s="16">
        <f t="shared" si="1"/>
        <v>43417.189999999995</v>
      </c>
      <c r="P40" s="16">
        <f t="shared" si="2"/>
        <v>10673.476551514184</v>
      </c>
      <c r="Q40" s="16" t="str">
        <f t="shared" si="3"/>
        <v/>
      </c>
    </row>
    <row r="41" spans="1:17" ht="15" customHeight="1" x14ac:dyDescent="0.35">
      <c r="A41" s="49" t="s">
        <v>45</v>
      </c>
      <c r="B41" s="50">
        <v>99</v>
      </c>
      <c r="C41" s="50">
        <v>89</v>
      </c>
      <c r="D41" s="50">
        <v>46</v>
      </c>
      <c r="E41" s="50" t="str">
        <f>IFERROR(RESUMEN!B20,"")</f>
        <v/>
      </c>
      <c r="F41" s="51">
        <v>67745.710000000006</v>
      </c>
      <c r="G41" s="51">
        <v>62013.95</v>
      </c>
      <c r="H41" s="51">
        <v>31477.805139664804</v>
      </c>
      <c r="I41" s="48" t="str">
        <f>IF(RESUMEN!V20="","",RESUMEN!V20)</f>
        <v/>
      </c>
      <c r="J41" s="51">
        <v>16916.310000000001</v>
      </c>
      <c r="K41" s="51">
        <v>17938.34</v>
      </c>
      <c r="L41" s="51">
        <v>27385.479077321961</v>
      </c>
      <c r="M41" s="51" t="str">
        <f>IFERROR(RESUMEN!N20/RESUMEN!M20,"")</f>
        <v/>
      </c>
      <c r="N41" s="51">
        <f t="shared" si="0"/>
        <v>50829.400000000009</v>
      </c>
      <c r="O41" s="51">
        <f t="shared" si="1"/>
        <v>44075.61</v>
      </c>
      <c r="P41" s="51">
        <f t="shared" si="2"/>
        <v>4092.3260623428432</v>
      </c>
      <c r="Q41" s="51" t="str">
        <f t="shared" si="3"/>
        <v/>
      </c>
    </row>
    <row r="42" spans="1:17" ht="15" customHeight="1" x14ac:dyDescent="0.35">
      <c r="A42" s="52" t="s">
        <v>68</v>
      </c>
      <c r="B42" s="53">
        <f t="shared" ref="B42:Q42" si="4">IF(COUNT(B30:B41)=0,"",SUM(B30:B41))</f>
        <v>1438</v>
      </c>
      <c r="C42" s="53">
        <f t="shared" si="4"/>
        <v>1383</v>
      </c>
      <c r="D42" s="53">
        <f t="shared" si="4"/>
        <v>1845</v>
      </c>
      <c r="E42" s="53">
        <f t="shared" si="4"/>
        <v>2946</v>
      </c>
      <c r="F42" s="42">
        <f t="shared" si="4"/>
        <v>962703.5199999999</v>
      </c>
      <c r="G42" s="42">
        <f t="shared" si="4"/>
        <v>967972.72</v>
      </c>
      <c r="H42" s="42">
        <f t="shared" si="4"/>
        <v>1028097.2216759776</v>
      </c>
      <c r="I42" s="42">
        <f t="shared" si="4"/>
        <v>1446679</v>
      </c>
      <c r="J42" s="42">
        <f t="shared" si="4"/>
        <v>324738.54000000004</v>
      </c>
      <c r="K42" s="42">
        <f t="shared" si="4"/>
        <v>385417.58000000007</v>
      </c>
      <c r="L42" s="42">
        <f t="shared" si="4"/>
        <v>460003.51516448508</v>
      </c>
      <c r="M42" s="42">
        <f t="shared" si="4"/>
        <v>456973.61871365807</v>
      </c>
      <c r="N42" s="42">
        <f t="shared" si="4"/>
        <v>637964.98</v>
      </c>
      <c r="O42" s="42">
        <f t="shared" si="4"/>
        <v>582555.1399999999</v>
      </c>
      <c r="P42" s="42">
        <f t="shared" si="4"/>
        <v>568093.70651149261</v>
      </c>
      <c r="Q42" s="42">
        <f t="shared" si="4"/>
        <v>989705.38128634193</v>
      </c>
    </row>
    <row r="43" spans="1:17" ht="15" customHeight="1" x14ac:dyDescent="0.25">
      <c r="A43" s="120" t="s">
        <v>355</v>
      </c>
    </row>
    <row r="45" spans="1:17" ht="21" customHeight="1" x14ac:dyDescent="0.25">
      <c r="A45" s="119" t="s">
        <v>356</v>
      </c>
    </row>
    <row r="46" spans="1:17" ht="18" customHeight="1" x14ac:dyDescent="0.25">
      <c r="A46" s="44"/>
      <c r="B46" s="125" t="s">
        <v>52</v>
      </c>
      <c r="C46" s="125"/>
      <c r="D46" s="125"/>
      <c r="E46" s="125"/>
      <c r="F46" s="125" t="s">
        <v>286</v>
      </c>
      <c r="G46" s="125"/>
      <c r="H46" s="125"/>
      <c r="I46" s="125"/>
      <c r="J46" s="125" t="s">
        <v>357</v>
      </c>
      <c r="K46" s="125"/>
      <c r="L46" s="125"/>
      <c r="M46" s="125"/>
      <c r="N46" s="125" t="s">
        <v>289</v>
      </c>
      <c r="O46" s="125"/>
      <c r="P46" s="125"/>
      <c r="Q46" s="125"/>
    </row>
    <row r="47" spans="1:17" ht="21" customHeight="1" x14ac:dyDescent="0.25">
      <c r="A47" s="44" t="s">
        <v>9</v>
      </c>
      <c r="B47" s="44" t="s">
        <v>338</v>
      </c>
      <c r="C47" s="44" t="s">
        <v>358</v>
      </c>
      <c r="D47" s="44" t="s">
        <v>359</v>
      </c>
      <c r="E47" s="44" t="s">
        <v>360</v>
      </c>
      <c r="F47" s="44" t="s">
        <v>338</v>
      </c>
      <c r="G47" s="44" t="s">
        <v>358</v>
      </c>
      <c r="H47" s="44" t="s">
        <v>359</v>
      </c>
      <c r="I47" s="44" t="s">
        <v>360</v>
      </c>
      <c r="J47" s="44" t="s">
        <v>338</v>
      </c>
      <c r="K47" s="44" t="s">
        <v>358</v>
      </c>
      <c r="L47" s="44" t="s">
        <v>359</v>
      </c>
      <c r="M47" s="44" t="s">
        <v>360</v>
      </c>
      <c r="N47" s="44" t="s">
        <v>338</v>
      </c>
      <c r="O47" s="44" t="s">
        <v>358</v>
      </c>
      <c r="P47" s="44" t="s">
        <v>359</v>
      </c>
      <c r="Q47" s="44" t="s">
        <v>360</v>
      </c>
    </row>
    <row r="48" spans="1:17" ht="15" customHeight="1" x14ac:dyDescent="0.25">
      <c r="A48" s="47" t="s">
        <v>34</v>
      </c>
      <c r="B48" s="46">
        <f t="shared" ref="B48:B59" si="5">IF(E30="","",E30)</f>
        <v>88</v>
      </c>
      <c r="C48" s="113">
        <f t="shared" ref="C48:E59" si="6">IF($B48="","",$B48-B30)</f>
        <v>8</v>
      </c>
      <c r="D48" s="113">
        <f t="shared" si="6"/>
        <v>2</v>
      </c>
      <c r="E48" s="113">
        <f t="shared" si="6"/>
        <v>13</v>
      </c>
      <c r="F48" s="16">
        <f t="shared" ref="F48:F59" si="7">IF(I30="","",I30)</f>
        <v>71088.33</v>
      </c>
      <c r="G48" s="114">
        <f t="shared" ref="G48:I59" si="8">IF($F48="","",$F48-F30)</f>
        <v>16344.32</v>
      </c>
      <c r="H48" s="114">
        <f t="shared" si="8"/>
        <v>0</v>
      </c>
      <c r="I48" s="114">
        <f t="shared" si="8"/>
        <v>0</v>
      </c>
      <c r="J48" s="16">
        <f t="shared" ref="J48:J59" si="9">IF(M30="","",M30)</f>
        <v>33912.568287292816</v>
      </c>
      <c r="K48" s="114">
        <f t="shared" ref="K48:M59" si="10">IF($J48="","",$J48-J30)</f>
        <v>5114.8782872928168</v>
      </c>
      <c r="L48" s="114">
        <f t="shared" si="10"/>
        <v>2018.6682872928141</v>
      </c>
      <c r="M48" s="114">
        <f t="shared" si="10"/>
        <v>2018.6682872928141</v>
      </c>
      <c r="N48" s="16">
        <f t="shared" ref="N48:N59" si="11">IF(Q30="","",Q30)</f>
        <v>37175.761712707186</v>
      </c>
      <c r="O48" s="114">
        <f t="shared" ref="O48:Q59" si="12">IF($N48="","",$N48-N30)</f>
        <v>11229.441712707183</v>
      </c>
      <c r="P48" s="114">
        <f t="shared" si="12"/>
        <v>-2018.6682872928141</v>
      </c>
      <c r="Q48" s="114">
        <f t="shared" si="12"/>
        <v>-2018.6682872928141</v>
      </c>
    </row>
    <row r="49" spans="1:17" ht="15" customHeight="1" x14ac:dyDescent="0.25">
      <c r="A49" s="47" t="s">
        <v>35</v>
      </c>
      <c r="B49" s="46">
        <f t="shared" si="5"/>
        <v>54</v>
      </c>
      <c r="C49" s="113">
        <f t="shared" si="6"/>
        <v>-26</v>
      </c>
      <c r="D49" s="113">
        <f t="shared" si="6"/>
        <v>-12</v>
      </c>
      <c r="E49" s="113">
        <f t="shared" si="6"/>
        <v>-1</v>
      </c>
      <c r="F49" s="16">
        <f t="shared" si="7"/>
        <v>53916.57</v>
      </c>
      <c r="G49" s="114">
        <f t="shared" si="8"/>
        <v>-827.44000000000233</v>
      </c>
      <c r="H49" s="114">
        <f t="shared" si="8"/>
        <v>0</v>
      </c>
      <c r="I49" s="114">
        <f t="shared" si="8"/>
        <v>0</v>
      </c>
      <c r="J49" s="16">
        <f t="shared" si="9"/>
        <v>35560.254309392265</v>
      </c>
      <c r="K49" s="114">
        <f t="shared" si="10"/>
        <v>7582.3343093922667</v>
      </c>
      <c r="L49" s="114">
        <f t="shared" si="10"/>
        <v>-1152.6756906077353</v>
      </c>
      <c r="M49" s="114">
        <f t="shared" si="10"/>
        <v>-1152.6756906077353</v>
      </c>
      <c r="N49" s="16">
        <f t="shared" si="11"/>
        <v>18356.315690607735</v>
      </c>
      <c r="O49" s="114">
        <f t="shared" si="12"/>
        <v>-8409.7743093922691</v>
      </c>
      <c r="P49" s="114">
        <f t="shared" si="12"/>
        <v>1152.6756906077353</v>
      </c>
      <c r="Q49" s="114">
        <f t="shared" si="12"/>
        <v>1152.6756906077353</v>
      </c>
    </row>
    <row r="50" spans="1:17" ht="15" customHeight="1" x14ac:dyDescent="0.25">
      <c r="A50" s="47" t="s">
        <v>36</v>
      </c>
      <c r="B50" s="46">
        <f t="shared" si="5"/>
        <v>72</v>
      </c>
      <c r="C50" s="113">
        <f t="shared" si="6"/>
        <v>-27</v>
      </c>
      <c r="D50" s="113">
        <f t="shared" si="6"/>
        <v>-5</v>
      </c>
      <c r="E50" s="113">
        <f t="shared" si="6"/>
        <v>0</v>
      </c>
      <c r="F50" s="16">
        <f t="shared" si="7"/>
        <v>71738.100000000006</v>
      </c>
      <c r="G50" s="114">
        <f t="shared" si="8"/>
        <v>3992.3899999999994</v>
      </c>
      <c r="H50" s="114">
        <f t="shared" si="8"/>
        <v>0</v>
      </c>
      <c r="I50" s="114">
        <f t="shared" si="8"/>
        <v>0</v>
      </c>
      <c r="J50" s="16">
        <f t="shared" si="9"/>
        <v>33704.168287292821</v>
      </c>
      <c r="K50" s="114">
        <f t="shared" si="10"/>
        <v>3414.5982872928216</v>
      </c>
      <c r="L50" s="114">
        <f t="shared" si="10"/>
        <v>1843.2782872928219</v>
      </c>
      <c r="M50" s="114">
        <f t="shared" si="10"/>
        <v>1843.2782872928219</v>
      </c>
      <c r="N50" s="16">
        <f t="shared" si="11"/>
        <v>38033.931712707184</v>
      </c>
      <c r="O50" s="114">
        <f t="shared" si="12"/>
        <v>577.79171270717779</v>
      </c>
      <c r="P50" s="114">
        <f t="shared" si="12"/>
        <v>-1843.2782872928219</v>
      </c>
      <c r="Q50" s="114">
        <f t="shared" si="12"/>
        <v>-1843.2782872928219</v>
      </c>
    </row>
    <row r="51" spans="1:17" ht="15" customHeight="1" x14ac:dyDescent="0.25">
      <c r="A51" s="47" t="s">
        <v>37</v>
      </c>
      <c r="B51" s="46">
        <f t="shared" si="5"/>
        <v>23</v>
      </c>
      <c r="C51" s="113">
        <f t="shared" si="6"/>
        <v>-57</v>
      </c>
      <c r="D51" s="113">
        <f t="shared" si="6"/>
        <v>-8</v>
      </c>
      <c r="E51" s="113">
        <f t="shared" si="6"/>
        <v>0</v>
      </c>
      <c r="F51" s="16">
        <f t="shared" si="7"/>
        <v>19736</v>
      </c>
      <c r="G51" s="114">
        <f t="shared" si="8"/>
        <v>-35008.01</v>
      </c>
      <c r="H51" s="114">
        <f t="shared" si="8"/>
        <v>0</v>
      </c>
      <c r="I51" s="114">
        <f t="shared" si="8"/>
        <v>0</v>
      </c>
      <c r="J51" s="16">
        <f t="shared" si="9"/>
        <v>25525.009613259666</v>
      </c>
      <c r="K51" s="114">
        <f t="shared" si="10"/>
        <v>-2999.4203867403339</v>
      </c>
      <c r="L51" s="114">
        <f t="shared" si="10"/>
        <v>-1020.4103867403319</v>
      </c>
      <c r="M51" s="114">
        <f t="shared" si="10"/>
        <v>-1020.4103867403319</v>
      </c>
      <c r="N51" s="16">
        <f t="shared" si="11"/>
        <v>-5789.0096132596664</v>
      </c>
      <c r="O51" s="114">
        <f t="shared" si="12"/>
        <v>-32008.589613259668</v>
      </c>
      <c r="P51" s="114">
        <f t="shared" si="12"/>
        <v>1020.4103867403319</v>
      </c>
      <c r="Q51" s="114">
        <f t="shared" si="12"/>
        <v>1020.4103867403319</v>
      </c>
    </row>
    <row r="52" spans="1:17" ht="15" customHeight="1" x14ac:dyDescent="0.25">
      <c r="A52" s="47" t="s">
        <v>38</v>
      </c>
      <c r="B52" s="46">
        <f t="shared" si="5"/>
        <v>47</v>
      </c>
      <c r="C52" s="113">
        <f t="shared" si="6"/>
        <v>-33</v>
      </c>
      <c r="D52" s="113">
        <f t="shared" si="6"/>
        <v>-19</v>
      </c>
      <c r="E52" s="113">
        <f t="shared" si="6"/>
        <v>0</v>
      </c>
      <c r="F52" s="16">
        <f t="shared" si="7"/>
        <v>41288</v>
      </c>
      <c r="G52" s="114">
        <f t="shared" si="8"/>
        <v>-13456.010000000002</v>
      </c>
      <c r="H52" s="114">
        <f t="shared" si="8"/>
        <v>0</v>
      </c>
      <c r="I52" s="114">
        <f t="shared" si="8"/>
        <v>0</v>
      </c>
      <c r="J52" s="16">
        <f t="shared" si="9"/>
        <v>36374.173343951319</v>
      </c>
      <c r="K52" s="114">
        <f t="shared" si="10"/>
        <v>10717.293343951318</v>
      </c>
      <c r="L52" s="114">
        <f t="shared" si="10"/>
        <v>-612.78665604868002</v>
      </c>
      <c r="M52" s="114">
        <f t="shared" si="10"/>
        <v>-612.78665604868002</v>
      </c>
      <c r="N52" s="16">
        <f t="shared" si="11"/>
        <v>4913.8266560486809</v>
      </c>
      <c r="O52" s="114">
        <f t="shared" si="12"/>
        <v>-24173.30334395132</v>
      </c>
      <c r="P52" s="114">
        <f t="shared" si="12"/>
        <v>612.78665604868002</v>
      </c>
      <c r="Q52" s="114">
        <f t="shared" si="12"/>
        <v>612.78665604868002</v>
      </c>
    </row>
    <row r="53" spans="1:17" ht="15" customHeight="1" x14ac:dyDescent="0.25">
      <c r="A53" s="47" t="s">
        <v>39</v>
      </c>
      <c r="B53" s="46">
        <f t="shared" si="5"/>
        <v>213</v>
      </c>
      <c r="C53" s="113">
        <f t="shared" si="6"/>
        <v>14</v>
      </c>
      <c r="D53" s="113">
        <f t="shared" si="6"/>
        <v>6</v>
      </c>
      <c r="E53" s="113">
        <f t="shared" si="6"/>
        <v>0</v>
      </c>
      <c r="F53" s="16">
        <f t="shared" si="7"/>
        <v>54592</v>
      </c>
      <c r="G53" s="114">
        <f t="shared" si="8"/>
        <v>-76253.710000000006</v>
      </c>
      <c r="H53" s="114">
        <f t="shared" si="8"/>
        <v>-83080.350000000006</v>
      </c>
      <c r="I53" s="114">
        <f t="shared" si="8"/>
        <v>0</v>
      </c>
      <c r="J53" s="16">
        <f t="shared" si="9"/>
        <v>32451.086961325967</v>
      </c>
      <c r="K53" s="114">
        <f t="shared" si="10"/>
        <v>-1510.8630386740297</v>
      </c>
      <c r="L53" s="114">
        <f t="shared" si="10"/>
        <v>-10107.813038674034</v>
      </c>
      <c r="M53" s="114">
        <f t="shared" si="10"/>
        <v>1090.1769613259676</v>
      </c>
      <c r="N53" s="16">
        <f t="shared" si="11"/>
        <v>22140.913038674033</v>
      </c>
      <c r="O53" s="114">
        <f t="shared" si="12"/>
        <v>-74742.84696132598</v>
      </c>
      <c r="P53" s="114">
        <f t="shared" si="12"/>
        <v>-72972.536961325983</v>
      </c>
      <c r="Q53" s="114">
        <f t="shared" si="12"/>
        <v>-1090.1769613259676</v>
      </c>
    </row>
    <row r="54" spans="1:17" ht="15" customHeight="1" x14ac:dyDescent="0.25">
      <c r="A54" s="47" t="s">
        <v>40</v>
      </c>
      <c r="B54" s="46">
        <f t="shared" si="5"/>
        <v>547</v>
      </c>
      <c r="C54" s="113">
        <f t="shared" si="6"/>
        <v>367</v>
      </c>
      <c r="D54" s="113">
        <f t="shared" si="6"/>
        <v>359</v>
      </c>
      <c r="E54" s="113">
        <f t="shared" si="6"/>
        <v>0</v>
      </c>
      <c r="F54" s="16">
        <f t="shared" si="7"/>
        <v>198088</v>
      </c>
      <c r="G54" s="114">
        <f t="shared" si="8"/>
        <v>80243.990000000005</v>
      </c>
      <c r="H54" s="114">
        <f t="shared" si="8"/>
        <v>73671.73</v>
      </c>
      <c r="I54" s="114">
        <f t="shared" si="8"/>
        <v>0</v>
      </c>
      <c r="J54" s="16">
        <f t="shared" si="9"/>
        <v>48769.220201098229</v>
      </c>
      <c r="K54" s="114">
        <f t="shared" si="10"/>
        <v>15652.930201098228</v>
      </c>
      <c r="L54" s="114">
        <f t="shared" si="10"/>
        <v>7550.500201098228</v>
      </c>
      <c r="M54" s="114">
        <f t="shared" si="10"/>
        <v>744.76020109823003</v>
      </c>
      <c r="N54" s="16">
        <f t="shared" si="11"/>
        <v>149318.77979890176</v>
      </c>
      <c r="O54" s="114">
        <f t="shared" si="12"/>
        <v>64591.059798901755</v>
      </c>
      <c r="P54" s="114">
        <f t="shared" si="12"/>
        <v>66121.229798901753</v>
      </c>
      <c r="Q54" s="114">
        <f t="shared" si="12"/>
        <v>-744.76020109825186</v>
      </c>
    </row>
    <row r="55" spans="1:17" ht="15" customHeight="1" x14ac:dyDescent="0.25">
      <c r="A55" s="47" t="s">
        <v>41</v>
      </c>
      <c r="B55" s="46">
        <f t="shared" si="5"/>
        <v>751</v>
      </c>
      <c r="C55" s="113">
        <f t="shared" si="6"/>
        <v>571</v>
      </c>
      <c r="D55" s="113">
        <f t="shared" si="6"/>
        <v>563</v>
      </c>
      <c r="E55" s="113">
        <f t="shared" si="6"/>
        <v>402</v>
      </c>
      <c r="F55" s="16">
        <f t="shared" si="7"/>
        <v>305408</v>
      </c>
      <c r="G55" s="114">
        <f t="shared" si="8"/>
        <v>187563.99</v>
      </c>
      <c r="H55" s="114">
        <f t="shared" si="8"/>
        <v>180991.72999999998</v>
      </c>
      <c r="I55" s="114">
        <f t="shared" si="8"/>
        <v>0</v>
      </c>
      <c r="J55" s="16">
        <f t="shared" si="9"/>
        <v>86839.947639340113</v>
      </c>
      <c r="K55" s="114">
        <f t="shared" si="10"/>
        <v>53723.657639340112</v>
      </c>
      <c r="L55" s="114">
        <f t="shared" si="10"/>
        <v>45621.227639340112</v>
      </c>
      <c r="M55" s="114">
        <f t="shared" si="10"/>
        <v>4423.4946219820558</v>
      </c>
      <c r="N55" s="16">
        <f t="shared" si="11"/>
        <v>218568.05236065987</v>
      </c>
      <c r="O55" s="114">
        <f t="shared" si="12"/>
        <v>133840.33236065987</v>
      </c>
      <c r="P55" s="114">
        <f t="shared" si="12"/>
        <v>135370.50236065988</v>
      </c>
      <c r="Q55" s="114">
        <f t="shared" si="12"/>
        <v>-4423.4946219820704</v>
      </c>
    </row>
    <row r="56" spans="1:17" ht="15" customHeight="1" x14ac:dyDescent="0.25">
      <c r="A56" s="47" t="s">
        <v>42</v>
      </c>
      <c r="B56" s="46">
        <f t="shared" si="5"/>
        <v>1151</v>
      </c>
      <c r="C56" s="113">
        <f t="shared" si="6"/>
        <v>952</v>
      </c>
      <c r="D56" s="113">
        <f t="shared" si="6"/>
        <v>943</v>
      </c>
      <c r="E56" s="113">
        <f t="shared" si="6"/>
        <v>835</v>
      </c>
      <c r="F56" s="16">
        <f t="shared" si="7"/>
        <v>630824</v>
      </c>
      <c r="G56" s="114">
        <f t="shared" si="8"/>
        <v>499978.29</v>
      </c>
      <c r="H56" s="114">
        <f t="shared" si="8"/>
        <v>492453.95999999996</v>
      </c>
      <c r="I56" s="114">
        <f t="shared" si="8"/>
        <v>519858.19486033521</v>
      </c>
      <c r="J56" s="16">
        <f t="shared" si="9"/>
        <v>123837.19007070485</v>
      </c>
      <c r="K56" s="114">
        <f t="shared" si="10"/>
        <v>89875.240070704851</v>
      </c>
      <c r="L56" s="114">
        <f t="shared" si="10"/>
        <v>81191.810070704843</v>
      </c>
      <c r="M56" s="114">
        <f t="shared" si="10"/>
        <v>72053.885783690785</v>
      </c>
      <c r="N56" s="16">
        <f t="shared" si="11"/>
        <v>506986.80992929515</v>
      </c>
      <c r="O56" s="114">
        <f t="shared" si="12"/>
        <v>410103.04992929514</v>
      </c>
      <c r="P56" s="114">
        <f t="shared" si="12"/>
        <v>411262.14992929518</v>
      </c>
      <c r="Q56" s="114">
        <f t="shared" si="12"/>
        <v>447804.30907664442</v>
      </c>
    </row>
    <row r="57" spans="1:17" ht="15" customHeight="1" x14ac:dyDescent="0.25">
      <c r="A57" s="47" t="s">
        <v>43</v>
      </c>
      <c r="B57" s="46" t="str">
        <f t="shared" si="5"/>
        <v/>
      </c>
      <c r="C57" s="113" t="str">
        <f t="shared" si="6"/>
        <v/>
      </c>
      <c r="D57" s="113" t="str">
        <f t="shared" si="6"/>
        <v/>
      </c>
      <c r="E57" s="113" t="str">
        <f t="shared" si="6"/>
        <v/>
      </c>
      <c r="F57" s="16" t="str">
        <f t="shared" si="7"/>
        <v/>
      </c>
      <c r="G57" s="114" t="str">
        <f t="shared" si="8"/>
        <v/>
      </c>
      <c r="H57" s="114" t="str">
        <f t="shared" si="8"/>
        <v/>
      </c>
      <c r="I57" s="114" t="str">
        <f t="shared" si="8"/>
        <v/>
      </c>
      <c r="J57" s="16" t="str">
        <f t="shared" si="9"/>
        <v/>
      </c>
      <c r="K57" s="114" t="str">
        <f t="shared" si="10"/>
        <v/>
      </c>
      <c r="L57" s="114" t="str">
        <f t="shared" si="10"/>
        <v/>
      </c>
      <c r="M57" s="114" t="str">
        <f t="shared" si="10"/>
        <v/>
      </c>
      <c r="N57" s="16" t="str">
        <f t="shared" si="11"/>
        <v/>
      </c>
      <c r="O57" s="114" t="str">
        <f t="shared" si="12"/>
        <v/>
      </c>
      <c r="P57" s="114" t="str">
        <f t="shared" si="12"/>
        <v/>
      </c>
      <c r="Q57" s="114" t="str">
        <f t="shared" si="12"/>
        <v/>
      </c>
    </row>
    <row r="58" spans="1:17" ht="15" customHeight="1" x14ac:dyDescent="0.25">
      <c r="A58" s="47" t="s">
        <v>44</v>
      </c>
      <c r="B58" s="46" t="str">
        <f t="shared" si="5"/>
        <v/>
      </c>
      <c r="C58" s="113" t="str">
        <f t="shared" si="6"/>
        <v/>
      </c>
      <c r="D58" s="113" t="str">
        <f t="shared" si="6"/>
        <v/>
      </c>
      <c r="E58" s="113" t="str">
        <f t="shared" si="6"/>
        <v/>
      </c>
      <c r="F58" s="16" t="str">
        <f t="shared" si="7"/>
        <v/>
      </c>
      <c r="G58" s="114" t="str">
        <f t="shared" si="8"/>
        <v/>
      </c>
      <c r="H58" s="114" t="str">
        <f t="shared" si="8"/>
        <v/>
      </c>
      <c r="I58" s="114" t="str">
        <f t="shared" si="8"/>
        <v/>
      </c>
      <c r="J58" s="16" t="str">
        <f t="shared" si="9"/>
        <v/>
      </c>
      <c r="K58" s="114" t="str">
        <f t="shared" si="10"/>
        <v/>
      </c>
      <c r="L58" s="114" t="str">
        <f t="shared" si="10"/>
        <v/>
      </c>
      <c r="M58" s="114" t="str">
        <f t="shared" si="10"/>
        <v/>
      </c>
      <c r="N58" s="16" t="str">
        <f t="shared" si="11"/>
        <v/>
      </c>
      <c r="O58" s="114" t="str">
        <f t="shared" si="12"/>
        <v/>
      </c>
      <c r="P58" s="114" t="str">
        <f t="shared" si="12"/>
        <v/>
      </c>
      <c r="Q58" s="114" t="str">
        <f t="shared" si="12"/>
        <v/>
      </c>
    </row>
    <row r="59" spans="1:17" ht="15" customHeight="1" x14ac:dyDescent="0.25">
      <c r="A59" s="47" t="s">
        <v>45</v>
      </c>
      <c r="B59" s="46" t="str">
        <f t="shared" si="5"/>
        <v/>
      </c>
      <c r="C59" s="113" t="str">
        <f t="shared" si="6"/>
        <v/>
      </c>
      <c r="D59" s="113" t="str">
        <f t="shared" si="6"/>
        <v/>
      </c>
      <c r="E59" s="113" t="str">
        <f t="shared" si="6"/>
        <v/>
      </c>
      <c r="F59" s="16" t="str">
        <f t="shared" si="7"/>
        <v/>
      </c>
      <c r="G59" s="114" t="str">
        <f t="shared" si="8"/>
        <v/>
      </c>
      <c r="H59" s="114" t="str">
        <f t="shared" si="8"/>
        <v/>
      </c>
      <c r="I59" s="114" t="str">
        <f t="shared" si="8"/>
        <v/>
      </c>
      <c r="J59" s="16" t="str">
        <f t="shared" si="9"/>
        <v/>
      </c>
      <c r="K59" s="114" t="str">
        <f t="shared" si="10"/>
        <v/>
      </c>
      <c r="L59" s="114" t="str">
        <f t="shared" si="10"/>
        <v/>
      </c>
      <c r="M59" s="114" t="str">
        <f t="shared" si="10"/>
        <v/>
      </c>
      <c r="N59" s="16" t="str">
        <f t="shared" si="11"/>
        <v/>
      </c>
      <c r="O59" s="114" t="str">
        <f t="shared" si="12"/>
        <v/>
      </c>
      <c r="P59" s="114" t="str">
        <f t="shared" si="12"/>
        <v/>
      </c>
      <c r="Q59" s="114" t="str">
        <f t="shared" si="12"/>
        <v/>
      </c>
    </row>
    <row r="60" spans="1:17" ht="15" customHeight="1" x14ac:dyDescent="0.35">
      <c r="A60" s="52" t="s">
        <v>361</v>
      </c>
      <c r="B60" s="53">
        <f t="shared" ref="B60:Q60" si="13">SUM(B48:B59)</f>
        <v>2946</v>
      </c>
      <c r="C60" s="121">
        <f t="shared" si="13"/>
        <v>1769</v>
      </c>
      <c r="D60" s="121">
        <f t="shared" si="13"/>
        <v>1829</v>
      </c>
      <c r="E60" s="121">
        <f t="shared" si="13"/>
        <v>1249</v>
      </c>
      <c r="F60" s="42">
        <f t="shared" si="13"/>
        <v>1446679</v>
      </c>
      <c r="G60" s="122">
        <f t="shared" si="13"/>
        <v>662577.80999999994</v>
      </c>
      <c r="H60" s="122">
        <f t="shared" si="13"/>
        <v>664037.06999999995</v>
      </c>
      <c r="I60" s="122">
        <f t="shared" si="13"/>
        <v>519858.19486033521</v>
      </c>
      <c r="J60" s="42">
        <f t="shared" si="13"/>
        <v>456973.61871365807</v>
      </c>
      <c r="K60" s="122">
        <f t="shared" si="13"/>
        <v>181570.64871365804</v>
      </c>
      <c r="L60" s="122">
        <f t="shared" si="13"/>
        <v>125331.79871365803</v>
      </c>
      <c r="M60" s="122">
        <f t="shared" si="13"/>
        <v>79388.39140928592</v>
      </c>
      <c r="N60" s="42">
        <f t="shared" si="13"/>
        <v>989705.38128634193</v>
      </c>
      <c r="O60" s="122">
        <f t="shared" si="13"/>
        <v>481007.1612863419</v>
      </c>
      <c r="P60" s="122">
        <f t="shared" si="13"/>
        <v>538705.27128634194</v>
      </c>
      <c r="Q60" s="122">
        <f t="shared" si="13"/>
        <v>440469.80345104926</v>
      </c>
    </row>
  </sheetData>
  <mergeCells count="6">
    <mergeCell ref="A1:Q1"/>
    <mergeCell ref="A2:Q3"/>
    <mergeCell ref="B46:E46"/>
    <mergeCell ref="F46:I46"/>
    <mergeCell ref="J46:M46"/>
    <mergeCell ref="N46:Q46"/>
  </mergeCells>
  <conditionalFormatting sqref="A30:A41">
    <cfRule type="expression" dxfId="39" priority="13">
      <formula>A30=$B$5</formula>
    </cfRule>
  </conditionalFormatting>
  <conditionalFormatting sqref="A48:A59">
    <cfRule type="expression" dxfId="38" priority="14">
      <formula>A48=$B$5</formula>
    </cfRule>
  </conditionalFormatting>
  <conditionalFormatting sqref="C48:E60 G48:I60 O48:Q60">
    <cfRule type="expression" dxfId="37" priority="9">
      <formula>AND(ISNUMBER(C48),C48&gt;0)</formula>
    </cfRule>
    <cfRule type="expression" dxfId="36" priority="10">
      <formula>AND(ISNUMBER(C48),C48&lt;0)</formula>
    </cfRule>
  </conditionalFormatting>
  <conditionalFormatting sqref="D9:E10 G9:H10 J9:K10 D12:E13 G12:H13 J12:K13">
    <cfRule type="expression" dxfId="35" priority="1">
      <formula>AND(ISNUMBER(D9),D9&gt;0)</formula>
    </cfRule>
    <cfRule type="expression" dxfId="34" priority="2">
      <formula>AND(ISNUMBER(D9),D9&lt;0)</formula>
    </cfRule>
  </conditionalFormatting>
  <conditionalFormatting sqref="D11:E11 G11:H11 J11:K11">
    <cfRule type="expression" dxfId="33" priority="3">
      <formula>AND(ISNUMBER(D11),D11&gt;0)</formula>
    </cfRule>
    <cfRule type="expression" dxfId="32" priority="4">
      <formula>AND(ISNUMBER(D11),D11&lt;0)</formula>
    </cfRule>
  </conditionalFormatting>
  <conditionalFormatting sqref="D17:E18 G17:H18 J17:K18 D20:E21 G20:H21 J20:K21">
    <cfRule type="expression" dxfId="31" priority="5">
      <formula>AND(ISNUMBER(D17),D17&gt;0)</formula>
    </cfRule>
    <cfRule type="expression" dxfId="30" priority="6">
      <formula>AND(ISNUMBER(D17),D17&lt;0)</formula>
    </cfRule>
  </conditionalFormatting>
  <conditionalFormatting sqref="D19:E19 G19:H19 J19:K19">
    <cfRule type="expression" dxfId="29" priority="7">
      <formula>AND(ISNUMBER(D19),D19&gt;0)</formula>
    </cfRule>
    <cfRule type="expression" dxfId="28" priority="8">
      <formula>AND(ISNUMBER(D19),D19&lt;0)</formula>
    </cfRule>
  </conditionalFormatting>
  <conditionalFormatting sqref="K48:M60">
    <cfRule type="expression" dxfId="27" priority="11">
      <formula>AND(ISNUMBER(K48),K48&gt;0)</formula>
    </cfRule>
    <cfRule type="expression" dxfId="26" priority="12">
      <formula>AND(ISNUMBER(K48),K48&lt;0)</formula>
    </cfRule>
  </conditionalFormatting>
  <dataValidations count="1">
    <dataValidation type="list" showInputMessage="1" showErrorMessage="1" sqref="B5" xr:uid="{00000000-0002-0000-0400-000000000000}">
      <formula1>$A$30:$A$41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8C2BB-E0ED-41C0-B0CA-14CFFAB57511}">
  <dimension ref="A1:P99"/>
  <sheetViews>
    <sheetView showGridLines="0" zoomScaleNormal="100" workbookViewId="0"/>
  </sheetViews>
  <sheetFormatPr baseColWidth="10" defaultColWidth="8.6328125" defaultRowHeight="12.5" x14ac:dyDescent="0.25"/>
  <cols>
    <col min="1" max="1" width="13" style="1" customWidth="1"/>
    <col min="2" max="2" width="9" style="1" customWidth="1"/>
    <col min="3" max="3" width="24" style="1" customWidth="1"/>
    <col min="4" max="4" width="28" style="1" customWidth="1"/>
    <col min="5" max="6" width="12" style="1" customWidth="1"/>
    <col min="7" max="7" width="16" style="1" customWidth="1"/>
    <col min="8" max="8" width="22" style="1" customWidth="1"/>
    <col min="9" max="11" width="20" style="1" customWidth="1"/>
    <col min="12" max="12" width="15" style="1" customWidth="1"/>
    <col min="13" max="13" width="13" style="1" customWidth="1"/>
    <col min="14" max="14" width="17" style="1" customWidth="1"/>
    <col min="16" max="16" width="10" style="1" hidden="1" customWidth="1"/>
  </cols>
  <sheetData>
    <row r="1" spans="1:16" ht="30" customHeight="1" x14ac:dyDescent="0.25">
      <c r="A1" s="132" t="s">
        <v>69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</row>
    <row r="2" spans="1:16" ht="24" customHeight="1" x14ac:dyDescent="0.25">
      <c r="A2" s="133" t="s">
        <v>70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</row>
    <row r="4" spans="1:16" ht="21.75" customHeight="1" x14ac:dyDescent="0.25">
      <c r="A4" s="136" t="s">
        <v>71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</row>
    <row r="6" spans="1:16" ht="33.75" customHeight="1" x14ac:dyDescent="0.25">
      <c r="A6" s="2" t="s">
        <v>9</v>
      </c>
      <c r="B6" s="2" t="s">
        <v>72</v>
      </c>
      <c r="C6" s="2" t="s">
        <v>73</v>
      </c>
      <c r="D6" s="2" t="s">
        <v>74</v>
      </c>
      <c r="E6" s="2" t="s">
        <v>10</v>
      </c>
      <c r="F6" s="2" t="s">
        <v>75</v>
      </c>
      <c r="G6" s="2" t="s">
        <v>19</v>
      </c>
      <c r="H6" s="2" t="s">
        <v>20</v>
      </c>
      <c r="I6" s="2" t="s">
        <v>76</v>
      </c>
      <c r="J6" s="2" t="s">
        <v>77</v>
      </c>
      <c r="K6" s="2" t="s">
        <v>78</v>
      </c>
      <c r="L6" s="2" t="s">
        <v>16</v>
      </c>
      <c r="M6" s="2" t="s">
        <v>284</v>
      </c>
      <c r="N6" s="2" t="s">
        <v>362</v>
      </c>
      <c r="P6" s="2" t="s">
        <v>363</v>
      </c>
    </row>
    <row r="7" spans="1:16" ht="19.5" customHeight="1" x14ac:dyDescent="0.25">
      <c r="A7" s="4" t="s">
        <v>34</v>
      </c>
      <c r="B7" s="4" t="s">
        <v>79</v>
      </c>
      <c r="C7" s="4" t="s">
        <v>80</v>
      </c>
      <c r="D7" s="4" t="s">
        <v>81</v>
      </c>
      <c r="E7" s="5">
        <v>29</v>
      </c>
      <c r="F7" s="5">
        <v>29</v>
      </c>
      <c r="G7" s="9">
        <v>6.0994731800766298</v>
      </c>
      <c r="H7" s="10" t="s">
        <v>82</v>
      </c>
      <c r="I7" s="6">
        <f>IFERROR(IF(E7="","",E7*INDEX(ACTUALIZAR!$C$7:$C$18,MATCH(A7,ACTUALIZAR!$A$7:$A$18,0))/SUMIF($A$7:$A$200,A7,$E$7:$E$200)),"")</f>
        <v>4257158.1477272725</v>
      </c>
      <c r="J7" s="6">
        <f>IFERROR(IF(E7="","",E7*INDEX(PPK!$F$7:$F$18,MATCH(A7,PPK!$A$7:$A$18,0))/SUMIF($A$7:$A$200,A7,$E$7:$E$200)),"")</f>
        <v>3135553.8181818184</v>
      </c>
      <c r="K7" s="6">
        <f t="shared" ref="K7:K38" si="0">IF(AND(I7="",J7=""),"",SUM(I7:J7))</f>
        <v>7392711.9659090908</v>
      </c>
      <c r="L7" s="6">
        <f t="shared" ref="L7:L38" si="1">IFERROR(K7/E7,"")</f>
        <v>254921.10227272726</v>
      </c>
      <c r="M7" s="18" t="s">
        <v>364</v>
      </c>
      <c r="N7" s="95">
        <v>29336</v>
      </c>
      <c r="P7" s="19" t="str">
        <f>IF($A7='VISTA MES'!$B$4,COUNTIF($A$7:$A7,'VISTA MES'!$B$4),"")</f>
        <v/>
      </c>
    </row>
    <row r="8" spans="1:16" ht="19.5" customHeight="1" x14ac:dyDescent="0.25">
      <c r="A8" s="18" t="s">
        <v>34</v>
      </c>
      <c r="B8" s="18" t="s">
        <v>83</v>
      </c>
      <c r="C8" s="18" t="s">
        <v>84</v>
      </c>
      <c r="D8" s="18" t="s">
        <v>85</v>
      </c>
      <c r="E8" s="19">
        <v>16</v>
      </c>
      <c r="F8" s="19">
        <v>16</v>
      </c>
      <c r="G8" s="23">
        <v>6.1142361111111097</v>
      </c>
      <c r="H8" s="25" t="s">
        <v>82</v>
      </c>
      <c r="I8" s="20">
        <f>IFERROR(IF(E8="","",E8*INDEX(ACTUALIZAR!$C$7:$C$18,MATCH(A8,ACTUALIZAR!$A$7:$A$18,0))/SUMIF($A$7:$A$200,A8,$E$7:$E$200)),"")</f>
        <v>2348776.9090909092</v>
      </c>
      <c r="J8" s="20">
        <f>IFERROR(IF(E8="","",E8*INDEX(PPK!$F$7:$F$18,MATCH(A8,PPK!$A$7:$A$18,0))/SUMIF($A$7:$A$200,A8,$E$7:$E$200)),"")</f>
        <v>1729960.7272727273</v>
      </c>
      <c r="K8" s="20">
        <f t="shared" si="0"/>
        <v>4078737.6363636367</v>
      </c>
      <c r="L8" s="20">
        <f t="shared" si="1"/>
        <v>254921.10227272729</v>
      </c>
      <c r="M8" s="18" t="s">
        <v>365</v>
      </c>
      <c r="N8" s="95">
        <v>15264</v>
      </c>
      <c r="P8" s="19" t="str">
        <f>IF($A8='VISTA MES'!$B$4,COUNTIF($A$7:$A8,'VISTA MES'!$B$4),"")</f>
        <v/>
      </c>
    </row>
    <row r="9" spans="1:16" ht="19.5" customHeight="1" x14ac:dyDescent="0.25">
      <c r="A9" s="18" t="s">
        <v>34</v>
      </c>
      <c r="B9" s="18" t="s">
        <v>86</v>
      </c>
      <c r="C9" s="18" t="s">
        <v>80</v>
      </c>
      <c r="D9" s="18" t="s">
        <v>87</v>
      </c>
      <c r="E9" s="19">
        <v>8</v>
      </c>
      <c r="F9" s="19">
        <v>7</v>
      </c>
      <c r="G9" s="23">
        <v>7.6922619047619003</v>
      </c>
      <c r="H9" s="25" t="s">
        <v>82</v>
      </c>
      <c r="I9" s="20">
        <f>IFERROR(IF(E9="","",E9*INDEX(ACTUALIZAR!$C$7:$C$18,MATCH(A9,ACTUALIZAR!$A$7:$A$18,0))/SUMIF($A$7:$A$200,A9,$E$7:$E$200)),"")</f>
        <v>1174388.4545454546</v>
      </c>
      <c r="J9" s="20">
        <f>IFERROR(IF(E9="","",E9*INDEX(PPK!$F$7:$F$18,MATCH(A9,PPK!$A$7:$A$18,0))/SUMIF($A$7:$A$200,A9,$E$7:$E$200)),"")</f>
        <v>864980.36363636365</v>
      </c>
      <c r="K9" s="20">
        <f t="shared" si="0"/>
        <v>2039368.8181818184</v>
      </c>
      <c r="L9" s="20">
        <f t="shared" si="1"/>
        <v>254921.10227272729</v>
      </c>
      <c r="M9" s="18" t="s">
        <v>366</v>
      </c>
      <c r="N9" s="95">
        <v>6960</v>
      </c>
      <c r="P9" s="19" t="str">
        <f>IF($A9='VISTA MES'!$B$4,COUNTIF($A$7:$A9,'VISTA MES'!$B$4),"")</f>
        <v/>
      </c>
    </row>
    <row r="10" spans="1:16" ht="19.5" customHeight="1" x14ac:dyDescent="0.25">
      <c r="A10" s="18" t="s">
        <v>34</v>
      </c>
      <c r="B10" s="18" t="s">
        <v>88</v>
      </c>
      <c r="C10" s="18" t="s">
        <v>84</v>
      </c>
      <c r="D10" s="18" t="s">
        <v>89</v>
      </c>
      <c r="E10" s="19">
        <v>23</v>
      </c>
      <c r="F10" s="19">
        <v>22</v>
      </c>
      <c r="G10" s="23">
        <v>6.0719381313131304</v>
      </c>
      <c r="H10" s="25" t="s">
        <v>82</v>
      </c>
      <c r="I10" s="20">
        <f>IFERROR(IF(E10="","",E10*INDEX(ACTUALIZAR!$C$7:$C$18,MATCH(A10,ACTUALIZAR!$A$7:$A$18,0))/SUMIF($A$7:$A$200,A10,$E$7:$E$200)),"")</f>
        <v>3376366.8068181816</v>
      </c>
      <c r="J10" s="20">
        <f>IFERROR(IF(E10="","",E10*INDEX(PPK!$F$7:$F$18,MATCH(A10,PPK!$A$7:$A$18,0))/SUMIF($A$7:$A$200,A10,$E$7:$E$200)),"")</f>
        <v>2486818.5454545454</v>
      </c>
      <c r="K10" s="20">
        <f t="shared" si="0"/>
        <v>5863185.3522727266</v>
      </c>
      <c r="L10" s="20">
        <f t="shared" si="1"/>
        <v>254921.10227272724</v>
      </c>
      <c r="M10" s="18" t="s">
        <v>367</v>
      </c>
      <c r="N10" s="95">
        <v>19056.330000000002</v>
      </c>
      <c r="P10" s="19" t="str">
        <f>IF($A10='VISTA MES'!$B$4,COUNTIF($A$7:$A10,'VISTA MES'!$B$4),"")</f>
        <v/>
      </c>
    </row>
    <row r="11" spans="1:16" ht="19.5" customHeight="1" x14ac:dyDescent="0.25">
      <c r="A11" s="18" t="s">
        <v>34</v>
      </c>
      <c r="B11" s="18" t="s">
        <v>90</v>
      </c>
      <c r="C11" s="18" t="s">
        <v>91</v>
      </c>
      <c r="D11" s="18" t="s">
        <v>92</v>
      </c>
      <c r="E11" s="19">
        <v>1</v>
      </c>
      <c r="F11" s="19"/>
      <c r="G11" s="23"/>
      <c r="H11" s="54" t="s">
        <v>93</v>
      </c>
      <c r="I11" s="20">
        <f>IFERROR(IF(E11="","",E11*INDEX(ACTUALIZAR!$C$7:$C$18,MATCH(A11,ACTUALIZAR!$A$7:$A$18,0))/SUMIF($A$7:$A$200,A11,$E$7:$E$200)),"")</f>
        <v>146798.55681818182</v>
      </c>
      <c r="J11" s="20">
        <f>IFERROR(IF(E11="","",E11*INDEX(PPK!$F$7:$F$18,MATCH(A11,PPK!$A$7:$A$18,0))/SUMIF($A$7:$A$200,A11,$E$7:$E$200)),"")</f>
        <v>108122.54545454546</v>
      </c>
      <c r="K11" s="20">
        <f t="shared" si="0"/>
        <v>254921.10227272729</v>
      </c>
      <c r="L11" s="20">
        <f t="shared" si="1"/>
        <v>254921.10227272729</v>
      </c>
      <c r="M11" s="18"/>
      <c r="N11" s="95">
        <v>0</v>
      </c>
      <c r="P11" s="19" t="str">
        <f>IF($A11='VISTA MES'!$B$4,COUNTIF($A$7:$A11,'VISTA MES'!$B$4),"")</f>
        <v/>
      </c>
    </row>
    <row r="12" spans="1:16" ht="19.5" customHeight="1" x14ac:dyDescent="0.25">
      <c r="A12" s="18" t="s">
        <v>34</v>
      </c>
      <c r="B12" s="18" t="s">
        <v>94</v>
      </c>
      <c r="C12" s="18" t="s">
        <v>91</v>
      </c>
      <c r="D12" s="18" t="s">
        <v>95</v>
      </c>
      <c r="E12" s="19">
        <v>1</v>
      </c>
      <c r="F12" s="19"/>
      <c r="G12" s="23"/>
      <c r="H12" s="54" t="s">
        <v>93</v>
      </c>
      <c r="I12" s="20">
        <f>IFERROR(IF(E12="","",E12*INDEX(ACTUALIZAR!$C$7:$C$18,MATCH(A12,ACTUALIZAR!$A$7:$A$18,0))/SUMIF($A$7:$A$200,A12,$E$7:$E$200)),"")</f>
        <v>146798.55681818182</v>
      </c>
      <c r="J12" s="20">
        <f>IFERROR(IF(E12="","",E12*INDEX(PPK!$F$7:$F$18,MATCH(A12,PPK!$A$7:$A$18,0))/SUMIF($A$7:$A$200,A12,$E$7:$E$200)),"")</f>
        <v>108122.54545454546</v>
      </c>
      <c r="K12" s="20">
        <f t="shared" si="0"/>
        <v>254921.10227272729</v>
      </c>
      <c r="L12" s="20">
        <f t="shared" si="1"/>
        <v>254921.10227272729</v>
      </c>
      <c r="M12" s="18"/>
      <c r="N12" s="95">
        <v>0</v>
      </c>
      <c r="P12" s="19" t="str">
        <f>IF($A12='VISTA MES'!$B$4,COUNTIF($A$7:$A12,'VISTA MES'!$B$4),"")</f>
        <v/>
      </c>
    </row>
    <row r="13" spans="1:16" ht="19.5" customHeight="1" x14ac:dyDescent="0.25">
      <c r="A13" s="18" t="s">
        <v>34</v>
      </c>
      <c r="B13" s="18" t="s">
        <v>96</v>
      </c>
      <c r="C13" s="18" t="s">
        <v>91</v>
      </c>
      <c r="D13" s="18" t="s">
        <v>97</v>
      </c>
      <c r="E13" s="19">
        <v>1</v>
      </c>
      <c r="F13" s="19">
        <v>1</v>
      </c>
      <c r="G13" s="23">
        <v>1.3145833333333301</v>
      </c>
      <c r="H13" s="25" t="s">
        <v>82</v>
      </c>
      <c r="I13" s="20">
        <f>IFERROR(IF(E13="","",E13*INDEX(ACTUALIZAR!$C$7:$C$18,MATCH(A13,ACTUALIZAR!$A$7:$A$18,0))/SUMIF($A$7:$A$200,A13,$E$7:$E$200)),"")</f>
        <v>146798.55681818182</v>
      </c>
      <c r="J13" s="20">
        <f>IFERROR(IF(E13="","",E13*INDEX(PPK!$F$7:$F$18,MATCH(A13,PPK!$A$7:$A$18,0))/SUMIF($A$7:$A$200,A13,$E$7:$E$200)),"")</f>
        <v>108122.54545454546</v>
      </c>
      <c r="K13" s="20">
        <f t="shared" si="0"/>
        <v>254921.10227272729</v>
      </c>
      <c r="L13" s="20">
        <f t="shared" si="1"/>
        <v>254921.10227272729</v>
      </c>
      <c r="M13" s="18" t="s">
        <v>368</v>
      </c>
      <c r="N13" s="95">
        <v>472</v>
      </c>
      <c r="P13" s="19" t="str">
        <f>IF($A13='VISTA MES'!$B$4,COUNTIF($A$7:$A13,'VISTA MES'!$B$4),"")</f>
        <v/>
      </c>
    </row>
    <row r="14" spans="1:16" ht="19.5" customHeight="1" x14ac:dyDescent="0.25">
      <c r="A14" s="18" t="s">
        <v>34</v>
      </c>
      <c r="B14" s="18" t="s">
        <v>98</v>
      </c>
      <c r="C14" s="18" t="s">
        <v>91</v>
      </c>
      <c r="D14" s="18" t="s">
        <v>99</v>
      </c>
      <c r="E14" s="19">
        <v>1</v>
      </c>
      <c r="F14" s="19"/>
      <c r="G14" s="23"/>
      <c r="H14" s="54" t="s">
        <v>93</v>
      </c>
      <c r="I14" s="20">
        <f>IFERROR(IF(E14="","",E14*INDEX(ACTUALIZAR!$C$7:$C$18,MATCH(A14,ACTUALIZAR!$A$7:$A$18,0))/SUMIF($A$7:$A$200,A14,$E$7:$E$200)),"")</f>
        <v>146798.55681818182</v>
      </c>
      <c r="J14" s="20">
        <f>IFERROR(IF(E14="","",E14*INDEX(PPK!$F$7:$F$18,MATCH(A14,PPK!$A$7:$A$18,0))/SUMIF($A$7:$A$200,A14,$E$7:$E$200)),"")</f>
        <v>108122.54545454546</v>
      </c>
      <c r="K14" s="20">
        <f t="shared" si="0"/>
        <v>254921.10227272729</v>
      </c>
      <c r="L14" s="20">
        <f t="shared" si="1"/>
        <v>254921.10227272729</v>
      </c>
      <c r="M14" s="18"/>
      <c r="N14" s="95">
        <v>0</v>
      </c>
      <c r="P14" s="19" t="str">
        <f>IF($A14='VISTA MES'!$B$4,COUNTIF($A$7:$A14,'VISTA MES'!$B$4),"")</f>
        <v/>
      </c>
    </row>
    <row r="15" spans="1:16" ht="19.5" customHeight="1" x14ac:dyDescent="0.25">
      <c r="A15" s="18" t="s">
        <v>34</v>
      </c>
      <c r="B15" s="18" t="s">
        <v>100</v>
      </c>
      <c r="C15" s="18" t="s">
        <v>91</v>
      </c>
      <c r="D15" s="18" t="s">
        <v>92</v>
      </c>
      <c r="E15" s="19">
        <v>2</v>
      </c>
      <c r="F15" s="19"/>
      <c r="G15" s="23"/>
      <c r="H15" s="54" t="s">
        <v>93</v>
      </c>
      <c r="I15" s="20">
        <f>IFERROR(IF(E15="","",E15*INDEX(ACTUALIZAR!$C$7:$C$18,MATCH(A15,ACTUALIZAR!$A$7:$A$18,0))/SUMIF($A$7:$A$200,A15,$E$7:$E$200)),"")</f>
        <v>293597.11363636365</v>
      </c>
      <c r="J15" s="20">
        <f>IFERROR(IF(E15="","",E15*INDEX(PPK!$F$7:$F$18,MATCH(A15,PPK!$A$7:$A$18,0))/SUMIF($A$7:$A$200,A15,$E$7:$E$200)),"")</f>
        <v>216245.09090909091</v>
      </c>
      <c r="K15" s="20">
        <f t="shared" si="0"/>
        <v>509842.20454545459</v>
      </c>
      <c r="L15" s="20">
        <f t="shared" si="1"/>
        <v>254921.10227272729</v>
      </c>
      <c r="M15" s="18"/>
      <c r="N15" s="95">
        <v>0</v>
      </c>
      <c r="P15" s="19" t="str">
        <f>IF($A15='VISTA MES'!$B$4,COUNTIF($A$7:$A15,'VISTA MES'!$B$4),"")</f>
        <v/>
      </c>
    </row>
    <row r="16" spans="1:16" ht="19.5" customHeight="1" x14ac:dyDescent="0.25">
      <c r="A16" s="18" t="s">
        <v>34</v>
      </c>
      <c r="B16" s="18" t="s">
        <v>101</v>
      </c>
      <c r="C16" s="18" t="s">
        <v>102</v>
      </c>
      <c r="D16" s="18" t="s">
        <v>103</v>
      </c>
      <c r="E16" s="19">
        <v>2</v>
      </c>
      <c r="F16" s="19"/>
      <c r="G16" s="23"/>
      <c r="H16" s="54" t="s">
        <v>93</v>
      </c>
      <c r="I16" s="20">
        <f>IFERROR(IF(E16="","",E16*INDEX(ACTUALIZAR!$C$7:$C$18,MATCH(A16,ACTUALIZAR!$A$7:$A$18,0))/SUMIF($A$7:$A$200,A16,$E$7:$E$200)),"")</f>
        <v>293597.11363636365</v>
      </c>
      <c r="J16" s="20">
        <f>IFERROR(IF(E16="","",E16*INDEX(PPK!$F$7:$F$18,MATCH(A16,PPK!$A$7:$A$18,0))/SUMIF($A$7:$A$200,A16,$E$7:$E$200)),"")</f>
        <v>216245.09090909091</v>
      </c>
      <c r="K16" s="20">
        <f t="shared" si="0"/>
        <v>509842.20454545459</v>
      </c>
      <c r="L16" s="20">
        <f t="shared" si="1"/>
        <v>254921.10227272729</v>
      </c>
      <c r="M16" s="18"/>
      <c r="N16" s="95">
        <v>0</v>
      </c>
      <c r="P16" s="19" t="str">
        <f>IF($A16='VISTA MES'!$B$4,COUNTIF($A$7:$A16,'VISTA MES'!$B$4),"")</f>
        <v/>
      </c>
    </row>
    <row r="17" spans="1:16" ht="19.5" customHeight="1" x14ac:dyDescent="0.25">
      <c r="A17" s="18" t="s">
        <v>34</v>
      </c>
      <c r="B17" s="18" t="s">
        <v>104</v>
      </c>
      <c r="C17" s="18" t="s">
        <v>105</v>
      </c>
      <c r="D17" s="18" t="s">
        <v>106</v>
      </c>
      <c r="E17" s="19">
        <v>1</v>
      </c>
      <c r="F17" s="19"/>
      <c r="G17" s="23"/>
      <c r="H17" s="54" t="s">
        <v>93</v>
      </c>
      <c r="I17" s="20">
        <f>IFERROR(IF(E17="","",E17*INDEX(ACTUALIZAR!$C$7:$C$18,MATCH(A17,ACTUALIZAR!$A$7:$A$18,0))/SUMIF($A$7:$A$200,A17,$E$7:$E$200)),"")</f>
        <v>146798.55681818182</v>
      </c>
      <c r="J17" s="20">
        <f>IFERROR(IF(E17="","",E17*INDEX(PPK!$F$7:$F$18,MATCH(A17,PPK!$A$7:$A$18,0))/SUMIF($A$7:$A$200,A17,$E$7:$E$200)),"")</f>
        <v>108122.54545454546</v>
      </c>
      <c r="K17" s="20">
        <f t="shared" si="0"/>
        <v>254921.10227272729</v>
      </c>
      <c r="L17" s="20">
        <f t="shared" si="1"/>
        <v>254921.10227272729</v>
      </c>
      <c r="M17" s="18"/>
      <c r="N17" s="95">
        <v>0</v>
      </c>
      <c r="P17" s="19" t="str">
        <f>IF($A17='VISTA MES'!$B$4,COUNTIF($A$7:$A17,'VISTA MES'!$B$4),"")</f>
        <v/>
      </c>
    </row>
    <row r="18" spans="1:16" ht="19.5" customHeight="1" x14ac:dyDescent="0.25">
      <c r="A18" s="18" t="s">
        <v>34</v>
      </c>
      <c r="B18" s="18" t="s">
        <v>107</v>
      </c>
      <c r="C18" s="18" t="s">
        <v>105</v>
      </c>
      <c r="D18" s="18" t="s">
        <v>106</v>
      </c>
      <c r="E18" s="19">
        <v>3</v>
      </c>
      <c r="F18" s="19"/>
      <c r="G18" s="23"/>
      <c r="H18" s="54" t="s">
        <v>93</v>
      </c>
      <c r="I18" s="20">
        <f>IFERROR(IF(E18="","",E18*INDEX(ACTUALIZAR!$C$7:$C$18,MATCH(A18,ACTUALIZAR!$A$7:$A$18,0))/SUMIF($A$7:$A$200,A18,$E$7:$E$200)),"")</f>
        <v>440395.67045454547</v>
      </c>
      <c r="J18" s="20">
        <f>IFERROR(IF(E18="","",E18*INDEX(PPK!$F$7:$F$18,MATCH(A18,PPK!$A$7:$A$18,0))/SUMIF($A$7:$A$200,A18,$E$7:$E$200)),"")</f>
        <v>324367.63636363635</v>
      </c>
      <c r="K18" s="20">
        <f t="shared" si="0"/>
        <v>764763.30681818188</v>
      </c>
      <c r="L18" s="20">
        <f t="shared" si="1"/>
        <v>254921.10227272729</v>
      </c>
      <c r="M18" s="18"/>
      <c r="N18" s="95">
        <v>0</v>
      </c>
      <c r="P18" s="19" t="str">
        <f>IF($A18='VISTA MES'!$B$4,COUNTIF($A$7:$A18,'VISTA MES'!$B$4),"")</f>
        <v/>
      </c>
    </row>
    <row r="19" spans="1:16" ht="19.5" customHeight="1" x14ac:dyDescent="0.25">
      <c r="A19" s="18" t="s">
        <v>35</v>
      </c>
      <c r="B19" s="18" t="s">
        <v>108</v>
      </c>
      <c r="C19" s="18" t="s">
        <v>109</v>
      </c>
      <c r="D19" s="18" t="s">
        <v>110</v>
      </c>
      <c r="E19" s="19">
        <v>13</v>
      </c>
      <c r="F19" s="19">
        <v>13</v>
      </c>
      <c r="G19" s="23">
        <v>35.445032051281999</v>
      </c>
      <c r="H19" s="25" t="s">
        <v>82</v>
      </c>
      <c r="I19" s="20">
        <f>IFERROR(IF(E19="","",E19*INDEX(ACTUALIZAR!$C$7:$C$18,MATCH(A19,ACTUALIZAR!$A$7:$A$18,0))/SUMIF($A$7:$A$200,A19,$E$7:$E$200)),"")</f>
        <v>3109954.611111111</v>
      </c>
      <c r="J19" s="20">
        <f>IFERROR(IF(E19="","",E19*INDEX(PPK!$F$7:$F$18,MATCH(A19,PPK!$A$7:$A$18,0))/SUMIF($A$7:$A$200,A19,$E$7:$E$200)),"")</f>
        <v>2488534.8703703703</v>
      </c>
      <c r="K19" s="20">
        <f t="shared" si="0"/>
        <v>5598489.4814814813</v>
      </c>
      <c r="L19" s="20">
        <f t="shared" si="1"/>
        <v>430653.03703703702</v>
      </c>
      <c r="M19" s="18" t="s">
        <v>369</v>
      </c>
      <c r="N19" s="95">
        <v>13128</v>
      </c>
      <c r="P19" s="19" t="str">
        <f>IF($A19='VISTA MES'!$B$4,COUNTIF($A$7:$A19,'VISTA MES'!$B$4),"")</f>
        <v/>
      </c>
    </row>
    <row r="20" spans="1:16" ht="19.5" customHeight="1" x14ac:dyDescent="0.25">
      <c r="A20" s="18" t="s">
        <v>35</v>
      </c>
      <c r="B20" s="18" t="s">
        <v>111</v>
      </c>
      <c r="C20" s="18" t="s">
        <v>80</v>
      </c>
      <c r="D20" s="18" t="s">
        <v>112</v>
      </c>
      <c r="E20" s="19">
        <v>8</v>
      </c>
      <c r="F20" s="19">
        <v>8</v>
      </c>
      <c r="G20" s="23">
        <v>6.4684027777777802</v>
      </c>
      <c r="H20" s="25" t="s">
        <v>82</v>
      </c>
      <c r="I20" s="20">
        <f>IFERROR(IF(E20="","",E20*INDEX(ACTUALIZAR!$C$7:$C$18,MATCH(A20,ACTUALIZAR!$A$7:$A$18,0))/SUMIF($A$7:$A$200,A20,$E$7:$E$200)),"")</f>
        <v>1913818.2222222222</v>
      </c>
      <c r="J20" s="20">
        <f>IFERROR(IF(E20="","",E20*INDEX(PPK!$F$7:$F$18,MATCH(A20,PPK!$A$7:$A$18,0))/SUMIF($A$7:$A$200,A20,$E$7:$E$200)),"")</f>
        <v>1531406.0740740742</v>
      </c>
      <c r="K20" s="20">
        <f t="shared" si="0"/>
        <v>3445224.2962962966</v>
      </c>
      <c r="L20" s="20">
        <f t="shared" si="1"/>
        <v>430653.03703703708</v>
      </c>
      <c r="M20" s="18" t="s">
        <v>370</v>
      </c>
      <c r="N20" s="95">
        <v>8288</v>
      </c>
      <c r="P20" s="19" t="str">
        <f>IF($A20='VISTA MES'!$B$4,COUNTIF($A$7:$A20,'VISTA MES'!$B$4),"")</f>
        <v/>
      </c>
    </row>
    <row r="21" spans="1:16" ht="19.5" customHeight="1" x14ac:dyDescent="0.25">
      <c r="A21" s="18" t="s">
        <v>35</v>
      </c>
      <c r="B21" s="18" t="s">
        <v>113</v>
      </c>
      <c r="C21" s="18" t="s">
        <v>84</v>
      </c>
      <c r="D21" s="18" t="s">
        <v>114</v>
      </c>
      <c r="E21" s="19">
        <v>13</v>
      </c>
      <c r="F21" s="19">
        <v>13</v>
      </c>
      <c r="G21" s="23">
        <v>8.5551816239316203</v>
      </c>
      <c r="H21" s="25" t="s">
        <v>82</v>
      </c>
      <c r="I21" s="20">
        <f>IFERROR(IF(E21="","",E21*INDEX(ACTUALIZAR!$C$7:$C$18,MATCH(A21,ACTUALIZAR!$A$7:$A$18,0))/SUMIF($A$7:$A$200,A21,$E$7:$E$200)),"")</f>
        <v>3109954.611111111</v>
      </c>
      <c r="J21" s="20">
        <f>IFERROR(IF(E21="","",E21*INDEX(PPK!$F$7:$F$18,MATCH(A21,PPK!$A$7:$A$18,0))/SUMIF($A$7:$A$200,A21,$E$7:$E$200)),"")</f>
        <v>2488534.8703703703</v>
      </c>
      <c r="K21" s="20">
        <f t="shared" si="0"/>
        <v>5598489.4814814813</v>
      </c>
      <c r="L21" s="20">
        <f t="shared" si="1"/>
        <v>430653.03703703702</v>
      </c>
      <c r="M21" s="18" t="s">
        <v>371</v>
      </c>
      <c r="N21" s="95">
        <v>13568</v>
      </c>
      <c r="P21" s="19" t="str">
        <f>IF($A21='VISTA MES'!$B$4,COUNTIF($A$7:$A21,'VISTA MES'!$B$4),"")</f>
        <v/>
      </c>
    </row>
    <row r="22" spans="1:16" ht="19.5" customHeight="1" x14ac:dyDescent="0.25">
      <c r="A22" s="18" t="s">
        <v>35</v>
      </c>
      <c r="B22" s="18" t="s">
        <v>115</v>
      </c>
      <c r="C22" s="18" t="s">
        <v>80</v>
      </c>
      <c r="D22" s="18" t="s">
        <v>116</v>
      </c>
      <c r="E22" s="19">
        <v>16</v>
      </c>
      <c r="F22" s="19">
        <v>12</v>
      </c>
      <c r="G22" s="23">
        <v>9.1368055555555596</v>
      </c>
      <c r="H22" s="24" t="s">
        <v>117</v>
      </c>
      <c r="I22" s="20">
        <f>IFERROR(IF(E22="","",E22*INDEX(ACTUALIZAR!$C$7:$C$18,MATCH(A22,ACTUALIZAR!$A$7:$A$18,0))/SUMIF($A$7:$A$200,A22,$E$7:$E$200)),"")</f>
        <v>3827636.4444444445</v>
      </c>
      <c r="J22" s="20">
        <f>IFERROR(IF(E22="","",E22*INDEX(PPK!$F$7:$F$18,MATCH(A22,PPK!$A$7:$A$18,0))/SUMIF($A$7:$A$200,A22,$E$7:$E$200)),"")</f>
        <v>3062812.1481481483</v>
      </c>
      <c r="K22" s="20">
        <f t="shared" si="0"/>
        <v>6890448.5925925933</v>
      </c>
      <c r="L22" s="20">
        <f t="shared" si="1"/>
        <v>430653.03703703708</v>
      </c>
      <c r="M22" s="18" t="s">
        <v>372</v>
      </c>
      <c r="N22" s="95">
        <v>16384</v>
      </c>
      <c r="P22" s="19" t="str">
        <f>IF($A22='VISTA MES'!$B$4,COUNTIF($A$7:$A22,'VISTA MES'!$B$4),"")</f>
        <v/>
      </c>
    </row>
    <row r="23" spans="1:16" ht="19.5" customHeight="1" x14ac:dyDescent="0.25">
      <c r="A23" s="18" t="s">
        <v>35</v>
      </c>
      <c r="B23" s="18" t="s">
        <v>118</v>
      </c>
      <c r="C23" s="18" t="s">
        <v>91</v>
      </c>
      <c r="D23" s="18" t="s">
        <v>97</v>
      </c>
      <c r="E23" s="19">
        <v>2</v>
      </c>
      <c r="F23" s="19">
        <v>2</v>
      </c>
      <c r="G23" s="23">
        <v>2.1670138888888899</v>
      </c>
      <c r="H23" s="25" t="s">
        <v>82</v>
      </c>
      <c r="I23" s="20">
        <f>IFERROR(IF(E23="","",E23*INDEX(ACTUALIZAR!$C$7:$C$18,MATCH(A23,ACTUALIZAR!$A$7:$A$18,0))/SUMIF($A$7:$A$200,A23,$E$7:$E$200)),"")</f>
        <v>478454.55555555556</v>
      </c>
      <c r="J23" s="20">
        <f>IFERROR(IF(E23="","",E23*INDEX(PPK!$F$7:$F$18,MATCH(A23,PPK!$A$7:$A$18,0))/SUMIF($A$7:$A$200,A23,$E$7:$E$200)),"")</f>
        <v>382851.51851851854</v>
      </c>
      <c r="K23" s="20">
        <f t="shared" si="0"/>
        <v>861306.07407407416</v>
      </c>
      <c r="L23" s="20">
        <f t="shared" si="1"/>
        <v>430653.03703703708</v>
      </c>
      <c r="M23" s="18" t="s">
        <v>373</v>
      </c>
      <c r="N23" s="95">
        <v>1012.57</v>
      </c>
      <c r="P23" s="19" t="str">
        <f>IF($A23='VISTA MES'!$B$4,COUNTIF($A$7:$A23,'VISTA MES'!$B$4),"")</f>
        <v/>
      </c>
    </row>
    <row r="24" spans="1:16" ht="19.5" customHeight="1" x14ac:dyDescent="0.25">
      <c r="A24" s="18" t="s">
        <v>35</v>
      </c>
      <c r="B24" s="18" t="s">
        <v>119</v>
      </c>
      <c r="C24" s="18" t="s">
        <v>105</v>
      </c>
      <c r="D24" s="18" t="s">
        <v>106</v>
      </c>
      <c r="E24" s="19">
        <v>2</v>
      </c>
      <c r="F24" s="19">
        <v>1</v>
      </c>
      <c r="G24" s="23">
        <v>2.1340277777777801</v>
      </c>
      <c r="H24" s="24" t="s">
        <v>117</v>
      </c>
      <c r="I24" s="20">
        <f>IFERROR(IF(E24="","",E24*INDEX(ACTUALIZAR!$C$7:$C$18,MATCH(A24,ACTUALIZAR!$A$7:$A$18,0))/SUMIF($A$7:$A$200,A24,$E$7:$E$200)),"")</f>
        <v>478454.55555555556</v>
      </c>
      <c r="J24" s="20">
        <f>IFERROR(IF(E24="","",E24*INDEX(PPK!$F$7:$F$18,MATCH(A24,PPK!$A$7:$A$18,0))/SUMIF($A$7:$A$200,A24,$E$7:$E$200)),"")</f>
        <v>382851.51851851854</v>
      </c>
      <c r="K24" s="20">
        <f t="shared" si="0"/>
        <v>861306.07407407416</v>
      </c>
      <c r="L24" s="20">
        <f t="shared" si="1"/>
        <v>430653.03703703708</v>
      </c>
      <c r="M24" s="18" t="s">
        <v>374</v>
      </c>
      <c r="N24" s="95">
        <v>1024</v>
      </c>
      <c r="P24" s="19" t="str">
        <f>IF($A24='VISTA MES'!$B$4,COUNTIF($A$7:$A24,'VISTA MES'!$B$4),"")</f>
        <v/>
      </c>
    </row>
    <row r="25" spans="1:16" ht="19.5" customHeight="1" x14ac:dyDescent="0.25">
      <c r="A25" s="18" t="s">
        <v>35</v>
      </c>
      <c r="B25" s="18"/>
      <c r="C25" s="18" t="s">
        <v>91</v>
      </c>
      <c r="D25" s="18" t="s">
        <v>92</v>
      </c>
      <c r="E25" s="19"/>
      <c r="F25" s="19">
        <v>1</v>
      </c>
      <c r="G25" s="23">
        <v>6.8638888888888898</v>
      </c>
      <c r="H25" s="25" t="s">
        <v>120</v>
      </c>
      <c r="I25" s="20" t="str">
        <f>IFERROR(IF(E25="","",E25*INDEX(ACTUALIZAR!$C$7:$C$18,MATCH(A25,ACTUALIZAR!$A$7:$A$18,0))/SUMIF($A$7:$A$200,A25,$E$7:$E$200)),"")</f>
        <v/>
      </c>
      <c r="J25" s="20" t="str">
        <f>IFERROR(IF(E25="","",E25*INDEX(PPK!$F$7:$F$18,MATCH(A25,PPK!$A$7:$A$18,0))/SUMIF($A$7:$A$200,A25,$E$7:$E$200)),"")</f>
        <v/>
      </c>
      <c r="K25" s="20" t="str">
        <f t="shared" si="0"/>
        <v/>
      </c>
      <c r="L25" s="20" t="str">
        <f t="shared" si="1"/>
        <v/>
      </c>
      <c r="M25" s="18" t="s">
        <v>375</v>
      </c>
      <c r="N25" s="95">
        <v>512</v>
      </c>
      <c r="P25" s="19" t="str">
        <f>IF($A25='VISTA MES'!$B$4,COUNTIF($A$7:$A25,'VISTA MES'!$B$4),"")</f>
        <v/>
      </c>
    </row>
    <row r="26" spans="1:16" ht="19.5" customHeight="1" x14ac:dyDescent="0.25">
      <c r="A26" s="18" t="s">
        <v>36</v>
      </c>
      <c r="B26" s="18" t="s">
        <v>121</v>
      </c>
      <c r="C26" s="18" t="s">
        <v>80</v>
      </c>
      <c r="D26" s="18" t="s">
        <v>122</v>
      </c>
      <c r="E26" s="19">
        <v>20</v>
      </c>
      <c r="F26" s="19">
        <v>20</v>
      </c>
      <c r="G26" s="23">
        <v>5.7558333333333298</v>
      </c>
      <c r="H26" s="25" t="s">
        <v>82</v>
      </c>
      <c r="I26" s="20">
        <f>IFERROR(IF(E26="","",E26*INDEX(ACTUALIZAR!$C$7:$C$18,MATCH(A26,ACTUALIZAR!$A$7:$A$18,0))/SUMIF($A$7:$A$200,A26,$E$7:$E$200)),"")</f>
        <v>3588409.1666666665</v>
      </c>
      <c r="J26" s="20">
        <f>IFERROR(IF(E26="","",E26*INDEX(PPK!$F$7:$F$18,MATCH(A26,PPK!$A$7:$A$18,0))/SUMIF($A$7:$A$200,A26,$E$7:$E$200)),"")</f>
        <v>2642995.5555555555</v>
      </c>
      <c r="K26" s="20">
        <f t="shared" si="0"/>
        <v>6231404.722222222</v>
      </c>
      <c r="L26" s="20">
        <f t="shared" si="1"/>
        <v>311570.23611111112</v>
      </c>
      <c r="M26" s="18" t="s">
        <v>376</v>
      </c>
      <c r="N26" s="95">
        <v>17616</v>
      </c>
      <c r="P26" s="19" t="str">
        <f>IF($A26='VISTA MES'!$B$4,COUNTIF($A$7:$A26,'VISTA MES'!$B$4),"")</f>
        <v/>
      </c>
    </row>
    <row r="27" spans="1:16" ht="19.5" customHeight="1" x14ac:dyDescent="0.25">
      <c r="A27" s="18" t="s">
        <v>36</v>
      </c>
      <c r="B27" s="18" t="s">
        <v>123</v>
      </c>
      <c r="C27" s="18" t="s">
        <v>80</v>
      </c>
      <c r="D27" s="18" t="s">
        <v>124</v>
      </c>
      <c r="E27" s="19">
        <v>21</v>
      </c>
      <c r="F27" s="19">
        <v>21</v>
      </c>
      <c r="G27" s="23">
        <v>8.0509920634920604</v>
      </c>
      <c r="H27" s="25" t="s">
        <v>82</v>
      </c>
      <c r="I27" s="20">
        <f>IFERROR(IF(E27="","",E27*INDEX(ACTUALIZAR!$C$7:$C$18,MATCH(A27,ACTUALIZAR!$A$7:$A$18,0))/SUMIF($A$7:$A$200,A27,$E$7:$E$200)),"")</f>
        <v>3767829.625</v>
      </c>
      <c r="J27" s="20">
        <f>IFERROR(IF(E27="","",E27*INDEX(PPK!$F$7:$F$18,MATCH(A27,PPK!$A$7:$A$18,0))/SUMIF($A$7:$A$200,A27,$E$7:$E$200)),"")</f>
        <v>2775145.3333333335</v>
      </c>
      <c r="K27" s="20">
        <f t="shared" si="0"/>
        <v>6542974.958333334</v>
      </c>
      <c r="L27" s="20">
        <f t="shared" si="1"/>
        <v>311570.23611111112</v>
      </c>
      <c r="M27" s="18" t="s">
        <v>377</v>
      </c>
      <c r="N27" s="95">
        <v>22344</v>
      </c>
      <c r="P27" s="19" t="str">
        <f>IF($A27='VISTA MES'!$B$4,COUNTIF($A$7:$A27,'VISTA MES'!$B$4),"")</f>
        <v/>
      </c>
    </row>
    <row r="28" spans="1:16" ht="19.5" customHeight="1" x14ac:dyDescent="0.25">
      <c r="A28" s="18" t="s">
        <v>36</v>
      </c>
      <c r="B28" s="18" t="s">
        <v>125</v>
      </c>
      <c r="C28" s="18" t="s">
        <v>80</v>
      </c>
      <c r="D28" s="18" t="s">
        <v>126</v>
      </c>
      <c r="E28" s="19">
        <v>16</v>
      </c>
      <c r="F28" s="19">
        <v>16</v>
      </c>
      <c r="G28" s="23">
        <v>10.436501736111101</v>
      </c>
      <c r="H28" s="25" t="s">
        <v>82</v>
      </c>
      <c r="I28" s="20">
        <f>IFERROR(IF(E28="","",E28*INDEX(ACTUALIZAR!$C$7:$C$18,MATCH(A28,ACTUALIZAR!$A$7:$A$18,0))/SUMIF($A$7:$A$200,A28,$E$7:$E$200)),"")</f>
        <v>2870727.3333333335</v>
      </c>
      <c r="J28" s="20">
        <f>IFERROR(IF(E28="","",E28*INDEX(PPK!$F$7:$F$18,MATCH(A28,PPK!$A$7:$A$18,0))/SUMIF($A$7:$A$200,A28,$E$7:$E$200)),"")</f>
        <v>2114396.4444444445</v>
      </c>
      <c r="K28" s="20">
        <f t="shared" si="0"/>
        <v>4985123.777777778</v>
      </c>
      <c r="L28" s="20">
        <f t="shared" si="1"/>
        <v>311570.23611111112</v>
      </c>
      <c r="M28" s="18" t="s">
        <v>378</v>
      </c>
      <c r="N28" s="95">
        <v>16608</v>
      </c>
      <c r="P28" s="19" t="str">
        <f>IF($A28='VISTA MES'!$B$4,COUNTIF($A$7:$A28,'VISTA MES'!$B$4),"")</f>
        <v/>
      </c>
    </row>
    <row r="29" spans="1:16" ht="19.5" customHeight="1" x14ac:dyDescent="0.25">
      <c r="A29" s="18" t="s">
        <v>36</v>
      </c>
      <c r="B29" s="18" t="s">
        <v>127</v>
      </c>
      <c r="C29" s="18" t="s">
        <v>80</v>
      </c>
      <c r="D29" s="18" t="s">
        <v>81</v>
      </c>
      <c r="E29" s="19">
        <v>10</v>
      </c>
      <c r="F29" s="19">
        <v>10</v>
      </c>
      <c r="G29" s="23">
        <v>9.0853472222222198</v>
      </c>
      <c r="H29" s="25" t="s">
        <v>82</v>
      </c>
      <c r="I29" s="20">
        <f>IFERROR(IF(E29="","",E29*INDEX(ACTUALIZAR!$C$7:$C$18,MATCH(A29,ACTUALIZAR!$A$7:$A$18,0))/SUMIF($A$7:$A$200,A29,$E$7:$E$200)),"")</f>
        <v>1794204.5833333333</v>
      </c>
      <c r="J29" s="20">
        <f>IFERROR(IF(E29="","",E29*INDEX(PPK!$F$7:$F$18,MATCH(A29,PPK!$A$7:$A$18,0))/SUMIF($A$7:$A$200,A29,$E$7:$E$200)),"")</f>
        <v>1321497.7777777778</v>
      </c>
      <c r="K29" s="20">
        <f t="shared" si="0"/>
        <v>3115702.361111111</v>
      </c>
      <c r="L29" s="20">
        <f t="shared" si="1"/>
        <v>311570.23611111112</v>
      </c>
      <c r="M29" s="18" t="s">
        <v>379</v>
      </c>
      <c r="N29" s="95">
        <v>10578.1</v>
      </c>
      <c r="P29" s="19" t="str">
        <f>IF($A29='VISTA MES'!$B$4,COUNTIF($A$7:$A29,'VISTA MES'!$B$4),"")</f>
        <v/>
      </c>
    </row>
    <row r="30" spans="1:16" ht="19.5" customHeight="1" x14ac:dyDescent="0.25">
      <c r="A30" s="18" t="s">
        <v>36</v>
      </c>
      <c r="B30" s="18" t="s">
        <v>128</v>
      </c>
      <c r="C30" s="18" t="s">
        <v>91</v>
      </c>
      <c r="D30" s="18" t="s">
        <v>97</v>
      </c>
      <c r="E30" s="19">
        <v>1</v>
      </c>
      <c r="F30" s="19">
        <v>1</v>
      </c>
      <c r="G30" s="23">
        <v>11.5270833333333</v>
      </c>
      <c r="H30" s="25" t="s">
        <v>82</v>
      </c>
      <c r="I30" s="20">
        <f>IFERROR(IF(E30="","",E30*INDEX(ACTUALIZAR!$C$7:$C$18,MATCH(A30,ACTUALIZAR!$A$7:$A$18,0))/SUMIF($A$7:$A$200,A30,$E$7:$E$200)),"")</f>
        <v>179420.45833333334</v>
      </c>
      <c r="J30" s="20">
        <f>IFERROR(IF(E30="","",E30*INDEX(PPK!$F$7:$F$18,MATCH(A30,PPK!$A$7:$A$18,0))/SUMIF($A$7:$A$200,A30,$E$7:$E$200)),"")</f>
        <v>132149.77777777778</v>
      </c>
      <c r="K30" s="20">
        <f t="shared" si="0"/>
        <v>311570.23611111112</v>
      </c>
      <c r="L30" s="20">
        <f t="shared" si="1"/>
        <v>311570.23611111112</v>
      </c>
      <c r="M30" s="18" t="s">
        <v>380</v>
      </c>
      <c r="N30" s="95">
        <v>984</v>
      </c>
      <c r="P30" s="19" t="str">
        <f>IF($A30='VISTA MES'!$B$4,COUNTIF($A$7:$A30,'VISTA MES'!$B$4),"")</f>
        <v/>
      </c>
    </row>
    <row r="31" spans="1:16" ht="19.5" customHeight="1" x14ac:dyDescent="0.25">
      <c r="A31" s="18" t="s">
        <v>36</v>
      </c>
      <c r="B31" s="18" t="s">
        <v>129</v>
      </c>
      <c r="C31" s="18" t="s">
        <v>130</v>
      </c>
      <c r="D31" s="18" t="s">
        <v>131</v>
      </c>
      <c r="E31" s="19">
        <v>3</v>
      </c>
      <c r="F31" s="19">
        <v>3</v>
      </c>
      <c r="G31" s="23">
        <v>8.9578703703703706</v>
      </c>
      <c r="H31" s="25" t="s">
        <v>82</v>
      </c>
      <c r="I31" s="20">
        <f>IFERROR(IF(E31="","",E31*INDEX(ACTUALIZAR!$C$7:$C$18,MATCH(A31,ACTUALIZAR!$A$7:$A$18,0))/SUMIF($A$7:$A$200,A31,$E$7:$E$200)),"")</f>
        <v>538261.375</v>
      </c>
      <c r="J31" s="20">
        <f>IFERROR(IF(E31="","",E31*INDEX(PPK!$F$7:$F$18,MATCH(A31,PPK!$A$7:$A$18,0))/SUMIF($A$7:$A$200,A31,$E$7:$E$200)),"")</f>
        <v>396449.33333333331</v>
      </c>
      <c r="K31" s="20">
        <f t="shared" si="0"/>
        <v>934710.70833333326</v>
      </c>
      <c r="L31" s="20">
        <f t="shared" si="1"/>
        <v>311570.23611111107</v>
      </c>
      <c r="M31" s="18" t="s">
        <v>381</v>
      </c>
      <c r="N31" s="95">
        <v>2952</v>
      </c>
      <c r="P31" s="19" t="str">
        <f>IF($A31='VISTA MES'!$B$4,COUNTIF($A$7:$A31,'VISTA MES'!$B$4),"")</f>
        <v/>
      </c>
    </row>
    <row r="32" spans="1:16" ht="19.5" customHeight="1" x14ac:dyDescent="0.25">
      <c r="A32" s="18" t="s">
        <v>36</v>
      </c>
      <c r="B32" s="18" t="s">
        <v>132</v>
      </c>
      <c r="C32" s="18" t="s">
        <v>133</v>
      </c>
      <c r="D32" s="18" t="s">
        <v>134</v>
      </c>
      <c r="E32" s="19">
        <v>1</v>
      </c>
      <c r="F32" s="19">
        <v>1</v>
      </c>
      <c r="G32" s="23">
        <v>5.0444444444444398</v>
      </c>
      <c r="H32" s="25" t="s">
        <v>82</v>
      </c>
      <c r="I32" s="20">
        <f>IFERROR(IF(E32="","",E32*INDEX(ACTUALIZAR!$C$7:$C$18,MATCH(A32,ACTUALIZAR!$A$7:$A$18,0))/SUMIF($A$7:$A$200,A32,$E$7:$E$200)),"")</f>
        <v>179420.45833333334</v>
      </c>
      <c r="J32" s="20">
        <f>IFERROR(IF(E32="","",E32*INDEX(PPK!$F$7:$F$18,MATCH(A32,PPK!$A$7:$A$18,0))/SUMIF($A$7:$A$200,A32,$E$7:$E$200)),"")</f>
        <v>132149.77777777778</v>
      </c>
      <c r="K32" s="20">
        <f t="shared" si="0"/>
        <v>311570.23611111112</v>
      </c>
      <c r="L32" s="20">
        <f t="shared" si="1"/>
        <v>311570.23611111112</v>
      </c>
      <c r="M32" s="18" t="s">
        <v>382</v>
      </c>
      <c r="N32" s="95">
        <v>656</v>
      </c>
      <c r="P32" s="19" t="str">
        <f>IF($A32='VISTA MES'!$B$4,COUNTIF($A$7:$A32,'VISTA MES'!$B$4),"")</f>
        <v/>
      </c>
    </row>
    <row r="33" spans="1:16" ht="19.5" customHeight="1" x14ac:dyDescent="0.25">
      <c r="A33" s="18" t="s">
        <v>37</v>
      </c>
      <c r="B33" s="18" t="s">
        <v>135</v>
      </c>
      <c r="C33" s="18" t="s">
        <v>80</v>
      </c>
      <c r="D33" s="18" t="s">
        <v>85</v>
      </c>
      <c r="E33" s="19">
        <v>8</v>
      </c>
      <c r="F33" s="19">
        <v>8</v>
      </c>
      <c r="G33" s="23">
        <v>7.8615451388888902</v>
      </c>
      <c r="H33" s="25" t="s">
        <v>82</v>
      </c>
      <c r="I33" s="20">
        <f>IFERROR(IF(E33="","",E33*INDEX(ACTUALIZAR!$C$7:$C$18,MATCH(A33,ACTUALIZAR!$A$7:$A$18,0))/SUMIF($A$7:$A$200,A33,$E$7:$E$200)),"")</f>
        <v>4493312.3478260869</v>
      </c>
      <c r="J33" s="20">
        <f>IFERROR(IF(E33="","",E33*INDEX(PPK!$F$7:$F$18,MATCH(A33,PPK!$A$7:$A$18,0))/SUMIF($A$7:$A$200,A33,$E$7:$E$200)),"")</f>
        <v>3214161.7391304346</v>
      </c>
      <c r="K33" s="20">
        <f t="shared" si="0"/>
        <v>7707474.0869565215</v>
      </c>
      <c r="L33" s="20">
        <f t="shared" si="1"/>
        <v>963434.26086956519</v>
      </c>
      <c r="M33" s="18" t="s">
        <v>383</v>
      </c>
      <c r="N33" s="95">
        <v>7280</v>
      </c>
      <c r="P33" s="19" t="str">
        <f>IF($A33='VISTA MES'!$B$4,COUNTIF($A$7:$A33,'VISTA MES'!$B$4),"")</f>
        <v/>
      </c>
    </row>
    <row r="34" spans="1:16" ht="19.5" customHeight="1" x14ac:dyDescent="0.25">
      <c r="A34" s="18" t="s">
        <v>37</v>
      </c>
      <c r="B34" s="18" t="s">
        <v>136</v>
      </c>
      <c r="C34" s="18" t="s">
        <v>109</v>
      </c>
      <c r="D34" s="18" t="s">
        <v>87</v>
      </c>
      <c r="E34" s="19">
        <v>3</v>
      </c>
      <c r="F34" s="19">
        <v>3</v>
      </c>
      <c r="G34" s="23">
        <v>7.7435185185185196</v>
      </c>
      <c r="H34" s="25" t="s">
        <v>82</v>
      </c>
      <c r="I34" s="20">
        <f>IFERROR(IF(E34="","",E34*INDEX(ACTUALIZAR!$C$7:$C$18,MATCH(A34,ACTUALIZAR!$A$7:$A$18,0))/SUMIF($A$7:$A$200,A34,$E$7:$E$200)),"")</f>
        <v>1684992.1304347827</v>
      </c>
      <c r="J34" s="20">
        <f>IFERROR(IF(E34="","",E34*INDEX(PPK!$F$7:$F$18,MATCH(A34,PPK!$A$7:$A$18,0))/SUMIF($A$7:$A$200,A34,$E$7:$E$200)),"")</f>
        <v>1205310.6521739131</v>
      </c>
      <c r="K34" s="20">
        <f t="shared" si="0"/>
        <v>2890302.7826086958</v>
      </c>
      <c r="L34" s="20">
        <f t="shared" si="1"/>
        <v>963434.2608695653</v>
      </c>
      <c r="M34" s="18" t="s">
        <v>384</v>
      </c>
      <c r="N34" s="95">
        <v>2664</v>
      </c>
      <c r="P34" s="19" t="str">
        <f>IF($A34='VISTA MES'!$B$4,COUNTIF($A$7:$A34,'VISTA MES'!$B$4),"")</f>
        <v/>
      </c>
    </row>
    <row r="35" spans="1:16" ht="19.5" customHeight="1" x14ac:dyDescent="0.25">
      <c r="A35" s="18" t="s">
        <v>37</v>
      </c>
      <c r="B35" s="18" t="s">
        <v>137</v>
      </c>
      <c r="C35" s="18" t="s">
        <v>105</v>
      </c>
      <c r="D35" s="18" t="s">
        <v>106</v>
      </c>
      <c r="E35" s="19">
        <v>1</v>
      </c>
      <c r="F35" s="19">
        <v>1</v>
      </c>
      <c r="G35" s="23">
        <v>3.09375</v>
      </c>
      <c r="H35" s="25" t="s">
        <v>82</v>
      </c>
      <c r="I35" s="20">
        <f>IFERROR(IF(E35="","",E35*INDEX(ACTUALIZAR!$C$7:$C$18,MATCH(A35,ACTUALIZAR!$A$7:$A$18,0))/SUMIF($A$7:$A$200,A35,$E$7:$E$200)),"")</f>
        <v>561664.04347826086</v>
      </c>
      <c r="J35" s="20">
        <f>IFERROR(IF(E35="","",E35*INDEX(PPK!$F$7:$F$18,MATCH(A35,PPK!$A$7:$A$18,0))/SUMIF($A$7:$A$200,A35,$E$7:$E$200)),"")</f>
        <v>401770.21739130432</v>
      </c>
      <c r="K35" s="20">
        <f t="shared" si="0"/>
        <v>963434.26086956519</v>
      </c>
      <c r="L35" s="20">
        <f t="shared" si="1"/>
        <v>963434.26086956519</v>
      </c>
      <c r="M35" s="18" t="s">
        <v>385</v>
      </c>
      <c r="N35" s="95">
        <v>656</v>
      </c>
      <c r="P35" s="19" t="str">
        <f>IF($A35='VISTA MES'!$B$4,COUNTIF($A$7:$A35,'VISTA MES'!$B$4),"")</f>
        <v/>
      </c>
    </row>
    <row r="36" spans="1:16" ht="19.5" customHeight="1" x14ac:dyDescent="0.25">
      <c r="A36" s="18" t="s">
        <v>37</v>
      </c>
      <c r="B36" s="18" t="s">
        <v>138</v>
      </c>
      <c r="C36" s="18" t="s">
        <v>109</v>
      </c>
      <c r="D36" s="18" t="s">
        <v>89</v>
      </c>
      <c r="E36" s="19">
        <v>8</v>
      </c>
      <c r="F36" s="19">
        <v>8</v>
      </c>
      <c r="G36" s="23">
        <v>5.31753472222222</v>
      </c>
      <c r="H36" s="25" t="s">
        <v>82</v>
      </c>
      <c r="I36" s="20">
        <f>IFERROR(IF(E36="","",E36*INDEX(ACTUALIZAR!$C$7:$C$18,MATCH(A36,ACTUALIZAR!$A$7:$A$18,0))/SUMIF($A$7:$A$200,A36,$E$7:$E$200)),"")</f>
        <v>4493312.3478260869</v>
      </c>
      <c r="J36" s="20">
        <f>IFERROR(IF(E36="","",E36*INDEX(PPK!$F$7:$F$18,MATCH(A36,PPK!$A$7:$A$18,0))/SUMIF($A$7:$A$200,A36,$E$7:$E$200)),"")</f>
        <v>3214161.7391304346</v>
      </c>
      <c r="K36" s="20">
        <f t="shared" si="0"/>
        <v>7707474.0869565215</v>
      </c>
      <c r="L36" s="20">
        <f t="shared" si="1"/>
        <v>963434.26086956519</v>
      </c>
      <c r="M36" s="18" t="s">
        <v>386</v>
      </c>
      <c r="N36" s="95">
        <v>6776</v>
      </c>
      <c r="P36" s="19" t="str">
        <f>IF($A36='VISTA MES'!$B$4,COUNTIF($A$7:$A36,'VISTA MES'!$B$4),"")</f>
        <v/>
      </c>
    </row>
    <row r="37" spans="1:16" ht="19.5" customHeight="1" x14ac:dyDescent="0.25">
      <c r="A37" s="18" t="s">
        <v>37</v>
      </c>
      <c r="B37" s="18" t="s">
        <v>139</v>
      </c>
      <c r="C37" s="18" t="s">
        <v>109</v>
      </c>
      <c r="D37" s="18" t="s">
        <v>110</v>
      </c>
      <c r="E37" s="19">
        <v>2</v>
      </c>
      <c r="F37" s="19">
        <v>2</v>
      </c>
      <c r="G37" s="23">
        <v>5.17604166666667</v>
      </c>
      <c r="H37" s="25" t="s">
        <v>82</v>
      </c>
      <c r="I37" s="20">
        <f>IFERROR(IF(E37="","",E37*INDEX(ACTUALIZAR!$C$7:$C$18,MATCH(A37,ACTUALIZAR!$A$7:$A$18,0))/SUMIF($A$7:$A$200,A37,$E$7:$E$200)),"")</f>
        <v>1123328.0869565217</v>
      </c>
      <c r="J37" s="20">
        <f>IFERROR(IF(E37="","",E37*INDEX(PPK!$F$7:$F$18,MATCH(A37,PPK!$A$7:$A$18,0))/SUMIF($A$7:$A$200,A37,$E$7:$E$200)),"")</f>
        <v>803540.43478260865</v>
      </c>
      <c r="K37" s="20">
        <f t="shared" si="0"/>
        <v>1926868.5217391304</v>
      </c>
      <c r="L37" s="20">
        <f t="shared" si="1"/>
        <v>963434.26086956519</v>
      </c>
      <c r="M37" s="18" t="s">
        <v>387</v>
      </c>
      <c r="N37" s="95">
        <v>1968</v>
      </c>
      <c r="P37" s="19" t="str">
        <f>IF($A37='VISTA MES'!$B$4,COUNTIF($A$7:$A37,'VISTA MES'!$B$4),"")</f>
        <v/>
      </c>
    </row>
    <row r="38" spans="1:16" ht="19.5" customHeight="1" x14ac:dyDescent="0.25">
      <c r="A38" s="18" t="s">
        <v>37</v>
      </c>
      <c r="B38" s="18" t="s">
        <v>140</v>
      </c>
      <c r="C38" s="18" t="s">
        <v>105</v>
      </c>
      <c r="D38" s="18" t="s">
        <v>106</v>
      </c>
      <c r="E38" s="19">
        <v>1</v>
      </c>
      <c r="F38" s="19">
        <v>1</v>
      </c>
      <c r="G38" s="23">
        <v>1.4895833333333299</v>
      </c>
      <c r="H38" s="25" t="s">
        <v>82</v>
      </c>
      <c r="I38" s="20">
        <f>IFERROR(IF(E38="","",E38*INDEX(ACTUALIZAR!$C$7:$C$18,MATCH(A38,ACTUALIZAR!$A$7:$A$18,0))/SUMIF($A$7:$A$200,A38,$E$7:$E$200)),"")</f>
        <v>561664.04347826086</v>
      </c>
      <c r="J38" s="20">
        <f>IFERROR(IF(E38="","",E38*INDEX(PPK!$F$7:$F$18,MATCH(A38,PPK!$A$7:$A$18,0))/SUMIF($A$7:$A$200,A38,$E$7:$E$200)),"")</f>
        <v>401770.21739130432</v>
      </c>
      <c r="K38" s="20">
        <f t="shared" si="0"/>
        <v>963434.26086956519</v>
      </c>
      <c r="L38" s="20">
        <f t="shared" si="1"/>
        <v>963434.26086956519</v>
      </c>
      <c r="M38" s="18" t="s">
        <v>388</v>
      </c>
      <c r="N38" s="95">
        <v>392</v>
      </c>
      <c r="P38" s="19" t="str">
        <f>IF($A38='VISTA MES'!$B$4,COUNTIF($A$7:$A38,'VISTA MES'!$B$4),"")</f>
        <v/>
      </c>
    </row>
    <row r="39" spans="1:16" ht="19.5" customHeight="1" x14ac:dyDescent="0.25">
      <c r="A39" s="18" t="s">
        <v>38</v>
      </c>
      <c r="B39" s="18" t="s">
        <v>141</v>
      </c>
      <c r="C39" s="18" t="s">
        <v>142</v>
      </c>
      <c r="D39" s="18" t="s">
        <v>143</v>
      </c>
      <c r="E39" s="19">
        <v>1</v>
      </c>
      <c r="F39" s="19">
        <v>1</v>
      </c>
      <c r="G39" s="23">
        <v>9.62222222222222</v>
      </c>
      <c r="H39" s="25" t="s">
        <v>82</v>
      </c>
      <c r="I39" s="20">
        <f>IFERROR(IF(E39="","",E39*INDEX(ACTUALIZAR!$C$7:$C$18,MATCH(A39,ACTUALIZAR!$A$7:$A$18,0))/SUMIF($A$7:$A$200,A39,$E$7:$E$200)),"")</f>
        <v>274856.87234042556</v>
      </c>
      <c r="J39" s="20">
        <f>IFERROR(IF(E39="","",E39*INDEX(PPK!$F$7:$F$18,MATCH(A39,PPK!$A$7:$A$18,0))/SUMIF($A$7:$A$200,A39,$E$7:$E$200)),"")</f>
        <v>202442.21276595743</v>
      </c>
      <c r="K39" s="20">
        <f t="shared" ref="K39:K70" si="2">IF(AND(I39="",J39=""),"",SUM(I39:J39))</f>
        <v>477299.08510638296</v>
      </c>
      <c r="L39" s="20">
        <f t="shared" ref="L39:L70" si="3">IFERROR(K39/E39,"")</f>
        <v>477299.08510638296</v>
      </c>
      <c r="M39" s="18" t="s">
        <v>389</v>
      </c>
      <c r="N39" s="95">
        <v>1352</v>
      </c>
      <c r="P39" s="19" t="str">
        <f>IF($A39='VISTA MES'!$B$4,COUNTIF($A$7:$A39,'VISTA MES'!$B$4),"")</f>
        <v/>
      </c>
    </row>
    <row r="40" spans="1:16" ht="19.5" customHeight="1" x14ac:dyDescent="0.25">
      <c r="A40" s="18" t="s">
        <v>38</v>
      </c>
      <c r="B40" s="18" t="s">
        <v>144</v>
      </c>
      <c r="C40" s="18" t="s">
        <v>142</v>
      </c>
      <c r="D40" s="18" t="s">
        <v>145</v>
      </c>
      <c r="E40" s="19">
        <v>1</v>
      </c>
      <c r="F40" s="19">
        <v>1</v>
      </c>
      <c r="G40" s="23">
        <v>7.1486111111111104</v>
      </c>
      <c r="H40" s="25" t="s">
        <v>82</v>
      </c>
      <c r="I40" s="20">
        <f>IFERROR(IF(E40="","",E40*INDEX(ACTUALIZAR!$C$7:$C$18,MATCH(A40,ACTUALIZAR!$A$7:$A$18,0))/SUMIF($A$7:$A$200,A40,$E$7:$E$200)),"")</f>
        <v>274856.87234042556</v>
      </c>
      <c r="J40" s="20">
        <f>IFERROR(IF(E40="","",E40*INDEX(PPK!$F$7:$F$18,MATCH(A40,PPK!$A$7:$A$18,0))/SUMIF($A$7:$A$200,A40,$E$7:$E$200)),"")</f>
        <v>202442.21276595743</v>
      </c>
      <c r="K40" s="20">
        <f t="shared" si="2"/>
        <v>477299.08510638296</v>
      </c>
      <c r="L40" s="20">
        <f t="shared" si="3"/>
        <v>477299.08510638296</v>
      </c>
      <c r="M40" s="18" t="s">
        <v>390</v>
      </c>
      <c r="N40" s="95">
        <v>656</v>
      </c>
      <c r="P40" s="19" t="str">
        <f>IF($A40='VISTA MES'!$B$4,COUNTIF($A$7:$A40,'VISTA MES'!$B$4),"")</f>
        <v/>
      </c>
    </row>
    <row r="41" spans="1:16" ht="19.5" customHeight="1" x14ac:dyDescent="0.25">
      <c r="A41" s="18" t="s">
        <v>38</v>
      </c>
      <c r="B41" s="18" t="s">
        <v>146</v>
      </c>
      <c r="C41" s="18" t="s">
        <v>80</v>
      </c>
      <c r="D41" s="18" t="s">
        <v>112</v>
      </c>
      <c r="E41" s="19">
        <v>15</v>
      </c>
      <c r="F41" s="19">
        <v>15</v>
      </c>
      <c r="G41" s="23">
        <v>5.9432407407407402</v>
      </c>
      <c r="H41" s="25" t="s">
        <v>82</v>
      </c>
      <c r="I41" s="20">
        <f>IFERROR(IF(E41="","",E41*INDEX(ACTUALIZAR!$C$7:$C$18,MATCH(A41,ACTUALIZAR!$A$7:$A$18,0))/SUMIF($A$7:$A$200,A41,$E$7:$E$200)),"")</f>
        <v>4122853.0851063831</v>
      </c>
      <c r="J41" s="20">
        <f>IFERROR(IF(E41="","",E41*INDEX(PPK!$F$7:$F$18,MATCH(A41,PPK!$A$7:$A$18,0))/SUMIF($A$7:$A$200,A41,$E$7:$E$200)),"")</f>
        <v>3036633.1914893617</v>
      </c>
      <c r="K41" s="20">
        <f t="shared" si="2"/>
        <v>7159486.2765957452</v>
      </c>
      <c r="L41" s="20">
        <f t="shared" si="3"/>
        <v>477299.08510638302</v>
      </c>
      <c r="M41" s="18" t="s">
        <v>391</v>
      </c>
      <c r="N41" s="95">
        <v>12856</v>
      </c>
      <c r="P41" s="19" t="str">
        <f>IF($A41='VISTA MES'!$B$4,COUNTIF($A$7:$A41,'VISTA MES'!$B$4),"")</f>
        <v/>
      </c>
    </row>
    <row r="42" spans="1:16" ht="19.5" customHeight="1" x14ac:dyDescent="0.25">
      <c r="A42" s="18" t="s">
        <v>38</v>
      </c>
      <c r="B42" s="18" t="s">
        <v>147</v>
      </c>
      <c r="C42" s="18" t="s">
        <v>80</v>
      </c>
      <c r="D42" s="18" t="s">
        <v>114</v>
      </c>
      <c r="E42" s="19">
        <v>12</v>
      </c>
      <c r="F42" s="19">
        <v>12</v>
      </c>
      <c r="G42" s="23">
        <v>6.8192708333333298</v>
      </c>
      <c r="H42" s="25" t="s">
        <v>82</v>
      </c>
      <c r="I42" s="20">
        <f>IFERROR(IF(E42="","",E42*INDEX(ACTUALIZAR!$C$7:$C$18,MATCH(A42,ACTUALIZAR!$A$7:$A$18,0))/SUMIF($A$7:$A$200,A42,$E$7:$E$200)),"")</f>
        <v>3298282.4680851065</v>
      </c>
      <c r="J42" s="20">
        <f>IFERROR(IF(E42="","",E42*INDEX(PPK!$F$7:$F$18,MATCH(A42,PPK!$A$7:$A$18,0))/SUMIF($A$7:$A$200,A42,$E$7:$E$200)),"")</f>
        <v>2429306.5531914895</v>
      </c>
      <c r="K42" s="20">
        <f t="shared" si="2"/>
        <v>5727589.021276596</v>
      </c>
      <c r="L42" s="20">
        <f t="shared" si="3"/>
        <v>477299.08510638302</v>
      </c>
      <c r="M42" s="18" t="s">
        <v>392</v>
      </c>
      <c r="N42" s="95">
        <v>13320</v>
      </c>
      <c r="P42" s="19" t="str">
        <f>IF($A42='VISTA MES'!$B$4,COUNTIF($A$7:$A42,'VISTA MES'!$B$4),"")</f>
        <v/>
      </c>
    </row>
    <row r="43" spans="1:16" ht="19.5" customHeight="1" x14ac:dyDescent="0.25">
      <c r="A43" s="18" t="s">
        <v>38</v>
      </c>
      <c r="B43" s="18" t="s">
        <v>148</v>
      </c>
      <c r="C43" s="18" t="s">
        <v>84</v>
      </c>
      <c r="D43" s="18" t="s">
        <v>116</v>
      </c>
      <c r="E43" s="19">
        <v>13</v>
      </c>
      <c r="F43" s="19">
        <v>11</v>
      </c>
      <c r="G43" s="23">
        <v>6.3405303030303104</v>
      </c>
      <c r="H43" s="24" t="s">
        <v>117</v>
      </c>
      <c r="I43" s="20">
        <f>IFERROR(IF(E43="","",E43*INDEX(ACTUALIZAR!$C$7:$C$18,MATCH(A43,ACTUALIZAR!$A$7:$A$18,0))/SUMIF($A$7:$A$200,A43,$E$7:$E$200)),"")</f>
        <v>3573139.3404255318</v>
      </c>
      <c r="J43" s="20">
        <f>IFERROR(IF(E43="","",E43*INDEX(PPK!$F$7:$F$18,MATCH(A43,PPK!$A$7:$A$18,0))/SUMIF($A$7:$A$200,A43,$E$7:$E$200)),"")</f>
        <v>2631748.7659574468</v>
      </c>
      <c r="K43" s="20">
        <f t="shared" si="2"/>
        <v>6204888.1063829791</v>
      </c>
      <c r="L43" s="20">
        <f t="shared" si="3"/>
        <v>477299.08510638302</v>
      </c>
      <c r="M43" s="18" t="s">
        <v>393</v>
      </c>
      <c r="N43" s="95">
        <v>9152</v>
      </c>
      <c r="P43" s="19" t="str">
        <f>IF($A43='VISTA MES'!$B$4,COUNTIF($A$7:$A43,'VISTA MES'!$B$4),"")</f>
        <v/>
      </c>
    </row>
    <row r="44" spans="1:16" ht="19.5" customHeight="1" x14ac:dyDescent="0.25">
      <c r="A44" s="18" t="s">
        <v>38</v>
      </c>
      <c r="B44" s="18" t="s">
        <v>149</v>
      </c>
      <c r="C44" s="18" t="s">
        <v>80</v>
      </c>
      <c r="D44" s="18" t="s">
        <v>122</v>
      </c>
      <c r="E44" s="19">
        <v>3</v>
      </c>
      <c r="F44" s="19">
        <v>3</v>
      </c>
      <c r="G44" s="23">
        <v>9.3946759259259291</v>
      </c>
      <c r="H44" s="25" t="s">
        <v>82</v>
      </c>
      <c r="I44" s="20">
        <f>IFERROR(IF(E44="","",E44*INDEX(ACTUALIZAR!$C$7:$C$18,MATCH(A44,ACTUALIZAR!$A$7:$A$18,0))/SUMIF($A$7:$A$200,A44,$E$7:$E$200)),"")</f>
        <v>824570.61702127662</v>
      </c>
      <c r="J44" s="20">
        <f>IFERROR(IF(E44="","",E44*INDEX(PPK!$F$7:$F$18,MATCH(A44,PPK!$A$7:$A$18,0))/SUMIF($A$7:$A$200,A44,$E$7:$E$200)),"")</f>
        <v>607326.63829787239</v>
      </c>
      <c r="K44" s="20">
        <f t="shared" si="2"/>
        <v>1431897.255319149</v>
      </c>
      <c r="L44" s="20">
        <f t="shared" si="3"/>
        <v>477299.08510638302</v>
      </c>
      <c r="M44" s="18" t="s">
        <v>394</v>
      </c>
      <c r="N44" s="95">
        <v>3296</v>
      </c>
      <c r="P44" s="19" t="str">
        <f>IF($A44='VISTA MES'!$B$4,COUNTIF($A$7:$A44,'VISTA MES'!$B$4),"")</f>
        <v/>
      </c>
    </row>
    <row r="45" spans="1:16" ht="19.5" customHeight="1" x14ac:dyDescent="0.25">
      <c r="A45" s="18" t="s">
        <v>38</v>
      </c>
      <c r="B45" s="18" t="s">
        <v>150</v>
      </c>
      <c r="C45" s="18" t="s">
        <v>91</v>
      </c>
      <c r="D45" s="18" t="s">
        <v>99</v>
      </c>
      <c r="E45" s="19">
        <v>2</v>
      </c>
      <c r="F45" s="19">
        <v>2</v>
      </c>
      <c r="G45" s="23">
        <v>3.0791666666666702</v>
      </c>
      <c r="H45" s="25" t="s">
        <v>82</v>
      </c>
      <c r="I45" s="20">
        <f>IFERROR(IF(E45="","",E45*INDEX(ACTUALIZAR!$C$7:$C$18,MATCH(A45,ACTUALIZAR!$A$7:$A$18,0))/SUMIF($A$7:$A$200,A45,$E$7:$E$200)),"")</f>
        <v>549713.74468085112</v>
      </c>
      <c r="J45" s="20">
        <f>IFERROR(IF(E45="","",E45*INDEX(PPK!$F$7:$F$18,MATCH(A45,PPK!$A$7:$A$18,0))/SUMIF($A$7:$A$200,A45,$E$7:$E$200)),"")</f>
        <v>404884.42553191487</v>
      </c>
      <c r="K45" s="20">
        <f t="shared" si="2"/>
        <v>954598.17021276592</v>
      </c>
      <c r="L45" s="20">
        <f t="shared" si="3"/>
        <v>477299.08510638296</v>
      </c>
      <c r="M45" s="18" t="s">
        <v>395</v>
      </c>
      <c r="N45" s="95">
        <v>656</v>
      </c>
      <c r="P45" s="19" t="str">
        <f>IF($A45='VISTA MES'!$B$4,COUNTIF($A$7:$A45,'VISTA MES'!$B$4),"")</f>
        <v/>
      </c>
    </row>
    <row r="46" spans="1:16" ht="19.5" customHeight="1" x14ac:dyDescent="0.25">
      <c r="A46" s="18" t="s">
        <v>39</v>
      </c>
      <c r="B46" s="18" t="s">
        <v>151</v>
      </c>
      <c r="C46" s="18" t="s">
        <v>152</v>
      </c>
      <c r="D46" s="18" t="s">
        <v>153</v>
      </c>
      <c r="E46" s="19">
        <v>1</v>
      </c>
      <c r="F46" s="19">
        <v>1</v>
      </c>
      <c r="G46" s="23">
        <v>6.5868055555555598</v>
      </c>
      <c r="H46" s="25" t="s">
        <v>82</v>
      </c>
      <c r="I46" s="20">
        <f>IFERROR(IF(E46="","",E46*INDEX(ACTUALIZAR!$C$7:$C$18,MATCH(A46,ACTUALIZAR!$A$7:$A$18,0))/SUMIF($A$7:$A$200,A46,$E$7:$E$200)),"")</f>
        <v>60649.169014084509</v>
      </c>
      <c r="J46" s="20">
        <f>IFERROR(IF(E46="","",E46*INDEX(PPK!$F$7:$F$18,MATCH(A46,PPK!$A$7:$A$18,0))/SUMIF($A$7:$A$200,A46,$E$7:$E$200)),"")</f>
        <v>45957.056338028167</v>
      </c>
      <c r="K46" s="20">
        <f t="shared" si="2"/>
        <v>106606.22535211267</v>
      </c>
      <c r="L46" s="20">
        <f t="shared" si="3"/>
        <v>106606.22535211267</v>
      </c>
      <c r="M46" s="18" t="s">
        <v>396</v>
      </c>
      <c r="N46" s="95">
        <v>984</v>
      </c>
      <c r="P46" s="19" t="str">
        <f>IF($A46='VISTA MES'!$B$4,COUNTIF($A$7:$A46,'VISTA MES'!$B$4),"")</f>
        <v/>
      </c>
    </row>
    <row r="47" spans="1:16" ht="19.5" customHeight="1" x14ac:dyDescent="0.25">
      <c r="A47" s="18" t="s">
        <v>39</v>
      </c>
      <c r="B47" s="18" t="s">
        <v>154</v>
      </c>
      <c r="C47" s="18" t="s">
        <v>80</v>
      </c>
      <c r="D47" s="18" t="s">
        <v>85</v>
      </c>
      <c r="E47" s="19">
        <v>12</v>
      </c>
      <c r="F47" s="19">
        <v>12</v>
      </c>
      <c r="G47" s="23">
        <v>6.2679976851851897</v>
      </c>
      <c r="H47" s="25" t="s">
        <v>82</v>
      </c>
      <c r="I47" s="20">
        <f>IFERROR(IF(E47="","",E47*INDEX(ACTUALIZAR!$C$7:$C$18,MATCH(A47,ACTUALIZAR!$A$7:$A$18,0))/SUMIF($A$7:$A$200,A47,$E$7:$E$200)),"")</f>
        <v>727790.02816901414</v>
      </c>
      <c r="J47" s="20">
        <f>IFERROR(IF(E47="","",E47*INDEX(PPK!$F$7:$F$18,MATCH(A47,PPK!$A$7:$A$18,0))/SUMIF($A$7:$A$200,A47,$E$7:$E$200)),"")</f>
        <v>551484.67605633801</v>
      </c>
      <c r="K47" s="20">
        <f t="shared" si="2"/>
        <v>1279274.704225352</v>
      </c>
      <c r="L47" s="20">
        <f t="shared" si="3"/>
        <v>106606.22535211267</v>
      </c>
      <c r="M47" s="18" t="s">
        <v>397</v>
      </c>
      <c r="N47" s="95">
        <v>13648</v>
      </c>
      <c r="P47" s="19" t="str">
        <f>IF($A47='VISTA MES'!$B$4,COUNTIF($A$7:$A47,'VISTA MES'!$B$4),"")</f>
        <v/>
      </c>
    </row>
    <row r="48" spans="1:16" ht="19.5" customHeight="1" x14ac:dyDescent="0.25">
      <c r="A48" s="18" t="s">
        <v>39</v>
      </c>
      <c r="B48" s="18" t="s">
        <v>155</v>
      </c>
      <c r="C48" s="18" t="s">
        <v>91</v>
      </c>
      <c r="D48" s="18" t="s">
        <v>99</v>
      </c>
      <c r="E48" s="19">
        <v>3</v>
      </c>
      <c r="F48" s="19">
        <v>3</v>
      </c>
      <c r="G48" s="23">
        <v>4.44027777777778</v>
      </c>
      <c r="H48" s="25" t="s">
        <v>82</v>
      </c>
      <c r="I48" s="20">
        <f>IFERROR(IF(E48="","",E48*INDEX(ACTUALIZAR!$C$7:$C$18,MATCH(A48,ACTUALIZAR!$A$7:$A$18,0))/SUMIF($A$7:$A$200,A48,$E$7:$E$200)),"")</f>
        <v>181947.50704225354</v>
      </c>
      <c r="J48" s="20">
        <f>IFERROR(IF(E48="","",E48*INDEX(PPK!$F$7:$F$18,MATCH(A48,PPK!$A$7:$A$18,0))/SUMIF($A$7:$A$200,A48,$E$7:$E$200)),"")</f>
        <v>137871.1690140845</v>
      </c>
      <c r="K48" s="20">
        <f t="shared" si="2"/>
        <v>319818.67605633801</v>
      </c>
      <c r="L48" s="20">
        <f t="shared" si="3"/>
        <v>106606.22535211267</v>
      </c>
      <c r="M48" s="18" t="s">
        <v>398</v>
      </c>
      <c r="N48" s="95">
        <v>1296</v>
      </c>
      <c r="P48" s="19" t="str">
        <f>IF($A48='VISTA MES'!$B$4,COUNTIF($A$7:$A48,'VISTA MES'!$B$4),"")</f>
        <v/>
      </c>
    </row>
    <row r="49" spans="1:16" ht="19.5" customHeight="1" x14ac:dyDescent="0.25">
      <c r="A49" s="18" t="s">
        <v>39</v>
      </c>
      <c r="B49" s="18" t="s">
        <v>156</v>
      </c>
      <c r="C49" s="18" t="s">
        <v>105</v>
      </c>
      <c r="D49" s="18" t="s">
        <v>106</v>
      </c>
      <c r="E49" s="19">
        <v>2</v>
      </c>
      <c r="F49" s="19">
        <v>2</v>
      </c>
      <c r="G49" s="23">
        <v>2.0656249999999998</v>
      </c>
      <c r="H49" s="25" t="s">
        <v>82</v>
      </c>
      <c r="I49" s="20">
        <f>IFERROR(IF(E49="","",E49*INDEX(ACTUALIZAR!$C$7:$C$18,MATCH(A49,ACTUALIZAR!$A$7:$A$18,0))/SUMIF($A$7:$A$200,A49,$E$7:$E$200)),"")</f>
        <v>121298.33802816902</v>
      </c>
      <c r="J49" s="20">
        <f>IFERROR(IF(E49="","",E49*INDEX(PPK!$F$7:$F$18,MATCH(A49,PPK!$A$7:$A$18,0))/SUMIF($A$7:$A$200,A49,$E$7:$E$200)),"")</f>
        <v>91914.112676056335</v>
      </c>
      <c r="K49" s="20">
        <f t="shared" si="2"/>
        <v>213212.45070422534</v>
      </c>
      <c r="L49" s="20">
        <f t="shared" si="3"/>
        <v>106606.22535211267</v>
      </c>
      <c r="M49" s="18" t="s">
        <v>399</v>
      </c>
      <c r="N49" s="95">
        <v>984</v>
      </c>
      <c r="P49" s="19" t="str">
        <f>IF($A49='VISTA MES'!$B$4,COUNTIF($A$7:$A49,'VISTA MES'!$B$4),"")</f>
        <v/>
      </c>
    </row>
    <row r="50" spans="1:16" ht="19.5" customHeight="1" x14ac:dyDescent="0.25">
      <c r="A50" s="18" t="s">
        <v>39</v>
      </c>
      <c r="B50" s="18" t="s">
        <v>157</v>
      </c>
      <c r="C50" s="18" t="s">
        <v>133</v>
      </c>
      <c r="D50" s="18" t="s">
        <v>158</v>
      </c>
      <c r="E50" s="19">
        <v>1</v>
      </c>
      <c r="F50" s="19">
        <v>1</v>
      </c>
      <c r="G50" s="23">
        <v>4.46736111111111</v>
      </c>
      <c r="H50" s="25" t="s">
        <v>82</v>
      </c>
      <c r="I50" s="20">
        <f>IFERROR(IF(E50="","",E50*INDEX(ACTUALIZAR!$C$7:$C$18,MATCH(A50,ACTUALIZAR!$A$7:$A$18,0))/SUMIF($A$7:$A$200,A50,$E$7:$E$200)),"")</f>
        <v>60649.169014084509</v>
      </c>
      <c r="J50" s="20">
        <f>IFERROR(IF(E50="","",E50*INDEX(PPK!$F$7:$F$18,MATCH(A50,PPK!$A$7:$A$18,0))/SUMIF($A$7:$A$200,A50,$E$7:$E$200)),"")</f>
        <v>45957.056338028167</v>
      </c>
      <c r="K50" s="20">
        <f t="shared" si="2"/>
        <v>106606.22535211267</v>
      </c>
      <c r="L50" s="20">
        <f t="shared" si="3"/>
        <v>106606.22535211267</v>
      </c>
      <c r="M50" s="18" t="s">
        <v>400</v>
      </c>
      <c r="N50" s="95">
        <v>920</v>
      </c>
      <c r="P50" s="19" t="str">
        <f>IF($A50='VISTA MES'!$B$4,COUNTIF($A$7:$A50,'VISTA MES'!$B$4),"")</f>
        <v/>
      </c>
    </row>
    <row r="51" spans="1:16" ht="19.5" customHeight="1" x14ac:dyDescent="0.25">
      <c r="A51" s="18" t="s">
        <v>39</v>
      </c>
      <c r="B51" s="18" t="s">
        <v>159</v>
      </c>
      <c r="C51" s="18" t="s">
        <v>91</v>
      </c>
      <c r="D51" s="18" t="s">
        <v>92</v>
      </c>
      <c r="E51" s="19">
        <v>174</v>
      </c>
      <c r="F51" s="19">
        <v>174</v>
      </c>
      <c r="G51" s="23">
        <v>1.0633221583652599</v>
      </c>
      <c r="H51" s="25" t="s">
        <v>82</v>
      </c>
      <c r="I51" s="20">
        <f>IFERROR(IF(E51="","",E51*INDEX(ACTUALIZAR!$C$7:$C$18,MATCH(A51,ACTUALIZAR!$A$7:$A$18,0))/SUMIF($A$7:$A$200,A51,$E$7:$E$200)),"")</f>
        <v>10552955.408450704</v>
      </c>
      <c r="J51" s="20">
        <f>IFERROR(IF(E51="","",E51*INDEX(PPK!$F$7:$F$18,MATCH(A51,PPK!$A$7:$A$18,0))/SUMIF($A$7:$A$200,A51,$E$7:$E$200)),"")</f>
        <v>7996527.8028169014</v>
      </c>
      <c r="K51" s="20">
        <f t="shared" si="2"/>
        <v>18549483.211267605</v>
      </c>
      <c r="L51" s="20">
        <f t="shared" si="3"/>
        <v>106606.22535211267</v>
      </c>
      <c r="M51" s="18" t="s">
        <v>401</v>
      </c>
      <c r="N51" s="95">
        <v>26360</v>
      </c>
      <c r="P51" s="19" t="str">
        <f>IF($A51='VISTA MES'!$B$4,COUNTIF($A$7:$A51,'VISTA MES'!$B$4),"")</f>
        <v/>
      </c>
    </row>
    <row r="52" spans="1:16" ht="19.5" customHeight="1" x14ac:dyDescent="0.25">
      <c r="A52" s="18" t="s">
        <v>39</v>
      </c>
      <c r="B52" s="18" t="s">
        <v>160</v>
      </c>
      <c r="C52" s="18" t="s">
        <v>133</v>
      </c>
      <c r="D52" s="18" t="s">
        <v>161</v>
      </c>
      <c r="E52" s="19">
        <v>1</v>
      </c>
      <c r="F52" s="19">
        <v>1</v>
      </c>
      <c r="G52" s="23">
        <v>5.0875000000000004</v>
      </c>
      <c r="H52" s="25" t="s">
        <v>82</v>
      </c>
      <c r="I52" s="20">
        <f>IFERROR(IF(E52="","",E52*INDEX(ACTUALIZAR!$C$7:$C$18,MATCH(A52,ACTUALIZAR!$A$7:$A$18,0))/SUMIF($A$7:$A$200,A52,$E$7:$E$200)),"")</f>
        <v>60649.169014084509</v>
      </c>
      <c r="J52" s="20">
        <f>IFERROR(IF(E52="","",E52*INDEX(PPK!$F$7:$F$18,MATCH(A52,PPK!$A$7:$A$18,0))/SUMIF($A$7:$A$200,A52,$E$7:$E$200)),"")</f>
        <v>45957.056338028167</v>
      </c>
      <c r="K52" s="20">
        <f t="shared" si="2"/>
        <v>106606.22535211267</v>
      </c>
      <c r="L52" s="20">
        <f t="shared" si="3"/>
        <v>106606.22535211267</v>
      </c>
      <c r="M52" s="18" t="s">
        <v>402</v>
      </c>
      <c r="N52" s="95">
        <v>1024</v>
      </c>
      <c r="P52" s="19" t="str">
        <f>IF($A52='VISTA MES'!$B$4,COUNTIF($A$7:$A52,'VISTA MES'!$B$4),"")</f>
        <v/>
      </c>
    </row>
    <row r="53" spans="1:16" ht="19.5" customHeight="1" x14ac:dyDescent="0.25">
      <c r="A53" s="18" t="s">
        <v>39</v>
      </c>
      <c r="B53" s="18" t="s">
        <v>162</v>
      </c>
      <c r="C53" s="18" t="s">
        <v>133</v>
      </c>
      <c r="D53" s="18" t="s">
        <v>163</v>
      </c>
      <c r="E53" s="19">
        <v>1</v>
      </c>
      <c r="F53" s="19">
        <v>1</v>
      </c>
      <c r="G53" s="23">
        <v>4.5826388888888898</v>
      </c>
      <c r="H53" s="25" t="s">
        <v>82</v>
      </c>
      <c r="I53" s="20">
        <f>IFERROR(IF(E53="","",E53*INDEX(ACTUALIZAR!$C$7:$C$18,MATCH(A53,ACTUALIZAR!$A$7:$A$18,0))/SUMIF($A$7:$A$200,A53,$E$7:$E$200)),"")</f>
        <v>60649.169014084509</v>
      </c>
      <c r="J53" s="20">
        <f>IFERROR(IF(E53="","",E53*INDEX(PPK!$F$7:$F$18,MATCH(A53,PPK!$A$7:$A$18,0))/SUMIF($A$7:$A$200,A53,$E$7:$E$200)),"")</f>
        <v>45957.056338028167</v>
      </c>
      <c r="K53" s="20">
        <f t="shared" si="2"/>
        <v>106606.22535211267</v>
      </c>
      <c r="L53" s="20">
        <f t="shared" si="3"/>
        <v>106606.22535211267</v>
      </c>
      <c r="M53" s="18" t="s">
        <v>403</v>
      </c>
      <c r="N53" s="95">
        <v>1168</v>
      </c>
      <c r="P53" s="19" t="str">
        <f>IF($A53='VISTA MES'!$B$4,COUNTIF($A$7:$A53,'VISTA MES'!$B$4),"")</f>
        <v/>
      </c>
    </row>
    <row r="54" spans="1:16" ht="19.5" customHeight="1" x14ac:dyDescent="0.25">
      <c r="A54" s="18" t="s">
        <v>39</v>
      </c>
      <c r="B54" s="18" t="s">
        <v>164</v>
      </c>
      <c r="C54" s="18" t="s">
        <v>91</v>
      </c>
      <c r="D54" s="18" t="s">
        <v>95</v>
      </c>
      <c r="E54" s="19">
        <v>18</v>
      </c>
      <c r="F54" s="19">
        <v>18</v>
      </c>
      <c r="G54" s="23">
        <v>4.6532407407407401</v>
      </c>
      <c r="H54" s="25" t="s">
        <v>82</v>
      </c>
      <c r="I54" s="20">
        <f>IFERROR(IF(E54="","",E54*INDEX(ACTUALIZAR!$C$7:$C$18,MATCH(A54,ACTUALIZAR!$A$7:$A$18,0))/SUMIF($A$7:$A$200,A54,$E$7:$E$200)),"")</f>
        <v>1091685.042253521</v>
      </c>
      <c r="J54" s="20">
        <f>IFERROR(IF(E54="","",E54*INDEX(PPK!$F$7:$F$18,MATCH(A54,PPK!$A$7:$A$18,0))/SUMIF($A$7:$A$200,A54,$E$7:$E$200)),"")</f>
        <v>827227.01408450701</v>
      </c>
      <c r="K54" s="20">
        <f t="shared" si="2"/>
        <v>1918912.0563380281</v>
      </c>
      <c r="L54" s="20">
        <f t="shared" si="3"/>
        <v>106606.22535211267</v>
      </c>
      <c r="M54" s="18" t="s">
        <v>404</v>
      </c>
      <c r="N54" s="95">
        <v>8208</v>
      </c>
      <c r="P54" s="19" t="str">
        <f>IF($A54='VISTA MES'!$B$4,COUNTIF($A$7:$A54,'VISTA MES'!$B$4),"")</f>
        <v/>
      </c>
    </row>
    <row r="55" spans="1:16" ht="19.5" customHeight="1" x14ac:dyDescent="0.25">
      <c r="A55" s="18" t="s">
        <v>40</v>
      </c>
      <c r="B55" s="18" t="s">
        <v>165</v>
      </c>
      <c r="C55" s="18" t="s">
        <v>166</v>
      </c>
      <c r="D55" s="18" t="s">
        <v>167</v>
      </c>
      <c r="E55" s="19">
        <v>2</v>
      </c>
      <c r="F55" s="19">
        <v>2</v>
      </c>
      <c r="G55" s="23">
        <v>14.2760416666667</v>
      </c>
      <c r="H55" s="25" t="s">
        <v>82</v>
      </c>
      <c r="I55" s="20">
        <f>IFERROR(IF(E55="","",E55*INDEX(ACTUALIZAR!$C$7:$C$18,MATCH(A55,ACTUALIZAR!$A$7:$A$18,0))/SUMIF($A$7:$A$200,A55,$E$7:$E$200)),"")</f>
        <v>49674.47324312212</v>
      </c>
      <c r="J55" s="20">
        <f>IFERROR(IF(E55="","",E55*INDEX(PPK!$F$7:$F$18,MATCH(A55,PPK!$A$7:$A$18,0))/SUMIF($A$7:$A$200,A55,$E$7:$E$200)),"")</f>
        <v>38797.301645338208</v>
      </c>
      <c r="K55" s="20">
        <f t="shared" si="2"/>
        <v>88471.774888460321</v>
      </c>
      <c r="L55" s="20">
        <f t="shared" si="3"/>
        <v>44235.88744423016</v>
      </c>
      <c r="M55" s="18" t="s">
        <v>405</v>
      </c>
      <c r="N55" s="95">
        <v>3600</v>
      </c>
      <c r="P55" s="19" t="str">
        <f>IF($A55='VISTA MES'!$B$4,COUNTIF($A$7:$A55,'VISTA MES'!$B$4),"")</f>
        <v/>
      </c>
    </row>
    <row r="56" spans="1:16" ht="19.5" customHeight="1" x14ac:dyDescent="0.25">
      <c r="A56" s="18" t="s">
        <v>40</v>
      </c>
      <c r="B56" s="18" t="s">
        <v>168</v>
      </c>
      <c r="C56" s="18" t="s">
        <v>80</v>
      </c>
      <c r="D56" s="18" t="s">
        <v>87</v>
      </c>
      <c r="E56" s="19">
        <v>21</v>
      </c>
      <c r="F56" s="19">
        <v>21</v>
      </c>
      <c r="G56" s="23">
        <v>7.0312169312169299</v>
      </c>
      <c r="H56" s="25" t="s">
        <v>82</v>
      </c>
      <c r="I56" s="20">
        <f>IFERROR(IF(E56="","",E56*INDEX(ACTUALIZAR!$C$7:$C$18,MATCH(A56,ACTUALIZAR!$A$7:$A$18,0))/SUMIF($A$7:$A$200,A56,$E$7:$E$200)),"")</f>
        <v>521581.96905278222</v>
      </c>
      <c r="J56" s="20">
        <f>IFERROR(IF(E56="","",E56*INDEX(PPK!$F$7:$F$18,MATCH(A56,PPK!$A$7:$A$18,0))/SUMIF($A$7:$A$200,A56,$E$7:$E$200)),"")</f>
        <v>407371.66727605119</v>
      </c>
      <c r="K56" s="20">
        <f t="shared" si="2"/>
        <v>928953.63632883341</v>
      </c>
      <c r="L56" s="20">
        <f t="shared" si="3"/>
        <v>44235.88744423016</v>
      </c>
      <c r="M56" s="18" t="s">
        <v>406</v>
      </c>
      <c r="N56" s="95">
        <v>17640</v>
      </c>
      <c r="P56" s="19" t="str">
        <f>IF($A56='VISTA MES'!$B$4,COUNTIF($A$7:$A56,'VISTA MES'!$B$4),"")</f>
        <v/>
      </c>
    </row>
    <row r="57" spans="1:16" ht="19.5" customHeight="1" x14ac:dyDescent="0.25">
      <c r="A57" s="18" t="s">
        <v>40</v>
      </c>
      <c r="B57" s="18" t="s">
        <v>169</v>
      </c>
      <c r="C57" s="18" t="s">
        <v>91</v>
      </c>
      <c r="D57" s="18" t="s">
        <v>97</v>
      </c>
      <c r="E57" s="19">
        <v>173</v>
      </c>
      <c r="F57" s="19">
        <v>172</v>
      </c>
      <c r="G57" s="23">
        <v>1.0416989664082701</v>
      </c>
      <c r="H57" s="24" t="s">
        <v>117</v>
      </c>
      <c r="I57" s="20">
        <f>IFERROR(IF(E57="","",E57*INDEX(ACTUALIZAR!$C$7:$C$18,MATCH(A57,ACTUALIZAR!$A$7:$A$18,0))/SUMIF($A$7:$A$200,A57,$E$7:$E$200)),"")</f>
        <v>4296841.9355300637</v>
      </c>
      <c r="J57" s="20">
        <f>IFERROR(IF(E57="","",E57*INDEX(PPK!$F$7:$F$18,MATCH(A57,PPK!$A$7:$A$18,0))/SUMIF($A$7:$A$200,A57,$E$7:$E$200)),"")</f>
        <v>3355966.5923217549</v>
      </c>
      <c r="K57" s="20">
        <f t="shared" si="2"/>
        <v>7652808.5278518181</v>
      </c>
      <c r="L57" s="20">
        <f t="shared" si="3"/>
        <v>44235.88744423016</v>
      </c>
      <c r="M57" s="18" t="s">
        <v>407</v>
      </c>
      <c r="N57" s="95">
        <v>45696</v>
      </c>
      <c r="P57" s="19" t="str">
        <f>IF($A57='VISTA MES'!$B$4,COUNTIF($A$7:$A57,'VISTA MES'!$B$4),"")</f>
        <v/>
      </c>
    </row>
    <row r="58" spans="1:16" ht="19.5" customHeight="1" x14ac:dyDescent="0.25">
      <c r="A58" s="18" t="s">
        <v>40</v>
      </c>
      <c r="B58" s="18" t="s">
        <v>170</v>
      </c>
      <c r="C58" s="18" t="s">
        <v>91</v>
      </c>
      <c r="D58" s="18" t="s">
        <v>99</v>
      </c>
      <c r="E58" s="19">
        <v>8</v>
      </c>
      <c r="F58" s="19">
        <v>8</v>
      </c>
      <c r="G58" s="23">
        <v>5.4197916666666703</v>
      </c>
      <c r="H58" s="25" t="s">
        <v>82</v>
      </c>
      <c r="I58" s="20">
        <f>IFERROR(IF(E58="","",E58*INDEX(ACTUALIZAR!$C$7:$C$18,MATCH(A58,ACTUALIZAR!$A$7:$A$18,0))/SUMIF($A$7:$A$200,A58,$E$7:$E$200)),"")</f>
        <v>198697.89297248848</v>
      </c>
      <c r="J58" s="20">
        <f>IFERROR(IF(E58="","",E58*INDEX(PPK!$F$7:$F$18,MATCH(A58,PPK!$A$7:$A$18,0))/SUMIF($A$7:$A$200,A58,$E$7:$E$200)),"")</f>
        <v>155189.20658135283</v>
      </c>
      <c r="K58" s="20">
        <f t="shared" si="2"/>
        <v>353887.09955384128</v>
      </c>
      <c r="L58" s="20">
        <f t="shared" si="3"/>
        <v>44235.88744423016</v>
      </c>
      <c r="M58" s="18" t="s">
        <v>408</v>
      </c>
      <c r="N58" s="95">
        <v>3896</v>
      </c>
      <c r="P58" s="19" t="str">
        <f>IF($A58='VISTA MES'!$B$4,COUNTIF($A$7:$A58,'VISTA MES'!$B$4),"")</f>
        <v/>
      </c>
    </row>
    <row r="59" spans="1:16" ht="19.5" customHeight="1" x14ac:dyDescent="0.25">
      <c r="A59" s="18" t="s">
        <v>40</v>
      </c>
      <c r="B59" s="18" t="s">
        <v>171</v>
      </c>
      <c r="C59" s="18" t="s">
        <v>133</v>
      </c>
      <c r="D59" s="18" t="s">
        <v>172</v>
      </c>
      <c r="E59" s="19">
        <v>1</v>
      </c>
      <c r="F59" s="19">
        <v>0</v>
      </c>
      <c r="G59" s="23"/>
      <c r="H59" s="24" t="s">
        <v>117</v>
      </c>
      <c r="I59" s="20">
        <f>IFERROR(IF(E59="","",E59*INDEX(ACTUALIZAR!$C$7:$C$18,MATCH(A59,ACTUALIZAR!$A$7:$A$18,0))/SUMIF($A$7:$A$200,A59,$E$7:$E$200)),"")</f>
        <v>24837.23662156106</v>
      </c>
      <c r="J59" s="20">
        <f>IFERROR(IF(E59="","",E59*INDEX(PPK!$F$7:$F$18,MATCH(A59,PPK!$A$7:$A$18,0))/SUMIF($A$7:$A$200,A59,$E$7:$E$200)),"")</f>
        <v>19398.650822669104</v>
      </c>
      <c r="K59" s="20">
        <f t="shared" si="2"/>
        <v>44235.88744423016</v>
      </c>
      <c r="L59" s="20">
        <f t="shared" si="3"/>
        <v>44235.88744423016</v>
      </c>
      <c r="M59" s="18" t="s">
        <v>409</v>
      </c>
      <c r="N59" s="95">
        <v>840</v>
      </c>
      <c r="P59" s="19" t="str">
        <f>IF($A59='VISTA MES'!$B$4,COUNTIF($A$7:$A59,'VISTA MES'!$B$4),"")</f>
        <v/>
      </c>
    </row>
    <row r="60" spans="1:16" ht="19.5" customHeight="1" x14ac:dyDescent="0.25">
      <c r="A60" s="18" t="s">
        <v>40</v>
      </c>
      <c r="B60" s="18" t="s">
        <v>173</v>
      </c>
      <c r="C60" s="18" t="s">
        <v>80</v>
      </c>
      <c r="D60" s="18" t="s">
        <v>110</v>
      </c>
      <c r="E60" s="19">
        <v>34</v>
      </c>
      <c r="F60" s="19">
        <v>33</v>
      </c>
      <c r="G60" s="23">
        <v>10.4557239057239</v>
      </c>
      <c r="H60" s="24" t="s">
        <v>117</v>
      </c>
      <c r="I60" s="20">
        <f>IFERROR(IF(E60="","",E60*INDEX(ACTUALIZAR!$C$7:$C$18,MATCH(A60,ACTUALIZAR!$A$7:$A$18,0))/SUMIF($A$7:$A$200,A60,$E$7:$E$200)),"")</f>
        <v>844466.04513307603</v>
      </c>
      <c r="J60" s="20">
        <f>IFERROR(IF(E60="","",E60*INDEX(PPK!$F$7:$F$18,MATCH(A60,PPK!$A$7:$A$18,0))/SUMIF($A$7:$A$200,A60,$E$7:$E$200)),"")</f>
        <v>659554.12797074951</v>
      </c>
      <c r="K60" s="20">
        <f t="shared" si="2"/>
        <v>1504020.1731038257</v>
      </c>
      <c r="L60" s="20">
        <f t="shared" si="3"/>
        <v>44235.887444230168</v>
      </c>
      <c r="M60" s="18" t="s">
        <v>410</v>
      </c>
      <c r="N60" s="95">
        <v>30240</v>
      </c>
      <c r="P60" s="19" t="str">
        <f>IF($A60='VISTA MES'!$B$4,COUNTIF($A$7:$A60,'VISTA MES'!$B$4),"")</f>
        <v/>
      </c>
    </row>
    <row r="61" spans="1:16" ht="19.5" customHeight="1" x14ac:dyDescent="0.25">
      <c r="A61" s="18" t="s">
        <v>40</v>
      </c>
      <c r="B61" s="18" t="s">
        <v>174</v>
      </c>
      <c r="C61" s="18" t="s">
        <v>80</v>
      </c>
      <c r="D61" s="18" t="s">
        <v>112</v>
      </c>
      <c r="E61" s="19">
        <v>3</v>
      </c>
      <c r="F61" s="19">
        <v>3</v>
      </c>
      <c r="G61" s="23">
        <v>8.3590277777777793</v>
      </c>
      <c r="H61" s="25" t="s">
        <v>82</v>
      </c>
      <c r="I61" s="20">
        <f>IFERROR(IF(E61="","",E61*INDEX(ACTUALIZAR!$C$7:$C$18,MATCH(A61,ACTUALIZAR!$A$7:$A$18,0))/SUMIF($A$7:$A$200,A61,$E$7:$E$200)),"")</f>
        <v>74511.709864683173</v>
      </c>
      <c r="J61" s="20">
        <f>IFERROR(IF(E61="","",E61*INDEX(PPK!$F$7:$F$18,MATCH(A61,PPK!$A$7:$A$18,0))/SUMIF($A$7:$A$200,A61,$E$7:$E$200)),"")</f>
        <v>58195.952468007315</v>
      </c>
      <c r="K61" s="20">
        <f t="shared" si="2"/>
        <v>132707.6623326905</v>
      </c>
      <c r="L61" s="20">
        <f t="shared" si="3"/>
        <v>44235.887444230168</v>
      </c>
      <c r="M61" s="18" t="s">
        <v>411</v>
      </c>
      <c r="N61" s="95">
        <v>3296</v>
      </c>
      <c r="P61" s="19" t="str">
        <f>IF($A61='VISTA MES'!$B$4,COUNTIF($A$7:$A61,'VISTA MES'!$B$4),"")</f>
        <v/>
      </c>
    </row>
    <row r="62" spans="1:16" ht="19.5" customHeight="1" x14ac:dyDescent="0.25">
      <c r="A62" s="18" t="s">
        <v>40</v>
      </c>
      <c r="B62" s="18" t="s">
        <v>175</v>
      </c>
      <c r="C62" s="18" t="s">
        <v>105</v>
      </c>
      <c r="D62" s="18" t="s">
        <v>106</v>
      </c>
      <c r="E62" s="19">
        <v>1</v>
      </c>
      <c r="F62" s="19">
        <v>1</v>
      </c>
      <c r="G62" s="23">
        <v>15.946527777777799</v>
      </c>
      <c r="H62" s="25" t="s">
        <v>82</v>
      </c>
      <c r="I62" s="20">
        <f>IFERROR(IF(E62="","",E62*INDEX(ACTUALIZAR!$C$7:$C$18,MATCH(A62,ACTUALIZAR!$A$7:$A$18,0))/SUMIF($A$7:$A$200,A62,$E$7:$E$200)),"")</f>
        <v>24837.23662156106</v>
      </c>
      <c r="J62" s="20">
        <f>IFERROR(IF(E62="","",E62*INDEX(PPK!$F$7:$F$18,MATCH(A62,PPK!$A$7:$A$18,0))/SUMIF($A$7:$A$200,A62,$E$7:$E$200)),"")</f>
        <v>19398.650822669104</v>
      </c>
      <c r="K62" s="20">
        <f t="shared" si="2"/>
        <v>44235.88744423016</v>
      </c>
      <c r="L62" s="20">
        <f t="shared" si="3"/>
        <v>44235.88744423016</v>
      </c>
      <c r="M62" s="18" t="s">
        <v>412</v>
      </c>
      <c r="N62" s="95">
        <v>472</v>
      </c>
      <c r="P62" s="19" t="str">
        <f>IF($A62='VISTA MES'!$B$4,COUNTIF($A$7:$A62,'VISTA MES'!$B$4),"")</f>
        <v/>
      </c>
    </row>
    <row r="63" spans="1:16" ht="19.5" customHeight="1" x14ac:dyDescent="0.25">
      <c r="A63" s="18" t="s">
        <v>40</v>
      </c>
      <c r="B63" s="18" t="s">
        <v>176</v>
      </c>
      <c r="C63" s="18" t="s">
        <v>91</v>
      </c>
      <c r="D63" s="18" t="s">
        <v>92</v>
      </c>
      <c r="E63" s="19">
        <v>14</v>
      </c>
      <c r="F63" s="19">
        <v>14</v>
      </c>
      <c r="G63" s="23">
        <v>4.0005456349206403</v>
      </c>
      <c r="H63" s="25" t="s">
        <v>82</v>
      </c>
      <c r="I63" s="20">
        <f>IFERROR(IF(E63="","",E63*INDEX(ACTUALIZAR!$C$7:$C$18,MATCH(A63,ACTUALIZAR!$A$7:$A$18,0))/SUMIF($A$7:$A$200,A63,$E$7:$E$200)),"")</f>
        <v>347721.31270185485</v>
      </c>
      <c r="J63" s="20">
        <f>IFERROR(IF(E63="","",E63*INDEX(PPK!$F$7:$F$18,MATCH(A63,PPK!$A$7:$A$18,0))/SUMIF($A$7:$A$200,A63,$E$7:$E$200)),"")</f>
        <v>271581.11151736748</v>
      </c>
      <c r="K63" s="20">
        <f t="shared" si="2"/>
        <v>619302.42421922227</v>
      </c>
      <c r="L63" s="20">
        <f t="shared" si="3"/>
        <v>44235.88744423016</v>
      </c>
      <c r="M63" s="18" t="s">
        <v>413</v>
      </c>
      <c r="N63" s="95">
        <v>7168</v>
      </c>
      <c r="P63" s="19" t="str">
        <f>IF($A63='VISTA MES'!$B$4,COUNTIF($A$7:$A63,'VISTA MES'!$B$4),"")</f>
        <v/>
      </c>
    </row>
    <row r="64" spans="1:16" ht="19.5" customHeight="1" x14ac:dyDescent="0.25">
      <c r="A64" s="18" t="s">
        <v>40</v>
      </c>
      <c r="B64" s="18" t="s">
        <v>177</v>
      </c>
      <c r="C64" s="18" t="s">
        <v>133</v>
      </c>
      <c r="D64" s="18" t="s">
        <v>178</v>
      </c>
      <c r="E64" s="19">
        <v>2</v>
      </c>
      <c r="F64" s="19">
        <v>2</v>
      </c>
      <c r="G64" s="23">
        <v>4.5371527777777798</v>
      </c>
      <c r="H64" s="25" t="s">
        <v>82</v>
      </c>
      <c r="I64" s="20">
        <f>IFERROR(IF(E64="","",E64*INDEX(ACTUALIZAR!$C$7:$C$18,MATCH(A64,ACTUALIZAR!$A$7:$A$18,0))/SUMIF($A$7:$A$200,A64,$E$7:$E$200)),"")</f>
        <v>49674.47324312212</v>
      </c>
      <c r="J64" s="20">
        <f>IFERROR(IF(E64="","",E64*INDEX(PPK!$F$7:$F$18,MATCH(A64,PPK!$A$7:$A$18,0))/SUMIF($A$7:$A$200,A64,$E$7:$E$200)),"")</f>
        <v>38797.301645338208</v>
      </c>
      <c r="K64" s="20">
        <f t="shared" si="2"/>
        <v>88471.774888460321</v>
      </c>
      <c r="L64" s="20">
        <f t="shared" si="3"/>
        <v>44235.88744423016</v>
      </c>
      <c r="M64" s="18" t="s">
        <v>414</v>
      </c>
      <c r="N64" s="95">
        <v>1864</v>
      </c>
      <c r="P64" s="19" t="str">
        <f>IF($A64='VISTA MES'!$B$4,COUNTIF($A$7:$A64,'VISTA MES'!$B$4),"")</f>
        <v/>
      </c>
    </row>
    <row r="65" spans="1:16" ht="19.5" customHeight="1" x14ac:dyDescent="0.25">
      <c r="A65" s="18" t="s">
        <v>40</v>
      </c>
      <c r="B65" s="18" t="s">
        <v>179</v>
      </c>
      <c r="C65" s="18" t="s">
        <v>133</v>
      </c>
      <c r="D65" s="18" t="s">
        <v>180</v>
      </c>
      <c r="E65" s="19">
        <v>1</v>
      </c>
      <c r="F65" s="19">
        <v>1</v>
      </c>
      <c r="G65" s="23">
        <v>4.00277777777778</v>
      </c>
      <c r="H65" s="25" t="s">
        <v>82</v>
      </c>
      <c r="I65" s="20">
        <f>IFERROR(IF(E65="","",E65*INDEX(ACTUALIZAR!$C$7:$C$18,MATCH(A65,ACTUALIZAR!$A$7:$A$18,0))/SUMIF($A$7:$A$200,A65,$E$7:$E$200)),"")</f>
        <v>24837.23662156106</v>
      </c>
      <c r="J65" s="20">
        <f>IFERROR(IF(E65="","",E65*INDEX(PPK!$F$7:$F$18,MATCH(A65,PPK!$A$7:$A$18,0))/SUMIF($A$7:$A$200,A65,$E$7:$E$200)),"")</f>
        <v>19398.650822669104</v>
      </c>
      <c r="K65" s="20">
        <f t="shared" si="2"/>
        <v>44235.88744423016</v>
      </c>
      <c r="L65" s="20">
        <f t="shared" si="3"/>
        <v>44235.88744423016</v>
      </c>
      <c r="M65" s="18" t="s">
        <v>415</v>
      </c>
      <c r="N65" s="95">
        <v>840</v>
      </c>
      <c r="P65" s="19" t="str">
        <f>IF($A65='VISTA MES'!$B$4,COUNTIF($A$7:$A65,'VISTA MES'!$B$4),"")</f>
        <v/>
      </c>
    </row>
    <row r="66" spans="1:16" ht="19.5" customHeight="1" x14ac:dyDescent="0.25">
      <c r="A66" s="18" t="s">
        <v>40</v>
      </c>
      <c r="B66" s="18" t="s">
        <v>181</v>
      </c>
      <c r="C66" s="18" t="s">
        <v>91</v>
      </c>
      <c r="D66" s="18" t="s">
        <v>95</v>
      </c>
      <c r="E66" s="19">
        <v>99</v>
      </c>
      <c r="F66" s="19">
        <v>98</v>
      </c>
      <c r="G66" s="23">
        <v>1.9421910430839</v>
      </c>
      <c r="H66" s="24" t="s">
        <v>117</v>
      </c>
      <c r="I66" s="20">
        <f>IFERROR(IF(E66="","",E66*INDEX(ACTUALIZAR!$C$7:$C$18,MATCH(A66,ACTUALIZAR!$A$7:$A$18,0))/SUMIF($A$7:$A$200,A66,$E$7:$E$200)),"")</f>
        <v>2458886.4255345445</v>
      </c>
      <c r="J66" s="20">
        <f>IFERROR(IF(E66="","",E66*INDEX(PPK!$F$7:$F$18,MATCH(A66,PPK!$A$7:$A$18,0))/SUMIF($A$7:$A$200,A66,$E$7:$E$200)),"")</f>
        <v>1920466.4314442414</v>
      </c>
      <c r="K66" s="20">
        <f t="shared" si="2"/>
        <v>4379352.8569787862</v>
      </c>
      <c r="L66" s="20">
        <f t="shared" si="3"/>
        <v>44235.88744423016</v>
      </c>
      <c r="M66" s="18" t="s">
        <v>416</v>
      </c>
      <c r="N66" s="95">
        <v>35256</v>
      </c>
      <c r="P66" s="19" t="str">
        <f>IF($A66='VISTA MES'!$B$4,COUNTIF($A$7:$A66,'VISTA MES'!$B$4),"")</f>
        <v/>
      </c>
    </row>
    <row r="67" spans="1:16" ht="19.5" customHeight="1" x14ac:dyDescent="0.25">
      <c r="A67" s="18" t="s">
        <v>40</v>
      </c>
      <c r="B67" s="18" t="s">
        <v>182</v>
      </c>
      <c r="C67" s="18" t="s">
        <v>91</v>
      </c>
      <c r="D67" s="18" t="s">
        <v>97</v>
      </c>
      <c r="E67" s="19">
        <v>188</v>
      </c>
      <c r="F67" s="19">
        <v>188</v>
      </c>
      <c r="G67" s="23">
        <v>1.1246749408983501</v>
      </c>
      <c r="H67" s="25" t="s">
        <v>82</v>
      </c>
      <c r="I67" s="20">
        <f>IFERROR(IF(E67="","",E67*INDEX(ACTUALIZAR!$C$7:$C$18,MATCH(A67,ACTUALIZAR!$A$7:$A$18,0))/SUMIF($A$7:$A$200,A67,$E$7:$E$200)),"")</f>
        <v>4669400.4848534791</v>
      </c>
      <c r="J67" s="20">
        <f>IFERROR(IF(E67="","",E67*INDEX(PPK!$F$7:$F$18,MATCH(A67,PPK!$A$7:$A$18,0))/SUMIF($A$7:$A$200,A67,$E$7:$E$200)),"")</f>
        <v>3646946.3546617916</v>
      </c>
      <c r="K67" s="20">
        <f t="shared" si="2"/>
        <v>8316346.8395152707</v>
      </c>
      <c r="L67" s="20">
        <f t="shared" si="3"/>
        <v>44235.88744423016</v>
      </c>
      <c r="M67" s="18" t="s">
        <v>417</v>
      </c>
      <c r="N67" s="95">
        <v>47280</v>
      </c>
      <c r="P67" s="19" t="str">
        <f>IF($A67='VISTA MES'!$B$4,COUNTIF($A$7:$A67,'VISTA MES'!$B$4),"")</f>
        <v/>
      </c>
    </row>
    <row r="68" spans="1:16" ht="19.5" customHeight="1" x14ac:dyDescent="0.25">
      <c r="A68" s="18" t="s">
        <v>41</v>
      </c>
      <c r="B68" s="18" t="s">
        <v>183</v>
      </c>
      <c r="C68" s="18" t="s">
        <v>80</v>
      </c>
      <c r="D68" s="18" t="s">
        <v>114</v>
      </c>
      <c r="E68" s="19">
        <v>28</v>
      </c>
      <c r="F68" s="19">
        <v>28</v>
      </c>
      <c r="G68" s="23">
        <v>8.7799999999999994</v>
      </c>
      <c r="H68" s="26" t="s">
        <v>82</v>
      </c>
      <c r="I68" s="20">
        <f>IFERROR(IF(E68="","",E68*INDEX(ACTUALIZAR!$C$7:$C$18,MATCH(A68,ACTUALIZAR!$A$7:$A$18,0))/SUMIF($A$7:$A$200,A68,$E$7:$E$200)),"")</f>
        <v>518981.12274417898</v>
      </c>
      <c r="J68" s="20">
        <f>IFERROR(IF(E68="","",E68*INDEX(PPK!$F$7:$F$18,MATCH(A68,PPK!$A$7:$A$18,0))/SUMIF($A$7:$A$200,A68,$E$7:$E$200)),"")</f>
        <v>794131.86151797604</v>
      </c>
      <c r="K68" s="20">
        <f t="shared" si="2"/>
        <v>1313112.9842621549</v>
      </c>
      <c r="L68" s="20">
        <f t="shared" si="3"/>
        <v>46896.892295076963</v>
      </c>
      <c r="M68" s="18" t="s">
        <v>418</v>
      </c>
      <c r="N68" s="95">
        <v>14096</v>
      </c>
      <c r="P68" s="19" t="str">
        <f>IF($A68='VISTA MES'!$B$4,COUNTIF($A$7:$A68,'VISTA MES'!$B$4),"")</f>
        <v/>
      </c>
    </row>
    <row r="69" spans="1:16" ht="19.5" customHeight="1" x14ac:dyDescent="0.25">
      <c r="A69" s="18" t="s">
        <v>41</v>
      </c>
      <c r="B69" s="18" t="s">
        <v>184</v>
      </c>
      <c r="C69" s="18" t="s">
        <v>80</v>
      </c>
      <c r="D69" s="18" t="s">
        <v>116</v>
      </c>
      <c r="E69" s="19">
        <v>10</v>
      </c>
      <c r="F69" s="19">
        <v>10</v>
      </c>
      <c r="G69" s="23">
        <v>8.34</v>
      </c>
      <c r="H69" s="26" t="s">
        <v>82</v>
      </c>
      <c r="I69" s="20">
        <f>IFERROR(IF(E69="","",E69*INDEX(ACTUALIZAR!$C$7:$C$18,MATCH(A69,ACTUALIZAR!$A$7:$A$18,0))/SUMIF($A$7:$A$200,A69,$E$7:$E$200)),"")</f>
        <v>185350.40098006392</v>
      </c>
      <c r="J69" s="20">
        <f>IFERROR(IF(E69="","",E69*INDEX(PPK!$F$7:$F$18,MATCH(A69,PPK!$A$7:$A$18,0))/SUMIF($A$7:$A$200,A69,$E$7:$E$200)),"")</f>
        <v>283618.52197070571</v>
      </c>
      <c r="K69" s="20">
        <f t="shared" si="2"/>
        <v>468968.92295076966</v>
      </c>
      <c r="L69" s="20">
        <f t="shared" si="3"/>
        <v>46896.892295076963</v>
      </c>
      <c r="M69" s="18" t="s">
        <v>419</v>
      </c>
      <c r="N69" s="95">
        <v>11920</v>
      </c>
      <c r="P69" s="19" t="str">
        <f>IF($A69='VISTA MES'!$B$4,COUNTIF($A$7:$A69,'VISTA MES'!$B$4),"")</f>
        <v/>
      </c>
    </row>
    <row r="70" spans="1:16" ht="19.5" customHeight="1" x14ac:dyDescent="0.25">
      <c r="A70" s="18" t="s">
        <v>41</v>
      </c>
      <c r="B70" s="18" t="s">
        <v>185</v>
      </c>
      <c r="C70" s="18" t="s">
        <v>80</v>
      </c>
      <c r="D70" s="18" t="s">
        <v>122</v>
      </c>
      <c r="E70" s="19">
        <v>38</v>
      </c>
      <c r="F70" s="19">
        <v>38</v>
      </c>
      <c r="G70" s="23">
        <v>7.63</v>
      </c>
      <c r="H70" s="26" t="s">
        <v>82</v>
      </c>
      <c r="I70" s="20">
        <f>IFERROR(IF(E70="","",E70*INDEX(ACTUALIZAR!$C$7:$C$18,MATCH(A70,ACTUALIZAR!$A$7:$A$18,0))/SUMIF($A$7:$A$200,A70,$E$7:$E$200)),"")</f>
        <v>704331.52372424281</v>
      </c>
      <c r="J70" s="20">
        <f>IFERROR(IF(E70="","",E70*INDEX(PPK!$F$7:$F$18,MATCH(A70,PPK!$A$7:$A$18,0))/SUMIF($A$7:$A$200,A70,$E$7:$E$200)),"")</f>
        <v>1077750.3834886819</v>
      </c>
      <c r="K70" s="20">
        <f t="shared" si="2"/>
        <v>1782081.9072129247</v>
      </c>
      <c r="L70" s="20">
        <f t="shared" si="3"/>
        <v>46896.892295076963</v>
      </c>
      <c r="M70" s="18" t="s">
        <v>420</v>
      </c>
      <c r="N70" s="95">
        <v>32864</v>
      </c>
      <c r="P70" s="19" t="str">
        <f>IF($A70='VISTA MES'!$B$4,COUNTIF($A$7:$A70,'VISTA MES'!$B$4),"")</f>
        <v/>
      </c>
    </row>
    <row r="71" spans="1:16" ht="19.5" customHeight="1" x14ac:dyDescent="0.25">
      <c r="A71" s="18" t="s">
        <v>41</v>
      </c>
      <c r="B71" s="18" t="s">
        <v>186</v>
      </c>
      <c r="C71" s="18" t="s">
        <v>91</v>
      </c>
      <c r="D71" s="18" t="s">
        <v>99</v>
      </c>
      <c r="E71" s="19">
        <v>260</v>
      </c>
      <c r="F71" s="19">
        <v>260</v>
      </c>
      <c r="G71" s="23">
        <v>1.72</v>
      </c>
      <c r="H71" s="26" t="s">
        <v>82</v>
      </c>
      <c r="I71" s="20">
        <f>IFERROR(IF(E71="","",E71*INDEX(ACTUALIZAR!$C$7:$C$18,MATCH(A71,ACTUALIZAR!$A$7:$A$18,0))/SUMIF($A$7:$A$200,A71,$E$7:$E$200)),"")</f>
        <v>4819110.4254816612</v>
      </c>
      <c r="J71" s="20">
        <f>IFERROR(IF(E71="","",E71*INDEX(PPK!$F$7:$F$18,MATCH(A71,PPK!$A$7:$A$18,0))/SUMIF($A$7:$A$200,A71,$E$7:$E$200)),"")</f>
        <v>7374081.5712383492</v>
      </c>
      <c r="K71" s="20">
        <f t="shared" ref="K71:K81" si="4">IF(AND(I71="",J71=""),"",SUM(I71:J71))</f>
        <v>12193191.99672001</v>
      </c>
      <c r="L71" s="20">
        <f t="shared" ref="L71:L81" si="5">IFERROR(K71/E71,"")</f>
        <v>46896.892295076963</v>
      </c>
      <c r="M71" s="18" t="s">
        <v>421</v>
      </c>
      <c r="N71" s="95">
        <v>88096</v>
      </c>
      <c r="P71" s="19" t="str">
        <f>IF($A71='VISTA MES'!$B$4,COUNTIF($A$7:$A71,'VISTA MES'!$B$4),"")</f>
        <v/>
      </c>
    </row>
    <row r="72" spans="1:16" ht="19.5" customHeight="1" x14ac:dyDescent="0.25">
      <c r="A72" s="18" t="s">
        <v>41</v>
      </c>
      <c r="B72" s="18" t="s">
        <v>187</v>
      </c>
      <c r="C72" s="18" t="s">
        <v>133</v>
      </c>
      <c r="D72" s="18" t="s">
        <v>188</v>
      </c>
      <c r="E72" s="19">
        <v>10</v>
      </c>
      <c r="F72" s="19">
        <v>10</v>
      </c>
      <c r="G72" s="23">
        <v>8.61</v>
      </c>
      <c r="H72" s="26" t="s">
        <v>82</v>
      </c>
      <c r="I72" s="20">
        <f>IFERROR(IF(E72="","",E72*INDEX(ACTUALIZAR!$C$7:$C$18,MATCH(A72,ACTUALIZAR!$A$7:$A$18,0))/SUMIF($A$7:$A$200,A72,$E$7:$E$200)),"")</f>
        <v>185350.40098006392</v>
      </c>
      <c r="J72" s="20">
        <f>IFERROR(IF(E72="","",E72*INDEX(PPK!$F$7:$F$18,MATCH(A72,PPK!$A$7:$A$18,0))/SUMIF($A$7:$A$200,A72,$E$7:$E$200)),"")</f>
        <v>283618.52197070571</v>
      </c>
      <c r="K72" s="20">
        <f t="shared" si="4"/>
        <v>468968.92295076966</v>
      </c>
      <c r="L72" s="20">
        <f t="shared" si="5"/>
        <v>46896.892295076963</v>
      </c>
      <c r="M72" s="18" t="s">
        <v>422</v>
      </c>
      <c r="N72" s="95">
        <v>9352</v>
      </c>
      <c r="P72" s="19" t="str">
        <f>IF($A72='VISTA MES'!$B$4,COUNTIF($A$7:$A72,'VISTA MES'!$B$4),"")</f>
        <v/>
      </c>
    </row>
    <row r="73" spans="1:16" ht="19.5" customHeight="1" x14ac:dyDescent="0.25">
      <c r="A73" s="18" t="s">
        <v>41</v>
      </c>
      <c r="B73" s="18" t="s">
        <v>189</v>
      </c>
      <c r="C73" s="18" t="s">
        <v>91</v>
      </c>
      <c r="D73" s="18" t="s">
        <v>92</v>
      </c>
      <c r="E73" s="19">
        <v>7</v>
      </c>
      <c r="F73" s="19">
        <v>7</v>
      </c>
      <c r="G73" s="23">
        <v>10.79</v>
      </c>
      <c r="H73" s="26" t="s">
        <v>82</v>
      </c>
      <c r="I73" s="20">
        <f>IFERROR(IF(E73="","",E73*INDEX(ACTUALIZAR!$C$7:$C$18,MATCH(A73,ACTUALIZAR!$A$7:$A$18,0))/SUMIF($A$7:$A$200,A73,$E$7:$E$200)),"")</f>
        <v>129745.28068604475</v>
      </c>
      <c r="J73" s="20">
        <f>IFERROR(IF(E73="","",E73*INDEX(PPK!$F$7:$F$18,MATCH(A73,PPK!$A$7:$A$18,0))/SUMIF($A$7:$A$200,A73,$E$7:$E$200)),"")</f>
        <v>198532.96537949401</v>
      </c>
      <c r="K73" s="20">
        <f t="shared" si="4"/>
        <v>328278.24606553873</v>
      </c>
      <c r="L73" s="20">
        <f t="shared" si="5"/>
        <v>46896.892295076963</v>
      </c>
      <c r="M73" s="18" t="s">
        <v>423</v>
      </c>
      <c r="N73" s="95">
        <v>4800</v>
      </c>
      <c r="P73" s="19" t="str">
        <f>IF($A73='VISTA MES'!$B$4,COUNTIF($A$7:$A73,'VISTA MES'!$B$4),"")</f>
        <v/>
      </c>
    </row>
    <row r="74" spans="1:16" ht="19.5" customHeight="1" x14ac:dyDescent="0.25">
      <c r="A74" s="18" t="s">
        <v>41</v>
      </c>
      <c r="B74" s="18" t="s">
        <v>190</v>
      </c>
      <c r="C74" s="18" t="s">
        <v>91</v>
      </c>
      <c r="D74" s="18" t="s">
        <v>95</v>
      </c>
      <c r="E74" s="19">
        <v>325</v>
      </c>
      <c r="F74" s="19">
        <v>325</v>
      </c>
      <c r="G74" s="23">
        <v>1.89</v>
      </c>
      <c r="H74" s="26" t="s">
        <v>82</v>
      </c>
      <c r="I74" s="20">
        <f>IFERROR(IF(E74="","",E74*INDEX(ACTUALIZAR!$C$7:$C$18,MATCH(A74,ACTUALIZAR!$A$7:$A$18,0))/SUMIF($A$7:$A$200,A74,$E$7:$E$200)),"")</f>
        <v>6023888.0318520768</v>
      </c>
      <c r="J74" s="20">
        <f>IFERROR(IF(E74="","",E74*INDEX(PPK!$F$7:$F$18,MATCH(A74,PPK!$A$7:$A$18,0))/SUMIF($A$7:$A$200,A74,$E$7:$E$200)),"")</f>
        <v>9217601.9640479367</v>
      </c>
      <c r="K74" s="20">
        <f t="shared" si="4"/>
        <v>15241489.995900013</v>
      </c>
      <c r="L74" s="20">
        <f t="shared" si="5"/>
        <v>46896.892295076963</v>
      </c>
      <c r="M74" s="18" t="s">
        <v>424</v>
      </c>
      <c r="N74" s="95">
        <v>117296</v>
      </c>
      <c r="P74" s="19" t="str">
        <f>IF($A74='VISTA MES'!$B$4,COUNTIF($A$7:$A74,'VISTA MES'!$B$4),"")</f>
        <v/>
      </c>
    </row>
    <row r="75" spans="1:16" ht="19.5" customHeight="1" x14ac:dyDescent="0.25">
      <c r="A75" s="18" t="s">
        <v>41</v>
      </c>
      <c r="B75" s="18" t="s">
        <v>191</v>
      </c>
      <c r="C75" s="18" t="s">
        <v>91</v>
      </c>
      <c r="D75" s="18" t="s">
        <v>97</v>
      </c>
      <c r="E75" s="19">
        <v>17</v>
      </c>
      <c r="F75" s="19">
        <v>17</v>
      </c>
      <c r="G75" s="23">
        <v>6.54</v>
      </c>
      <c r="H75" s="26" t="s">
        <v>82</v>
      </c>
      <c r="I75" s="20">
        <f>IFERROR(IF(E75="","",E75*INDEX(ACTUALIZAR!$C$7:$C$18,MATCH(A75,ACTUALIZAR!$A$7:$A$18,0))/SUMIF($A$7:$A$200,A75,$E$7:$E$200)),"")</f>
        <v>315095.68166610866</v>
      </c>
      <c r="J75" s="20">
        <f>IFERROR(IF(E75="","",E75*INDEX(PPK!$F$7:$F$18,MATCH(A75,PPK!$A$7:$A$18,0))/SUMIF($A$7:$A$200,A75,$E$7:$E$200)),"")</f>
        <v>482151.48735019972</v>
      </c>
      <c r="K75" s="20">
        <f t="shared" si="4"/>
        <v>797247.16901630838</v>
      </c>
      <c r="L75" s="20">
        <f t="shared" si="5"/>
        <v>46896.892295076963</v>
      </c>
      <c r="M75" s="18" t="s">
        <v>425</v>
      </c>
      <c r="N75" s="95">
        <v>5544</v>
      </c>
      <c r="P75" s="19" t="str">
        <f>IF($A75='VISTA MES'!$B$4,COUNTIF($A$7:$A75,'VISTA MES'!$B$4),"")</f>
        <v/>
      </c>
    </row>
    <row r="76" spans="1:16" ht="19.5" customHeight="1" x14ac:dyDescent="0.25">
      <c r="A76" s="18" t="s">
        <v>41</v>
      </c>
      <c r="B76" s="18" t="s">
        <v>192</v>
      </c>
      <c r="C76" s="18" t="s">
        <v>133</v>
      </c>
      <c r="D76" s="18" t="s">
        <v>193</v>
      </c>
      <c r="E76" s="19">
        <v>3</v>
      </c>
      <c r="F76" s="19">
        <v>3</v>
      </c>
      <c r="G76" s="23">
        <v>8.61</v>
      </c>
      <c r="H76" s="26" t="s">
        <v>82</v>
      </c>
      <c r="I76" s="20">
        <f>IFERROR(IF(E76="","",E76*INDEX(ACTUALIZAR!$C$7:$C$18,MATCH(A76,ACTUALIZAR!$A$7:$A$18,0))/SUMIF($A$7:$A$200,A76,$E$7:$E$200)),"")</f>
        <v>55605.120294019172</v>
      </c>
      <c r="J76" s="20">
        <f>IFERROR(IF(E76="","",E76*INDEX(PPK!$F$7:$F$18,MATCH(A76,PPK!$A$7:$A$18,0))/SUMIF($A$7:$A$200,A76,$E$7:$E$200)),"")</f>
        <v>85085.556591211716</v>
      </c>
      <c r="K76" s="20">
        <f t="shared" si="4"/>
        <v>140690.67688523087</v>
      </c>
      <c r="L76" s="20">
        <f t="shared" si="5"/>
        <v>46896.892295076956</v>
      </c>
      <c r="M76" s="18" t="s">
        <v>426</v>
      </c>
      <c r="N76" s="95">
        <v>2824</v>
      </c>
      <c r="P76" s="19" t="str">
        <f>IF($A76='VISTA MES'!$B$4,COUNTIF($A$7:$A76,'VISTA MES'!$B$4),"")</f>
        <v/>
      </c>
    </row>
    <row r="77" spans="1:16" ht="19.5" customHeight="1" x14ac:dyDescent="0.25">
      <c r="A77" s="18" t="s">
        <v>41</v>
      </c>
      <c r="B77" s="18" t="s">
        <v>194</v>
      </c>
      <c r="C77" s="18" t="s">
        <v>142</v>
      </c>
      <c r="D77" s="18" t="s">
        <v>195</v>
      </c>
      <c r="E77" s="19">
        <v>1</v>
      </c>
      <c r="F77" s="19">
        <v>1</v>
      </c>
      <c r="G77" s="23">
        <v>1.07</v>
      </c>
      <c r="H77" s="26" t="s">
        <v>82</v>
      </c>
      <c r="I77" s="20">
        <f>IFERROR(IF(E77="","",E77*INDEX(ACTUALIZAR!$C$7:$C$18,MATCH(A77,ACTUALIZAR!$A$7:$A$18,0))/SUMIF($A$7:$A$200,A77,$E$7:$E$200)),"")</f>
        <v>18535.040098006393</v>
      </c>
      <c r="J77" s="20">
        <f>IFERROR(IF(E77="","",E77*INDEX(PPK!$F$7:$F$18,MATCH(A77,PPK!$A$7:$A$18,0))/SUMIF($A$7:$A$200,A77,$E$7:$E$200)),"")</f>
        <v>28361.852197070573</v>
      </c>
      <c r="K77" s="20">
        <f t="shared" si="4"/>
        <v>46896.892295076963</v>
      </c>
      <c r="L77" s="20">
        <f t="shared" si="5"/>
        <v>46896.892295076963</v>
      </c>
      <c r="M77" s="18" t="s">
        <v>427</v>
      </c>
      <c r="N77" s="95">
        <v>328</v>
      </c>
      <c r="P77" s="19" t="str">
        <f>IF($A77='VISTA MES'!$B$4,COUNTIF($A$7:$A77,'VISTA MES'!$B$4),"")</f>
        <v/>
      </c>
    </row>
    <row r="78" spans="1:16" ht="19.5" customHeight="1" x14ac:dyDescent="0.25">
      <c r="A78" s="18" t="s">
        <v>41</v>
      </c>
      <c r="B78" s="18" t="s">
        <v>196</v>
      </c>
      <c r="C78" s="18" t="s">
        <v>80</v>
      </c>
      <c r="D78" s="18" t="s">
        <v>153</v>
      </c>
      <c r="E78" s="19">
        <v>27</v>
      </c>
      <c r="F78" s="19">
        <v>27</v>
      </c>
      <c r="G78" s="23">
        <v>5.81</v>
      </c>
      <c r="H78" s="26" t="s">
        <v>82</v>
      </c>
      <c r="I78" s="20">
        <f>IFERROR(IF(E78="","",E78*INDEX(ACTUALIZAR!$C$7:$C$18,MATCH(A78,ACTUALIZAR!$A$7:$A$18,0))/SUMIF($A$7:$A$200,A78,$E$7:$E$200)),"")</f>
        <v>500446.08264617255</v>
      </c>
      <c r="J78" s="20">
        <f>IFERROR(IF(E78="","",E78*INDEX(PPK!$F$7:$F$18,MATCH(A78,PPK!$A$7:$A$18,0))/SUMIF($A$7:$A$200,A78,$E$7:$E$200)),"")</f>
        <v>765770.00932090543</v>
      </c>
      <c r="K78" s="20">
        <f t="shared" si="4"/>
        <v>1266216.0919670779</v>
      </c>
      <c r="L78" s="20">
        <f t="shared" si="5"/>
        <v>46896.892295076963</v>
      </c>
      <c r="M78" s="18" t="s">
        <v>428</v>
      </c>
      <c r="N78" s="95">
        <v>17304</v>
      </c>
      <c r="P78" s="19" t="str">
        <f>IF($A78='VISTA MES'!$B$4,COUNTIF($A$7:$A78,'VISTA MES'!$B$4),"")</f>
        <v/>
      </c>
    </row>
    <row r="79" spans="1:16" ht="19.5" customHeight="1" x14ac:dyDescent="0.25">
      <c r="A79" s="18" t="s">
        <v>41</v>
      </c>
      <c r="B79" s="18" t="s">
        <v>197</v>
      </c>
      <c r="C79" s="18" t="s">
        <v>133</v>
      </c>
      <c r="D79" s="18" t="s">
        <v>198</v>
      </c>
      <c r="E79" s="19">
        <v>1</v>
      </c>
      <c r="F79" s="19">
        <v>1</v>
      </c>
      <c r="G79" s="23">
        <v>4.75</v>
      </c>
      <c r="H79" s="26" t="s">
        <v>82</v>
      </c>
      <c r="I79" s="20">
        <f>IFERROR(IF(E79="","",E79*INDEX(ACTUALIZAR!$C$7:$C$18,MATCH(A79,ACTUALIZAR!$A$7:$A$18,0))/SUMIF($A$7:$A$200,A79,$E$7:$E$200)),"")</f>
        <v>18535.040098006393</v>
      </c>
      <c r="J79" s="20">
        <f>IFERROR(IF(E79="","",E79*INDEX(PPK!$F$7:$F$18,MATCH(A79,PPK!$A$7:$A$18,0))/SUMIF($A$7:$A$200,A79,$E$7:$E$200)),"")</f>
        <v>28361.852197070573</v>
      </c>
      <c r="K79" s="20">
        <f t="shared" si="4"/>
        <v>46896.892295076963</v>
      </c>
      <c r="L79" s="20">
        <f t="shared" si="5"/>
        <v>46896.892295076963</v>
      </c>
      <c r="M79" s="18" t="s">
        <v>429</v>
      </c>
      <c r="N79" s="95">
        <v>984</v>
      </c>
      <c r="P79" s="19" t="str">
        <f>IF($A79='VISTA MES'!$B$4,COUNTIF($A$7:$A79,'VISTA MES'!$B$4),"")</f>
        <v/>
      </c>
    </row>
    <row r="80" spans="1:16" ht="19.5" customHeight="1" x14ac:dyDescent="0.25">
      <c r="A80" s="18" t="s">
        <v>41</v>
      </c>
      <c r="B80" s="18" t="s">
        <v>199</v>
      </c>
      <c r="C80" s="18" t="s">
        <v>200</v>
      </c>
      <c r="D80" s="18" t="s">
        <v>201</v>
      </c>
      <c r="E80" s="19">
        <v>6</v>
      </c>
      <c r="F80" s="19">
        <v>6</v>
      </c>
      <c r="G80" s="23">
        <v>1.39</v>
      </c>
      <c r="H80" s="26" t="s">
        <v>82</v>
      </c>
      <c r="I80" s="20">
        <f>IFERROR(IF(E80="","",E80*INDEX(ACTUALIZAR!$C$7:$C$18,MATCH(A80,ACTUALIZAR!$A$7:$A$18,0))/SUMIF($A$7:$A$200,A80,$E$7:$E$200)),"")</f>
        <v>111210.24058803834</v>
      </c>
      <c r="J80" s="20">
        <f>IFERROR(IF(E80="","",E80*INDEX(PPK!$F$7:$F$18,MATCH(A80,PPK!$A$7:$A$18,0))/SUMIF($A$7:$A$200,A80,$E$7:$E$200)),"")</f>
        <v>170171.11318242343</v>
      </c>
      <c r="K80" s="20">
        <f t="shared" si="4"/>
        <v>281381.35377046175</v>
      </c>
      <c r="L80" s="20">
        <f t="shared" si="5"/>
        <v>46896.892295076956</v>
      </c>
      <c r="M80" s="18"/>
      <c r="N80" s="95">
        <v>0</v>
      </c>
      <c r="P80" s="19" t="str">
        <f>IF($A80='VISTA MES'!$B$4,COUNTIF($A$7:$A80,'VISTA MES'!$B$4),"")</f>
        <v/>
      </c>
    </row>
    <row r="81" spans="1:16" ht="14.25" customHeight="1" x14ac:dyDescent="0.25">
      <c r="A81" s="18" t="s">
        <v>41</v>
      </c>
      <c r="B81" s="18" t="s">
        <v>202</v>
      </c>
      <c r="C81" s="18" t="s">
        <v>200</v>
      </c>
      <c r="D81" s="18" t="s">
        <v>203</v>
      </c>
      <c r="E81" s="19">
        <v>18</v>
      </c>
      <c r="F81" s="19">
        <v>18</v>
      </c>
      <c r="G81" s="23">
        <v>5.2</v>
      </c>
      <c r="H81" s="26" t="s">
        <v>82</v>
      </c>
      <c r="I81" s="20">
        <f>IFERROR(IF(E81="","",E81*INDEX(ACTUALIZAR!$C$7:$C$18,MATCH(A81,ACTUALIZAR!$A$7:$A$18,0))/SUMIF($A$7:$A$200,A81,$E$7:$E$200)),"")</f>
        <v>333630.72176411503</v>
      </c>
      <c r="J81" s="20">
        <f>IFERROR(IF(E81="","",E81*INDEX(PPK!$F$7:$F$18,MATCH(A81,PPK!$A$7:$A$18,0))/SUMIF($A$7:$A$200,A81,$E$7:$E$200)),"")</f>
        <v>510513.33954727033</v>
      </c>
      <c r="K81" s="20">
        <f t="shared" si="4"/>
        <v>844144.06131138536</v>
      </c>
      <c r="L81" s="20">
        <f t="shared" si="5"/>
        <v>46896.892295076963</v>
      </c>
      <c r="M81" s="18"/>
      <c r="N81" s="95">
        <v>0</v>
      </c>
      <c r="P81" s="19" t="str">
        <f>IF($A81='VISTA MES'!$B$4,COUNTIF($A$7:$A81,'VISTA MES'!$B$4),"")</f>
        <v/>
      </c>
    </row>
    <row r="82" spans="1:16" ht="19.5" customHeight="1" x14ac:dyDescent="0.25">
      <c r="A82" s="18" t="s">
        <v>42</v>
      </c>
      <c r="B82" s="18" t="s">
        <v>430</v>
      </c>
      <c r="C82" s="18" t="s">
        <v>200</v>
      </c>
      <c r="D82" s="18" t="s">
        <v>431</v>
      </c>
      <c r="E82" s="19">
        <v>1</v>
      </c>
      <c r="F82" s="19">
        <v>1</v>
      </c>
      <c r="G82" s="23">
        <v>6.04</v>
      </c>
      <c r="H82" s="26" t="s">
        <v>82</v>
      </c>
      <c r="I82" s="20">
        <f>IFERROR(IF(E82="","",E82*INDEX(ACTUALIZAR!$C$7:$C$18,MATCH(A82,ACTUALIZAR!$A$7:$A$18,0))/SUMIF($A$7:$A$200,A82,$E$7:$E$200)),"")</f>
        <v>12383.721862717541</v>
      </c>
      <c r="J82" s="20">
        <f>IFERROR(IF(E82="","",E82*INDEX(PPK!$F$7:$F$18,MATCH(A82,PPK!$A$7:$A$18,0))/SUMIF($A$7:$A$200,A82,$E$7:$E$200)),"")</f>
        <v>22315.251954821895</v>
      </c>
      <c r="K82" s="20">
        <f t="shared" ref="K82:K99" si="6">IF(AND(I82="",J82=""),"",SUM(I82:J82))</f>
        <v>34698.973817539438</v>
      </c>
      <c r="L82" s="20">
        <f t="shared" ref="L82:L99" si="7">IFERROR(K82/E82,"")</f>
        <v>34698.973817539438</v>
      </c>
      <c r="M82" s="18" t="s">
        <v>432</v>
      </c>
      <c r="N82" s="95">
        <v>656</v>
      </c>
      <c r="P82" s="19">
        <f>IF($A82='VISTA MES'!$B$4,COUNTIF($A$7:$A82,'VISTA MES'!$B$4),"")</f>
        <v>1</v>
      </c>
    </row>
    <row r="83" spans="1:16" ht="19.5" customHeight="1" x14ac:dyDescent="0.25">
      <c r="A83" s="18" t="s">
        <v>42</v>
      </c>
      <c r="B83" s="18" t="s">
        <v>433</v>
      </c>
      <c r="C83" s="18" t="s">
        <v>133</v>
      </c>
      <c r="D83" s="18" t="s">
        <v>158</v>
      </c>
      <c r="E83" s="19">
        <v>4</v>
      </c>
      <c r="F83" s="19">
        <v>4</v>
      </c>
      <c r="G83" s="23">
        <v>5.44</v>
      </c>
      <c r="H83" s="26" t="s">
        <v>82</v>
      </c>
      <c r="I83" s="20">
        <f>IFERROR(IF(E83="","",E83*INDEX(ACTUALIZAR!$C$7:$C$18,MATCH(A83,ACTUALIZAR!$A$7:$A$18,0))/SUMIF($A$7:$A$200,A83,$E$7:$E$200)),"")</f>
        <v>49534.887450870163</v>
      </c>
      <c r="J83" s="20">
        <f>IFERROR(IF(E83="","",E83*INDEX(PPK!$F$7:$F$18,MATCH(A83,PPK!$A$7:$A$18,0))/SUMIF($A$7:$A$200,A83,$E$7:$E$200)),"")</f>
        <v>89261.007819287581</v>
      </c>
      <c r="K83" s="20">
        <f t="shared" si="6"/>
        <v>138795.89527015775</v>
      </c>
      <c r="L83" s="20">
        <f t="shared" si="7"/>
        <v>34698.973817539438</v>
      </c>
      <c r="M83" s="18" t="s">
        <v>434</v>
      </c>
      <c r="N83" s="95">
        <v>3200</v>
      </c>
      <c r="P83" s="19">
        <f>IF($A83='VISTA MES'!$B$4,COUNTIF($A$7:$A83,'VISTA MES'!$B$4),"")</f>
        <v>2</v>
      </c>
    </row>
    <row r="84" spans="1:16" ht="19.5" customHeight="1" x14ac:dyDescent="0.25">
      <c r="A84" s="18" t="s">
        <v>42</v>
      </c>
      <c r="B84" s="18" t="s">
        <v>435</v>
      </c>
      <c r="C84" s="18" t="s">
        <v>200</v>
      </c>
      <c r="D84" s="18" t="s">
        <v>201</v>
      </c>
      <c r="E84" s="19">
        <v>2</v>
      </c>
      <c r="F84" s="19">
        <v>2</v>
      </c>
      <c r="G84" s="23">
        <v>4.5999999999999996</v>
      </c>
      <c r="H84" s="26" t="s">
        <v>82</v>
      </c>
      <c r="I84" s="20">
        <f>IFERROR(IF(E84="","",E84*INDEX(ACTUALIZAR!$C$7:$C$18,MATCH(A84,ACTUALIZAR!$A$7:$A$18,0))/SUMIF($A$7:$A$200,A84,$E$7:$E$200)),"")</f>
        <v>24767.443725435081</v>
      </c>
      <c r="J84" s="20">
        <f>IFERROR(IF(E84="","",E84*INDEX(PPK!$F$7:$F$18,MATCH(A84,PPK!$A$7:$A$18,0))/SUMIF($A$7:$A$200,A84,$E$7:$E$200)),"")</f>
        <v>44630.50390964379</v>
      </c>
      <c r="K84" s="20">
        <f t="shared" si="6"/>
        <v>69397.947635078875</v>
      </c>
      <c r="L84" s="20">
        <f t="shared" si="7"/>
        <v>34698.973817539438</v>
      </c>
      <c r="M84" s="18" t="s">
        <v>436</v>
      </c>
      <c r="N84" s="95">
        <v>512</v>
      </c>
      <c r="P84" s="19">
        <f>IF($A84='VISTA MES'!$B$4,COUNTIF($A$7:$A84,'VISTA MES'!$B$4),"")</f>
        <v>3</v>
      </c>
    </row>
    <row r="85" spans="1:16" ht="19.5" customHeight="1" x14ac:dyDescent="0.25">
      <c r="A85" s="18" t="s">
        <v>42</v>
      </c>
      <c r="B85" s="18" t="s">
        <v>437</v>
      </c>
      <c r="C85" s="18" t="s">
        <v>200</v>
      </c>
      <c r="D85" s="18" t="s">
        <v>438</v>
      </c>
      <c r="E85" s="19">
        <v>1</v>
      </c>
      <c r="F85" s="19">
        <v>0</v>
      </c>
      <c r="G85" s="23"/>
      <c r="H85" s="26" t="s">
        <v>117</v>
      </c>
      <c r="I85" s="20">
        <f>IFERROR(IF(E85="","",E85*INDEX(ACTUALIZAR!$C$7:$C$18,MATCH(A85,ACTUALIZAR!$A$7:$A$18,0))/SUMIF($A$7:$A$200,A85,$E$7:$E$200)),"")</f>
        <v>12383.721862717541</v>
      </c>
      <c r="J85" s="20">
        <f>IFERROR(IF(E85="","",E85*INDEX(PPK!$F$7:$F$18,MATCH(A85,PPK!$A$7:$A$18,0))/SUMIF($A$7:$A$200,A85,$E$7:$E$200)),"")</f>
        <v>22315.251954821895</v>
      </c>
      <c r="K85" s="20">
        <f t="shared" si="6"/>
        <v>34698.973817539438</v>
      </c>
      <c r="L85" s="20">
        <f t="shared" si="7"/>
        <v>34698.973817539438</v>
      </c>
      <c r="M85" s="18"/>
      <c r="N85" s="95">
        <v>0</v>
      </c>
      <c r="P85" s="19">
        <f>IF($A85='VISTA MES'!$B$4,COUNTIF($A$7:$A85,'VISTA MES'!$B$4),"")</f>
        <v>4</v>
      </c>
    </row>
    <row r="86" spans="1:16" ht="19.5" customHeight="1" x14ac:dyDescent="0.25">
      <c r="A86" s="18" t="s">
        <v>42</v>
      </c>
      <c r="B86" s="18" t="s">
        <v>439</v>
      </c>
      <c r="C86" s="18" t="s">
        <v>91</v>
      </c>
      <c r="D86" s="18" t="s">
        <v>99</v>
      </c>
      <c r="E86" s="19">
        <v>268</v>
      </c>
      <c r="F86" s="19">
        <v>267</v>
      </c>
      <c r="G86" s="23">
        <v>2.69</v>
      </c>
      <c r="H86" s="26" t="s">
        <v>117</v>
      </c>
      <c r="I86" s="20">
        <f>IFERROR(IF(E86="","",E86*INDEX(ACTUALIZAR!$C$7:$C$18,MATCH(A86,ACTUALIZAR!$A$7:$A$18,0))/SUMIF($A$7:$A$200,A86,$E$7:$E$200)),"")</f>
        <v>3318837.4592083008</v>
      </c>
      <c r="J86" s="20">
        <f>IFERROR(IF(E86="","",E86*INDEX(PPK!$F$7:$F$18,MATCH(A86,PPK!$A$7:$A$18,0))/SUMIF($A$7:$A$200,A86,$E$7:$E$200)),"")</f>
        <v>5980487.5238922676</v>
      </c>
      <c r="K86" s="20">
        <f t="shared" si="6"/>
        <v>9299324.9831005689</v>
      </c>
      <c r="L86" s="20">
        <f t="shared" si="7"/>
        <v>34698.973817539438</v>
      </c>
      <c r="M86" s="18" t="s">
        <v>440</v>
      </c>
      <c r="N86" s="95">
        <v>145144</v>
      </c>
      <c r="P86" s="19">
        <f>IF($A86='VISTA MES'!$B$4,COUNTIF($A$7:$A86,'VISTA MES'!$B$4),"")</f>
        <v>5</v>
      </c>
    </row>
    <row r="87" spans="1:16" ht="19.5" customHeight="1" x14ac:dyDescent="0.25">
      <c r="A87" s="18" t="s">
        <v>42</v>
      </c>
      <c r="B87" s="18" t="s">
        <v>441</v>
      </c>
      <c r="C87" s="18" t="s">
        <v>80</v>
      </c>
      <c r="D87" s="18" t="s">
        <v>124</v>
      </c>
      <c r="E87" s="19">
        <v>17</v>
      </c>
      <c r="F87" s="19">
        <v>17</v>
      </c>
      <c r="G87" s="23">
        <v>8.6199999999999992</v>
      </c>
      <c r="H87" s="26" t="s">
        <v>82</v>
      </c>
      <c r="I87" s="20">
        <f>IFERROR(IF(E87="","",E87*INDEX(ACTUALIZAR!$C$7:$C$18,MATCH(A87,ACTUALIZAR!$A$7:$A$18,0))/SUMIF($A$7:$A$200,A87,$E$7:$E$200)),"")</f>
        <v>210523.27166619818</v>
      </c>
      <c r="J87" s="20">
        <f>IFERROR(IF(E87="","",E87*INDEX(PPK!$F$7:$F$18,MATCH(A87,PPK!$A$7:$A$18,0))/SUMIF($A$7:$A$200,A87,$E$7:$E$200)),"")</f>
        <v>379359.28323197219</v>
      </c>
      <c r="K87" s="20">
        <f t="shared" si="6"/>
        <v>589882.55489817041</v>
      </c>
      <c r="L87" s="20">
        <f t="shared" si="7"/>
        <v>34698.973817539438</v>
      </c>
      <c r="M87" s="18" t="s">
        <v>442</v>
      </c>
      <c r="N87" s="95">
        <v>16440</v>
      </c>
      <c r="P87" s="19">
        <f>IF($A87='VISTA MES'!$B$4,COUNTIF($A$7:$A87,'VISTA MES'!$B$4),"")</f>
        <v>6</v>
      </c>
    </row>
    <row r="88" spans="1:16" ht="19.5" customHeight="1" x14ac:dyDescent="0.25">
      <c r="A88" s="18" t="s">
        <v>42</v>
      </c>
      <c r="B88" s="18" t="s">
        <v>443</v>
      </c>
      <c r="C88" s="18" t="s">
        <v>142</v>
      </c>
      <c r="D88" s="18" t="s">
        <v>444</v>
      </c>
      <c r="E88" s="19">
        <v>9</v>
      </c>
      <c r="F88" s="19">
        <v>9</v>
      </c>
      <c r="G88" s="23">
        <v>9.2899999999999991</v>
      </c>
      <c r="H88" s="26" t="s">
        <v>82</v>
      </c>
      <c r="I88" s="20">
        <f>IFERROR(IF(E88="","",E88*INDEX(ACTUALIZAR!$C$7:$C$18,MATCH(A88,ACTUALIZAR!$A$7:$A$18,0))/SUMIF($A$7:$A$200,A88,$E$7:$E$200)),"")</f>
        <v>111453.49676445787</v>
      </c>
      <c r="J88" s="20">
        <f>IFERROR(IF(E88="","",E88*INDEX(PPK!$F$7:$F$18,MATCH(A88,PPK!$A$7:$A$18,0))/SUMIF($A$7:$A$200,A88,$E$7:$E$200)),"")</f>
        <v>200837.26759339706</v>
      </c>
      <c r="K88" s="20">
        <f t="shared" si="6"/>
        <v>312290.76435785496</v>
      </c>
      <c r="L88" s="20">
        <f t="shared" si="7"/>
        <v>34698.973817539438</v>
      </c>
      <c r="M88" s="18" t="s">
        <v>445</v>
      </c>
      <c r="N88" s="95">
        <v>7560</v>
      </c>
      <c r="P88" s="19">
        <f>IF($A88='VISTA MES'!$B$4,COUNTIF($A$7:$A88,'VISTA MES'!$B$4),"")</f>
        <v>7</v>
      </c>
    </row>
    <row r="89" spans="1:16" ht="19.5" customHeight="1" x14ac:dyDescent="0.25">
      <c r="A89" s="18" t="s">
        <v>42</v>
      </c>
      <c r="B89" s="18" t="s">
        <v>446</v>
      </c>
      <c r="C89" s="18" t="s">
        <v>133</v>
      </c>
      <c r="D89" s="18" t="s">
        <v>447</v>
      </c>
      <c r="E89" s="19">
        <v>12</v>
      </c>
      <c r="F89" s="19">
        <v>12</v>
      </c>
      <c r="G89" s="23">
        <v>6.06</v>
      </c>
      <c r="H89" s="26" t="s">
        <v>82</v>
      </c>
      <c r="I89" s="20">
        <f>IFERROR(IF(E89="","",E89*INDEX(ACTUALIZAR!$C$7:$C$18,MATCH(A89,ACTUALIZAR!$A$7:$A$18,0))/SUMIF($A$7:$A$200,A89,$E$7:$E$200)),"")</f>
        <v>148604.66235261047</v>
      </c>
      <c r="J89" s="20">
        <f>IFERROR(IF(E89="","",E89*INDEX(PPK!$F$7:$F$18,MATCH(A89,PPK!$A$7:$A$18,0))/SUMIF($A$7:$A$200,A89,$E$7:$E$200)),"")</f>
        <v>267783.02345786273</v>
      </c>
      <c r="K89" s="20">
        <f t="shared" si="6"/>
        <v>416387.68581047317</v>
      </c>
      <c r="L89" s="20">
        <f t="shared" si="7"/>
        <v>34698.97381753943</v>
      </c>
      <c r="M89" s="18" t="s">
        <v>448</v>
      </c>
      <c r="N89" s="95">
        <v>12000</v>
      </c>
      <c r="P89" s="19">
        <f>IF($A89='VISTA MES'!$B$4,COUNTIF($A$7:$A89,'VISTA MES'!$B$4),"")</f>
        <v>8</v>
      </c>
    </row>
    <row r="90" spans="1:16" ht="19.5" customHeight="1" x14ac:dyDescent="0.25">
      <c r="A90" s="18" t="s">
        <v>42</v>
      </c>
      <c r="B90" s="18" t="s">
        <v>449</v>
      </c>
      <c r="C90" s="18" t="s">
        <v>91</v>
      </c>
      <c r="D90" s="18" t="s">
        <v>92</v>
      </c>
      <c r="E90" s="19">
        <v>210</v>
      </c>
      <c r="F90" s="19">
        <v>210</v>
      </c>
      <c r="G90" s="23">
        <v>2.91</v>
      </c>
      <c r="H90" s="26" t="s">
        <v>82</v>
      </c>
      <c r="I90" s="20">
        <f>IFERROR(IF(E90="","",E90*INDEX(ACTUALIZAR!$C$7:$C$18,MATCH(A90,ACTUALIZAR!$A$7:$A$18,0))/SUMIF($A$7:$A$200,A90,$E$7:$E$200)),"")</f>
        <v>2600581.5911706835</v>
      </c>
      <c r="J90" s="20">
        <f>IFERROR(IF(E90="","",E90*INDEX(PPK!$F$7:$F$18,MATCH(A90,PPK!$A$7:$A$18,0))/SUMIF($A$7:$A$200,A90,$E$7:$E$200)),"")</f>
        <v>4686202.9105125973</v>
      </c>
      <c r="K90" s="20">
        <f t="shared" si="6"/>
        <v>7286784.5016832808</v>
      </c>
      <c r="L90" s="20">
        <f t="shared" si="7"/>
        <v>34698.97381753943</v>
      </c>
      <c r="M90" s="18" t="s">
        <v>450</v>
      </c>
      <c r="N90" s="95">
        <v>147896</v>
      </c>
      <c r="P90" s="19">
        <f>IF($A90='VISTA MES'!$B$4,COUNTIF($A$7:$A90,'VISTA MES'!$B$4),"")</f>
        <v>9</v>
      </c>
    </row>
    <row r="91" spans="1:16" ht="19.5" customHeight="1" x14ac:dyDescent="0.25">
      <c r="A91" s="18" t="s">
        <v>42</v>
      </c>
      <c r="B91" s="18" t="s">
        <v>451</v>
      </c>
      <c r="C91" s="18" t="s">
        <v>200</v>
      </c>
      <c r="D91" s="18" t="s">
        <v>452</v>
      </c>
      <c r="E91" s="19">
        <v>1</v>
      </c>
      <c r="F91" s="19">
        <v>1</v>
      </c>
      <c r="G91" s="23">
        <v>6.52</v>
      </c>
      <c r="H91" s="26" t="s">
        <v>82</v>
      </c>
      <c r="I91" s="20">
        <f>IFERROR(IF(E91="","",E91*INDEX(ACTUALIZAR!$C$7:$C$18,MATCH(A91,ACTUALIZAR!$A$7:$A$18,0))/SUMIF($A$7:$A$200,A91,$E$7:$E$200)),"")</f>
        <v>12383.721862717541</v>
      </c>
      <c r="J91" s="20">
        <f>IFERROR(IF(E91="","",E91*INDEX(PPK!$F$7:$F$18,MATCH(A91,PPK!$A$7:$A$18,0))/SUMIF($A$7:$A$200,A91,$E$7:$E$200)),"")</f>
        <v>22315.251954821895</v>
      </c>
      <c r="K91" s="20">
        <f t="shared" si="6"/>
        <v>34698.973817539438</v>
      </c>
      <c r="L91" s="20">
        <f t="shared" si="7"/>
        <v>34698.973817539438</v>
      </c>
      <c r="M91" s="18" t="s">
        <v>453</v>
      </c>
      <c r="N91" s="95">
        <v>616</v>
      </c>
      <c r="P91" s="19">
        <f>IF($A91='VISTA MES'!$B$4,COUNTIF($A$7:$A91,'VISTA MES'!$B$4),"")</f>
        <v>10</v>
      </c>
    </row>
    <row r="92" spans="1:16" ht="19.5" customHeight="1" x14ac:dyDescent="0.25">
      <c r="A92" s="18" t="s">
        <v>42</v>
      </c>
      <c r="B92" s="18" t="s">
        <v>454</v>
      </c>
      <c r="C92" s="18" t="s">
        <v>200</v>
      </c>
      <c r="D92" s="18" t="s">
        <v>203</v>
      </c>
      <c r="E92" s="19">
        <v>1</v>
      </c>
      <c r="F92" s="19">
        <v>1</v>
      </c>
      <c r="G92" s="23">
        <v>2.34</v>
      </c>
      <c r="H92" s="26" t="s">
        <v>82</v>
      </c>
      <c r="I92" s="20">
        <f>IFERROR(IF(E92="","",E92*INDEX(ACTUALIZAR!$C$7:$C$18,MATCH(A92,ACTUALIZAR!$A$7:$A$18,0))/SUMIF($A$7:$A$200,A92,$E$7:$E$200)),"")</f>
        <v>12383.721862717541</v>
      </c>
      <c r="J92" s="20">
        <f>IFERROR(IF(E92="","",E92*INDEX(PPK!$F$7:$F$18,MATCH(A92,PPK!$A$7:$A$18,0))/SUMIF($A$7:$A$200,A92,$E$7:$E$200)),"")</f>
        <v>22315.251954821895</v>
      </c>
      <c r="K92" s="20">
        <f t="shared" si="6"/>
        <v>34698.973817539438</v>
      </c>
      <c r="L92" s="20">
        <f t="shared" si="7"/>
        <v>34698.973817539438</v>
      </c>
      <c r="M92" s="18"/>
      <c r="N92" s="95">
        <v>0</v>
      </c>
      <c r="P92" s="19">
        <f>IF($A92='VISTA MES'!$B$4,COUNTIF($A$7:$A92,'VISTA MES'!$B$4),"")</f>
        <v>11</v>
      </c>
    </row>
    <row r="93" spans="1:16" ht="19.5" customHeight="1" x14ac:dyDescent="0.25">
      <c r="A93" s="18" t="s">
        <v>42</v>
      </c>
      <c r="B93" s="18" t="s">
        <v>455</v>
      </c>
      <c r="C93" s="18" t="s">
        <v>80</v>
      </c>
      <c r="D93" s="18" t="s">
        <v>126</v>
      </c>
      <c r="E93" s="19">
        <v>37</v>
      </c>
      <c r="F93" s="19">
        <v>37</v>
      </c>
      <c r="G93" s="23">
        <v>7.17</v>
      </c>
      <c r="H93" s="26" t="s">
        <v>82</v>
      </c>
      <c r="I93" s="20">
        <f>IFERROR(IF(E93="","",E93*INDEX(ACTUALIZAR!$C$7:$C$18,MATCH(A93,ACTUALIZAR!$A$7:$A$18,0))/SUMIF($A$7:$A$200,A93,$E$7:$E$200)),"")</f>
        <v>458197.70892054896</v>
      </c>
      <c r="J93" s="20">
        <f>IFERROR(IF(E93="","",E93*INDEX(PPK!$F$7:$F$18,MATCH(A93,PPK!$A$7:$A$18,0))/SUMIF($A$7:$A$200,A93,$E$7:$E$200)),"")</f>
        <v>825664.32232841011</v>
      </c>
      <c r="K93" s="20">
        <f t="shared" si="6"/>
        <v>1283862.031248959</v>
      </c>
      <c r="L93" s="20">
        <f t="shared" si="7"/>
        <v>34698.97381753943</v>
      </c>
      <c r="M93" s="18" t="s">
        <v>456</v>
      </c>
      <c r="N93" s="95">
        <v>27608</v>
      </c>
      <c r="P93" s="19">
        <f>IF($A93='VISTA MES'!$B$4,COUNTIF($A$7:$A93,'VISTA MES'!$B$4),"")</f>
        <v>12</v>
      </c>
    </row>
    <row r="94" spans="1:16" ht="19.5" customHeight="1" x14ac:dyDescent="0.25">
      <c r="A94" s="18" t="s">
        <v>42</v>
      </c>
      <c r="B94" s="18" t="s">
        <v>457</v>
      </c>
      <c r="C94" s="18" t="s">
        <v>91</v>
      </c>
      <c r="D94" s="18" t="s">
        <v>95</v>
      </c>
      <c r="E94" s="19">
        <v>166</v>
      </c>
      <c r="F94" s="19">
        <v>166</v>
      </c>
      <c r="G94" s="23">
        <v>2</v>
      </c>
      <c r="H94" s="26" t="s">
        <v>82</v>
      </c>
      <c r="I94" s="20">
        <f>IFERROR(IF(E94="","",E94*INDEX(ACTUALIZAR!$C$7:$C$18,MATCH(A94,ACTUALIZAR!$A$7:$A$18,0))/SUMIF($A$7:$A$200,A94,$E$7:$E$200)),"")</f>
        <v>2055697.8292111116</v>
      </c>
      <c r="J94" s="20">
        <f>IFERROR(IF(E94="","",E94*INDEX(PPK!$F$7:$F$18,MATCH(A94,PPK!$A$7:$A$18,0))/SUMIF($A$7:$A$200,A94,$E$7:$E$200)),"")</f>
        <v>3704331.8245004346</v>
      </c>
      <c r="K94" s="20">
        <f t="shared" si="6"/>
        <v>5760029.6537115462</v>
      </c>
      <c r="L94" s="20">
        <f t="shared" si="7"/>
        <v>34698.973817539438</v>
      </c>
      <c r="M94" s="18" t="s">
        <v>458</v>
      </c>
      <c r="N94" s="95">
        <v>69784</v>
      </c>
      <c r="P94" s="19">
        <f>IF($A94='VISTA MES'!$B$4,COUNTIF($A$7:$A94,'VISTA MES'!$B$4),"")</f>
        <v>13</v>
      </c>
    </row>
    <row r="95" spans="1:16" ht="19.5" customHeight="1" x14ac:dyDescent="0.25">
      <c r="A95" s="18" t="s">
        <v>42</v>
      </c>
      <c r="B95" s="18" t="s">
        <v>459</v>
      </c>
      <c r="C95" s="18" t="s">
        <v>133</v>
      </c>
      <c r="D95" s="18" t="s">
        <v>460</v>
      </c>
      <c r="E95" s="19">
        <v>2</v>
      </c>
      <c r="F95" s="19">
        <v>2</v>
      </c>
      <c r="G95" s="23">
        <v>12.09</v>
      </c>
      <c r="H95" s="26" t="s">
        <v>82</v>
      </c>
      <c r="I95" s="20">
        <f>IFERROR(IF(E95="","",E95*INDEX(ACTUALIZAR!$C$7:$C$18,MATCH(A95,ACTUALIZAR!$A$7:$A$18,0))/SUMIF($A$7:$A$200,A95,$E$7:$E$200)),"")</f>
        <v>24767.443725435081</v>
      </c>
      <c r="J95" s="20">
        <f>IFERROR(IF(E95="","",E95*INDEX(PPK!$F$7:$F$18,MATCH(A95,PPK!$A$7:$A$18,0))/SUMIF($A$7:$A$200,A95,$E$7:$E$200)),"")</f>
        <v>44630.50390964379</v>
      </c>
      <c r="K95" s="20">
        <f t="shared" si="6"/>
        <v>69397.947635078875</v>
      </c>
      <c r="L95" s="20">
        <f t="shared" si="7"/>
        <v>34698.973817539438</v>
      </c>
      <c r="M95" s="18" t="s">
        <v>461</v>
      </c>
      <c r="N95" s="95">
        <v>4704</v>
      </c>
      <c r="P95" s="19">
        <f>IF($A95='VISTA MES'!$B$4,COUNTIF($A$7:$A95,'VISTA MES'!$B$4),"")</f>
        <v>14</v>
      </c>
    </row>
    <row r="96" spans="1:16" ht="19.5" customHeight="1" x14ac:dyDescent="0.25">
      <c r="A96" s="18" t="s">
        <v>42</v>
      </c>
      <c r="B96" s="18" t="s">
        <v>462</v>
      </c>
      <c r="C96" s="18" t="s">
        <v>80</v>
      </c>
      <c r="D96" s="18" t="s">
        <v>81</v>
      </c>
      <c r="E96" s="19">
        <v>29</v>
      </c>
      <c r="F96" s="19">
        <v>29</v>
      </c>
      <c r="G96" s="23">
        <v>5.51</v>
      </c>
      <c r="H96" s="26" t="s">
        <v>82</v>
      </c>
      <c r="I96" s="20">
        <f>IFERROR(IF(E96="","",E96*INDEX(ACTUALIZAR!$C$7:$C$18,MATCH(A96,ACTUALIZAR!$A$7:$A$18,0))/SUMIF($A$7:$A$200,A96,$E$7:$E$200)),"")</f>
        <v>359127.93401880871</v>
      </c>
      <c r="J96" s="20">
        <f>IFERROR(IF(E96="","",E96*INDEX(PPK!$F$7:$F$18,MATCH(A96,PPK!$A$7:$A$18,0))/SUMIF($A$7:$A$200,A96,$E$7:$E$200)),"")</f>
        <v>647142.30668983492</v>
      </c>
      <c r="K96" s="20">
        <f t="shared" si="6"/>
        <v>1006270.2407086436</v>
      </c>
      <c r="L96" s="20">
        <f t="shared" si="7"/>
        <v>34698.97381753943</v>
      </c>
      <c r="M96" s="18" t="s">
        <v>463</v>
      </c>
      <c r="N96" s="95">
        <v>26856</v>
      </c>
      <c r="P96" s="19">
        <f>IF($A96='VISTA MES'!$B$4,COUNTIF($A$7:$A96,'VISTA MES'!$B$4),"")</f>
        <v>15</v>
      </c>
    </row>
    <row r="97" spans="1:16" ht="19.5" customHeight="1" x14ac:dyDescent="0.25">
      <c r="A97" s="18" t="s">
        <v>42</v>
      </c>
      <c r="B97" s="18" t="s">
        <v>464</v>
      </c>
      <c r="C97" s="18" t="s">
        <v>91</v>
      </c>
      <c r="D97" s="18" t="s">
        <v>97</v>
      </c>
      <c r="E97" s="19">
        <v>387</v>
      </c>
      <c r="F97" s="19">
        <v>385</v>
      </c>
      <c r="G97" s="23">
        <v>2.02</v>
      </c>
      <c r="H97" s="26" t="s">
        <v>117</v>
      </c>
      <c r="I97" s="20">
        <f>IFERROR(IF(E97="","",E97*INDEX(ACTUALIZAR!$C$7:$C$18,MATCH(A97,ACTUALIZAR!$A$7:$A$18,0))/SUMIF($A$7:$A$200,A97,$E$7:$E$200)),"")</f>
        <v>4792500.3608716875</v>
      </c>
      <c r="J97" s="20">
        <f>IFERROR(IF(E97="","",E97*INDEX(PPK!$F$7:$F$18,MATCH(A97,PPK!$A$7:$A$18,0))/SUMIF($A$7:$A$200,A97,$E$7:$E$200)),"")</f>
        <v>8636002.5065160729</v>
      </c>
      <c r="K97" s="20">
        <f t="shared" si="6"/>
        <v>13428502.86738776</v>
      </c>
      <c r="L97" s="20">
        <f t="shared" si="7"/>
        <v>34698.97381753943</v>
      </c>
      <c r="M97" s="18" t="s">
        <v>465</v>
      </c>
      <c r="N97" s="95">
        <v>166640</v>
      </c>
      <c r="P97" s="19">
        <f>IF($A97='VISTA MES'!$B$4,COUNTIF($A$7:$A97,'VISTA MES'!$B$4),"")</f>
        <v>16</v>
      </c>
    </row>
    <row r="98" spans="1:16" ht="19.5" customHeight="1" x14ac:dyDescent="0.25">
      <c r="A98" s="18" t="s">
        <v>42</v>
      </c>
      <c r="B98" s="18" t="s">
        <v>466</v>
      </c>
      <c r="C98" s="18" t="s">
        <v>200</v>
      </c>
      <c r="D98" s="18" t="s">
        <v>467</v>
      </c>
      <c r="E98" s="19">
        <v>1</v>
      </c>
      <c r="F98" s="19">
        <v>1</v>
      </c>
      <c r="G98" s="23">
        <v>4.01</v>
      </c>
      <c r="H98" s="26" t="s">
        <v>82</v>
      </c>
      <c r="I98" s="20">
        <f>IFERROR(IF(E98="","",E98*INDEX(ACTUALIZAR!$C$7:$C$18,MATCH(A98,ACTUALIZAR!$A$7:$A$18,0))/SUMIF($A$7:$A$200,A98,$E$7:$E$200)),"")</f>
        <v>12383.721862717541</v>
      </c>
      <c r="J98" s="20">
        <f>IFERROR(IF(E98="","",E98*INDEX(PPK!$F$7:$F$18,MATCH(A98,PPK!$A$7:$A$18,0))/SUMIF($A$7:$A$200,A98,$E$7:$E$200)),"")</f>
        <v>22315.251954821895</v>
      </c>
      <c r="K98" s="20">
        <f t="shared" si="6"/>
        <v>34698.973817539438</v>
      </c>
      <c r="L98" s="20">
        <f t="shared" si="7"/>
        <v>34698.973817539438</v>
      </c>
      <c r="M98" s="18" t="s">
        <v>468</v>
      </c>
      <c r="N98" s="95">
        <v>656</v>
      </c>
      <c r="P98" s="19">
        <f>IF($A98='VISTA MES'!$B$4,COUNTIF($A$7:$A98,'VISTA MES'!$B$4),"")</f>
        <v>17</v>
      </c>
    </row>
    <row r="99" spans="1:16" ht="19.5" customHeight="1" x14ac:dyDescent="0.25">
      <c r="A99" s="18" t="s">
        <v>42</v>
      </c>
      <c r="B99" s="18" t="s">
        <v>469</v>
      </c>
      <c r="C99" s="18" t="s">
        <v>200</v>
      </c>
      <c r="D99" s="18" t="s">
        <v>470</v>
      </c>
      <c r="E99" s="19">
        <v>3</v>
      </c>
      <c r="F99" s="19">
        <v>1</v>
      </c>
      <c r="G99" s="23">
        <v>2.42</v>
      </c>
      <c r="H99" s="26" t="s">
        <v>117</v>
      </c>
      <c r="I99" s="20">
        <f>IFERROR(IF(E99="","",E99*INDEX(ACTUALIZAR!$C$7:$C$18,MATCH(A99,ACTUALIZAR!$A$7:$A$18,0))/SUMIF($A$7:$A$200,A99,$E$7:$E$200)),"")</f>
        <v>37151.165588152617</v>
      </c>
      <c r="J99" s="20">
        <f>IFERROR(IF(E99="","",E99*INDEX(PPK!$F$7:$F$18,MATCH(A99,PPK!$A$7:$A$18,0))/SUMIF($A$7:$A$200,A99,$E$7:$E$200)),"")</f>
        <v>66945.755864465682</v>
      </c>
      <c r="K99" s="20">
        <f t="shared" si="6"/>
        <v>104096.92145261829</v>
      </c>
      <c r="L99" s="20">
        <f t="shared" si="7"/>
        <v>34698.97381753943</v>
      </c>
      <c r="M99" s="18" t="s">
        <v>471</v>
      </c>
      <c r="N99" s="95">
        <v>552</v>
      </c>
      <c r="P99" s="19">
        <f>IF($A99='VISTA MES'!$B$4,COUNTIF($A$7:$A99,'VISTA MES'!$B$4),"")</f>
        <v>18</v>
      </c>
    </row>
  </sheetData>
  <mergeCells count="3">
    <mergeCell ref="A1:N1"/>
    <mergeCell ref="A2:N2"/>
    <mergeCell ref="A4:N4"/>
  </mergeCells>
  <conditionalFormatting sqref="H7:H99">
    <cfRule type="cellIs" dxfId="25" priority="2" operator="equal">
      <formula>"Completo"</formula>
    </cfRule>
    <cfRule type="cellIs" dxfId="24" priority="3" operator="equal">
      <formula>"Disponible"</formula>
    </cfRule>
    <cfRule type="cellIs" dxfId="23" priority="4" operator="equal">
      <formula>"Disponible (solo EDP)"</formula>
    </cfRule>
    <cfRule type="cellIs" dxfId="22" priority="5" operator="equal">
      <formula>"Disponible incompleto"</formula>
    </cfRule>
    <cfRule type="cellIs" dxfId="21" priority="6" operator="equal">
      <formula>"Parcial"</formula>
    </cfRule>
    <cfRule type="cellIs" dxfId="20" priority="7" operator="equal">
      <formula>"EDP pendiente"</formula>
    </cfRule>
    <cfRule type="cellIs" dxfId="19" priority="8" operator="equal">
      <formula>"Pendiente"</formula>
    </cfRule>
    <cfRule type="cellIs" dxfId="18" priority="9" operator="equal">
      <formula>"Sin registro"</formula>
    </cfRule>
  </conditionalFormatting>
  <dataValidations count="2">
    <dataValidation type="list" sqref="A7:A200" xr:uid="{00000000-0002-0000-0200-000000000000}">
      <formula1>"Enero,Febrero,Marzo,Abril,Mayo,Junio,Julio,Agosto,Septiembre,Octubre,Noviembre,Diciembre"</formula1>
      <formula2>0</formula2>
    </dataValidation>
    <dataValidation type="list" sqref="H7:H200" xr:uid="{00000000-0002-0000-0200-000001000000}">
      <formula1>"Disponible,Disponible (solo EDP),Parcial,Parcial (solo EDP),Sin registro,EDP pendiente"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CD774-7463-495A-8B8F-6324E7FC06B2}">
  <dimension ref="A1:F150"/>
  <sheetViews>
    <sheetView showGridLines="0" topLeftCell="A9" zoomScaleNormal="100" workbookViewId="0">
      <selection activeCell="B48" sqref="B48"/>
    </sheetView>
  </sheetViews>
  <sheetFormatPr baseColWidth="10" defaultColWidth="8.6328125" defaultRowHeight="12.5" x14ac:dyDescent="0.25"/>
  <cols>
    <col min="1" max="1" width="14" style="1" customWidth="1"/>
    <col min="2" max="3" width="13" style="1" customWidth="1"/>
    <col min="4" max="4" width="38" style="1" customWidth="1"/>
    <col min="5" max="5" width="11" style="1" customWidth="1"/>
    <col min="6" max="6" width="20" style="1" customWidth="1"/>
  </cols>
  <sheetData>
    <row r="1" spans="1:6" ht="30" customHeight="1" x14ac:dyDescent="0.25">
      <c r="A1" s="132" t="s">
        <v>204</v>
      </c>
      <c r="B1" s="132"/>
      <c r="C1" s="132"/>
      <c r="D1" s="132"/>
      <c r="E1" s="132"/>
      <c r="F1" s="132"/>
    </row>
    <row r="2" spans="1:6" ht="24" customHeight="1" x14ac:dyDescent="0.25">
      <c r="A2" s="133" t="s">
        <v>205</v>
      </c>
      <c r="B2" s="133"/>
      <c r="C2" s="133"/>
      <c r="D2" s="133"/>
      <c r="E2" s="133"/>
      <c r="F2" s="133"/>
    </row>
    <row r="4" spans="1:6" ht="21.75" customHeight="1" x14ac:dyDescent="0.25">
      <c r="A4" s="136" t="s">
        <v>206</v>
      </c>
      <c r="B4" s="136"/>
      <c r="C4" s="136"/>
      <c r="D4" s="136"/>
      <c r="E4" s="136"/>
      <c r="F4" s="136"/>
    </row>
    <row r="6" spans="1:6" ht="33.75" customHeight="1" x14ac:dyDescent="0.25">
      <c r="A6" s="2" t="s">
        <v>9</v>
      </c>
      <c r="B6" s="2" t="s">
        <v>11</v>
      </c>
      <c r="C6" s="2" t="s">
        <v>12</v>
      </c>
      <c r="D6" s="2" t="s">
        <v>207</v>
      </c>
      <c r="E6" s="2" t="s">
        <v>208</v>
      </c>
      <c r="F6" s="2" t="s">
        <v>209</v>
      </c>
    </row>
    <row r="7" spans="1:6" ht="19.5" customHeight="1" x14ac:dyDescent="0.25">
      <c r="A7" s="4" t="s">
        <v>34</v>
      </c>
      <c r="B7" s="5">
        <f t="shared" ref="B7:B18" si="0">IF(COUNTIF($A$23:$A$150,A7)&gt;0,COUNTIF($A$23:$A$150,A7),"")</f>
        <v>2</v>
      </c>
      <c r="C7" s="5">
        <f t="shared" ref="C7:C18" si="1">IF(B7="","",SUMIF($A$23:$A$150,A7,$E$23:$E$150))</f>
        <v>31</v>
      </c>
      <c r="D7" s="55">
        <v>8496139</v>
      </c>
      <c r="E7" s="6">
        <f>IF(ACTUALIZAR!D7="","",ACTUALIZAR!D7)</f>
        <v>1018645</v>
      </c>
      <c r="F7" s="6">
        <f t="shared" ref="F7:F18" si="2">IF(AND(D7="",E7=""),"",SUM(D7:E7))</f>
        <v>9514784</v>
      </c>
    </row>
    <row r="8" spans="1:6" ht="19.5" customHeight="1" x14ac:dyDescent="0.25">
      <c r="A8" s="18" t="s">
        <v>35</v>
      </c>
      <c r="B8" s="19">
        <f t="shared" si="0"/>
        <v>2</v>
      </c>
      <c r="C8" s="19">
        <f t="shared" si="1"/>
        <v>34</v>
      </c>
      <c r="D8" s="56">
        <v>9318346</v>
      </c>
      <c r="E8" s="20">
        <f>IF(ACTUALIZAR!D8="","",ACTUALIZAR!D8)</f>
        <v>1018645</v>
      </c>
      <c r="F8" s="20">
        <f t="shared" si="2"/>
        <v>10336991</v>
      </c>
    </row>
    <row r="9" spans="1:6" ht="19.5" customHeight="1" x14ac:dyDescent="0.25">
      <c r="A9" s="18" t="s">
        <v>36</v>
      </c>
      <c r="B9" s="19">
        <f t="shared" si="0"/>
        <v>2</v>
      </c>
      <c r="C9" s="19">
        <f t="shared" si="1"/>
        <v>31</v>
      </c>
      <c r="D9" s="56">
        <v>8496139</v>
      </c>
      <c r="E9" s="20">
        <f>IF(ACTUALIZAR!D9="","",ACTUALIZAR!D9)</f>
        <v>1018645</v>
      </c>
      <c r="F9" s="20">
        <f t="shared" si="2"/>
        <v>9514784</v>
      </c>
    </row>
    <row r="10" spans="1:6" ht="19.5" customHeight="1" x14ac:dyDescent="0.25">
      <c r="A10" s="18" t="s">
        <v>37</v>
      </c>
      <c r="B10" s="19">
        <f t="shared" si="0"/>
        <v>1</v>
      </c>
      <c r="C10" s="19">
        <f t="shared" si="1"/>
        <v>30</v>
      </c>
      <c r="D10" s="56">
        <v>8222070</v>
      </c>
      <c r="E10" s="20">
        <f>IF(ACTUALIZAR!D10="","",ACTUALIZAR!D10)</f>
        <v>1018645</v>
      </c>
      <c r="F10" s="20">
        <f t="shared" si="2"/>
        <v>9240715</v>
      </c>
    </row>
    <row r="11" spans="1:6" ht="19.5" customHeight="1" x14ac:dyDescent="0.25">
      <c r="A11" s="18" t="s">
        <v>38</v>
      </c>
      <c r="B11" s="19">
        <f t="shared" si="0"/>
        <v>2</v>
      </c>
      <c r="C11" s="19">
        <f t="shared" si="1"/>
        <v>31</v>
      </c>
      <c r="D11" s="56">
        <v>8496139</v>
      </c>
      <c r="E11" s="20">
        <f>IF(ACTUALIZAR!D11="","",ACTUALIZAR!D11)</f>
        <v>1018645</v>
      </c>
      <c r="F11" s="20">
        <f t="shared" si="2"/>
        <v>9514784</v>
      </c>
    </row>
    <row r="12" spans="1:6" ht="19.5" customHeight="1" x14ac:dyDescent="0.25">
      <c r="A12" s="18" t="s">
        <v>39</v>
      </c>
      <c r="B12" s="19">
        <f t="shared" si="0"/>
        <v>3</v>
      </c>
      <c r="C12" s="19">
        <f t="shared" si="1"/>
        <v>32</v>
      </c>
      <c r="D12" s="56">
        <v>8770208</v>
      </c>
      <c r="E12" s="20">
        <f>IF(ACTUALIZAR!D12="","",ACTUALIZAR!D12)</f>
        <v>1018645</v>
      </c>
      <c r="F12" s="20">
        <f t="shared" si="2"/>
        <v>9788853</v>
      </c>
    </row>
    <row r="13" spans="1:6" ht="19.5" customHeight="1" x14ac:dyDescent="0.25">
      <c r="A13" s="18" t="s">
        <v>40</v>
      </c>
      <c r="B13" s="19">
        <f t="shared" si="0"/>
        <v>4</v>
      </c>
      <c r="C13" s="19">
        <f t="shared" si="1"/>
        <v>35</v>
      </c>
      <c r="D13" s="56">
        <v>9592417</v>
      </c>
      <c r="E13" s="20">
        <f>IF(ACTUALIZAR!D13="","",ACTUALIZAR!D13)</f>
        <v>1018645</v>
      </c>
      <c r="F13" s="20">
        <f t="shared" si="2"/>
        <v>10611062</v>
      </c>
    </row>
    <row r="14" spans="1:6" ht="19.5" customHeight="1" x14ac:dyDescent="0.25">
      <c r="A14" s="18" t="s">
        <v>41</v>
      </c>
      <c r="B14" s="19">
        <f t="shared" si="0"/>
        <v>9</v>
      </c>
      <c r="C14" s="19">
        <f t="shared" si="1"/>
        <v>74</v>
      </c>
      <c r="D14" s="56">
        <v>20281106</v>
      </c>
      <c r="E14" s="20">
        <f>IF(ACTUALIZAR!D14="","",ACTUALIZAR!D14)</f>
        <v>1018645</v>
      </c>
      <c r="F14" s="20">
        <f t="shared" si="2"/>
        <v>21299751</v>
      </c>
    </row>
    <row r="15" spans="1:6" ht="19.5" customHeight="1" x14ac:dyDescent="0.25">
      <c r="A15" s="18" t="s">
        <v>42</v>
      </c>
      <c r="B15" s="19">
        <f t="shared" si="0"/>
        <v>9</v>
      </c>
      <c r="C15" s="19">
        <f t="shared" si="1"/>
        <v>90</v>
      </c>
      <c r="D15" s="56">
        <v>24666210</v>
      </c>
      <c r="E15" s="20">
        <f>IF(ACTUALIZAR!D15="","",ACTUALIZAR!D15)</f>
        <v>1018645</v>
      </c>
      <c r="F15" s="20">
        <f t="shared" si="2"/>
        <v>25684855</v>
      </c>
    </row>
    <row r="16" spans="1:6" ht="19.5" customHeight="1" x14ac:dyDescent="0.25">
      <c r="A16" s="27" t="s">
        <v>43</v>
      </c>
      <c r="B16" s="28" t="str">
        <f t="shared" si="0"/>
        <v/>
      </c>
      <c r="C16" s="28" t="str">
        <f t="shared" si="1"/>
        <v/>
      </c>
      <c r="D16" s="57"/>
      <c r="E16" s="29" t="str">
        <f>IF(ACTUALIZAR!D16="","",ACTUALIZAR!D16)</f>
        <v/>
      </c>
      <c r="F16" s="29" t="str">
        <f t="shared" si="2"/>
        <v/>
      </c>
    </row>
    <row r="17" spans="1:6" ht="19.5" customHeight="1" x14ac:dyDescent="0.25">
      <c r="A17" s="27" t="s">
        <v>44</v>
      </c>
      <c r="B17" s="28" t="str">
        <f t="shared" si="0"/>
        <v/>
      </c>
      <c r="C17" s="28" t="str">
        <f t="shared" si="1"/>
        <v/>
      </c>
      <c r="D17" s="57"/>
      <c r="E17" s="29" t="str">
        <f>IF(ACTUALIZAR!D17="","",ACTUALIZAR!D17)</f>
        <v/>
      </c>
      <c r="F17" s="29" t="str">
        <f t="shared" si="2"/>
        <v/>
      </c>
    </row>
    <row r="18" spans="1:6" ht="19.5" customHeight="1" x14ac:dyDescent="0.25">
      <c r="A18" s="27" t="s">
        <v>45</v>
      </c>
      <c r="B18" s="28" t="str">
        <f t="shared" si="0"/>
        <v/>
      </c>
      <c r="C18" s="28" t="str">
        <f t="shared" si="1"/>
        <v/>
      </c>
      <c r="D18" s="57"/>
      <c r="E18" s="29" t="str">
        <f>IF(ACTUALIZAR!D18="","",ACTUALIZAR!D18)</f>
        <v/>
      </c>
      <c r="F18" s="29" t="str">
        <f t="shared" si="2"/>
        <v/>
      </c>
    </row>
    <row r="20" spans="1:6" ht="21.75" customHeight="1" x14ac:dyDescent="0.25">
      <c r="A20" s="147" t="s">
        <v>210</v>
      </c>
      <c r="B20" s="147"/>
      <c r="C20" s="147"/>
      <c r="D20" s="147"/>
      <c r="E20" s="147"/>
      <c r="F20" s="147"/>
    </row>
    <row r="22" spans="1:6" ht="33.75" customHeight="1" x14ac:dyDescent="0.25">
      <c r="A22" s="2" t="s">
        <v>9</v>
      </c>
      <c r="B22" s="2" t="s">
        <v>211</v>
      </c>
      <c r="C22" s="2" t="s">
        <v>212</v>
      </c>
      <c r="D22" s="2" t="s">
        <v>213</v>
      </c>
      <c r="E22" s="2" t="s">
        <v>214</v>
      </c>
      <c r="F22" s="2" t="s">
        <v>215</v>
      </c>
    </row>
    <row r="23" spans="1:6" ht="19.5" customHeight="1" x14ac:dyDescent="0.25">
      <c r="A23" s="4" t="s">
        <v>34</v>
      </c>
      <c r="B23" s="4" t="s">
        <v>216</v>
      </c>
      <c r="C23" s="4" t="s">
        <v>217</v>
      </c>
      <c r="D23" s="4" t="s">
        <v>218</v>
      </c>
      <c r="E23" s="5">
        <v>5</v>
      </c>
      <c r="F23" s="6">
        <v>1370345</v>
      </c>
    </row>
    <row r="24" spans="1:6" ht="19.5" customHeight="1" x14ac:dyDescent="0.25">
      <c r="A24" s="18" t="s">
        <v>34</v>
      </c>
      <c r="B24" s="18" t="s">
        <v>219</v>
      </c>
      <c r="C24" s="18" t="s">
        <v>217</v>
      </c>
      <c r="D24" s="18" t="s">
        <v>220</v>
      </c>
      <c r="E24" s="19">
        <v>26</v>
      </c>
      <c r="F24" s="20">
        <v>7125794</v>
      </c>
    </row>
    <row r="25" spans="1:6" ht="19.5" customHeight="1" x14ac:dyDescent="0.25">
      <c r="A25" s="18" t="s">
        <v>35</v>
      </c>
      <c r="B25" s="18" t="s">
        <v>216</v>
      </c>
      <c r="C25" s="18" t="s">
        <v>221</v>
      </c>
      <c r="D25" s="18" t="s">
        <v>222</v>
      </c>
      <c r="E25" s="19">
        <v>6</v>
      </c>
      <c r="F25" s="20">
        <v>1644414</v>
      </c>
    </row>
    <row r="26" spans="1:6" ht="19.5" customHeight="1" x14ac:dyDescent="0.25">
      <c r="A26" s="18" t="s">
        <v>35</v>
      </c>
      <c r="B26" s="18" t="s">
        <v>219</v>
      </c>
      <c r="C26" s="18" t="s">
        <v>217</v>
      </c>
      <c r="D26" s="18" t="s">
        <v>223</v>
      </c>
      <c r="E26" s="19">
        <v>28</v>
      </c>
      <c r="F26" s="20">
        <v>7673932</v>
      </c>
    </row>
    <row r="27" spans="1:6" ht="19.5" customHeight="1" x14ac:dyDescent="0.25">
      <c r="A27" s="18" t="s">
        <v>36</v>
      </c>
      <c r="B27" s="18" t="s">
        <v>216</v>
      </c>
      <c r="C27" s="18" t="s">
        <v>221</v>
      </c>
      <c r="D27" s="18" t="s">
        <v>224</v>
      </c>
      <c r="E27" s="19">
        <v>16</v>
      </c>
      <c r="F27" s="20">
        <v>4385104</v>
      </c>
    </row>
    <row r="28" spans="1:6" ht="19.5" customHeight="1" x14ac:dyDescent="0.25">
      <c r="A28" s="18" t="s">
        <v>36</v>
      </c>
      <c r="B28" s="18" t="s">
        <v>225</v>
      </c>
      <c r="C28" s="18" t="s">
        <v>217</v>
      </c>
      <c r="D28" s="18" t="s">
        <v>226</v>
      </c>
      <c r="E28" s="19">
        <v>15</v>
      </c>
      <c r="F28" s="20">
        <v>4111035</v>
      </c>
    </row>
    <row r="29" spans="1:6" ht="19.5" customHeight="1" x14ac:dyDescent="0.25">
      <c r="A29" s="18" t="s">
        <v>37</v>
      </c>
      <c r="B29" s="18" t="s">
        <v>225</v>
      </c>
      <c r="C29" s="18" t="s">
        <v>217</v>
      </c>
      <c r="D29" s="18" t="s">
        <v>227</v>
      </c>
      <c r="E29" s="19">
        <v>30</v>
      </c>
      <c r="F29" s="20">
        <v>8222070</v>
      </c>
    </row>
    <row r="30" spans="1:6" ht="19.5" customHeight="1" x14ac:dyDescent="0.25">
      <c r="A30" s="18" t="s">
        <v>38</v>
      </c>
      <c r="B30" s="18" t="s">
        <v>216</v>
      </c>
      <c r="C30" s="18" t="s">
        <v>221</v>
      </c>
      <c r="D30" s="18" t="s">
        <v>228</v>
      </c>
      <c r="E30" s="19">
        <v>3</v>
      </c>
      <c r="F30" s="20">
        <v>822207</v>
      </c>
    </row>
    <row r="31" spans="1:6" ht="19.5" customHeight="1" x14ac:dyDescent="0.25">
      <c r="A31" s="18" t="s">
        <v>38</v>
      </c>
      <c r="B31" s="18" t="s">
        <v>225</v>
      </c>
      <c r="C31" s="18" t="s">
        <v>217</v>
      </c>
      <c r="D31" s="18" t="s">
        <v>229</v>
      </c>
      <c r="E31" s="19">
        <v>28</v>
      </c>
      <c r="F31" s="20">
        <v>7673932</v>
      </c>
    </row>
    <row r="32" spans="1:6" ht="19.5" customHeight="1" x14ac:dyDescent="0.25">
      <c r="A32" s="18" t="s">
        <v>39</v>
      </c>
      <c r="B32" s="18" t="s">
        <v>216</v>
      </c>
      <c r="C32" s="18" t="s">
        <v>217</v>
      </c>
      <c r="D32" s="18" t="s">
        <v>230</v>
      </c>
      <c r="E32" s="19">
        <v>5</v>
      </c>
      <c r="F32" s="20">
        <v>1370345</v>
      </c>
    </row>
    <row r="33" spans="1:6" ht="19.5" customHeight="1" x14ac:dyDescent="0.25">
      <c r="A33" s="18" t="s">
        <v>39</v>
      </c>
      <c r="B33" s="18" t="s">
        <v>231</v>
      </c>
      <c r="C33" s="18" t="s">
        <v>217</v>
      </c>
      <c r="D33" s="18" t="s">
        <v>232</v>
      </c>
      <c r="E33" s="19">
        <v>2</v>
      </c>
      <c r="F33" s="20">
        <v>548138</v>
      </c>
    </row>
    <row r="34" spans="1:6" ht="19.5" customHeight="1" x14ac:dyDescent="0.25">
      <c r="A34" s="18" t="s">
        <v>39</v>
      </c>
      <c r="B34" s="18" t="s">
        <v>219</v>
      </c>
      <c r="C34" s="18" t="s">
        <v>217</v>
      </c>
      <c r="D34" s="18" t="s">
        <v>233</v>
      </c>
      <c r="E34" s="19">
        <v>25</v>
      </c>
      <c r="F34" s="20">
        <v>6851725</v>
      </c>
    </row>
    <row r="35" spans="1:6" ht="19.5" customHeight="1" x14ac:dyDescent="0.25">
      <c r="A35" s="18" t="s">
        <v>40</v>
      </c>
      <c r="B35" s="18" t="s">
        <v>234</v>
      </c>
      <c r="C35" s="18" t="s">
        <v>217</v>
      </c>
      <c r="D35" s="18" t="s">
        <v>235</v>
      </c>
      <c r="E35" s="19">
        <v>12</v>
      </c>
      <c r="F35" s="20">
        <v>3288828</v>
      </c>
    </row>
    <row r="36" spans="1:6" ht="19.5" customHeight="1" x14ac:dyDescent="0.25">
      <c r="A36" s="18" t="s">
        <v>40</v>
      </c>
      <c r="B36" s="18" t="s">
        <v>216</v>
      </c>
      <c r="C36" s="18" t="s">
        <v>217</v>
      </c>
      <c r="D36" s="18" t="s">
        <v>236</v>
      </c>
      <c r="E36" s="19">
        <v>19</v>
      </c>
      <c r="F36" s="20">
        <v>5207311</v>
      </c>
    </row>
    <row r="37" spans="1:6" ht="19.5" customHeight="1" x14ac:dyDescent="0.25">
      <c r="A37" s="18" t="s">
        <v>40</v>
      </c>
      <c r="B37" s="18" t="s">
        <v>231</v>
      </c>
      <c r="C37" s="18" t="s">
        <v>217</v>
      </c>
      <c r="D37" s="18" t="s">
        <v>237</v>
      </c>
      <c r="E37" s="19">
        <v>2</v>
      </c>
      <c r="F37" s="20">
        <v>548138</v>
      </c>
    </row>
    <row r="38" spans="1:6" ht="19.5" customHeight="1" x14ac:dyDescent="0.25">
      <c r="A38" s="18" t="s">
        <v>40</v>
      </c>
      <c r="B38" s="18" t="s">
        <v>238</v>
      </c>
      <c r="C38" s="18" t="s">
        <v>217</v>
      </c>
      <c r="D38" s="18" t="s">
        <v>237</v>
      </c>
      <c r="E38" s="19">
        <v>2</v>
      </c>
      <c r="F38" s="20">
        <v>548140</v>
      </c>
    </row>
    <row r="39" spans="1:6" ht="19.5" customHeight="1" x14ac:dyDescent="0.25">
      <c r="A39" s="18" t="s">
        <v>41</v>
      </c>
      <c r="B39" s="18" t="s">
        <v>234</v>
      </c>
      <c r="C39" s="18" t="s">
        <v>217</v>
      </c>
      <c r="D39" s="18" t="s">
        <v>239</v>
      </c>
      <c r="E39" s="19">
        <v>31</v>
      </c>
      <c r="F39" s="20">
        <v>8496139</v>
      </c>
    </row>
    <row r="40" spans="1:6" ht="19.5" customHeight="1" x14ac:dyDescent="0.25">
      <c r="A40" s="18" t="s">
        <v>41</v>
      </c>
      <c r="B40" s="18" t="s">
        <v>216</v>
      </c>
      <c r="C40" s="18" t="s">
        <v>217</v>
      </c>
      <c r="D40" s="18" t="s">
        <v>240</v>
      </c>
      <c r="E40" s="19">
        <v>10</v>
      </c>
      <c r="F40" s="20">
        <v>2740690</v>
      </c>
    </row>
    <row r="41" spans="1:6" ht="19.5" customHeight="1" x14ac:dyDescent="0.25">
      <c r="A41" s="18" t="s">
        <v>41</v>
      </c>
      <c r="B41" s="18" t="s">
        <v>241</v>
      </c>
      <c r="C41" s="18" t="s">
        <v>217</v>
      </c>
      <c r="D41" s="18" t="s">
        <v>242</v>
      </c>
      <c r="E41" s="19">
        <v>4</v>
      </c>
      <c r="F41" s="20">
        <v>1096276</v>
      </c>
    </row>
    <row r="42" spans="1:6" ht="19.5" customHeight="1" x14ac:dyDescent="0.25">
      <c r="A42" s="18" t="s">
        <v>41</v>
      </c>
      <c r="B42" s="18" t="s">
        <v>243</v>
      </c>
      <c r="C42" s="18" t="s">
        <v>217</v>
      </c>
      <c r="D42" s="18" t="s">
        <v>244</v>
      </c>
      <c r="E42" s="19">
        <v>3</v>
      </c>
      <c r="F42" s="20">
        <v>822207</v>
      </c>
    </row>
    <row r="43" spans="1:6" ht="19.5" customHeight="1" x14ac:dyDescent="0.25">
      <c r="A43" s="18" t="s">
        <v>41</v>
      </c>
      <c r="B43" s="18" t="s">
        <v>245</v>
      </c>
      <c r="C43" s="18" t="s">
        <v>217</v>
      </c>
      <c r="D43" s="18" t="s">
        <v>246</v>
      </c>
      <c r="E43" s="19">
        <v>8</v>
      </c>
      <c r="F43" s="20">
        <v>2192552</v>
      </c>
    </row>
    <row r="44" spans="1:6" ht="19.5" customHeight="1" x14ac:dyDescent="0.25">
      <c r="A44" s="18" t="s">
        <v>41</v>
      </c>
      <c r="B44" s="18" t="s">
        <v>231</v>
      </c>
      <c r="C44" s="18" t="s">
        <v>217</v>
      </c>
      <c r="D44" s="18" t="s">
        <v>247</v>
      </c>
      <c r="E44" s="19">
        <v>7</v>
      </c>
      <c r="F44" s="20">
        <v>1918483</v>
      </c>
    </row>
    <row r="45" spans="1:6" ht="19.5" customHeight="1" x14ac:dyDescent="0.25">
      <c r="A45" s="18" t="s">
        <v>41</v>
      </c>
      <c r="B45" s="18" t="s">
        <v>238</v>
      </c>
      <c r="C45" s="18" t="s">
        <v>217</v>
      </c>
      <c r="D45" s="18" t="s">
        <v>248</v>
      </c>
      <c r="E45" s="19">
        <v>5</v>
      </c>
      <c r="F45" s="20">
        <v>1370345</v>
      </c>
    </row>
    <row r="46" spans="1:6" ht="19.5" customHeight="1" x14ac:dyDescent="0.25">
      <c r="A46" s="18" t="s">
        <v>41</v>
      </c>
      <c r="B46" s="18" t="s">
        <v>249</v>
      </c>
      <c r="C46" s="18" t="s">
        <v>217</v>
      </c>
      <c r="D46" s="18" t="s">
        <v>250</v>
      </c>
      <c r="E46" s="19">
        <v>3</v>
      </c>
      <c r="F46" s="20">
        <v>822207</v>
      </c>
    </row>
    <row r="47" spans="1:6" ht="19.5" customHeight="1" x14ac:dyDescent="0.25">
      <c r="A47" s="18" t="s">
        <v>41</v>
      </c>
      <c r="B47" s="18" t="s">
        <v>251</v>
      </c>
      <c r="C47" s="18" t="s">
        <v>217</v>
      </c>
      <c r="D47" s="18" t="s">
        <v>244</v>
      </c>
      <c r="E47" s="19">
        <v>3</v>
      </c>
      <c r="F47" s="20">
        <v>822207</v>
      </c>
    </row>
    <row r="48" spans="1:6" ht="19.5" customHeight="1" x14ac:dyDescent="0.25">
      <c r="A48" s="18" t="s">
        <v>42</v>
      </c>
      <c r="B48" s="18" t="s">
        <v>472</v>
      </c>
      <c r="C48" s="18" t="s">
        <v>217</v>
      </c>
      <c r="D48" s="18" t="s">
        <v>473</v>
      </c>
      <c r="E48" s="19">
        <v>7</v>
      </c>
      <c r="F48" s="20">
        <v>1918483</v>
      </c>
    </row>
    <row r="49" spans="1:6" ht="19.5" customHeight="1" x14ac:dyDescent="0.25">
      <c r="A49" s="18" t="s">
        <v>42</v>
      </c>
      <c r="B49" s="18" t="s">
        <v>234</v>
      </c>
      <c r="C49" s="18" t="s">
        <v>217</v>
      </c>
      <c r="D49" s="18" t="s">
        <v>474</v>
      </c>
      <c r="E49" s="19">
        <v>30</v>
      </c>
      <c r="F49" s="20">
        <v>8222070</v>
      </c>
    </row>
    <row r="50" spans="1:6" ht="19.5" customHeight="1" x14ac:dyDescent="0.25">
      <c r="A50" s="18" t="s">
        <v>42</v>
      </c>
      <c r="B50" s="18" t="s">
        <v>241</v>
      </c>
      <c r="C50" s="18" t="s">
        <v>217</v>
      </c>
      <c r="D50" s="18" t="s">
        <v>475</v>
      </c>
      <c r="E50" s="19">
        <v>3</v>
      </c>
      <c r="F50" s="20">
        <v>822207</v>
      </c>
    </row>
    <row r="51" spans="1:6" ht="19.5" customHeight="1" x14ac:dyDescent="0.25">
      <c r="A51" s="18" t="s">
        <v>42</v>
      </c>
      <c r="B51" s="18" t="s">
        <v>243</v>
      </c>
      <c r="C51" s="18" t="s">
        <v>217</v>
      </c>
      <c r="D51" s="18" t="s">
        <v>476</v>
      </c>
      <c r="E51" s="19">
        <v>4</v>
      </c>
      <c r="F51" s="20">
        <v>1096276</v>
      </c>
    </row>
    <row r="52" spans="1:6" ht="19.5" customHeight="1" x14ac:dyDescent="0.25">
      <c r="A52" s="18" t="s">
        <v>42</v>
      </c>
      <c r="B52" s="18" t="s">
        <v>245</v>
      </c>
      <c r="C52" s="18" t="s">
        <v>217</v>
      </c>
      <c r="D52" s="18" t="s">
        <v>477</v>
      </c>
      <c r="E52" s="19">
        <v>18</v>
      </c>
      <c r="F52" s="20">
        <v>4933242</v>
      </c>
    </row>
    <row r="53" spans="1:6" ht="19.5" customHeight="1" x14ac:dyDescent="0.25">
      <c r="A53" s="18" t="s">
        <v>42</v>
      </c>
      <c r="B53" s="18" t="s">
        <v>231</v>
      </c>
      <c r="C53" s="18" t="s">
        <v>217</v>
      </c>
      <c r="D53" s="18" t="s">
        <v>478</v>
      </c>
      <c r="E53" s="19">
        <v>9</v>
      </c>
      <c r="F53" s="20">
        <v>2466621</v>
      </c>
    </row>
    <row r="54" spans="1:6" ht="19.5" customHeight="1" x14ac:dyDescent="0.25">
      <c r="A54" s="18" t="s">
        <v>42</v>
      </c>
      <c r="B54" s="18" t="s">
        <v>238</v>
      </c>
      <c r="C54" s="18" t="s">
        <v>217</v>
      </c>
      <c r="D54" s="18" t="s">
        <v>479</v>
      </c>
      <c r="E54" s="19">
        <v>5</v>
      </c>
      <c r="F54" s="20">
        <v>1370345</v>
      </c>
    </row>
    <row r="55" spans="1:6" ht="19.5" customHeight="1" x14ac:dyDescent="0.25">
      <c r="A55" s="18" t="s">
        <v>42</v>
      </c>
      <c r="B55" s="18" t="s">
        <v>249</v>
      </c>
      <c r="C55" s="18" t="s">
        <v>217</v>
      </c>
      <c r="D55" s="18" t="s">
        <v>480</v>
      </c>
      <c r="E55" s="19">
        <v>7</v>
      </c>
      <c r="F55" s="20">
        <v>1918483</v>
      </c>
    </row>
    <row r="56" spans="1:6" ht="19.5" customHeight="1" x14ac:dyDescent="0.25">
      <c r="A56" s="18" t="s">
        <v>42</v>
      </c>
      <c r="B56" s="18" t="s">
        <v>251</v>
      </c>
      <c r="C56" s="18" t="s">
        <v>217</v>
      </c>
      <c r="D56" s="18" t="s">
        <v>481</v>
      </c>
      <c r="E56" s="19">
        <v>7</v>
      </c>
      <c r="F56" s="20">
        <v>1918483</v>
      </c>
    </row>
    <row r="57" spans="1:6" ht="15" customHeight="1" x14ac:dyDescent="0.35">
      <c r="E57" s="58"/>
      <c r="F57" s="59"/>
    </row>
    <row r="58" spans="1:6" ht="15" customHeight="1" x14ac:dyDescent="0.35">
      <c r="E58" s="58"/>
      <c r="F58" s="59"/>
    </row>
    <row r="59" spans="1:6" ht="15" customHeight="1" x14ac:dyDescent="0.35">
      <c r="E59" s="58"/>
      <c r="F59" s="59"/>
    </row>
    <row r="60" spans="1:6" ht="15" customHeight="1" x14ac:dyDescent="0.35">
      <c r="E60" s="58"/>
      <c r="F60" s="59"/>
    </row>
    <row r="61" spans="1:6" ht="15" customHeight="1" x14ac:dyDescent="0.35">
      <c r="E61" s="58"/>
      <c r="F61" s="59"/>
    </row>
    <row r="62" spans="1:6" ht="15" customHeight="1" x14ac:dyDescent="0.35">
      <c r="E62" s="58"/>
      <c r="F62" s="59"/>
    </row>
    <row r="63" spans="1:6" ht="15" customHeight="1" x14ac:dyDescent="0.35">
      <c r="E63" s="58"/>
      <c r="F63" s="59"/>
    </row>
    <row r="64" spans="1:6" ht="15" customHeight="1" x14ac:dyDescent="0.35">
      <c r="E64" s="58"/>
      <c r="F64" s="59"/>
    </row>
    <row r="65" spans="5:6" ht="15" customHeight="1" x14ac:dyDescent="0.35">
      <c r="E65" s="58"/>
      <c r="F65" s="59"/>
    </row>
    <row r="66" spans="5:6" ht="15" customHeight="1" x14ac:dyDescent="0.35">
      <c r="E66" s="58"/>
      <c r="F66" s="59"/>
    </row>
    <row r="67" spans="5:6" ht="15" customHeight="1" x14ac:dyDescent="0.35">
      <c r="E67" s="58"/>
      <c r="F67" s="59"/>
    </row>
    <row r="68" spans="5:6" ht="15" customHeight="1" x14ac:dyDescent="0.35">
      <c r="E68" s="58"/>
      <c r="F68" s="59"/>
    </row>
    <row r="69" spans="5:6" ht="15" customHeight="1" x14ac:dyDescent="0.35">
      <c r="E69" s="58"/>
      <c r="F69" s="59"/>
    </row>
    <row r="70" spans="5:6" ht="15" customHeight="1" x14ac:dyDescent="0.35">
      <c r="E70" s="58"/>
      <c r="F70" s="59"/>
    </row>
    <row r="71" spans="5:6" ht="15" customHeight="1" x14ac:dyDescent="0.35">
      <c r="E71" s="58"/>
      <c r="F71" s="59"/>
    </row>
    <row r="72" spans="5:6" ht="15" customHeight="1" x14ac:dyDescent="0.35">
      <c r="E72" s="58"/>
      <c r="F72" s="59"/>
    </row>
    <row r="73" spans="5:6" ht="15" customHeight="1" x14ac:dyDescent="0.35">
      <c r="E73" s="58"/>
      <c r="F73" s="59"/>
    </row>
    <row r="74" spans="5:6" ht="15" customHeight="1" x14ac:dyDescent="0.35">
      <c r="E74" s="58"/>
      <c r="F74" s="59"/>
    </row>
    <row r="75" spans="5:6" ht="15" customHeight="1" x14ac:dyDescent="0.35">
      <c r="E75" s="58"/>
      <c r="F75" s="59"/>
    </row>
    <row r="76" spans="5:6" ht="15" customHeight="1" x14ac:dyDescent="0.35">
      <c r="E76" s="58"/>
      <c r="F76" s="59"/>
    </row>
    <row r="77" spans="5:6" ht="15" customHeight="1" x14ac:dyDescent="0.35">
      <c r="E77" s="58"/>
      <c r="F77" s="59"/>
    </row>
    <row r="78" spans="5:6" ht="15" customHeight="1" x14ac:dyDescent="0.35">
      <c r="E78" s="58"/>
      <c r="F78" s="59"/>
    </row>
    <row r="79" spans="5:6" ht="15" customHeight="1" x14ac:dyDescent="0.35">
      <c r="E79" s="58"/>
      <c r="F79" s="59"/>
    </row>
    <row r="80" spans="5:6" ht="15" customHeight="1" x14ac:dyDescent="0.35">
      <c r="E80" s="58"/>
      <c r="F80" s="59"/>
    </row>
    <row r="81" spans="5:6" ht="15" customHeight="1" x14ac:dyDescent="0.35">
      <c r="E81" s="58"/>
      <c r="F81" s="59"/>
    </row>
    <row r="82" spans="5:6" ht="15" customHeight="1" x14ac:dyDescent="0.35">
      <c r="E82" s="58"/>
      <c r="F82" s="59"/>
    </row>
    <row r="83" spans="5:6" ht="15" customHeight="1" x14ac:dyDescent="0.35">
      <c r="E83" s="58"/>
      <c r="F83" s="59"/>
    </row>
    <row r="84" spans="5:6" ht="15" customHeight="1" x14ac:dyDescent="0.35">
      <c r="E84" s="58"/>
      <c r="F84" s="59"/>
    </row>
    <row r="85" spans="5:6" ht="15" customHeight="1" x14ac:dyDescent="0.35">
      <c r="E85" s="58"/>
      <c r="F85" s="59"/>
    </row>
    <row r="86" spans="5:6" ht="15" customHeight="1" x14ac:dyDescent="0.35">
      <c r="E86" s="58"/>
      <c r="F86" s="59"/>
    </row>
    <row r="87" spans="5:6" ht="15" customHeight="1" x14ac:dyDescent="0.35">
      <c r="E87" s="58"/>
      <c r="F87" s="59"/>
    </row>
    <row r="88" spans="5:6" ht="15" customHeight="1" x14ac:dyDescent="0.35">
      <c r="E88" s="58"/>
      <c r="F88" s="59"/>
    </row>
    <row r="89" spans="5:6" ht="15" customHeight="1" x14ac:dyDescent="0.35">
      <c r="E89" s="58"/>
      <c r="F89" s="59"/>
    </row>
    <row r="90" spans="5:6" ht="15" customHeight="1" x14ac:dyDescent="0.35">
      <c r="E90" s="58"/>
      <c r="F90" s="59"/>
    </row>
    <row r="91" spans="5:6" ht="15" customHeight="1" x14ac:dyDescent="0.35">
      <c r="E91" s="58"/>
      <c r="F91" s="59"/>
    </row>
    <row r="92" spans="5:6" ht="15" customHeight="1" x14ac:dyDescent="0.35">
      <c r="E92" s="58"/>
      <c r="F92" s="59"/>
    </row>
    <row r="93" spans="5:6" ht="15" customHeight="1" x14ac:dyDescent="0.35">
      <c r="E93" s="58"/>
      <c r="F93" s="59"/>
    </row>
    <row r="94" spans="5:6" ht="15" customHeight="1" x14ac:dyDescent="0.35">
      <c r="E94" s="58"/>
      <c r="F94" s="59"/>
    </row>
    <row r="95" spans="5:6" ht="15" customHeight="1" x14ac:dyDescent="0.35">
      <c r="E95" s="58"/>
      <c r="F95" s="59"/>
    </row>
    <row r="96" spans="5:6" ht="15" customHeight="1" x14ac:dyDescent="0.35">
      <c r="E96" s="58"/>
      <c r="F96" s="59"/>
    </row>
    <row r="97" spans="5:6" ht="15" customHeight="1" x14ac:dyDescent="0.35">
      <c r="E97" s="58"/>
      <c r="F97" s="59"/>
    </row>
    <row r="98" spans="5:6" ht="15" customHeight="1" x14ac:dyDescent="0.35">
      <c r="E98" s="58"/>
      <c r="F98" s="59"/>
    </row>
    <row r="99" spans="5:6" ht="15" customHeight="1" x14ac:dyDescent="0.35">
      <c r="E99" s="58"/>
      <c r="F99" s="59"/>
    </row>
    <row r="100" spans="5:6" ht="15" customHeight="1" x14ac:dyDescent="0.35">
      <c r="E100" s="58"/>
      <c r="F100" s="59"/>
    </row>
    <row r="101" spans="5:6" ht="15" customHeight="1" x14ac:dyDescent="0.35">
      <c r="E101" s="58"/>
      <c r="F101" s="59"/>
    </row>
    <row r="102" spans="5:6" ht="15" customHeight="1" x14ac:dyDescent="0.35">
      <c r="E102" s="58"/>
      <c r="F102" s="59"/>
    </row>
    <row r="103" spans="5:6" ht="15" customHeight="1" x14ac:dyDescent="0.35">
      <c r="E103" s="58"/>
      <c r="F103" s="59"/>
    </row>
    <row r="104" spans="5:6" ht="15" customHeight="1" x14ac:dyDescent="0.35">
      <c r="E104" s="58"/>
      <c r="F104" s="59"/>
    </row>
    <row r="105" spans="5:6" ht="15" customHeight="1" x14ac:dyDescent="0.35">
      <c r="E105" s="58"/>
      <c r="F105" s="59"/>
    </row>
    <row r="106" spans="5:6" ht="15" customHeight="1" x14ac:dyDescent="0.35">
      <c r="E106" s="58"/>
      <c r="F106" s="59"/>
    </row>
    <row r="107" spans="5:6" ht="15" customHeight="1" x14ac:dyDescent="0.35">
      <c r="E107" s="58"/>
      <c r="F107" s="59"/>
    </row>
    <row r="108" spans="5:6" ht="15" customHeight="1" x14ac:dyDescent="0.35">
      <c r="E108" s="58"/>
      <c r="F108" s="59"/>
    </row>
    <row r="109" spans="5:6" ht="15" customHeight="1" x14ac:dyDescent="0.35">
      <c r="E109" s="58"/>
      <c r="F109" s="59"/>
    </row>
    <row r="110" spans="5:6" ht="15" customHeight="1" x14ac:dyDescent="0.35">
      <c r="E110" s="58"/>
      <c r="F110" s="59"/>
    </row>
    <row r="111" spans="5:6" ht="15" customHeight="1" x14ac:dyDescent="0.35">
      <c r="E111" s="58"/>
      <c r="F111" s="59"/>
    </row>
    <row r="112" spans="5:6" ht="15" customHeight="1" x14ac:dyDescent="0.35">
      <c r="E112" s="58"/>
      <c r="F112" s="59"/>
    </row>
    <row r="113" spans="5:6" ht="15" customHeight="1" x14ac:dyDescent="0.35">
      <c r="E113" s="58"/>
      <c r="F113" s="59"/>
    </row>
    <row r="114" spans="5:6" ht="15" customHeight="1" x14ac:dyDescent="0.35">
      <c r="E114" s="58"/>
      <c r="F114" s="59"/>
    </row>
    <row r="115" spans="5:6" ht="15" customHeight="1" x14ac:dyDescent="0.35">
      <c r="E115" s="58"/>
      <c r="F115" s="59"/>
    </row>
    <row r="116" spans="5:6" ht="15" customHeight="1" x14ac:dyDescent="0.35">
      <c r="E116" s="58"/>
      <c r="F116" s="59"/>
    </row>
    <row r="117" spans="5:6" ht="15" customHeight="1" x14ac:dyDescent="0.35">
      <c r="E117" s="58"/>
      <c r="F117" s="59"/>
    </row>
    <row r="118" spans="5:6" ht="15" customHeight="1" x14ac:dyDescent="0.35">
      <c r="E118" s="58"/>
      <c r="F118" s="59"/>
    </row>
    <row r="119" spans="5:6" ht="15" customHeight="1" x14ac:dyDescent="0.35">
      <c r="E119" s="58"/>
      <c r="F119" s="59"/>
    </row>
    <row r="120" spans="5:6" ht="15" customHeight="1" x14ac:dyDescent="0.35">
      <c r="E120" s="58"/>
      <c r="F120" s="59"/>
    </row>
    <row r="121" spans="5:6" ht="15" customHeight="1" x14ac:dyDescent="0.35">
      <c r="E121" s="58"/>
      <c r="F121" s="59"/>
    </row>
    <row r="122" spans="5:6" ht="15" customHeight="1" x14ac:dyDescent="0.35">
      <c r="E122" s="58"/>
      <c r="F122" s="59"/>
    </row>
    <row r="123" spans="5:6" ht="15" customHeight="1" x14ac:dyDescent="0.35">
      <c r="E123" s="58"/>
      <c r="F123" s="59"/>
    </row>
    <row r="124" spans="5:6" ht="15" customHeight="1" x14ac:dyDescent="0.35">
      <c r="E124" s="58"/>
      <c r="F124" s="59"/>
    </row>
    <row r="125" spans="5:6" ht="15" customHeight="1" x14ac:dyDescent="0.35">
      <c r="E125" s="58"/>
      <c r="F125" s="59"/>
    </row>
    <row r="126" spans="5:6" ht="15" customHeight="1" x14ac:dyDescent="0.35">
      <c r="E126" s="58"/>
      <c r="F126" s="59"/>
    </row>
    <row r="127" spans="5:6" ht="15" customHeight="1" x14ac:dyDescent="0.35">
      <c r="E127" s="58"/>
      <c r="F127" s="59"/>
    </row>
    <row r="128" spans="5:6" ht="15" customHeight="1" x14ac:dyDescent="0.35">
      <c r="E128" s="58"/>
      <c r="F128" s="59"/>
    </row>
    <row r="129" spans="5:6" ht="15" customHeight="1" x14ac:dyDescent="0.35">
      <c r="E129" s="58"/>
      <c r="F129" s="59"/>
    </row>
    <row r="130" spans="5:6" ht="15" customHeight="1" x14ac:dyDescent="0.35">
      <c r="E130" s="58"/>
      <c r="F130" s="59"/>
    </row>
    <row r="131" spans="5:6" ht="15" customHeight="1" x14ac:dyDescent="0.35">
      <c r="E131" s="58"/>
      <c r="F131" s="59"/>
    </row>
    <row r="132" spans="5:6" ht="15" customHeight="1" x14ac:dyDescent="0.35">
      <c r="E132" s="58"/>
      <c r="F132" s="59"/>
    </row>
    <row r="133" spans="5:6" ht="15" customHeight="1" x14ac:dyDescent="0.35">
      <c r="E133" s="58"/>
      <c r="F133" s="59"/>
    </row>
    <row r="134" spans="5:6" ht="15" customHeight="1" x14ac:dyDescent="0.35">
      <c r="E134" s="58"/>
      <c r="F134" s="59"/>
    </row>
    <row r="135" spans="5:6" ht="15" customHeight="1" x14ac:dyDescent="0.35">
      <c r="E135" s="58"/>
      <c r="F135" s="59"/>
    </row>
    <row r="136" spans="5:6" ht="15" customHeight="1" x14ac:dyDescent="0.35">
      <c r="E136" s="58"/>
      <c r="F136" s="59"/>
    </row>
    <row r="137" spans="5:6" ht="15" customHeight="1" x14ac:dyDescent="0.35">
      <c r="E137" s="58"/>
      <c r="F137" s="59"/>
    </row>
    <row r="138" spans="5:6" ht="15" customHeight="1" x14ac:dyDescent="0.35">
      <c r="E138" s="58"/>
      <c r="F138" s="59"/>
    </row>
    <row r="139" spans="5:6" ht="15" customHeight="1" x14ac:dyDescent="0.35">
      <c r="E139" s="58"/>
      <c r="F139" s="59"/>
    </row>
    <row r="140" spans="5:6" ht="15" customHeight="1" x14ac:dyDescent="0.35">
      <c r="E140" s="58"/>
      <c r="F140" s="59"/>
    </row>
    <row r="141" spans="5:6" ht="15" customHeight="1" x14ac:dyDescent="0.35">
      <c r="E141" s="58"/>
      <c r="F141" s="59"/>
    </row>
    <row r="142" spans="5:6" ht="15" customHeight="1" x14ac:dyDescent="0.35">
      <c r="E142" s="58"/>
      <c r="F142" s="59"/>
    </row>
    <row r="143" spans="5:6" ht="15" customHeight="1" x14ac:dyDescent="0.35">
      <c r="E143" s="58"/>
      <c r="F143" s="59"/>
    </row>
    <row r="144" spans="5:6" ht="15" customHeight="1" x14ac:dyDescent="0.35">
      <c r="E144" s="58"/>
      <c r="F144" s="59"/>
    </row>
    <row r="145" spans="5:6" ht="15" customHeight="1" x14ac:dyDescent="0.35">
      <c r="E145" s="58"/>
      <c r="F145" s="59"/>
    </row>
    <row r="146" spans="5:6" ht="15" customHeight="1" x14ac:dyDescent="0.35">
      <c r="E146" s="58"/>
      <c r="F146" s="59"/>
    </row>
    <row r="147" spans="5:6" ht="15" customHeight="1" x14ac:dyDescent="0.35">
      <c r="E147" s="58"/>
      <c r="F147" s="59"/>
    </row>
    <row r="148" spans="5:6" ht="15" customHeight="1" x14ac:dyDescent="0.35">
      <c r="E148" s="58"/>
      <c r="F148" s="59"/>
    </row>
    <row r="149" spans="5:6" ht="15" customHeight="1" x14ac:dyDescent="0.35">
      <c r="E149" s="58"/>
      <c r="F149" s="59"/>
    </row>
    <row r="150" spans="5:6" ht="15" customHeight="1" x14ac:dyDescent="0.35">
      <c r="E150" s="58"/>
      <c r="F150" s="59"/>
    </row>
  </sheetData>
  <mergeCells count="4">
    <mergeCell ref="A1:F1"/>
    <mergeCell ref="A2:F2"/>
    <mergeCell ref="A4:F4"/>
    <mergeCell ref="A20:F20"/>
  </mergeCells>
  <dataValidations count="2">
    <dataValidation type="list" sqref="A23:A150" xr:uid="{00000000-0002-0000-0300-000000000000}">
      <formula1>"Enero,Febrero,Marzo,Abril,Mayo,Junio,Julio,Agosto,Septiembre,Octubre,Noviembre,Diciembre"</formula1>
      <formula2>0</formula2>
    </dataValidation>
    <dataValidation type="list" sqref="C23:C150" xr:uid="{00000000-0002-0000-0300-000001000000}">
      <formula1>"Principal,Backup"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2727-81F3-4F78-82D4-F39DEC74E2B9}">
  <dimension ref="A1:I20"/>
  <sheetViews>
    <sheetView showGridLines="0" topLeftCell="A4" zoomScaleNormal="100" workbookViewId="0">
      <selection activeCell="A2" sqref="A2"/>
    </sheetView>
  </sheetViews>
  <sheetFormatPr baseColWidth="10" defaultColWidth="8.6328125" defaultRowHeight="12.5" x14ac:dyDescent="0.25"/>
  <cols>
    <col min="1" max="2" width="14" style="1" customWidth="1"/>
    <col min="3" max="4" width="19" style="1" customWidth="1"/>
    <col min="5" max="6" width="18" style="1" customWidth="1"/>
    <col min="7" max="8" width="20" style="1" customWidth="1"/>
    <col min="9" max="9" width="12" style="1" customWidth="1"/>
  </cols>
  <sheetData>
    <row r="1" spans="1:9" ht="30" customHeight="1" x14ac:dyDescent="0.25">
      <c r="A1" s="132" t="s">
        <v>252</v>
      </c>
      <c r="B1" s="132"/>
      <c r="C1" s="132"/>
      <c r="D1" s="132"/>
      <c r="E1" s="132"/>
      <c r="F1" s="132"/>
      <c r="G1" s="132"/>
      <c r="H1" s="132"/>
    </row>
    <row r="2" spans="1:9" ht="24" customHeight="1" x14ac:dyDescent="0.25">
      <c r="A2" s="133" t="s">
        <v>253</v>
      </c>
      <c r="B2" s="133"/>
      <c r="C2" s="133"/>
      <c r="D2" s="133"/>
      <c r="E2" s="133"/>
      <c r="F2" s="133"/>
      <c r="G2" s="133"/>
      <c r="H2" s="133"/>
    </row>
    <row r="4" spans="1:9" ht="21.75" customHeight="1" x14ac:dyDescent="0.25">
      <c r="A4" s="136" t="s">
        <v>254</v>
      </c>
      <c r="B4" s="136"/>
      <c r="C4" s="136"/>
      <c r="D4" s="136"/>
      <c r="E4" s="136"/>
      <c r="F4" s="136"/>
      <c r="G4" s="136"/>
      <c r="H4" s="136"/>
    </row>
    <row r="6" spans="1:9" ht="33.75" customHeight="1" x14ac:dyDescent="0.35">
      <c r="A6" s="2" t="s">
        <v>9</v>
      </c>
      <c r="B6" s="2" t="s">
        <v>255</v>
      </c>
      <c r="C6" s="2" t="s">
        <v>13</v>
      </c>
      <c r="D6" s="2" t="s">
        <v>256</v>
      </c>
      <c r="E6" s="2" t="s">
        <v>17</v>
      </c>
      <c r="F6" s="2" t="s">
        <v>18</v>
      </c>
      <c r="G6" s="2" t="s">
        <v>20</v>
      </c>
      <c r="H6" s="2" t="s">
        <v>257</v>
      </c>
      <c r="I6" s="60" t="s">
        <v>21</v>
      </c>
    </row>
    <row r="7" spans="1:9" ht="19.5" customHeight="1" x14ac:dyDescent="0.35">
      <c r="A7" s="4" t="s">
        <v>34</v>
      </c>
      <c r="B7" s="61">
        <v>88</v>
      </c>
      <c r="C7" s="55">
        <v>12918273</v>
      </c>
      <c r="D7" s="55">
        <v>1018645</v>
      </c>
      <c r="E7" s="62">
        <v>13228.63</v>
      </c>
      <c r="F7" s="63">
        <v>9124.66</v>
      </c>
      <c r="G7" s="10" t="s">
        <v>82</v>
      </c>
      <c r="H7" s="10" t="str">
        <f>IF(AND(B7&lt;&gt;"",C7&lt;&gt;"",D7&lt;&gt;"",E7&lt;&gt;"",F7&lt;&gt;"",PPK!F7&lt;&gt;""),"Completo","Pendiente")</f>
        <v>Completo</v>
      </c>
      <c r="I7" s="64">
        <v>905</v>
      </c>
    </row>
    <row r="8" spans="1:9" ht="19.5" customHeight="1" x14ac:dyDescent="0.35">
      <c r="A8" s="18" t="s">
        <v>35</v>
      </c>
      <c r="B8" s="65">
        <v>54</v>
      </c>
      <c r="C8" s="56">
        <v>12918273</v>
      </c>
      <c r="D8" s="56">
        <v>1018645</v>
      </c>
      <c r="E8" s="66">
        <v>13525.31</v>
      </c>
      <c r="F8" s="67">
        <v>9863.83</v>
      </c>
      <c r="G8" s="24" t="s">
        <v>258</v>
      </c>
      <c r="H8" s="25" t="str">
        <f>IF(AND(B8&lt;&gt;"",C8&lt;&gt;"",D8&lt;&gt;"",E8&lt;&gt;"",F8&lt;&gt;"",PPK!F8&lt;&gt;""),"Completo","Pendiente")</f>
        <v>Completo</v>
      </c>
      <c r="I8" s="64">
        <v>905</v>
      </c>
    </row>
    <row r="9" spans="1:9" ht="19.5" customHeight="1" x14ac:dyDescent="0.35">
      <c r="A9" s="18" t="s">
        <v>36</v>
      </c>
      <c r="B9" s="65">
        <v>72</v>
      </c>
      <c r="C9" s="56">
        <v>12918273</v>
      </c>
      <c r="D9" s="56">
        <v>1018645</v>
      </c>
      <c r="E9" s="66">
        <v>7812.79</v>
      </c>
      <c r="F9" s="67">
        <v>8916.26</v>
      </c>
      <c r="G9" s="25" t="s">
        <v>82</v>
      </c>
      <c r="H9" s="25" t="str">
        <f>IF(AND(B9&lt;&gt;"",C9&lt;&gt;"",D9&lt;&gt;"",E9&lt;&gt;"",F9&lt;&gt;"",PPK!F9&lt;&gt;""),"Completo","Pendiente")</f>
        <v>Completo</v>
      </c>
      <c r="I9" s="64">
        <v>905</v>
      </c>
    </row>
    <row r="10" spans="1:9" ht="19.5" customHeight="1" x14ac:dyDescent="0.35">
      <c r="A10" s="18" t="s">
        <v>37</v>
      </c>
      <c r="B10" s="65">
        <v>23</v>
      </c>
      <c r="C10" s="56">
        <v>12918273</v>
      </c>
      <c r="D10" s="56">
        <v>1018645</v>
      </c>
      <c r="E10" s="66">
        <v>804.81</v>
      </c>
      <c r="F10" s="67">
        <v>1039.94</v>
      </c>
      <c r="G10" s="25" t="s">
        <v>82</v>
      </c>
      <c r="H10" s="25" t="str">
        <f>IF(AND(B10&lt;&gt;"",C10&lt;&gt;"",D10&lt;&gt;"",E10&lt;&gt;"",F10&lt;&gt;"",PPK!F10&lt;&gt;""),"Completo","Pendiente")</f>
        <v>Completo</v>
      </c>
      <c r="I10" s="64">
        <v>905</v>
      </c>
    </row>
    <row r="11" spans="1:9" ht="19.5" customHeight="1" x14ac:dyDescent="0.35">
      <c r="A11" s="18" t="s">
        <v>38</v>
      </c>
      <c r="B11" s="65">
        <v>47</v>
      </c>
      <c r="C11" s="56">
        <v>12918273</v>
      </c>
      <c r="D11" s="56">
        <v>1018645</v>
      </c>
      <c r="E11" s="66">
        <v>8444.64</v>
      </c>
      <c r="F11" s="67">
        <v>11586.2650566585</v>
      </c>
      <c r="G11" s="24" t="s">
        <v>258</v>
      </c>
      <c r="H11" s="25" t="str">
        <f>IF(AND(B11&lt;&gt;"",C11&lt;&gt;"",D11&lt;&gt;"",E11&lt;&gt;"",F11&lt;&gt;"",PPK!F11&lt;&gt;""),"Completo","Pendiente")</f>
        <v>Completo</v>
      </c>
      <c r="I11" s="64">
        <v>905</v>
      </c>
    </row>
    <row r="12" spans="1:9" ht="19.5" customHeight="1" x14ac:dyDescent="0.35">
      <c r="A12" s="18" t="s">
        <v>39</v>
      </c>
      <c r="B12" s="65">
        <v>213</v>
      </c>
      <c r="C12" s="56">
        <v>12918273</v>
      </c>
      <c r="D12" s="56">
        <v>1018645</v>
      </c>
      <c r="E12" s="66">
        <v>7391.7</v>
      </c>
      <c r="F12" s="67">
        <v>7360.34</v>
      </c>
      <c r="G12" s="25" t="s">
        <v>82</v>
      </c>
      <c r="H12" s="25" t="str">
        <f>IF(AND(B12&lt;&gt;"",C12&lt;&gt;"",D12&lt;&gt;"",E12&lt;&gt;"",F12&lt;&gt;"",PPK!F12&lt;&gt;""),"Completo","Pendiente")</f>
        <v>Completo</v>
      </c>
      <c r="I12" s="64">
        <v>905</v>
      </c>
    </row>
    <row r="13" spans="1:9" ht="19.5" customHeight="1" x14ac:dyDescent="0.35">
      <c r="A13" s="18" t="s">
        <v>40</v>
      </c>
      <c r="B13" s="65">
        <v>547</v>
      </c>
      <c r="C13" s="56">
        <v>13585968.4319939</v>
      </c>
      <c r="D13" s="56">
        <v>1018645</v>
      </c>
      <c r="E13" s="66">
        <v>19860.919999999998</v>
      </c>
      <c r="F13" s="67">
        <v>22032.17</v>
      </c>
      <c r="G13" s="24" t="s">
        <v>258</v>
      </c>
      <c r="H13" s="25" t="str">
        <f>IF(AND(B13&lt;&gt;"",C13&lt;&gt;"",D13&lt;&gt;"",E13&lt;&gt;"",F13&lt;&gt;"",PPK!F13&lt;&gt;""),"Completo","Pendiente")</f>
        <v>Completo</v>
      </c>
      <c r="I13" s="64">
        <v>905</v>
      </c>
    </row>
    <row r="14" spans="1:9" ht="19.5" customHeight="1" x14ac:dyDescent="0.35">
      <c r="A14" s="18" t="s">
        <v>41</v>
      </c>
      <c r="B14" s="65">
        <v>751</v>
      </c>
      <c r="C14" s="56">
        <v>13919815.1136028</v>
      </c>
      <c r="D14" s="56">
        <v>1018645</v>
      </c>
      <c r="E14" s="66">
        <v>39428.230000000003</v>
      </c>
      <c r="F14" s="67">
        <v>47923.3</v>
      </c>
      <c r="G14" s="26" t="s">
        <v>82</v>
      </c>
      <c r="H14" s="25" t="str">
        <f>IF(AND(B14&lt;&gt;"",C14&lt;&gt;"",D14&lt;&gt;"",E14&lt;&gt;"",F14&lt;&gt;"",PPK!F14&lt;&gt;""),"Completo","Pendiente")</f>
        <v>Completo</v>
      </c>
      <c r="I14" s="64">
        <v>905</v>
      </c>
    </row>
    <row r="15" spans="1:9" ht="19.5" customHeight="1" x14ac:dyDescent="0.35">
      <c r="A15" s="18" t="s">
        <v>42</v>
      </c>
      <c r="B15" s="65">
        <v>1151</v>
      </c>
      <c r="C15" s="56">
        <v>14253663.863987889</v>
      </c>
      <c r="D15" s="56">
        <v>1018645</v>
      </c>
      <c r="E15" s="66">
        <v>58941.29</v>
      </c>
      <c r="F15" s="67">
        <v>79706.23</v>
      </c>
      <c r="G15" s="26" t="s">
        <v>258</v>
      </c>
      <c r="H15" s="26" t="str">
        <f>IF(AND(B15&lt;&gt;"",C15&lt;&gt;"",D15&lt;&gt;"",E15&lt;&gt;"",F15&lt;&gt;"",PPK!F15&lt;&gt;""),"Completo","Pendiente")</f>
        <v>Completo</v>
      </c>
      <c r="I15" s="64">
        <v>905</v>
      </c>
    </row>
    <row r="16" spans="1:9" ht="19.5" customHeight="1" x14ac:dyDescent="0.35">
      <c r="A16" s="18" t="s">
        <v>43</v>
      </c>
      <c r="B16" s="68"/>
      <c r="C16" s="57"/>
      <c r="D16" s="57"/>
      <c r="E16" s="69"/>
      <c r="F16" s="70"/>
      <c r="G16" s="26" t="s">
        <v>102</v>
      </c>
      <c r="H16" s="26" t="str">
        <f>IF(AND(B16&lt;&gt;"",C16&lt;&gt;"",D16&lt;&gt;"",E16&lt;&gt;"",F16&lt;&gt;"",PPK!F16&lt;&gt;""),"Completo","Pendiente")</f>
        <v>Pendiente</v>
      </c>
      <c r="I16" s="71"/>
    </row>
    <row r="17" spans="1:9" ht="19.5" customHeight="1" x14ac:dyDescent="0.35">
      <c r="A17" s="18" t="s">
        <v>44</v>
      </c>
      <c r="B17" s="68"/>
      <c r="C17" s="57"/>
      <c r="D17" s="57"/>
      <c r="E17" s="69"/>
      <c r="F17" s="70"/>
      <c r="G17" s="26" t="s">
        <v>102</v>
      </c>
      <c r="H17" s="26" t="str">
        <f>IF(AND(B17&lt;&gt;"",C17&lt;&gt;"",D17&lt;&gt;"",E17&lt;&gt;"",F17&lt;&gt;"",PPK!F17&lt;&gt;""),"Completo","Pendiente")</f>
        <v>Pendiente</v>
      </c>
      <c r="I17" s="71"/>
    </row>
    <row r="18" spans="1:9" ht="19.5" customHeight="1" x14ac:dyDescent="0.35">
      <c r="A18" s="18" t="s">
        <v>45</v>
      </c>
      <c r="B18" s="68"/>
      <c r="C18" s="57"/>
      <c r="D18" s="57"/>
      <c r="E18" s="69"/>
      <c r="F18" s="70"/>
      <c r="G18" s="26" t="s">
        <v>102</v>
      </c>
      <c r="H18" s="26" t="str">
        <f>IF(AND(B18&lt;&gt;"",C18&lt;&gt;"",D18&lt;&gt;"",E18&lt;&gt;"",F18&lt;&gt;"",PPK!F18&lt;&gt;""),"Completo","Pendiente")</f>
        <v>Pendiente</v>
      </c>
      <c r="I18" s="71"/>
    </row>
    <row r="20" spans="1:9" ht="30" customHeight="1" x14ac:dyDescent="0.25">
      <c r="A20" s="148" t="s">
        <v>259</v>
      </c>
      <c r="B20" s="148"/>
      <c r="C20" s="148"/>
      <c r="D20" s="148"/>
      <c r="E20" s="148"/>
      <c r="F20" s="148"/>
      <c r="G20" s="148"/>
      <c r="H20" s="148"/>
    </row>
  </sheetData>
  <mergeCells count="4">
    <mergeCell ref="A1:H1"/>
    <mergeCell ref="A2:H2"/>
    <mergeCell ref="A4:H4"/>
    <mergeCell ref="A20:H20"/>
  </mergeCells>
  <conditionalFormatting sqref="G7:G18">
    <cfRule type="cellIs" dxfId="17" priority="2" operator="equal">
      <formula>"Completo"</formula>
    </cfRule>
    <cfRule type="cellIs" dxfId="16" priority="3" operator="equal">
      <formula>"Disponible"</formula>
    </cfRule>
    <cfRule type="cellIs" dxfId="15" priority="4" operator="equal">
      <formula>"Disponible (solo EDP)"</formula>
    </cfRule>
    <cfRule type="cellIs" dxfId="14" priority="5" operator="equal">
      <formula>"Disponible incompleto"</formula>
    </cfRule>
    <cfRule type="cellIs" dxfId="13" priority="6" operator="equal">
      <formula>"Parcial"</formula>
    </cfRule>
    <cfRule type="cellIs" dxfId="12" priority="7" operator="equal">
      <formula>"EDP pendiente"</formula>
    </cfRule>
    <cfRule type="cellIs" dxfId="11" priority="8" operator="equal">
      <formula>"Pendiente"</formula>
    </cfRule>
    <cfRule type="cellIs" dxfId="10" priority="9" operator="equal">
      <formula>"Sin registro"</formula>
    </cfRule>
  </conditionalFormatting>
  <conditionalFormatting sqref="H7:H18">
    <cfRule type="cellIs" dxfId="9" priority="10" operator="equal">
      <formula>"Completo"</formula>
    </cfRule>
    <cfRule type="cellIs" dxfId="8" priority="11" operator="equal">
      <formula>"Disponible"</formula>
    </cfRule>
    <cfRule type="cellIs" dxfId="7" priority="12" operator="equal">
      <formula>"Disponible (solo EDP)"</formula>
    </cfRule>
    <cfRule type="cellIs" dxfId="6" priority="13" operator="equal">
      <formula>"Disponible incompleto"</formula>
    </cfRule>
    <cfRule type="cellIs" dxfId="5" priority="14" operator="equal">
      <formula>"Parcial"</formula>
    </cfRule>
    <cfRule type="cellIs" dxfId="4" priority="15" operator="equal">
      <formula>"EDP pendiente"</formula>
    </cfRule>
    <cfRule type="cellIs" dxfId="3" priority="16" operator="equal">
      <formula>"Pendiente"</formula>
    </cfRule>
    <cfRule type="cellIs" dxfId="2" priority="17" operator="equal">
      <formula>"Sin registro"</formula>
    </cfRule>
  </conditionalFormatting>
  <dataValidations count="1">
    <dataValidation type="list" sqref="G7:G18" xr:uid="{00000000-0002-0000-0400-000000000000}">
      <formula1>"Disponible,Disponible incompleto,EDP pendiente,Pendiente"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BE44-C099-438F-A6DA-87DB4928F517}">
  <dimension ref="A1:G20"/>
  <sheetViews>
    <sheetView topLeftCell="A2" zoomScaleNormal="100" workbookViewId="0">
      <selection activeCell="D20" sqref="D20"/>
    </sheetView>
  </sheetViews>
  <sheetFormatPr baseColWidth="10" defaultColWidth="8.6328125" defaultRowHeight="12.5" x14ac:dyDescent="0.25"/>
  <cols>
    <col min="1" max="1" width="14" style="1" customWidth="1"/>
    <col min="2" max="2" width="12" style="1" customWidth="1"/>
    <col min="3" max="4" width="17" style="1" customWidth="1"/>
    <col min="5" max="7" width="14" style="1" customWidth="1"/>
  </cols>
  <sheetData>
    <row r="1" spans="1:7" ht="30" customHeight="1" x14ac:dyDescent="0.25">
      <c r="A1" s="149" t="s">
        <v>260</v>
      </c>
      <c r="B1" s="149"/>
      <c r="C1" s="149"/>
      <c r="D1" s="149"/>
      <c r="E1" s="149"/>
      <c r="F1" s="149"/>
      <c r="G1" s="149"/>
    </row>
    <row r="2" spans="1:7" ht="27.75" customHeight="1" x14ac:dyDescent="0.25">
      <c r="A2" s="150" t="s">
        <v>261</v>
      </c>
      <c r="B2" s="150"/>
      <c r="C2" s="150"/>
      <c r="D2" s="150"/>
      <c r="E2" s="150"/>
      <c r="F2" s="150"/>
      <c r="G2" s="150"/>
    </row>
    <row r="4" spans="1:7" ht="12.75" customHeight="1" x14ac:dyDescent="0.25">
      <c r="A4" s="72" t="s">
        <v>262</v>
      </c>
      <c r="B4" s="72"/>
      <c r="C4" s="72" t="s">
        <v>263</v>
      </c>
      <c r="D4" s="72"/>
      <c r="E4" s="72" t="s">
        <v>264</v>
      </c>
      <c r="F4" s="72"/>
      <c r="G4" s="72" t="s">
        <v>265</v>
      </c>
    </row>
    <row r="5" spans="1:7" ht="15" customHeight="1" x14ac:dyDescent="0.25">
      <c r="A5" s="73">
        <f>SUM(C8:C19)</f>
        <v>169438.32</v>
      </c>
      <c r="B5" s="74"/>
      <c r="C5" s="75">
        <f>SUM(D8:D19)</f>
        <v>197552.99505665849</v>
      </c>
      <c r="D5" s="74"/>
      <c r="E5" s="76">
        <f>IFERROR(C5/A5,"")</f>
        <v>1.1659286698348903</v>
      </c>
      <c r="F5" s="74"/>
      <c r="G5" s="77">
        <f>SUM(B8:B19)</f>
        <v>2946</v>
      </c>
    </row>
    <row r="7" spans="1:7" ht="12.75" customHeight="1" x14ac:dyDescent="0.25">
      <c r="A7" s="78" t="s">
        <v>9</v>
      </c>
      <c r="B7" s="78" t="s">
        <v>10</v>
      </c>
      <c r="C7" s="78" t="s">
        <v>17</v>
      </c>
      <c r="D7" s="78" t="s">
        <v>18</v>
      </c>
      <c r="E7" s="78" t="s">
        <v>266</v>
      </c>
      <c r="F7" s="78" t="s">
        <v>267</v>
      </c>
      <c r="G7" s="78" t="s">
        <v>268</v>
      </c>
    </row>
    <row r="8" spans="1:7" ht="12" customHeight="1" x14ac:dyDescent="0.25">
      <c r="A8" s="79" t="s">
        <v>34</v>
      </c>
      <c r="B8" s="80">
        <f>ACTUALIZAR!B7</f>
        <v>88</v>
      </c>
      <c r="C8" s="81">
        <f>ACTUALIZAR!E7</f>
        <v>13228.63</v>
      </c>
      <c r="D8" s="82">
        <f>ACTUALIZAR!F7</f>
        <v>9124.66</v>
      </c>
      <c r="E8" s="83">
        <f t="shared" ref="E8:E20" si="0">IFERROR(D8/C8,"")</f>
        <v>0.68976606043104993</v>
      </c>
      <c r="F8" s="84">
        <f t="shared" ref="F8:F20" si="1">IFERROR(C8/B8,"")</f>
        <v>150.3253409090909</v>
      </c>
      <c r="G8" s="82">
        <f t="shared" ref="G8:G20" si="2">IFERROR(D8/B8,"")</f>
        <v>103.68931818181818</v>
      </c>
    </row>
    <row r="9" spans="1:7" ht="12" customHeight="1" x14ac:dyDescent="0.25">
      <c r="A9" s="79" t="s">
        <v>35</v>
      </c>
      <c r="B9" s="80">
        <f>ACTUALIZAR!B8</f>
        <v>54</v>
      </c>
      <c r="C9" s="81">
        <f>ACTUALIZAR!E8</f>
        <v>13525.31</v>
      </c>
      <c r="D9" s="82">
        <f>ACTUALIZAR!F8</f>
        <v>9863.83</v>
      </c>
      <c r="E9" s="83">
        <f t="shared" si="0"/>
        <v>0.72928679638396465</v>
      </c>
      <c r="F9" s="84">
        <f t="shared" si="1"/>
        <v>250.46870370370368</v>
      </c>
      <c r="G9" s="82">
        <f t="shared" si="2"/>
        <v>182.66351851851852</v>
      </c>
    </row>
    <row r="10" spans="1:7" ht="12" customHeight="1" x14ac:dyDescent="0.25">
      <c r="A10" s="79" t="s">
        <v>36</v>
      </c>
      <c r="B10" s="80">
        <f>ACTUALIZAR!B9</f>
        <v>72</v>
      </c>
      <c r="C10" s="81">
        <f>ACTUALIZAR!E9</f>
        <v>7812.79</v>
      </c>
      <c r="D10" s="82">
        <f>ACTUALIZAR!F9</f>
        <v>8916.26</v>
      </c>
      <c r="E10" s="83">
        <f t="shared" si="0"/>
        <v>1.1412389172113933</v>
      </c>
      <c r="F10" s="84">
        <f t="shared" si="1"/>
        <v>108.51097222222222</v>
      </c>
      <c r="G10" s="82">
        <f t="shared" si="2"/>
        <v>123.83694444444444</v>
      </c>
    </row>
    <row r="11" spans="1:7" ht="12" customHeight="1" x14ac:dyDescent="0.25">
      <c r="A11" s="79" t="s">
        <v>37</v>
      </c>
      <c r="B11" s="80">
        <f>ACTUALIZAR!B10</f>
        <v>23</v>
      </c>
      <c r="C11" s="81">
        <f>ACTUALIZAR!E10</f>
        <v>804.81</v>
      </c>
      <c r="D11" s="82">
        <f>ACTUALIZAR!F10</f>
        <v>1039.94</v>
      </c>
      <c r="E11" s="83">
        <f t="shared" si="0"/>
        <v>1.2921559125756392</v>
      </c>
      <c r="F11" s="84">
        <f t="shared" si="1"/>
        <v>34.99173913043478</v>
      </c>
      <c r="G11" s="82">
        <f t="shared" si="2"/>
        <v>45.214782608695657</v>
      </c>
    </row>
    <row r="12" spans="1:7" ht="12" customHeight="1" x14ac:dyDescent="0.25">
      <c r="A12" s="79" t="s">
        <v>38</v>
      </c>
      <c r="B12" s="80">
        <f>ACTUALIZAR!B11</f>
        <v>47</v>
      </c>
      <c r="C12" s="81">
        <f>ACTUALIZAR!E11</f>
        <v>8444.64</v>
      </c>
      <c r="D12" s="82">
        <f>ACTUALIZAR!F11</f>
        <v>11586.2650566585</v>
      </c>
      <c r="E12" s="83">
        <f t="shared" si="0"/>
        <v>1.3720259308458975</v>
      </c>
      <c r="F12" s="84">
        <f t="shared" si="1"/>
        <v>179.6731914893617</v>
      </c>
      <c r="G12" s="82">
        <f t="shared" si="2"/>
        <v>246.51627780124468</v>
      </c>
    </row>
    <row r="13" spans="1:7" ht="12" customHeight="1" x14ac:dyDescent="0.25">
      <c r="A13" s="79" t="s">
        <v>39</v>
      </c>
      <c r="B13" s="80">
        <f>ACTUALIZAR!B12</f>
        <v>213</v>
      </c>
      <c r="C13" s="81">
        <f>ACTUALIZAR!E12</f>
        <v>7391.7</v>
      </c>
      <c r="D13" s="82">
        <f>ACTUALIZAR!F12</f>
        <v>7360.34</v>
      </c>
      <c r="E13" s="83">
        <f t="shared" si="0"/>
        <v>0.99575740357427933</v>
      </c>
      <c r="F13" s="84">
        <f t="shared" si="1"/>
        <v>34.702816901408447</v>
      </c>
      <c r="G13" s="82">
        <f t="shared" si="2"/>
        <v>34.555586854460095</v>
      </c>
    </row>
    <row r="14" spans="1:7" ht="12" customHeight="1" x14ac:dyDescent="0.25">
      <c r="A14" s="79" t="s">
        <v>40</v>
      </c>
      <c r="B14" s="80">
        <f>ACTUALIZAR!B13</f>
        <v>547</v>
      </c>
      <c r="C14" s="81">
        <f>ACTUALIZAR!E13</f>
        <v>19860.919999999998</v>
      </c>
      <c r="D14" s="82">
        <f>ACTUALIZAR!F13</f>
        <v>22032.17</v>
      </c>
      <c r="E14" s="83">
        <f t="shared" si="0"/>
        <v>1.1093227302662716</v>
      </c>
      <c r="F14" s="84">
        <f t="shared" si="1"/>
        <v>36.308811700182815</v>
      </c>
      <c r="G14" s="82">
        <f t="shared" si="2"/>
        <v>40.278190127970745</v>
      </c>
    </row>
    <row r="15" spans="1:7" ht="12" customHeight="1" x14ac:dyDescent="0.25">
      <c r="A15" s="79" t="s">
        <v>41</v>
      </c>
      <c r="B15" s="80">
        <f>ACTUALIZAR!B14</f>
        <v>751</v>
      </c>
      <c r="C15" s="81">
        <f>ACTUALIZAR!E14</f>
        <v>39428.230000000003</v>
      </c>
      <c r="D15" s="82">
        <f>ACTUALIZAR!F14</f>
        <v>47923.3</v>
      </c>
      <c r="E15" s="83">
        <f t="shared" si="0"/>
        <v>1.2154565396417745</v>
      </c>
      <c r="F15" s="84">
        <f t="shared" si="1"/>
        <v>52.500972037283624</v>
      </c>
      <c r="G15" s="82">
        <f t="shared" si="2"/>
        <v>63.812649800266314</v>
      </c>
    </row>
    <row r="16" spans="1:7" ht="12" customHeight="1" x14ac:dyDescent="0.25">
      <c r="A16" s="79" t="s">
        <v>42</v>
      </c>
      <c r="B16" s="80">
        <f>ACTUALIZAR!B15</f>
        <v>1151</v>
      </c>
      <c r="C16" s="81">
        <f>ACTUALIZAR!E15</f>
        <v>58941.29</v>
      </c>
      <c r="D16" s="82">
        <f>ACTUALIZAR!F15</f>
        <v>79706.23</v>
      </c>
      <c r="E16" s="83">
        <f t="shared" si="0"/>
        <v>1.3522987026581874</v>
      </c>
      <c r="F16" s="84">
        <f t="shared" si="1"/>
        <v>51.208766290182453</v>
      </c>
      <c r="G16" s="82">
        <f t="shared" si="2"/>
        <v>69.249548218940049</v>
      </c>
    </row>
    <row r="17" spans="1:7" ht="12" customHeight="1" x14ac:dyDescent="0.25">
      <c r="A17" s="79" t="s">
        <v>43</v>
      </c>
      <c r="B17" s="80">
        <f>ACTUALIZAR!B16</f>
        <v>0</v>
      </c>
      <c r="C17" s="81">
        <f>ACTUALIZAR!E16</f>
        <v>0</v>
      </c>
      <c r="D17" s="82">
        <f>ACTUALIZAR!F16</f>
        <v>0</v>
      </c>
      <c r="E17" s="83" t="str">
        <f t="shared" si="0"/>
        <v/>
      </c>
      <c r="F17" s="84" t="str">
        <f t="shared" si="1"/>
        <v/>
      </c>
      <c r="G17" s="82" t="str">
        <f t="shared" si="2"/>
        <v/>
      </c>
    </row>
    <row r="18" spans="1:7" ht="12" customHeight="1" x14ac:dyDescent="0.25">
      <c r="A18" s="79" t="s">
        <v>44</v>
      </c>
      <c r="B18" s="80">
        <f>ACTUALIZAR!B17</f>
        <v>0</v>
      </c>
      <c r="C18" s="81">
        <f>ACTUALIZAR!E17</f>
        <v>0</v>
      </c>
      <c r="D18" s="82">
        <f>ACTUALIZAR!F17</f>
        <v>0</v>
      </c>
      <c r="E18" s="83" t="str">
        <f t="shared" si="0"/>
        <v/>
      </c>
      <c r="F18" s="84" t="str">
        <f t="shared" si="1"/>
        <v/>
      </c>
      <c r="G18" s="82" t="str">
        <f t="shared" si="2"/>
        <v/>
      </c>
    </row>
    <row r="19" spans="1:7" ht="12" customHeight="1" x14ac:dyDescent="0.25">
      <c r="A19" s="79" t="s">
        <v>45</v>
      </c>
      <c r="B19" s="80">
        <f>ACTUALIZAR!B18</f>
        <v>0</v>
      </c>
      <c r="C19" s="81">
        <f>ACTUALIZAR!E18</f>
        <v>0</v>
      </c>
      <c r="D19" s="82">
        <f>ACTUALIZAR!F18</f>
        <v>0</v>
      </c>
      <c r="E19" s="83" t="str">
        <f t="shared" si="0"/>
        <v/>
      </c>
      <c r="F19" s="84" t="str">
        <f t="shared" si="1"/>
        <v/>
      </c>
      <c r="G19" s="82" t="str">
        <f t="shared" si="2"/>
        <v/>
      </c>
    </row>
    <row r="20" spans="1:7" ht="12.75" customHeight="1" x14ac:dyDescent="0.25">
      <c r="A20" s="85" t="s">
        <v>68</v>
      </c>
      <c r="B20" s="86">
        <f>SUM(B8:B19)</f>
        <v>2946</v>
      </c>
      <c r="C20" s="87">
        <f>SUM(C8:C19)</f>
        <v>169438.32</v>
      </c>
      <c r="D20" s="88">
        <f>SUM(D8:D19)</f>
        <v>197552.99505665849</v>
      </c>
      <c r="E20" s="89">
        <f t="shared" si="0"/>
        <v>1.1659286698348903</v>
      </c>
      <c r="F20" s="90">
        <f t="shared" si="1"/>
        <v>57.514704684317721</v>
      </c>
      <c r="G20" s="88">
        <f t="shared" si="2"/>
        <v>67.058043128533086</v>
      </c>
    </row>
  </sheetData>
  <mergeCells count="2">
    <mergeCell ref="A1:G1"/>
    <mergeCell ref="A2:G2"/>
  </mergeCells>
  <conditionalFormatting sqref="F8:F19"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{857B703E-48D0-4A7A-8A18-A0D26BD4D120}</x14:id>
        </ext>
      </extLst>
    </cfRule>
  </conditionalFormatting>
  <conditionalFormatting sqref="G8:G19">
    <cfRule type="dataBar" priority="3">
      <dataBar>
        <cfvo type="min"/>
        <cfvo type="max"/>
        <color rgb="FF156082"/>
      </dataBar>
      <extLst>
        <ext xmlns:x14="http://schemas.microsoft.com/office/spreadsheetml/2009/9/main" uri="{B025F937-C7B1-47D3-B67F-A62EFF666E3E}">
          <x14:id>{DF8AA8BA-A4FF-4597-ACB0-B61E3D59D932}</x14:id>
        </ext>
      </extLst>
    </cfRule>
    <cfRule type="expression" dxfId="1" priority="4">
      <formula>AND(G8&lt;&gt;"",G8&gt;AVERAGE($G$8:$G$19))</formula>
    </cfRule>
    <cfRule type="expression" dxfId="0" priority="5">
      <formula>AND(G8&lt;&gt;"",G8&lt;=AVERAGE($G$8:$G$19))</formula>
    </cfRule>
  </conditionalFormatting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7B703E-48D0-4A7A-8A18-A0D26BD4D120}">
            <x14:dataBar axisPosition="none">
              <x14:cfvo type="min"/>
              <x14:cfvo type="max"/>
              <x14:negativeFillColor rgb="FFA02B93"/>
            </x14:dataBar>
          </x14:cfRule>
          <xm:sqref>F8:F19</xm:sqref>
        </x14:conditionalFormatting>
        <x14:conditionalFormatting xmlns:xm="http://schemas.microsoft.com/office/excel/2006/main">
          <x14:cfRule type="dataBar" id="{DF8AA8BA-A4FF-4597-ACB0-B61E3D59D932}">
            <x14:dataBar axisPosition="none">
              <x14:cfvo type="min"/>
              <x14:cfvo type="max"/>
              <x14:negativeFillColor rgb="FF156082"/>
            </x14:dataBar>
          </x14:cfRule>
          <xm:sqref>G8:G19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842F-BC47-425C-8296-4865D5C2FAC0}">
  <dimension ref="A1:T4000"/>
  <sheetViews>
    <sheetView showGridLines="0" workbookViewId="0">
      <pane ySplit="6" topLeftCell="A7" activePane="bottomLeft" state="frozen"/>
      <selection pane="bottomLeft" activeCell="A7" sqref="A7"/>
    </sheetView>
  </sheetViews>
  <sheetFormatPr baseColWidth="10" defaultColWidth="8.7265625" defaultRowHeight="12.5" x14ac:dyDescent="0.25"/>
  <cols>
    <col min="1" max="1" width="8" customWidth="1"/>
    <col min="2" max="2" width="15" customWidth="1"/>
    <col min="3" max="3" width="22" customWidth="1"/>
    <col min="4" max="4" width="13" customWidth="1"/>
    <col min="5" max="5" width="16" customWidth="1"/>
    <col min="6" max="7" width="17" customWidth="1"/>
    <col min="8" max="8" width="26" customWidth="1"/>
    <col min="9" max="9" width="8" customWidth="1"/>
    <col min="10" max="10" width="34" customWidth="1"/>
    <col min="11" max="11" width="10" customWidth="1"/>
    <col min="12" max="12" width="12" customWidth="1"/>
    <col min="13" max="13" width="11" customWidth="1"/>
    <col min="14" max="14" width="16" customWidth="1"/>
    <col min="15" max="16" width="2" customWidth="1"/>
    <col min="17" max="17" width="9" customWidth="1"/>
    <col min="18" max="19" width="14" customWidth="1"/>
    <col min="20" max="20" width="12" customWidth="1"/>
  </cols>
  <sheetData>
    <row r="1" spans="1:20" ht="30" customHeight="1" x14ac:dyDescent="0.25">
      <c r="A1" s="132" t="s">
        <v>482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20" ht="24" customHeight="1" x14ac:dyDescent="0.25">
      <c r="A2" s="133" t="s">
        <v>483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</row>
    <row r="4" spans="1:20" ht="18" customHeight="1" x14ac:dyDescent="0.25">
      <c r="A4" s="94" t="s">
        <v>484</v>
      </c>
      <c r="B4" s="94"/>
      <c r="C4" s="91">
        <f>COUNTA(E7:E4000)</f>
        <v>3246</v>
      </c>
      <c r="E4" s="94" t="s">
        <v>485</v>
      </c>
      <c r="F4" s="91">
        <f>COUNTIF(I7:I4000,"Sí")</f>
        <v>3107</v>
      </c>
      <c r="H4" s="94" t="s">
        <v>486</v>
      </c>
      <c r="I4" s="94" t="s">
        <v>487</v>
      </c>
    </row>
    <row r="6" spans="1:20" ht="33.75" customHeight="1" x14ac:dyDescent="0.25">
      <c r="A6" s="2" t="s">
        <v>488</v>
      </c>
      <c r="B6" s="2" t="s">
        <v>489</v>
      </c>
      <c r="C6" s="2" t="s">
        <v>74</v>
      </c>
      <c r="D6" s="2" t="s">
        <v>490</v>
      </c>
      <c r="E6" s="2" t="s">
        <v>491</v>
      </c>
      <c r="F6" s="2" t="s">
        <v>492</v>
      </c>
      <c r="G6" s="2" t="s">
        <v>493</v>
      </c>
      <c r="H6" s="2" t="s">
        <v>494</v>
      </c>
      <c r="I6" s="2" t="s">
        <v>495</v>
      </c>
      <c r="J6" s="2" t="s">
        <v>496</v>
      </c>
      <c r="K6" s="2" t="s">
        <v>497</v>
      </c>
      <c r="L6" s="2" t="s">
        <v>498</v>
      </c>
      <c r="M6" s="2" t="s">
        <v>499</v>
      </c>
      <c r="N6" s="2" t="s">
        <v>500</v>
      </c>
      <c r="Q6" s="2" t="s">
        <v>211</v>
      </c>
      <c r="R6" s="2" t="s">
        <v>501</v>
      </c>
      <c r="S6" s="2" t="s">
        <v>502</v>
      </c>
      <c r="T6" s="2" t="s">
        <v>503</v>
      </c>
    </row>
    <row r="7" spans="1:20" ht="14.5" x14ac:dyDescent="0.25">
      <c r="A7" s="19">
        <v>26</v>
      </c>
      <c r="B7" s="18" t="s">
        <v>504</v>
      </c>
      <c r="C7" s="18" t="s">
        <v>116</v>
      </c>
      <c r="D7" s="18" t="s">
        <v>505</v>
      </c>
      <c r="E7" s="18" t="s">
        <v>506</v>
      </c>
      <c r="F7" s="101">
        <v>45986.543749999997</v>
      </c>
      <c r="G7" s="101">
        <v>45992.388888888891</v>
      </c>
      <c r="H7" s="18" t="s">
        <v>507</v>
      </c>
      <c r="I7" s="18" t="s">
        <v>508</v>
      </c>
      <c r="J7" s="18"/>
      <c r="K7" s="21">
        <f t="shared" ref="K7:K70" si="0">IF(I7="Sí",(G7-F7)*24,"")</f>
        <v>140.28333333344199</v>
      </c>
      <c r="L7" s="19">
        <f t="shared" ref="L7:L70" si="1">IF(I7="Sí",COUNTIFS($F$7:$F$4000,"&lt;="&amp;F7,$G$7:$G$4000,"&gt;"&amp;F7,$I$7:$I$4000,"Sí"),"")</f>
        <v>1</v>
      </c>
      <c r="M7" s="18" t="str">
        <f>IF(I7&lt;&gt;"Sí","",IF(YEAR(F7)&lt;&gt;2026,"",INDEX({"Enero","Febrero","Marzo","Abril","Mayo","Junio","Julio","Agosto","Septiembre","Octubre","Noviembre","Diciembre"},MONTH(F7))))</f>
        <v/>
      </c>
      <c r="N7" s="18" t="str">
        <f t="shared" ref="N7:N70" si="2">IF(M7="","",M7&amp;"|"&amp;L7)</f>
        <v/>
      </c>
      <c r="Q7" s="18" t="s">
        <v>216</v>
      </c>
      <c r="R7" s="102">
        <v>46023</v>
      </c>
      <c r="S7" s="102">
        <v>46027</v>
      </c>
      <c r="T7" s="18" t="s">
        <v>34</v>
      </c>
    </row>
    <row r="8" spans="1:20" ht="14.5" x14ac:dyDescent="0.25">
      <c r="A8" s="19">
        <v>26</v>
      </c>
      <c r="B8" s="18" t="s">
        <v>504</v>
      </c>
      <c r="C8" s="18" t="s">
        <v>116</v>
      </c>
      <c r="D8" s="18" t="s">
        <v>505</v>
      </c>
      <c r="E8" s="18" t="s">
        <v>509</v>
      </c>
      <c r="F8" s="101">
        <v>45986.621527777781</v>
      </c>
      <c r="G8" s="101">
        <v>45992.388888888891</v>
      </c>
      <c r="H8" s="18" t="s">
        <v>507</v>
      </c>
      <c r="I8" s="18" t="s">
        <v>508</v>
      </c>
      <c r="J8" s="18"/>
      <c r="K8" s="21">
        <f t="shared" si="0"/>
        <v>138.41666666662786</v>
      </c>
      <c r="L8" s="19">
        <f t="shared" si="1"/>
        <v>4</v>
      </c>
      <c r="M8" s="18" t="str">
        <f>IF(I8&lt;&gt;"Sí","",IF(YEAR(F8)&lt;&gt;2026,"",INDEX({"Enero","Febrero","Marzo","Abril","Mayo","Junio","Julio","Agosto","Septiembre","Octubre","Noviembre","Diciembre"},MONTH(F8))))</f>
        <v/>
      </c>
      <c r="N8" s="18" t="str">
        <f t="shared" si="2"/>
        <v/>
      </c>
      <c r="Q8" s="18" t="s">
        <v>219</v>
      </c>
      <c r="R8" s="102">
        <v>46028</v>
      </c>
      <c r="S8" s="102">
        <v>46053</v>
      </c>
      <c r="T8" s="18" t="s">
        <v>34</v>
      </c>
    </row>
    <row r="9" spans="1:20" ht="14.5" x14ac:dyDescent="0.25">
      <c r="A9" s="19">
        <v>26</v>
      </c>
      <c r="B9" s="18" t="s">
        <v>504</v>
      </c>
      <c r="C9" s="18" t="s">
        <v>116</v>
      </c>
      <c r="D9" s="18" t="s">
        <v>505</v>
      </c>
      <c r="E9" s="18" t="s">
        <v>510</v>
      </c>
      <c r="F9" s="101">
        <v>45986.621527777781</v>
      </c>
      <c r="G9" s="101">
        <v>45992.388888888891</v>
      </c>
      <c r="H9" s="18" t="s">
        <v>507</v>
      </c>
      <c r="I9" s="18" t="s">
        <v>508</v>
      </c>
      <c r="J9" s="18"/>
      <c r="K9" s="21">
        <f t="shared" si="0"/>
        <v>138.41666666662786</v>
      </c>
      <c r="L9" s="19">
        <f t="shared" si="1"/>
        <v>4</v>
      </c>
      <c r="M9" s="18" t="str">
        <f>IF(I9&lt;&gt;"Sí","",IF(YEAR(F9)&lt;&gt;2026,"",INDEX({"Enero","Febrero","Marzo","Abril","Mayo","Junio","Julio","Agosto","Septiembre","Octubre","Noviembre","Diciembre"},MONTH(F9))))</f>
        <v/>
      </c>
      <c r="N9" s="18" t="str">
        <f t="shared" si="2"/>
        <v/>
      </c>
      <c r="Q9" s="18" t="s">
        <v>216</v>
      </c>
      <c r="R9" s="102">
        <v>46053</v>
      </c>
      <c r="S9" s="102">
        <v>46058</v>
      </c>
      <c r="T9" s="18" t="s">
        <v>35</v>
      </c>
    </row>
    <row r="10" spans="1:20" ht="14.5" x14ac:dyDescent="0.25">
      <c r="A10" s="19">
        <v>26</v>
      </c>
      <c r="B10" s="18" t="s">
        <v>504</v>
      </c>
      <c r="C10" s="18" t="s">
        <v>116</v>
      </c>
      <c r="D10" s="18" t="s">
        <v>505</v>
      </c>
      <c r="E10" s="18" t="s">
        <v>511</v>
      </c>
      <c r="F10" s="101">
        <v>45986.621527777781</v>
      </c>
      <c r="G10" s="101">
        <v>45992.388888888891</v>
      </c>
      <c r="H10" s="18" t="s">
        <v>507</v>
      </c>
      <c r="I10" s="18" t="s">
        <v>508</v>
      </c>
      <c r="J10" s="18"/>
      <c r="K10" s="21">
        <f t="shared" si="0"/>
        <v>138.41666666662786</v>
      </c>
      <c r="L10" s="19">
        <f t="shared" si="1"/>
        <v>4</v>
      </c>
      <c r="M10" s="18" t="str">
        <f>IF(I10&lt;&gt;"Sí","",IF(YEAR(F10)&lt;&gt;2026,"",INDEX({"Enero","Febrero","Marzo","Abril","Mayo","Junio","Julio","Agosto","Septiembre","Octubre","Noviembre","Diciembre"},MONTH(F10))))</f>
        <v/>
      </c>
      <c r="N10" s="18" t="str">
        <f t="shared" si="2"/>
        <v/>
      </c>
      <c r="Q10" s="18" t="s">
        <v>219</v>
      </c>
      <c r="R10" s="102">
        <v>46054</v>
      </c>
      <c r="S10" s="102">
        <v>46081</v>
      </c>
      <c r="T10" s="18" t="s">
        <v>35</v>
      </c>
    </row>
    <row r="11" spans="1:20" ht="14.5" x14ac:dyDescent="0.25">
      <c r="A11" s="19">
        <v>26</v>
      </c>
      <c r="B11" s="18" t="s">
        <v>504</v>
      </c>
      <c r="C11" s="18" t="s">
        <v>116</v>
      </c>
      <c r="D11" s="18" t="s">
        <v>505</v>
      </c>
      <c r="E11" s="18" t="s">
        <v>512</v>
      </c>
      <c r="F11" s="101">
        <v>45987.465277777781</v>
      </c>
      <c r="G11" s="101">
        <v>45992.388888888891</v>
      </c>
      <c r="H11" s="18" t="s">
        <v>507</v>
      </c>
      <c r="I11" s="18" t="s">
        <v>508</v>
      </c>
      <c r="J11" s="18"/>
      <c r="K11" s="21">
        <f t="shared" si="0"/>
        <v>118.16666666662786</v>
      </c>
      <c r="L11" s="19">
        <f t="shared" si="1"/>
        <v>6</v>
      </c>
      <c r="M11" s="18" t="str">
        <f>IF(I11&lt;&gt;"Sí","",IF(YEAR(F11)&lt;&gt;2026,"",INDEX({"Enero","Febrero","Marzo","Abril","Mayo","Junio","Julio","Agosto","Septiembre","Octubre","Noviembre","Diciembre"},MONTH(F11))))</f>
        <v/>
      </c>
      <c r="N11" s="18" t="str">
        <f t="shared" si="2"/>
        <v/>
      </c>
      <c r="Q11" s="18" t="s">
        <v>216</v>
      </c>
      <c r="R11" s="102">
        <v>46082</v>
      </c>
      <c r="S11" s="102">
        <v>46097</v>
      </c>
      <c r="T11" s="18" t="s">
        <v>36</v>
      </c>
    </row>
    <row r="12" spans="1:20" ht="14.5" x14ac:dyDescent="0.25">
      <c r="A12" s="19">
        <v>26</v>
      </c>
      <c r="B12" s="18" t="s">
        <v>504</v>
      </c>
      <c r="C12" s="18" t="s">
        <v>116</v>
      </c>
      <c r="D12" s="18" t="s">
        <v>505</v>
      </c>
      <c r="E12" s="18" t="s">
        <v>513</v>
      </c>
      <c r="F12" s="101">
        <v>45987.465277777781</v>
      </c>
      <c r="G12" s="101">
        <v>45992.388888888891</v>
      </c>
      <c r="H12" s="18" t="s">
        <v>507</v>
      </c>
      <c r="I12" s="18" t="s">
        <v>508</v>
      </c>
      <c r="J12" s="18"/>
      <c r="K12" s="21">
        <f t="shared" si="0"/>
        <v>118.16666666662786</v>
      </c>
      <c r="L12" s="19">
        <f t="shared" si="1"/>
        <v>6</v>
      </c>
      <c r="M12" s="18" t="str">
        <f>IF(I12&lt;&gt;"Sí","",IF(YEAR(F12)&lt;&gt;2026,"",INDEX({"Enero","Febrero","Marzo","Abril","Mayo","Junio","Julio","Agosto","Septiembre","Octubre","Noviembre","Diciembre"},MONTH(F12))))</f>
        <v/>
      </c>
      <c r="N12" s="18" t="str">
        <f t="shared" si="2"/>
        <v/>
      </c>
      <c r="Q12" s="18" t="s">
        <v>225</v>
      </c>
      <c r="R12" s="102">
        <v>46098</v>
      </c>
      <c r="S12" s="102">
        <v>46112</v>
      </c>
      <c r="T12" s="18" t="s">
        <v>36</v>
      </c>
    </row>
    <row r="13" spans="1:20" ht="14.5" x14ac:dyDescent="0.25">
      <c r="A13" s="19">
        <v>26</v>
      </c>
      <c r="B13" s="18" t="s">
        <v>504</v>
      </c>
      <c r="C13" s="18" t="s">
        <v>116</v>
      </c>
      <c r="D13" s="18" t="s">
        <v>505</v>
      </c>
      <c r="E13" s="18" t="s">
        <v>514</v>
      </c>
      <c r="F13" s="101">
        <v>45987.482638888891</v>
      </c>
      <c r="G13" s="101">
        <v>45993.057638888888</v>
      </c>
      <c r="H13" s="18" t="s">
        <v>507</v>
      </c>
      <c r="I13" s="18" t="s">
        <v>508</v>
      </c>
      <c r="J13" s="18"/>
      <c r="K13" s="21">
        <f t="shared" si="0"/>
        <v>133.79999999993015</v>
      </c>
      <c r="L13" s="19">
        <f t="shared" si="1"/>
        <v>7</v>
      </c>
      <c r="M13" s="18" t="str">
        <f>IF(I13&lt;&gt;"Sí","",IF(YEAR(F13)&lt;&gt;2026,"",INDEX({"Enero","Febrero","Marzo","Abril","Mayo","Junio","Julio","Agosto","Septiembre","Octubre","Noviembre","Diciembre"},MONTH(F13))))</f>
        <v/>
      </c>
      <c r="N13" s="18" t="str">
        <f t="shared" si="2"/>
        <v/>
      </c>
      <c r="Q13" s="18" t="s">
        <v>225</v>
      </c>
      <c r="R13" s="102">
        <v>46113</v>
      </c>
      <c r="S13" s="102">
        <v>46142</v>
      </c>
      <c r="T13" s="18" t="s">
        <v>37</v>
      </c>
    </row>
    <row r="14" spans="1:20" ht="14.5" x14ac:dyDescent="0.25">
      <c r="A14" s="19">
        <v>26</v>
      </c>
      <c r="B14" s="18" t="s">
        <v>504</v>
      </c>
      <c r="C14" s="18" t="s">
        <v>116</v>
      </c>
      <c r="D14" s="18" t="s">
        <v>505</v>
      </c>
      <c r="E14" s="18" t="s">
        <v>515</v>
      </c>
      <c r="F14" s="101">
        <v>45987.518055555556</v>
      </c>
      <c r="G14" s="101">
        <v>45992.388888888891</v>
      </c>
      <c r="H14" s="18" t="s">
        <v>507</v>
      </c>
      <c r="I14" s="18" t="s">
        <v>508</v>
      </c>
      <c r="J14" s="18"/>
      <c r="K14" s="21">
        <f t="shared" si="0"/>
        <v>116.90000000002328</v>
      </c>
      <c r="L14" s="19">
        <f t="shared" si="1"/>
        <v>8</v>
      </c>
      <c r="M14" s="18" t="str">
        <f>IF(I14&lt;&gt;"Sí","",IF(YEAR(F14)&lt;&gt;2026,"",INDEX({"Enero","Febrero","Marzo","Abril","Mayo","Junio","Julio","Agosto","Septiembre","Octubre","Noviembre","Diciembre"},MONTH(F14))))</f>
        <v/>
      </c>
      <c r="N14" s="18" t="str">
        <f t="shared" si="2"/>
        <v/>
      </c>
      <c r="Q14" s="18" t="s">
        <v>216</v>
      </c>
      <c r="R14" s="102">
        <v>46143</v>
      </c>
      <c r="S14" s="102">
        <v>46145</v>
      </c>
      <c r="T14" s="18" t="s">
        <v>38</v>
      </c>
    </row>
    <row r="15" spans="1:20" ht="14.5" x14ac:dyDescent="0.25">
      <c r="A15" s="19">
        <v>26</v>
      </c>
      <c r="B15" s="18" t="s">
        <v>504</v>
      </c>
      <c r="C15" s="18" t="s">
        <v>116</v>
      </c>
      <c r="D15" s="18" t="s">
        <v>505</v>
      </c>
      <c r="E15" s="18" t="s">
        <v>516</v>
      </c>
      <c r="F15" s="101">
        <v>45988.527777777781</v>
      </c>
      <c r="G15" s="101">
        <v>45993.057638888888</v>
      </c>
      <c r="H15" s="18" t="s">
        <v>507</v>
      </c>
      <c r="I15" s="18" t="s">
        <v>508</v>
      </c>
      <c r="J15" s="18"/>
      <c r="K15" s="21">
        <f t="shared" si="0"/>
        <v>108.71666666655801</v>
      </c>
      <c r="L15" s="19">
        <f t="shared" si="1"/>
        <v>10</v>
      </c>
      <c r="M15" s="18" t="str">
        <f>IF(I15&lt;&gt;"Sí","",IF(YEAR(F15)&lt;&gt;2026,"",INDEX({"Enero","Febrero","Marzo","Abril","Mayo","Junio","Julio","Agosto","Septiembre","Octubre","Noviembre","Diciembre"},MONTH(F15))))</f>
        <v/>
      </c>
      <c r="N15" s="18" t="str">
        <f t="shared" si="2"/>
        <v/>
      </c>
      <c r="Q15" s="18" t="s">
        <v>225</v>
      </c>
      <c r="R15" s="102">
        <v>46146</v>
      </c>
      <c r="S15" s="102">
        <v>46173</v>
      </c>
      <c r="T15" s="18" t="s">
        <v>38</v>
      </c>
    </row>
    <row r="16" spans="1:20" ht="14.5" x14ac:dyDescent="0.25">
      <c r="A16" s="19">
        <v>26</v>
      </c>
      <c r="B16" s="18" t="s">
        <v>504</v>
      </c>
      <c r="C16" s="18" t="s">
        <v>116</v>
      </c>
      <c r="D16" s="18" t="s">
        <v>505</v>
      </c>
      <c r="E16" s="18" t="s">
        <v>517</v>
      </c>
      <c r="F16" s="101">
        <v>45988.527777777781</v>
      </c>
      <c r="G16" s="101">
        <v>45992.25277777778</v>
      </c>
      <c r="H16" s="18" t="s">
        <v>507</v>
      </c>
      <c r="I16" s="18" t="s">
        <v>508</v>
      </c>
      <c r="J16" s="18"/>
      <c r="K16" s="21">
        <f t="shared" si="0"/>
        <v>89.399999999965075</v>
      </c>
      <c r="L16" s="19">
        <f t="shared" si="1"/>
        <v>10</v>
      </c>
      <c r="M16" s="18" t="str">
        <f>IF(I16&lt;&gt;"Sí","",IF(YEAR(F16)&lt;&gt;2026,"",INDEX({"Enero","Febrero","Marzo","Abril","Mayo","Junio","Julio","Agosto","Septiembre","Octubre","Noviembre","Diciembre"},MONTH(F16))))</f>
        <v/>
      </c>
      <c r="N16" s="18" t="str">
        <f t="shared" si="2"/>
        <v/>
      </c>
      <c r="Q16" s="18" t="s">
        <v>216</v>
      </c>
      <c r="R16" s="102">
        <v>46199</v>
      </c>
      <c r="S16" s="102">
        <v>46203</v>
      </c>
      <c r="T16" s="18" t="s">
        <v>39</v>
      </c>
    </row>
    <row r="17" spans="1:20" ht="14.5" x14ac:dyDescent="0.25">
      <c r="A17" s="19">
        <v>26</v>
      </c>
      <c r="B17" s="18" t="s">
        <v>504</v>
      </c>
      <c r="C17" s="18" t="s">
        <v>116</v>
      </c>
      <c r="D17" s="18" t="s">
        <v>505</v>
      </c>
      <c r="E17" s="18" t="s">
        <v>518</v>
      </c>
      <c r="F17" s="101">
        <v>45988.545138888891</v>
      </c>
      <c r="G17" s="101">
        <v>45992.25277777778</v>
      </c>
      <c r="H17" s="18" t="s">
        <v>507</v>
      </c>
      <c r="I17" s="18" t="s">
        <v>508</v>
      </c>
      <c r="J17" s="18"/>
      <c r="K17" s="21">
        <f t="shared" si="0"/>
        <v>88.983333333337214</v>
      </c>
      <c r="L17" s="19">
        <f t="shared" si="1"/>
        <v>11</v>
      </c>
      <c r="M17" s="18" t="str">
        <f>IF(I17&lt;&gt;"Sí","",IF(YEAR(F17)&lt;&gt;2026,"",INDEX({"Enero","Febrero","Marzo","Abril","Mayo","Junio","Julio","Agosto","Septiembre","Octubre","Noviembre","Diciembre"},MONTH(F17))))</f>
        <v/>
      </c>
      <c r="N17" s="18" t="str">
        <f t="shared" si="2"/>
        <v/>
      </c>
      <c r="Q17" s="18" t="s">
        <v>231</v>
      </c>
      <c r="R17" s="102">
        <v>46192</v>
      </c>
      <c r="S17" s="102">
        <v>46193</v>
      </c>
      <c r="T17" s="18" t="s">
        <v>39</v>
      </c>
    </row>
    <row r="18" spans="1:20" ht="14.5" x14ac:dyDescent="0.25">
      <c r="A18" s="19">
        <v>26</v>
      </c>
      <c r="B18" s="18" t="s">
        <v>504</v>
      </c>
      <c r="C18" s="18" t="s">
        <v>116</v>
      </c>
      <c r="D18" s="18" t="s">
        <v>505</v>
      </c>
      <c r="E18" s="18" t="s">
        <v>519</v>
      </c>
      <c r="F18" s="101">
        <v>45988.57916666667</v>
      </c>
      <c r="G18" s="101">
        <v>45992.25277777778</v>
      </c>
      <c r="H18" s="18" t="s">
        <v>507</v>
      </c>
      <c r="I18" s="18" t="s">
        <v>508</v>
      </c>
      <c r="J18" s="18"/>
      <c r="K18" s="21">
        <f t="shared" si="0"/>
        <v>88.166666666627862</v>
      </c>
      <c r="L18" s="19">
        <f t="shared" si="1"/>
        <v>12</v>
      </c>
      <c r="M18" s="18" t="str">
        <f>IF(I18&lt;&gt;"Sí","",IF(YEAR(F18)&lt;&gt;2026,"",INDEX({"Enero","Febrero","Marzo","Abril","Mayo","Junio","Julio","Agosto","Septiembre","Octubre","Noviembre","Diciembre"},MONTH(F18))))</f>
        <v/>
      </c>
      <c r="N18" s="18" t="str">
        <f t="shared" si="2"/>
        <v/>
      </c>
      <c r="Q18" s="18" t="s">
        <v>219</v>
      </c>
      <c r="R18" s="102">
        <v>46174</v>
      </c>
      <c r="S18" s="102">
        <v>46198</v>
      </c>
      <c r="T18" s="18" t="s">
        <v>39</v>
      </c>
    </row>
    <row r="19" spans="1:20" ht="14.5" x14ac:dyDescent="0.25">
      <c r="A19" s="19">
        <v>26</v>
      </c>
      <c r="B19" s="18" t="s">
        <v>504</v>
      </c>
      <c r="C19" s="18" t="s">
        <v>520</v>
      </c>
      <c r="D19" s="18" t="s">
        <v>521</v>
      </c>
      <c r="E19" s="18" t="s">
        <v>522</v>
      </c>
      <c r="F19" s="101">
        <v>45991.759722222225</v>
      </c>
      <c r="G19" s="101">
        <v>46008.149305555555</v>
      </c>
      <c r="H19" s="18" t="s">
        <v>523</v>
      </c>
      <c r="I19" s="18" t="s">
        <v>508</v>
      </c>
      <c r="J19" s="18"/>
      <c r="K19" s="21">
        <f t="shared" si="0"/>
        <v>393.34999999991851</v>
      </c>
      <c r="L19" s="19">
        <f t="shared" si="1"/>
        <v>13</v>
      </c>
      <c r="M19" s="18" t="str">
        <f>IF(I19&lt;&gt;"Sí","",IF(YEAR(F19)&lt;&gt;2026,"",INDEX({"Enero","Febrero","Marzo","Abril","Mayo","Junio","Julio","Agosto","Septiembre","Octubre","Noviembre","Diciembre"},MONTH(F19))))</f>
        <v/>
      </c>
      <c r="N19" s="18" t="str">
        <f t="shared" si="2"/>
        <v/>
      </c>
      <c r="Q19" s="18" t="s">
        <v>234</v>
      </c>
      <c r="R19" s="102">
        <v>46223</v>
      </c>
      <c r="S19" s="102">
        <v>46234</v>
      </c>
      <c r="T19" s="18" t="s">
        <v>40</v>
      </c>
    </row>
    <row r="20" spans="1:20" ht="14.5" x14ac:dyDescent="0.25">
      <c r="A20" s="19">
        <v>26</v>
      </c>
      <c r="B20" s="18" t="s">
        <v>504</v>
      </c>
      <c r="C20" s="18" t="s">
        <v>122</v>
      </c>
      <c r="D20" s="18" t="s">
        <v>524</v>
      </c>
      <c r="E20" s="18" t="s">
        <v>525</v>
      </c>
      <c r="F20" s="101">
        <v>45992.504861111112</v>
      </c>
      <c r="G20" s="101">
        <v>46000.057638888888</v>
      </c>
      <c r="H20" s="18" t="s">
        <v>507</v>
      </c>
      <c r="I20" s="18" t="s">
        <v>508</v>
      </c>
      <c r="J20" s="18"/>
      <c r="K20" s="21">
        <f t="shared" si="0"/>
        <v>181.26666666660458</v>
      </c>
      <c r="L20" s="19">
        <f t="shared" si="1"/>
        <v>4</v>
      </c>
      <c r="M20" s="18" t="str">
        <f>IF(I20&lt;&gt;"Sí","",IF(YEAR(F20)&lt;&gt;2026,"",INDEX({"Enero","Febrero","Marzo","Abril","Mayo","Junio","Julio","Agosto","Septiembre","Octubre","Noviembre","Diciembre"},MONTH(F20))))</f>
        <v/>
      </c>
      <c r="N20" s="18" t="str">
        <f t="shared" si="2"/>
        <v/>
      </c>
      <c r="Q20" s="18" t="s">
        <v>216</v>
      </c>
      <c r="R20" s="102">
        <v>46204</v>
      </c>
      <c r="S20" s="102">
        <v>46222</v>
      </c>
      <c r="T20" s="18" t="s">
        <v>40</v>
      </c>
    </row>
    <row r="21" spans="1:20" ht="14.5" x14ac:dyDescent="0.25">
      <c r="A21" s="19">
        <v>26</v>
      </c>
      <c r="B21" s="18" t="s">
        <v>504</v>
      </c>
      <c r="C21" s="18" t="s">
        <v>526</v>
      </c>
      <c r="D21" s="18" t="s">
        <v>527</v>
      </c>
      <c r="E21" s="18" t="s">
        <v>528</v>
      </c>
      <c r="F21" s="101">
        <v>45992.505555555559</v>
      </c>
      <c r="G21" s="101">
        <v>46008.415972222225</v>
      </c>
      <c r="H21" s="18" t="s">
        <v>507</v>
      </c>
      <c r="I21" s="18" t="s">
        <v>508</v>
      </c>
      <c r="J21" s="18"/>
      <c r="K21" s="21">
        <f t="shared" si="0"/>
        <v>381.84999999997672</v>
      </c>
      <c r="L21" s="19">
        <f t="shared" si="1"/>
        <v>5</v>
      </c>
      <c r="M21" s="18" t="str">
        <f>IF(I21&lt;&gt;"Sí","",IF(YEAR(F21)&lt;&gt;2026,"",INDEX({"Enero","Febrero","Marzo","Abril","Mayo","Junio","Julio","Agosto","Septiembre","Octubre","Noviembre","Diciembre"},MONTH(F21))))</f>
        <v/>
      </c>
      <c r="N21" s="18" t="str">
        <f t="shared" si="2"/>
        <v/>
      </c>
      <c r="Q21" s="18" t="s">
        <v>231</v>
      </c>
      <c r="R21" s="102">
        <v>46206</v>
      </c>
      <c r="S21" s="102">
        <v>46207</v>
      </c>
      <c r="T21" s="18" t="s">
        <v>40</v>
      </c>
    </row>
    <row r="22" spans="1:20" ht="14.5" x14ac:dyDescent="0.25">
      <c r="A22" s="19">
        <v>26</v>
      </c>
      <c r="B22" s="18" t="s">
        <v>504</v>
      </c>
      <c r="C22" s="18" t="s">
        <v>122</v>
      </c>
      <c r="D22" s="18" t="s">
        <v>524</v>
      </c>
      <c r="E22" s="18" t="s">
        <v>529</v>
      </c>
      <c r="F22" s="101">
        <v>45992.529166666667</v>
      </c>
      <c r="G22" s="101">
        <v>45998.897222222222</v>
      </c>
      <c r="H22" s="18" t="s">
        <v>507</v>
      </c>
      <c r="I22" s="18" t="s">
        <v>508</v>
      </c>
      <c r="J22" s="18"/>
      <c r="K22" s="21">
        <f t="shared" si="0"/>
        <v>152.83333333331393</v>
      </c>
      <c r="L22" s="19">
        <f t="shared" si="1"/>
        <v>6</v>
      </c>
      <c r="M22" s="18" t="str">
        <f>IF(I22&lt;&gt;"Sí","",IF(YEAR(F22)&lt;&gt;2026,"",INDEX({"Enero","Febrero","Marzo","Abril","Mayo","Junio","Julio","Agosto","Septiembre","Octubre","Noviembre","Diciembre"},MONTH(F22))))</f>
        <v/>
      </c>
      <c r="N22" s="18" t="str">
        <f t="shared" si="2"/>
        <v/>
      </c>
      <c r="Q22" s="18" t="s">
        <v>238</v>
      </c>
      <c r="R22" s="102">
        <v>46206</v>
      </c>
      <c r="S22" s="102">
        <v>46207</v>
      </c>
      <c r="T22" s="18" t="s">
        <v>40</v>
      </c>
    </row>
    <row r="23" spans="1:20" ht="14.5" x14ac:dyDescent="0.25">
      <c r="A23" s="19">
        <v>26</v>
      </c>
      <c r="B23" s="18" t="s">
        <v>504</v>
      </c>
      <c r="C23" s="18" t="s">
        <v>122</v>
      </c>
      <c r="D23" s="18" t="s">
        <v>524</v>
      </c>
      <c r="E23" s="18" t="s">
        <v>530</v>
      </c>
      <c r="F23" s="101">
        <v>45992.622916666667</v>
      </c>
      <c r="G23" s="101">
        <v>45999.048611111109</v>
      </c>
      <c r="H23" s="18" t="s">
        <v>507</v>
      </c>
      <c r="I23" s="18" t="s">
        <v>508</v>
      </c>
      <c r="J23" s="18"/>
      <c r="K23" s="21">
        <f t="shared" si="0"/>
        <v>154.21666666661622</v>
      </c>
      <c r="L23" s="19">
        <f t="shared" si="1"/>
        <v>8</v>
      </c>
      <c r="M23" s="18" t="str">
        <f>IF(I23&lt;&gt;"Sí","",IF(YEAR(F23)&lt;&gt;2026,"",INDEX({"Enero","Febrero","Marzo","Abril","Mayo","Junio","Julio","Agosto","Septiembre","Octubre","Noviembre","Diciembre"},MONTH(F23))))</f>
        <v/>
      </c>
      <c r="N23" s="18" t="str">
        <f t="shared" si="2"/>
        <v/>
      </c>
      <c r="Q23" s="18" t="s">
        <v>234</v>
      </c>
      <c r="R23" s="102">
        <v>46235</v>
      </c>
      <c r="S23" s="102">
        <v>46265</v>
      </c>
      <c r="T23" s="18" t="s">
        <v>41</v>
      </c>
    </row>
    <row r="24" spans="1:20" ht="14.5" x14ac:dyDescent="0.25">
      <c r="A24" s="19">
        <v>26</v>
      </c>
      <c r="B24" s="18" t="s">
        <v>504</v>
      </c>
      <c r="C24" s="18" t="s">
        <v>122</v>
      </c>
      <c r="D24" s="18" t="s">
        <v>524</v>
      </c>
      <c r="E24" s="18" t="s">
        <v>531</v>
      </c>
      <c r="F24" s="101">
        <v>45992.622916666667</v>
      </c>
      <c r="G24" s="101">
        <v>45999.048611111109</v>
      </c>
      <c r="H24" s="18" t="s">
        <v>507</v>
      </c>
      <c r="I24" s="18" t="s">
        <v>508</v>
      </c>
      <c r="J24" s="18"/>
      <c r="K24" s="21">
        <f t="shared" si="0"/>
        <v>154.21666666661622</v>
      </c>
      <c r="L24" s="19">
        <f t="shared" si="1"/>
        <v>8</v>
      </c>
      <c r="M24" s="18" t="str">
        <f>IF(I24&lt;&gt;"Sí","",IF(YEAR(F24)&lt;&gt;2026,"",INDEX({"Enero","Febrero","Marzo","Abril","Mayo","Junio","Julio","Agosto","Septiembre","Octubre","Noviembre","Diciembre"},MONTH(F24))))</f>
        <v/>
      </c>
      <c r="N24" s="18" t="str">
        <f t="shared" si="2"/>
        <v/>
      </c>
      <c r="Q24" s="18" t="s">
        <v>216</v>
      </c>
      <c r="R24" s="102">
        <v>46256</v>
      </c>
      <c r="S24" s="102">
        <v>46265</v>
      </c>
      <c r="T24" s="18" t="s">
        <v>41</v>
      </c>
    </row>
    <row r="25" spans="1:20" ht="14.5" x14ac:dyDescent="0.25">
      <c r="A25" s="19">
        <v>26</v>
      </c>
      <c r="B25" s="18" t="s">
        <v>504</v>
      </c>
      <c r="C25" s="18" t="s">
        <v>122</v>
      </c>
      <c r="D25" s="18" t="s">
        <v>524</v>
      </c>
      <c r="E25" s="18" t="s">
        <v>532</v>
      </c>
      <c r="F25" s="101">
        <v>45993.498611111114</v>
      </c>
      <c r="G25" s="101">
        <v>45999.048611111109</v>
      </c>
      <c r="H25" s="18" t="s">
        <v>507</v>
      </c>
      <c r="I25" s="18" t="s">
        <v>508</v>
      </c>
      <c r="J25" s="18"/>
      <c r="K25" s="21">
        <f t="shared" si="0"/>
        <v>133.19999999989523</v>
      </c>
      <c r="L25" s="19">
        <f t="shared" si="1"/>
        <v>7</v>
      </c>
      <c r="M25" s="18" t="str">
        <f>IF(I25&lt;&gt;"Sí","",IF(YEAR(F25)&lt;&gt;2026,"",INDEX({"Enero","Febrero","Marzo","Abril","Mayo","Junio","Julio","Agosto","Septiembre","Octubre","Noviembre","Diciembre"},MONTH(F25))))</f>
        <v/>
      </c>
      <c r="N25" s="18" t="str">
        <f t="shared" si="2"/>
        <v/>
      </c>
      <c r="Q25" s="18" t="s">
        <v>241</v>
      </c>
      <c r="R25" s="102">
        <v>46240</v>
      </c>
      <c r="S25" s="102">
        <v>46243</v>
      </c>
      <c r="T25" s="18" t="s">
        <v>41</v>
      </c>
    </row>
    <row r="26" spans="1:20" ht="14.5" x14ac:dyDescent="0.25">
      <c r="A26" s="19">
        <v>26</v>
      </c>
      <c r="B26" s="18" t="s">
        <v>504</v>
      </c>
      <c r="C26" s="18" t="s">
        <v>122</v>
      </c>
      <c r="D26" s="18" t="s">
        <v>524</v>
      </c>
      <c r="E26" s="18" t="s">
        <v>533</v>
      </c>
      <c r="F26" s="101">
        <v>45993.593055555553</v>
      </c>
      <c r="G26" s="101">
        <v>45999.048611111109</v>
      </c>
      <c r="H26" s="18" t="s">
        <v>507</v>
      </c>
      <c r="I26" s="18" t="s">
        <v>508</v>
      </c>
      <c r="J26" s="18"/>
      <c r="K26" s="21">
        <f t="shared" si="0"/>
        <v>130.93333333334886</v>
      </c>
      <c r="L26" s="19">
        <f t="shared" si="1"/>
        <v>9</v>
      </c>
      <c r="M26" s="18" t="str">
        <f>IF(I26&lt;&gt;"Sí","",IF(YEAR(F26)&lt;&gt;2026,"",INDEX({"Enero","Febrero","Marzo","Abril","Mayo","Junio","Julio","Agosto","Septiembre","Octubre","Noviembre","Diciembre"},MONTH(F26))))</f>
        <v/>
      </c>
      <c r="N26" s="18" t="str">
        <f t="shared" si="2"/>
        <v/>
      </c>
      <c r="Q26" s="18" t="s">
        <v>243</v>
      </c>
      <c r="R26" s="102">
        <v>46263</v>
      </c>
      <c r="S26" s="102">
        <v>46265</v>
      </c>
      <c r="T26" s="18" t="s">
        <v>41</v>
      </c>
    </row>
    <row r="27" spans="1:20" ht="14.5" x14ac:dyDescent="0.25">
      <c r="A27" s="19">
        <v>26</v>
      </c>
      <c r="B27" s="18" t="s">
        <v>504</v>
      </c>
      <c r="C27" s="18" t="s">
        <v>122</v>
      </c>
      <c r="D27" s="18" t="s">
        <v>524</v>
      </c>
      <c r="E27" s="18" t="s">
        <v>534</v>
      </c>
      <c r="F27" s="101">
        <v>45993.593055555553</v>
      </c>
      <c r="G27" s="101">
        <v>45999.048611111109</v>
      </c>
      <c r="H27" s="18" t="s">
        <v>507</v>
      </c>
      <c r="I27" s="18" t="s">
        <v>508</v>
      </c>
      <c r="J27" s="18"/>
      <c r="K27" s="21">
        <f t="shared" si="0"/>
        <v>130.93333333334886</v>
      </c>
      <c r="L27" s="19">
        <f t="shared" si="1"/>
        <v>9</v>
      </c>
      <c r="M27" s="18" t="str">
        <f>IF(I27&lt;&gt;"Sí","",IF(YEAR(F27)&lt;&gt;2026,"",INDEX({"Enero","Febrero","Marzo","Abril","Mayo","Junio","Julio","Agosto","Septiembre","Octubre","Noviembre","Diciembre"},MONTH(F27))))</f>
        <v/>
      </c>
      <c r="N27" s="18" t="str">
        <f t="shared" si="2"/>
        <v/>
      </c>
      <c r="Q27" s="18" t="s">
        <v>245</v>
      </c>
      <c r="R27" s="102">
        <v>46258</v>
      </c>
      <c r="S27" s="102">
        <v>46265</v>
      </c>
      <c r="T27" s="18" t="s">
        <v>41</v>
      </c>
    </row>
    <row r="28" spans="1:20" ht="14.5" x14ac:dyDescent="0.25">
      <c r="A28" s="19">
        <v>26</v>
      </c>
      <c r="B28" s="18" t="s">
        <v>504</v>
      </c>
      <c r="C28" s="18" t="s">
        <v>122</v>
      </c>
      <c r="D28" s="18" t="s">
        <v>524</v>
      </c>
      <c r="E28" s="18" t="s">
        <v>535</v>
      </c>
      <c r="F28" s="101">
        <v>45994.539583333331</v>
      </c>
      <c r="G28" s="101">
        <v>45999.048611111109</v>
      </c>
      <c r="H28" s="18" t="s">
        <v>507</v>
      </c>
      <c r="I28" s="18" t="s">
        <v>508</v>
      </c>
      <c r="J28" s="18"/>
      <c r="K28" s="21">
        <f t="shared" si="0"/>
        <v>108.21666666667443</v>
      </c>
      <c r="L28" s="19">
        <f t="shared" si="1"/>
        <v>11</v>
      </c>
      <c r="M28" s="18" t="str">
        <f>IF(I28&lt;&gt;"Sí","",IF(YEAR(F28)&lt;&gt;2026,"",INDEX({"Enero","Febrero","Marzo","Abril","Mayo","Junio","Julio","Agosto","Septiembre","Octubre","Noviembre","Diciembre"},MONTH(F28))))</f>
        <v/>
      </c>
      <c r="N28" s="18" t="str">
        <f t="shared" si="2"/>
        <v/>
      </c>
      <c r="Q28" s="18" t="s">
        <v>231</v>
      </c>
      <c r="R28" s="102">
        <v>46240</v>
      </c>
      <c r="S28" s="102">
        <v>46242</v>
      </c>
      <c r="T28" s="18" t="s">
        <v>41</v>
      </c>
    </row>
    <row r="29" spans="1:20" ht="14.5" x14ac:dyDescent="0.25">
      <c r="A29" s="19">
        <v>26</v>
      </c>
      <c r="B29" s="18" t="s">
        <v>504</v>
      </c>
      <c r="C29" s="18" t="s">
        <v>122</v>
      </c>
      <c r="D29" s="18" t="s">
        <v>524</v>
      </c>
      <c r="E29" s="18" t="s">
        <v>536</v>
      </c>
      <c r="F29" s="101">
        <v>45994.539583333331</v>
      </c>
      <c r="G29" s="101">
        <v>45999.048611111109</v>
      </c>
      <c r="H29" s="18" t="s">
        <v>507</v>
      </c>
      <c r="I29" s="18" t="s">
        <v>508</v>
      </c>
      <c r="J29" s="18"/>
      <c r="K29" s="21">
        <f t="shared" si="0"/>
        <v>108.21666666667443</v>
      </c>
      <c r="L29" s="19">
        <f t="shared" si="1"/>
        <v>11</v>
      </c>
      <c r="M29" s="18" t="str">
        <f>IF(I29&lt;&gt;"Sí","",IF(YEAR(F29)&lt;&gt;2026,"",INDEX({"Enero","Febrero","Marzo","Abril","Mayo","Junio","Julio","Agosto","Septiembre","Octubre","Noviembre","Diciembre"},MONTH(F29))))</f>
        <v/>
      </c>
      <c r="N29" s="18" t="str">
        <f t="shared" si="2"/>
        <v/>
      </c>
      <c r="Q29" s="18" t="s">
        <v>231</v>
      </c>
      <c r="R29" s="102">
        <v>46257</v>
      </c>
      <c r="S29" s="102">
        <v>46260</v>
      </c>
      <c r="T29" s="18" t="s">
        <v>41</v>
      </c>
    </row>
    <row r="30" spans="1:20" ht="14.5" x14ac:dyDescent="0.25">
      <c r="A30" s="19">
        <v>26</v>
      </c>
      <c r="B30" s="18" t="s">
        <v>504</v>
      </c>
      <c r="C30" s="18" t="s">
        <v>122</v>
      </c>
      <c r="D30" s="18" t="s">
        <v>524</v>
      </c>
      <c r="E30" s="18" t="s">
        <v>537</v>
      </c>
      <c r="F30" s="101">
        <v>45994.54791666667</v>
      </c>
      <c r="G30" s="101">
        <v>45998.995833333334</v>
      </c>
      <c r="H30" s="18" t="s">
        <v>507</v>
      </c>
      <c r="I30" s="18" t="s">
        <v>508</v>
      </c>
      <c r="J30" s="18"/>
      <c r="K30" s="21">
        <f t="shared" si="0"/>
        <v>106.74999999994179</v>
      </c>
      <c r="L30" s="19">
        <f t="shared" si="1"/>
        <v>12</v>
      </c>
      <c r="M30" s="18" t="str">
        <f>IF(I30&lt;&gt;"Sí","",IF(YEAR(F30)&lt;&gt;2026,"",INDEX({"Enero","Febrero","Marzo","Abril","Mayo","Junio","Julio","Agosto","Septiembre","Octubre","Noviembre","Diciembre"},MONTH(F30))))</f>
        <v/>
      </c>
      <c r="N30" s="18" t="str">
        <f t="shared" si="2"/>
        <v/>
      </c>
      <c r="Q30" s="18" t="s">
        <v>238</v>
      </c>
      <c r="R30" s="102">
        <v>46234</v>
      </c>
      <c r="S30" s="102">
        <v>46234</v>
      </c>
      <c r="T30" s="18" t="s">
        <v>41</v>
      </c>
    </row>
    <row r="31" spans="1:20" ht="14.5" x14ac:dyDescent="0.25">
      <c r="A31" s="19">
        <v>26</v>
      </c>
      <c r="B31" s="18" t="s">
        <v>504</v>
      </c>
      <c r="C31" s="18" t="s">
        <v>122</v>
      </c>
      <c r="D31" s="18" t="s">
        <v>524</v>
      </c>
      <c r="E31" s="18" t="s">
        <v>538</v>
      </c>
      <c r="F31" s="101">
        <v>45994.70416666667</v>
      </c>
      <c r="G31" s="101">
        <v>45998.993055555555</v>
      </c>
      <c r="H31" s="18" t="s">
        <v>507</v>
      </c>
      <c r="I31" s="18" t="s">
        <v>508</v>
      </c>
      <c r="J31" s="18"/>
      <c r="K31" s="21">
        <f t="shared" si="0"/>
        <v>102.93333333323244</v>
      </c>
      <c r="L31" s="19">
        <f t="shared" si="1"/>
        <v>13</v>
      </c>
      <c r="M31" s="18" t="str">
        <f>IF(I31&lt;&gt;"Sí","",IF(YEAR(F31)&lt;&gt;2026,"",INDEX({"Enero","Febrero","Marzo","Abril","Mayo","Junio","Julio","Agosto","Septiembre","Octubre","Noviembre","Diciembre"},MONTH(F31))))</f>
        <v/>
      </c>
      <c r="N31" s="18" t="str">
        <f t="shared" si="2"/>
        <v/>
      </c>
      <c r="Q31" s="18" t="s">
        <v>238</v>
      </c>
      <c r="R31" s="102">
        <v>46235</v>
      </c>
      <c r="S31" s="102">
        <v>46235</v>
      </c>
      <c r="T31" s="18" t="s">
        <v>41</v>
      </c>
    </row>
    <row r="32" spans="1:20" ht="14.5" x14ac:dyDescent="0.25">
      <c r="A32" s="19">
        <v>26</v>
      </c>
      <c r="B32" s="18" t="s">
        <v>504</v>
      </c>
      <c r="C32" s="18" t="s">
        <v>124</v>
      </c>
      <c r="D32" s="18" t="s">
        <v>539</v>
      </c>
      <c r="E32" s="18" t="s">
        <v>540</v>
      </c>
      <c r="F32" s="101">
        <v>45999.45208333333</v>
      </c>
      <c r="G32" s="101">
        <v>46004.717361111114</v>
      </c>
      <c r="H32" s="18" t="s">
        <v>507</v>
      </c>
      <c r="I32" s="18" t="s">
        <v>508</v>
      </c>
      <c r="J32" s="18"/>
      <c r="K32" s="21">
        <f t="shared" si="0"/>
        <v>126.36666666681413</v>
      </c>
      <c r="L32" s="19">
        <f t="shared" si="1"/>
        <v>4</v>
      </c>
      <c r="M32" s="18" t="str">
        <f>IF(I32&lt;&gt;"Sí","",IF(YEAR(F32)&lt;&gt;2026,"",INDEX({"Enero","Febrero","Marzo","Abril","Mayo","Junio","Julio","Agosto","Septiembre","Octubre","Noviembre","Diciembre"},MONTH(F32))))</f>
        <v/>
      </c>
      <c r="N32" s="18" t="str">
        <f t="shared" si="2"/>
        <v/>
      </c>
      <c r="Q32" s="18" t="s">
        <v>238</v>
      </c>
      <c r="R32" s="102">
        <v>46256</v>
      </c>
      <c r="S32" s="102">
        <v>46258</v>
      </c>
      <c r="T32" s="18" t="s">
        <v>41</v>
      </c>
    </row>
    <row r="33" spans="1:20" ht="14.5" x14ac:dyDescent="0.25">
      <c r="A33" s="19">
        <v>26</v>
      </c>
      <c r="B33" s="18" t="s">
        <v>504</v>
      </c>
      <c r="C33" s="18" t="s">
        <v>124</v>
      </c>
      <c r="D33" s="18" t="s">
        <v>539</v>
      </c>
      <c r="E33" s="18" t="s">
        <v>541</v>
      </c>
      <c r="F33" s="101">
        <v>45999.513888888891</v>
      </c>
      <c r="G33" s="101">
        <v>46004.717361111114</v>
      </c>
      <c r="H33" s="18" t="s">
        <v>507</v>
      </c>
      <c r="I33" s="18" t="s">
        <v>508</v>
      </c>
      <c r="J33" s="18"/>
      <c r="K33" s="21">
        <f t="shared" si="0"/>
        <v>124.8833333333605</v>
      </c>
      <c r="L33" s="19">
        <f t="shared" si="1"/>
        <v>7</v>
      </c>
      <c r="M33" s="18" t="str">
        <f>IF(I33&lt;&gt;"Sí","",IF(YEAR(F33)&lt;&gt;2026,"",INDEX({"Enero","Febrero","Marzo","Abril","Mayo","Junio","Julio","Agosto","Septiembre","Octubre","Noviembre","Diciembre"},MONTH(F33))))</f>
        <v/>
      </c>
      <c r="N33" s="18" t="str">
        <f t="shared" si="2"/>
        <v/>
      </c>
      <c r="Q33" s="18" t="s">
        <v>249</v>
      </c>
      <c r="R33" s="102">
        <v>46240</v>
      </c>
      <c r="S33" s="102">
        <v>46242</v>
      </c>
      <c r="T33" s="18" t="s">
        <v>41</v>
      </c>
    </row>
    <row r="34" spans="1:20" ht="14.5" x14ac:dyDescent="0.25">
      <c r="A34" s="19">
        <v>26</v>
      </c>
      <c r="B34" s="18" t="s">
        <v>504</v>
      </c>
      <c r="C34" s="18" t="s">
        <v>124</v>
      </c>
      <c r="D34" s="18" t="s">
        <v>539</v>
      </c>
      <c r="E34" s="18" t="s">
        <v>542</v>
      </c>
      <c r="F34" s="101">
        <v>45999.513888888891</v>
      </c>
      <c r="G34" s="101">
        <v>46004.472916666666</v>
      </c>
      <c r="H34" s="18" t="s">
        <v>507</v>
      </c>
      <c r="I34" s="18" t="s">
        <v>508</v>
      </c>
      <c r="J34" s="18"/>
      <c r="K34" s="21">
        <f t="shared" si="0"/>
        <v>119.01666666660458</v>
      </c>
      <c r="L34" s="19">
        <f t="shared" si="1"/>
        <v>7</v>
      </c>
      <c r="M34" s="18" t="str">
        <f>IF(I34&lt;&gt;"Sí","",IF(YEAR(F34)&lt;&gt;2026,"",INDEX({"Enero","Febrero","Marzo","Abril","Mayo","Junio","Julio","Agosto","Septiembre","Octubre","Noviembre","Diciembre"},MONTH(F34))))</f>
        <v/>
      </c>
      <c r="N34" s="18" t="str">
        <f t="shared" si="2"/>
        <v/>
      </c>
      <c r="Q34" s="18" t="s">
        <v>251</v>
      </c>
      <c r="R34" s="102">
        <v>46263</v>
      </c>
      <c r="S34" s="102">
        <v>46265</v>
      </c>
      <c r="T34" s="18" t="s">
        <v>41</v>
      </c>
    </row>
    <row r="35" spans="1:20" ht="14.5" x14ac:dyDescent="0.25">
      <c r="A35" s="19">
        <v>26</v>
      </c>
      <c r="B35" s="18" t="s">
        <v>504</v>
      </c>
      <c r="C35" s="18" t="s">
        <v>124</v>
      </c>
      <c r="D35" s="18" t="s">
        <v>539</v>
      </c>
      <c r="E35" s="18" t="s">
        <v>543</v>
      </c>
      <c r="F35" s="101">
        <v>45999.513888888891</v>
      </c>
      <c r="G35" s="101">
        <v>46004.46875</v>
      </c>
      <c r="H35" s="18" t="s">
        <v>507</v>
      </c>
      <c r="I35" s="18" t="s">
        <v>508</v>
      </c>
      <c r="J35" s="18"/>
      <c r="K35" s="21">
        <f t="shared" si="0"/>
        <v>118.91666666662786</v>
      </c>
      <c r="L35" s="19">
        <f t="shared" si="1"/>
        <v>7</v>
      </c>
      <c r="M35" s="18" t="str">
        <f>IF(I35&lt;&gt;"Sí","",IF(YEAR(F35)&lt;&gt;2026,"",INDEX({"Enero","Febrero","Marzo","Abril","Mayo","Junio","Julio","Agosto","Septiembre","Octubre","Noviembre","Diciembre"},MONTH(F35))))</f>
        <v/>
      </c>
      <c r="N35" s="18" t="str">
        <f t="shared" si="2"/>
        <v/>
      </c>
      <c r="Q35" s="18" t="s">
        <v>472</v>
      </c>
      <c r="R35" s="102">
        <v>46267</v>
      </c>
      <c r="S35" s="102">
        <v>46271</v>
      </c>
      <c r="T35" s="18" t="s">
        <v>42</v>
      </c>
    </row>
    <row r="36" spans="1:20" ht="14.5" x14ac:dyDescent="0.25">
      <c r="A36" s="19">
        <v>26</v>
      </c>
      <c r="B36" s="18" t="s">
        <v>504</v>
      </c>
      <c r="C36" s="18" t="s">
        <v>124</v>
      </c>
      <c r="D36" s="18" t="s">
        <v>539</v>
      </c>
      <c r="E36" s="18" t="s">
        <v>544</v>
      </c>
      <c r="F36" s="101">
        <v>45999.55</v>
      </c>
      <c r="G36" s="101">
        <v>46004.717361111114</v>
      </c>
      <c r="H36" s="18" t="s">
        <v>507</v>
      </c>
      <c r="I36" s="18" t="s">
        <v>508</v>
      </c>
      <c r="J36" s="18"/>
      <c r="K36" s="21">
        <f t="shared" si="0"/>
        <v>124.01666666666279</v>
      </c>
      <c r="L36" s="19">
        <f t="shared" si="1"/>
        <v>10</v>
      </c>
      <c r="M36" s="18" t="str">
        <f>IF(I36&lt;&gt;"Sí","",IF(YEAR(F36)&lt;&gt;2026,"",INDEX({"Enero","Febrero","Marzo","Abril","Mayo","Junio","Julio","Agosto","Septiembre","Octubre","Noviembre","Diciembre"},MONTH(F36))))</f>
        <v/>
      </c>
      <c r="N36" s="18" t="str">
        <f t="shared" si="2"/>
        <v/>
      </c>
      <c r="Q36" s="18" t="s">
        <v>472</v>
      </c>
      <c r="R36" s="102">
        <v>46290</v>
      </c>
      <c r="S36" s="102">
        <v>46291</v>
      </c>
      <c r="T36" s="18" t="s">
        <v>42</v>
      </c>
    </row>
    <row r="37" spans="1:20" ht="14.5" x14ac:dyDescent="0.25">
      <c r="A37" s="19">
        <v>26</v>
      </c>
      <c r="B37" s="18" t="s">
        <v>504</v>
      </c>
      <c r="C37" s="18" t="s">
        <v>124</v>
      </c>
      <c r="D37" s="18" t="s">
        <v>539</v>
      </c>
      <c r="E37" s="18" t="s">
        <v>545</v>
      </c>
      <c r="F37" s="101">
        <v>45999.55</v>
      </c>
      <c r="G37" s="101">
        <v>46004.717361111114</v>
      </c>
      <c r="H37" s="18" t="s">
        <v>507</v>
      </c>
      <c r="I37" s="18" t="s">
        <v>508</v>
      </c>
      <c r="J37" s="18"/>
      <c r="K37" s="21">
        <f t="shared" si="0"/>
        <v>124.01666666666279</v>
      </c>
      <c r="L37" s="19">
        <f t="shared" si="1"/>
        <v>10</v>
      </c>
      <c r="M37" s="18" t="str">
        <f>IF(I37&lt;&gt;"Sí","",IF(YEAR(F37)&lt;&gt;2026,"",INDEX({"Enero","Febrero","Marzo","Abril","Mayo","Junio","Julio","Agosto","Septiembre","Octubre","Noviembre","Diciembre"},MONTH(F37))))</f>
        <v/>
      </c>
      <c r="N37" s="18" t="str">
        <f t="shared" si="2"/>
        <v/>
      </c>
      <c r="Q37" s="18" t="s">
        <v>234</v>
      </c>
      <c r="R37" s="102">
        <v>46266</v>
      </c>
      <c r="S37" s="102">
        <v>46295</v>
      </c>
      <c r="T37" s="18" t="s">
        <v>42</v>
      </c>
    </row>
    <row r="38" spans="1:20" ht="14.5" x14ac:dyDescent="0.25">
      <c r="A38" s="19">
        <v>26</v>
      </c>
      <c r="B38" s="18" t="s">
        <v>504</v>
      </c>
      <c r="C38" s="18" t="s">
        <v>124</v>
      </c>
      <c r="D38" s="18" t="s">
        <v>539</v>
      </c>
      <c r="E38" s="18" t="s">
        <v>546</v>
      </c>
      <c r="F38" s="101">
        <v>45999.55</v>
      </c>
      <c r="G38" s="101">
        <v>46004.717361111114</v>
      </c>
      <c r="H38" s="18" t="s">
        <v>507</v>
      </c>
      <c r="I38" s="18" t="s">
        <v>508</v>
      </c>
      <c r="J38" s="18"/>
      <c r="K38" s="21">
        <f t="shared" si="0"/>
        <v>124.01666666666279</v>
      </c>
      <c r="L38" s="19">
        <f t="shared" si="1"/>
        <v>10</v>
      </c>
      <c r="M38" s="18" t="str">
        <f>IF(I38&lt;&gt;"Sí","",IF(YEAR(F38)&lt;&gt;2026,"",INDEX({"Enero","Febrero","Marzo","Abril","Mayo","Junio","Julio","Agosto","Septiembre","Octubre","Noviembre","Diciembre"},MONTH(F38))))</f>
        <v/>
      </c>
      <c r="N38" s="18" t="str">
        <f t="shared" si="2"/>
        <v/>
      </c>
      <c r="Q38" s="18" t="s">
        <v>241</v>
      </c>
      <c r="R38" s="102">
        <v>46290</v>
      </c>
      <c r="S38" s="102">
        <v>46292</v>
      </c>
      <c r="T38" s="18" t="s">
        <v>42</v>
      </c>
    </row>
    <row r="39" spans="1:20" ht="14.5" x14ac:dyDescent="0.25">
      <c r="A39" s="19">
        <v>26</v>
      </c>
      <c r="B39" s="18" t="s">
        <v>504</v>
      </c>
      <c r="C39" s="18" t="s">
        <v>124</v>
      </c>
      <c r="D39" s="18" t="s">
        <v>539</v>
      </c>
      <c r="E39" s="18" t="s">
        <v>547</v>
      </c>
      <c r="F39" s="101">
        <v>46001.556944444441</v>
      </c>
      <c r="G39" s="101">
        <v>46004.464583333334</v>
      </c>
      <c r="H39" s="18" t="s">
        <v>507</v>
      </c>
      <c r="I39" s="18" t="s">
        <v>508</v>
      </c>
      <c r="J39" s="18"/>
      <c r="K39" s="21">
        <f t="shared" si="0"/>
        <v>69.783333333441988</v>
      </c>
      <c r="L39" s="19">
        <f t="shared" si="1"/>
        <v>10</v>
      </c>
      <c r="M39" s="18" t="str">
        <f>IF(I39&lt;&gt;"Sí","",IF(YEAR(F39)&lt;&gt;2026,"",INDEX({"Enero","Febrero","Marzo","Abril","Mayo","Junio","Julio","Agosto","Septiembre","Octubre","Noviembre","Diciembre"},MONTH(F39))))</f>
        <v/>
      </c>
      <c r="N39" s="18" t="str">
        <f t="shared" si="2"/>
        <v/>
      </c>
      <c r="Q39" s="18" t="s">
        <v>243</v>
      </c>
      <c r="R39" s="102">
        <v>46268</v>
      </c>
      <c r="S39" s="102">
        <v>46269</v>
      </c>
      <c r="T39" s="18" t="s">
        <v>42</v>
      </c>
    </row>
    <row r="40" spans="1:20" ht="14.5" x14ac:dyDescent="0.25">
      <c r="A40" s="19">
        <v>26</v>
      </c>
      <c r="B40" s="18" t="s">
        <v>504</v>
      </c>
      <c r="C40" s="18" t="s">
        <v>124</v>
      </c>
      <c r="D40" s="18" t="s">
        <v>539</v>
      </c>
      <c r="E40" s="18" t="s">
        <v>548</v>
      </c>
      <c r="F40" s="101">
        <v>46001.770138888889</v>
      </c>
      <c r="G40" s="101">
        <v>46004.717361111114</v>
      </c>
      <c r="H40" s="18" t="s">
        <v>507</v>
      </c>
      <c r="I40" s="18" t="s">
        <v>508</v>
      </c>
      <c r="J40" s="18"/>
      <c r="K40" s="21">
        <f t="shared" si="0"/>
        <v>70.733333333395422</v>
      </c>
      <c r="L40" s="19">
        <f t="shared" si="1"/>
        <v>11</v>
      </c>
      <c r="M40" s="18" t="str">
        <f>IF(I40&lt;&gt;"Sí","",IF(YEAR(F40)&lt;&gt;2026,"",INDEX({"Enero","Febrero","Marzo","Abril","Mayo","Junio","Julio","Agosto","Septiembre","Octubre","Noviembre","Diciembre"},MONTH(F40))))</f>
        <v/>
      </c>
      <c r="N40" s="18" t="str">
        <f t="shared" si="2"/>
        <v/>
      </c>
      <c r="Q40" s="18" t="s">
        <v>243</v>
      </c>
      <c r="R40" s="102">
        <v>46290</v>
      </c>
      <c r="S40" s="102">
        <v>46291</v>
      </c>
      <c r="T40" s="18" t="s">
        <v>42</v>
      </c>
    </row>
    <row r="41" spans="1:20" ht="14.5" x14ac:dyDescent="0.25">
      <c r="A41" s="19">
        <v>26</v>
      </c>
      <c r="B41" s="18" t="s">
        <v>504</v>
      </c>
      <c r="C41" s="18" t="s">
        <v>97</v>
      </c>
      <c r="D41" s="18" t="s">
        <v>549</v>
      </c>
      <c r="E41" s="18" t="s">
        <v>550</v>
      </c>
      <c r="F41" s="101">
        <v>46006.537499999999</v>
      </c>
      <c r="G41" s="101">
        <v>46013.427777777775</v>
      </c>
      <c r="H41" s="18" t="s">
        <v>507</v>
      </c>
      <c r="I41" s="18" t="s">
        <v>508</v>
      </c>
      <c r="J41" s="18"/>
      <c r="K41" s="21">
        <f t="shared" si="0"/>
        <v>165.3666666666395</v>
      </c>
      <c r="L41" s="19">
        <f t="shared" si="1"/>
        <v>4</v>
      </c>
      <c r="M41" s="18" t="str">
        <f>IF(I41&lt;&gt;"Sí","",IF(YEAR(F41)&lt;&gt;2026,"",INDEX({"Enero","Febrero","Marzo","Abril","Mayo","Junio","Julio","Agosto","Septiembre","Octubre","Noviembre","Diciembre"},MONTH(F41))))</f>
        <v/>
      </c>
      <c r="N41" s="18" t="str">
        <f t="shared" si="2"/>
        <v/>
      </c>
      <c r="Q41" s="18" t="s">
        <v>245</v>
      </c>
      <c r="R41" s="102">
        <v>46266</v>
      </c>
      <c r="S41" s="102">
        <v>46277</v>
      </c>
      <c r="T41" s="18" t="s">
        <v>42</v>
      </c>
    </row>
    <row r="42" spans="1:20" ht="14.5" x14ac:dyDescent="0.25">
      <c r="A42" s="19">
        <v>26</v>
      </c>
      <c r="B42" s="18" t="s">
        <v>504</v>
      </c>
      <c r="C42" s="18" t="s">
        <v>97</v>
      </c>
      <c r="D42" s="18" t="s">
        <v>549</v>
      </c>
      <c r="E42" s="18" t="s">
        <v>551</v>
      </c>
      <c r="F42" s="101">
        <v>46006.537499999999</v>
      </c>
      <c r="G42" s="101">
        <v>46013.427777777775</v>
      </c>
      <c r="H42" s="18" t="s">
        <v>507</v>
      </c>
      <c r="I42" s="18" t="s">
        <v>508</v>
      </c>
      <c r="J42" s="18"/>
      <c r="K42" s="21">
        <f t="shared" si="0"/>
        <v>165.3666666666395</v>
      </c>
      <c r="L42" s="19">
        <f t="shared" si="1"/>
        <v>4</v>
      </c>
      <c r="M42" s="18" t="str">
        <f>IF(I42&lt;&gt;"Sí","",IF(YEAR(F42)&lt;&gt;2026,"",INDEX({"Enero","Febrero","Marzo","Abril","Mayo","Junio","Julio","Agosto","Septiembre","Octubre","Noviembre","Diciembre"},MONTH(F42))))</f>
        <v/>
      </c>
      <c r="N42" s="18" t="str">
        <f t="shared" si="2"/>
        <v/>
      </c>
      <c r="Q42" s="18" t="s">
        <v>245</v>
      </c>
      <c r="R42" s="102">
        <v>46282</v>
      </c>
      <c r="S42" s="102">
        <v>46284</v>
      </c>
      <c r="T42" s="18" t="s">
        <v>42</v>
      </c>
    </row>
    <row r="43" spans="1:20" ht="14.5" x14ac:dyDescent="0.25">
      <c r="A43" s="19">
        <v>26</v>
      </c>
      <c r="B43" s="18" t="s">
        <v>504</v>
      </c>
      <c r="C43" s="18" t="s">
        <v>106</v>
      </c>
      <c r="D43" s="18" t="s">
        <v>552</v>
      </c>
      <c r="E43" s="18" t="s">
        <v>553</v>
      </c>
      <c r="F43" s="101"/>
      <c r="G43" s="101">
        <v>46007.015972222223</v>
      </c>
      <c r="H43" s="18" t="s">
        <v>554</v>
      </c>
      <c r="I43" s="18" t="s">
        <v>555</v>
      </c>
      <c r="J43" s="18" t="s">
        <v>556</v>
      </c>
      <c r="K43" s="21" t="str">
        <f t="shared" si="0"/>
        <v/>
      </c>
      <c r="L43" s="19" t="str">
        <f t="shared" si="1"/>
        <v/>
      </c>
      <c r="M43" s="18" t="str">
        <f>IF(I43&lt;&gt;"Sí","",IF(YEAR(F43)&lt;&gt;2026,"",INDEX({"Enero","Febrero","Marzo","Abril","Mayo","Junio","Julio","Agosto","Septiembre","Octubre","Noviembre","Diciembre"},MONTH(F43))))</f>
        <v/>
      </c>
      <c r="N43" s="18" t="str">
        <f t="shared" si="2"/>
        <v/>
      </c>
      <c r="Q43" s="18" t="s">
        <v>245</v>
      </c>
      <c r="R43" s="102">
        <v>46289</v>
      </c>
      <c r="S43" s="102">
        <v>46291</v>
      </c>
      <c r="T43" s="18" t="s">
        <v>42</v>
      </c>
    </row>
    <row r="44" spans="1:20" ht="14.5" x14ac:dyDescent="0.25">
      <c r="A44" s="19">
        <v>26</v>
      </c>
      <c r="B44" s="18" t="s">
        <v>504</v>
      </c>
      <c r="C44" s="18" t="s">
        <v>106</v>
      </c>
      <c r="D44" s="18" t="s">
        <v>552</v>
      </c>
      <c r="E44" s="18" t="s">
        <v>557</v>
      </c>
      <c r="F44" s="101"/>
      <c r="G44" s="101">
        <v>46007.015972222223</v>
      </c>
      <c r="H44" s="18" t="s">
        <v>554</v>
      </c>
      <c r="I44" s="18" t="s">
        <v>555</v>
      </c>
      <c r="J44" s="18" t="s">
        <v>556</v>
      </c>
      <c r="K44" s="21" t="str">
        <f t="shared" si="0"/>
        <v/>
      </c>
      <c r="L44" s="19" t="str">
        <f t="shared" si="1"/>
        <v/>
      </c>
      <c r="M44" s="18" t="str">
        <f>IF(I44&lt;&gt;"Sí","",IF(YEAR(F44)&lt;&gt;2026,"",INDEX({"Enero","Febrero","Marzo","Abril","Mayo","Junio","Julio","Agosto","Septiembre","Octubre","Noviembre","Diciembre"},MONTH(F44))))</f>
        <v/>
      </c>
      <c r="N44" s="18" t="str">
        <f t="shared" si="2"/>
        <v/>
      </c>
      <c r="Q44" s="18" t="s">
        <v>231</v>
      </c>
      <c r="R44" s="102">
        <v>46268</v>
      </c>
      <c r="S44" s="102">
        <v>46271</v>
      </c>
      <c r="T44" s="18" t="s">
        <v>42</v>
      </c>
    </row>
    <row r="45" spans="1:20" ht="14.5" x14ac:dyDescent="0.25">
      <c r="A45" s="19">
        <v>26</v>
      </c>
      <c r="B45" s="18" t="s">
        <v>504</v>
      </c>
      <c r="C45" s="18" t="s">
        <v>106</v>
      </c>
      <c r="D45" s="18" t="s">
        <v>552</v>
      </c>
      <c r="E45" s="18" t="s">
        <v>558</v>
      </c>
      <c r="F45" s="101"/>
      <c r="G45" s="101">
        <v>46007.015972222223</v>
      </c>
      <c r="H45" s="18" t="s">
        <v>554</v>
      </c>
      <c r="I45" s="18" t="s">
        <v>555</v>
      </c>
      <c r="J45" s="18" t="s">
        <v>556</v>
      </c>
      <c r="K45" s="21" t="str">
        <f t="shared" si="0"/>
        <v/>
      </c>
      <c r="L45" s="19" t="str">
        <f t="shared" si="1"/>
        <v/>
      </c>
      <c r="M45" s="18" t="str">
        <f>IF(I45&lt;&gt;"Sí","",IF(YEAR(F45)&lt;&gt;2026,"",INDEX({"Enero","Febrero","Marzo","Abril","Mayo","Junio","Julio","Agosto","Septiembre","Octubre","Noviembre","Diciembre"},MONTH(F45))))</f>
        <v/>
      </c>
      <c r="N45" s="18" t="str">
        <f t="shared" si="2"/>
        <v/>
      </c>
      <c r="Q45" s="18" t="s">
        <v>231</v>
      </c>
      <c r="R45" s="102">
        <v>46282</v>
      </c>
      <c r="S45" s="102">
        <v>46283</v>
      </c>
      <c r="T45" s="18" t="s">
        <v>42</v>
      </c>
    </row>
    <row r="46" spans="1:20" ht="14.5" x14ac:dyDescent="0.25">
      <c r="A46" s="19">
        <v>26</v>
      </c>
      <c r="B46" s="18" t="s">
        <v>504</v>
      </c>
      <c r="C46" s="18" t="s">
        <v>106</v>
      </c>
      <c r="D46" s="18" t="s">
        <v>552</v>
      </c>
      <c r="E46" s="18" t="s">
        <v>553</v>
      </c>
      <c r="F46" s="101">
        <v>46007.064583333333</v>
      </c>
      <c r="G46" s="101">
        <v>46010.422222222223</v>
      </c>
      <c r="H46" s="18" t="s">
        <v>523</v>
      </c>
      <c r="I46" s="18" t="s">
        <v>508</v>
      </c>
      <c r="J46" s="18"/>
      <c r="K46" s="21">
        <f t="shared" si="0"/>
        <v>80.583333333372138</v>
      </c>
      <c r="L46" s="19">
        <f t="shared" si="1"/>
        <v>6</v>
      </c>
      <c r="M46" s="18" t="str">
        <f>IF(I46&lt;&gt;"Sí","",IF(YEAR(F46)&lt;&gt;2026,"",INDEX({"Enero","Febrero","Marzo","Abril","Mayo","Junio","Julio","Agosto","Septiembre","Octubre","Noviembre","Diciembre"},MONTH(F46))))</f>
        <v/>
      </c>
      <c r="N46" s="18" t="str">
        <f t="shared" si="2"/>
        <v/>
      </c>
      <c r="Q46" s="18" t="s">
        <v>231</v>
      </c>
      <c r="R46" s="102">
        <v>46290</v>
      </c>
      <c r="S46" s="102">
        <v>46292</v>
      </c>
      <c r="T46" s="18" t="s">
        <v>42</v>
      </c>
    </row>
    <row r="47" spans="1:20" ht="14.5" x14ac:dyDescent="0.25">
      <c r="A47" s="19">
        <v>26</v>
      </c>
      <c r="B47" s="18" t="s">
        <v>504</v>
      </c>
      <c r="C47" s="18" t="s">
        <v>106</v>
      </c>
      <c r="D47" s="18" t="s">
        <v>552</v>
      </c>
      <c r="E47" s="18" t="s">
        <v>558</v>
      </c>
      <c r="F47" s="101">
        <v>46007.064583333333</v>
      </c>
      <c r="G47" s="101">
        <v>46010.422222222223</v>
      </c>
      <c r="H47" s="18" t="s">
        <v>523</v>
      </c>
      <c r="I47" s="18" t="s">
        <v>508</v>
      </c>
      <c r="J47" s="18"/>
      <c r="K47" s="21">
        <f t="shared" si="0"/>
        <v>80.583333333372138</v>
      </c>
      <c r="L47" s="19">
        <f t="shared" si="1"/>
        <v>6</v>
      </c>
      <c r="M47" s="18" t="str">
        <f>IF(I47&lt;&gt;"Sí","",IF(YEAR(F47)&lt;&gt;2026,"",INDEX({"Enero","Febrero","Marzo","Abril","Mayo","Junio","Julio","Agosto","Septiembre","Octubre","Noviembre","Diciembre"},MONTH(F47))))</f>
        <v/>
      </c>
      <c r="N47" s="18" t="str">
        <f t="shared" si="2"/>
        <v/>
      </c>
      <c r="Q47" s="18" t="s">
        <v>238</v>
      </c>
      <c r="R47" s="102">
        <v>46275</v>
      </c>
      <c r="S47" s="102">
        <v>46277</v>
      </c>
      <c r="T47" s="18" t="s">
        <v>42</v>
      </c>
    </row>
    <row r="48" spans="1:20" ht="14.5" x14ac:dyDescent="0.25">
      <c r="A48" s="19">
        <v>26</v>
      </c>
      <c r="B48" s="18" t="s">
        <v>504</v>
      </c>
      <c r="C48" s="18" t="s">
        <v>97</v>
      </c>
      <c r="D48" s="18" t="s">
        <v>549</v>
      </c>
      <c r="E48" s="18" t="s">
        <v>559</v>
      </c>
      <c r="F48" s="101">
        <v>46007.679166666669</v>
      </c>
      <c r="G48" s="101">
        <v>46013.427777777775</v>
      </c>
      <c r="H48" s="18" t="s">
        <v>507</v>
      </c>
      <c r="I48" s="18" t="s">
        <v>508</v>
      </c>
      <c r="J48" s="18"/>
      <c r="K48" s="21">
        <f t="shared" si="0"/>
        <v>137.96666666655801</v>
      </c>
      <c r="L48" s="19">
        <f t="shared" si="1"/>
        <v>8</v>
      </c>
      <c r="M48" s="18" t="str">
        <f>IF(I48&lt;&gt;"Sí","",IF(YEAR(F48)&lt;&gt;2026,"",INDEX({"Enero","Febrero","Marzo","Abril","Mayo","Junio","Julio","Agosto","Septiembre","Octubre","Noviembre","Diciembre"},MONTH(F48))))</f>
        <v/>
      </c>
      <c r="N48" s="18" t="str">
        <f t="shared" si="2"/>
        <v/>
      </c>
      <c r="Q48" s="18" t="s">
        <v>238</v>
      </c>
      <c r="R48" s="102">
        <v>46290</v>
      </c>
      <c r="S48" s="102">
        <v>46291</v>
      </c>
      <c r="T48" s="18" t="s">
        <v>42</v>
      </c>
    </row>
    <row r="49" spans="1:20" ht="14.5" x14ac:dyDescent="0.25">
      <c r="A49" s="19">
        <v>26</v>
      </c>
      <c r="B49" s="18" t="s">
        <v>504</v>
      </c>
      <c r="C49" s="18" t="s">
        <v>153</v>
      </c>
      <c r="D49" s="18" t="s">
        <v>560</v>
      </c>
      <c r="E49" s="18" t="s">
        <v>561</v>
      </c>
      <c r="F49" s="101">
        <v>46007.679166666669</v>
      </c>
      <c r="G49" s="101">
        <v>46013.427777777775</v>
      </c>
      <c r="H49" s="18" t="s">
        <v>507</v>
      </c>
      <c r="I49" s="18" t="s">
        <v>508</v>
      </c>
      <c r="J49" s="18"/>
      <c r="K49" s="21">
        <f t="shared" si="0"/>
        <v>137.96666666655801</v>
      </c>
      <c r="L49" s="19">
        <f t="shared" si="1"/>
        <v>8</v>
      </c>
      <c r="M49" s="18" t="str">
        <f>IF(I49&lt;&gt;"Sí","",IF(YEAR(F49)&lt;&gt;2026,"",INDEX({"Enero","Febrero","Marzo","Abril","Mayo","Junio","Julio","Agosto","Septiembre","Octubre","Noviembre","Diciembre"},MONTH(F49))))</f>
        <v/>
      </c>
      <c r="N49" s="18" t="str">
        <f t="shared" si="2"/>
        <v/>
      </c>
      <c r="Q49" s="18" t="s">
        <v>249</v>
      </c>
      <c r="R49" s="102">
        <v>46275</v>
      </c>
      <c r="S49" s="102">
        <v>46277</v>
      </c>
      <c r="T49" s="18" t="s">
        <v>42</v>
      </c>
    </row>
    <row r="50" spans="1:20" ht="14.5" x14ac:dyDescent="0.25">
      <c r="A50" s="19">
        <v>26</v>
      </c>
      <c r="B50" s="18" t="s">
        <v>504</v>
      </c>
      <c r="C50" s="18" t="s">
        <v>526</v>
      </c>
      <c r="D50" s="18" t="s">
        <v>527</v>
      </c>
      <c r="E50" s="18" t="s">
        <v>562</v>
      </c>
      <c r="F50" s="101"/>
      <c r="G50" s="101">
        <v>46007.878472222219</v>
      </c>
      <c r="H50" s="18" t="s">
        <v>554</v>
      </c>
      <c r="I50" s="18" t="s">
        <v>555</v>
      </c>
      <c r="J50" s="18" t="s">
        <v>556</v>
      </c>
      <c r="K50" s="21" t="str">
        <f t="shared" si="0"/>
        <v/>
      </c>
      <c r="L50" s="19" t="str">
        <f t="shared" si="1"/>
        <v/>
      </c>
      <c r="M50" s="18" t="str">
        <f>IF(I50&lt;&gt;"Sí","",IF(YEAR(F50)&lt;&gt;2026,"",INDEX({"Enero","Febrero","Marzo","Abril","Mayo","Junio","Julio","Agosto","Septiembre","Octubre","Noviembre","Diciembre"},MONTH(F50))))</f>
        <v/>
      </c>
      <c r="N50" s="18" t="str">
        <f t="shared" si="2"/>
        <v/>
      </c>
      <c r="Q50" s="18" t="s">
        <v>249</v>
      </c>
      <c r="R50" s="102">
        <v>46289</v>
      </c>
      <c r="S50" s="102">
        <v>46292</v>
      </c>
      <c r="T50" s="18" t="s">
        <v>42</v>
      </c>
    </row>
    <row r="51" spans="1:20" ht="14.5" x14ac:dyDescent="0.25">
      <c r="A51" s="19">
        <v>26</v>
      </c>
      <c r="B51" s="18" t="s">
        <v>504</v>
      </c>
      <c r="C51" s="18" t="s">
        <v>526</v>
      </c>
      <c r="D51" s="18" t="s">
        <v>527</v>
      </c>
      <c r="E51" s="18" t="s">
        <v>562</v>
      </c>
      <c r="F51" s="101">
        <v>46007.895138888889</v>
      </c>
      <c r="G51" s="101">
        <v>46010.422222222223</v>
      </c>
      <c r="H51" s="18" t="s">
        <v>523</v>
      </c>
      <c r="I51" s="18" t="s">
        <v>508</v>
      </c>
      <c r="J51" s="18"/>
      <c r="K51" s="21">
        <f t="shared" si="0"/>
        <v>60.650000000023283</v>
      </c>
      <c r="L51" s="19">
        <f t="shared" si="1"/>
        <v>9</v>
      </c>
      <c r="M51" s="18" t="str">
        <f>IF(I51&lt;&gt;"Sí","",IF(YEAR(F51)&lt;&gt;2026,"",INDEX({"Enero","Febrero","Marzo","Abril","Mayo","Junio","Julio","Agosto","Septiembre","Octubre","Noviembre","Diciembre"},MONTH(F51))))</f>
        <v/>
      </c>
      <c r="N51" s="18" t="str">
        <f t="shared" si="2"/>
        <v/>
      </c>
      <c r="Q51" s="18" t="s">
        <v>251</v>
      </c>
      <c r="R51" s="102">
        <v>46275</v>
      </c>
      <c r="S51" s="102">
        <v>46278</v>
      </c>
      <c r="T51" s="18" t="s">
        <v>42</v>
      </c>
    </row>
    <row r="52" spans="1:20" ht="14.5" x14ac:dyDescent="0.25">
      <c r="A52" s="19">
        <v>26</v>
      </c>
      <c r="B52" s="18" t="s">
        <v>504</v>
      </c>
      <c r="C52" s="18" t="s">
        <v>97</v>
      </c>
      <c r="D52" s="18" t="s">
        <v>549</v>
      </c>
      <c r="E52" s="18" t="s">
        <v>563</v>
      </c>
      <c r="F52" s="101">
        <v>46009.555555555555</v>
      </c>
      <c r="G52" s="101">
        <v>46010.805555555555</v>
      </c>
      <c r="H52" s="18" t="s">
        <v>507</v>
      </c>
      <c r="I52" s="18" t="s">
        <v>508</v>
      </c>
      <c r="J52" s="18"/>
      <c r="K52" s="21">
        <f t="shared" si="0"/>
        <v>30</v>
      </c>
      <c r="L52" s="19">
        <f t="shared" si="1"/>
        <v>8</v>
      </c>
      <c r="M52" s="18" t="str">
        <f>IF(I52&lt;&gt;"Sí","",IF(YEAR(F52)&lt;&gt;2026,"",INDEX({"Enero","Febrero","Marzo","Abril","Mayo","Junio","Julio","Agosto","Septiembre","Octubre","Noviembre","Diciembre"},MONTH(F52))))</f>
        <v/>
      </c>
      <c r="N52" s="18" t="str">
        <f t="shared" si="2"/>
        <v/>
      </c>
      <c r="Q52" s="18" t="s">
        <v>251</v>
      </c>
      <c r="R52" s="102">
        <v>46282</v>
      </c>
      <c r="S52" s="102">
        <v>46284</v>
      </c>
      <c r="T52" s="18" t="s">
        <v>42</v>
      </c>
    </row>
    <row r="53" spans="1:20" ht="14.5" x14ac:dyDescent="0.25">
      <c r="A53" s="19">
        <v>26</v>
      </c>
      <c r="B53" s="18" t="s">
        <v>504</v>
      </c>
      <c r="C53" s="18" t="s">
        <v>97</v>
      </c>
      <c r="D53" s="18" t="s">
        <v>549</v>
      </c>
      <c r="E53" s="18" t="s">
        <v>564</v>
      </c>
      <c r="F53" s="101">
        <v>46009.567361111112</v>
      </c>
      <c r="G53" s="101">
        <v>46010.872916666667</v>
      </c>
      <c r="H53" s="18" t="s">
        <v>507</v>
      </c>
      <c r="I53" s="18" t="s">
        <v>508</v>
      </c>
      <c r="J53" s="18"/>
      <c r="K53" s="21">
        <f t="shared" si="0"/>
        <v>31.333333333313931</v>
      </c>
      <c r="L53" s="19">
        <f t="shared" si="1"/>
        <v>12</v>
      </c>
      <c r="M53" s="18" t="str">
        <f>IF(I53&lt;&gt;"Sí","",IF(YEAR(F53)&lt;&gt;2026,"",INDEX({"Enero","Febrero","Marzo","Abril","Mayo","Junio","Julio","Agosto","Septiembre","Octubre","Noviembre","Diciembre"},MONTH(F53))))</f>
        <v/>
      </c>
      <c r="N53" s="18" t="str">
        <f t="shared" si="2"/>
        <v/>
      </c>
    </row>
    <row r="54" spans="1:20" ht="14.5" x14ac:dyDescent="0.25">
      <c r="A54" s="19">
        <v>26</v>
      </c>
      <c r="B54" s="18" t="s">
        <v>504</v>
      </c>
      <c r="C54" s="18" t="s">
        <v>97</v>
      </c>
      <c r="D54" s="18" t="s">
        <v>549</v>
      </c>
      <c r="E54" s="18" t="s">
        <v>565</v>
      </c>
      <c r="F54" s="101">
        <v>46009.567361111112</v>
      </c>
      <c r="G54" s="101">
        <v>46010.713888888888</v>
      </c>
      <c r="H54" s="18" t="s">
        <v>507</v>
      </c>
      <c r="I54" s="18" t="s">
        <v>508</v>
      </c>
      <c r="J54" s="18"/>
      <c r="K54" s="21">
        <f t="shared" si="0"/>
        <v>27.516666666604578</v>
      </c>
      <c r="L54" s="19">
        <f t="shared" si="1"/>
        <v>12</v>
      </c>
      <c r="M54" s="18" t="str">
        <f>IF(I54&lt;&gt;"Sí","",IF(YEAR(F54)&lt;&gt;2026,"",INDEX({"Enero","Febrero","Marzo","Abril","Mayo","Junio","Julio","Agosto","Septiembre","Octubre","Noviembre","Diciembre"},MONTH(F54))))</f>
        <v/>
      </c>
      <c r="N54" s="18" t="str">
        <f t="shared" si="2"/>
        <v/>
      </c>
    </row>
    <row r="55" spans="1:20" ht="14.5" x14ac:dyDescent="0.25">
      <c r="A55" s="19">
        <v>26</v>
      </c>
      <c r="B55" s="18" t="s">
        <v>504</v>
      </c>
      <c r="C55" s="18" t="s">
        <v>97</v>
      </c>
      <c r="D55" s="18" t="s">
        <v>549</v>
      </c>
      <c r="E55" s="18" t="s">
        <v>566</v>
      </c>
      <c r="F55" s="101">
        <v>46009.567361111112</v>
      </c>
      <c r="G55" s="101">
        <v>46010.716666666667</v>
      </c>
      <c r="H55" s="18" t="s">
        <v>507</v>
      </c>
      <c r="I55" s="18" t="s">
        <v>508</v>
      </c>
      <c r="J55" s="18"/>
      <c r="K55" s="21">
        <f t="shared" si="0"/>
        <v>27.583333333313931</v>
      </c>
      <c r="L55" s="19">
        <f t="shared" si="1"/>
        <v>12</v>
      </c>
      <c r="M55" s="18" t="str">
        <f>IF(I55&lt;&gt;"Sí","",IF(YEAR(F55)&lt;&gt;2026,"",INDEX({"Enero","Febrero","Marzo","Abril","Mayo","Junio","Julio","Agosto","Septiembre","Octubre","Noviembre","Diciembre"},MONTH(F55))))</f>
        <v/>
      </c>
      <c r="N55" s="18" t="str">
        <f t="shared" si="2"/>
        <v/>
      </c>
    </row>
    <row r="56" spans="1:20" ht="14.5" x14ac:dyDescent="0.25">
      <c r="A56" s="19">
        <v>26</v>
      </c>
      <c r="B56" s="18" t="s">
        <v>504</v>
      </c>
      <c r="C56" s="18" t="s">
        <v>97</v>
      </c>
      <c r="D56" s="18" t="s">
        <v>549</v>
      </c>
      <c r="E56" s="18" t="s">
        <v>567</v>
      </c>
      <c r="F56" s="101">
        <v>46009.567361111112</v>
      </c>
      <c r="G56" s="101">
        <v>46010.719444444447</v>
      </c>
      <c r="H56" s="18" t="s">
        <v>507</v>
      </c>
      <c r="I56" s="18" t="s">
        <v>508</v>
      </c>
      <c r="J56" s="18"/>
      <c r="K56" s="21">
        <f t="shared" si="0"/>
        <v>27.650000000023283</v>
      </c>
      <c r="L56" s="19">
        <f t="shared" si="1"/>
        <v>12</v>
      </c>
      <c r="M56" s="18" t="str">
        <f>IF(I56&lt;&gt;"Sí","",IF(YEAR(F56)&lt;&gt;2026,"",INDEX({"Enero","Febrero","Marzo","Abril","Mayo","Junio","Julio","Agosto","Septiembre","Octubre","Noviembre","Diciembre"},MONTH(F56))))</f>
        <v/>
      </c>
      <c r="N56" s="18" t="str">
        <f t="shared" si="2"/>
        <v/>
      </c>
    </row>
    <row r="57" spans="1:20" ht="14.5" x14ac:dyDescent="0.25">
      <c r="A57" s="19">
        <v>26</v>
      </c>
      <c r="B57" s="18" t="s">
        <v>504</v>
      </c>
      <c r="C57" s="18" t="s">
        <v>97</v>
      </c>
      <c r="D57" s="18" t="s">
        <v>549</v>
      </c>
      <c r="E57" s="18" t="s">
        <v>568</v>
      </c>
      <c r="F57" s="101">
        <v>46009.568055555559</v>
      </c>
      <c r="G57" s="101">
        <v>46010.711111111108</v>
      </c>
      <c r="H57" s="18" t="s">
        <v>507</v>
      </c>
      <c r="I57" s="18" t="s">
        <v>508</v>
      </c>
      <c r="J57" s="18"/>
      <c r="K57" s="21">
        <f t="shared" si="0"/>
        <v>27.433333333174232</v>
      </c>
      <c r="L57" s="19">
        <f t="shared" si="1"/>
        <v>14</v>
      </c>
      <c r="M57" s="18" t="str">
        <f>IF(I57&lt;&gt;"Sí","",IF(YEAR(F57)&lt;&gt;2026,"",INDEX({"Enero","Febrero","Marzo","Abril","Mayo","Junio","Julio","Agosto","Septiembre","Octubre","Noviembre","Diciembre"},MONTH(F57))))</f>
        <v/>
      </c>
      <c r="N57" s="18" t="str">
        <f t="shared" si="2"/>
        <v/>
      </c>
    </row>
    <row r="58" spans="1:20" ht="14.5" x14ac:dyDescent="0.25">
      <c r="A58" s="19">
        <v>26</v>
      </c>
      <c r="B58" s="18" t="s">
        <v>504</v>
      </c>
      <c r="C58" s="18" t="s">
        <v>97</v>
      </c>
      <c r="D58" s="18" t="s">
        <v>549</v>
      </c>
      <c r="E58" s="18" t="s">
        <v>569</v>
      </c>
      <c r="F58" s="101">
        <v>46009.568055555559</v>
      </c>
      <c r="G58" s="101">
        <v>46010.637499999997</v>
      </c>
      <c r="H58" s="18" t="s">
        <v>507</v>
      </c>
      <c r="I58" s="18" t="s">
        <v>508</v>
      </c>
      <c r="J58" s="18"/>
      <c r="K58" s="21">
        <f t="shared" si="0"/>
        <v>25.666666666511446</v>
      </c>
      <c r="L58" s="19">
        <f t="shared" si="1"/>
        <v>14</v>
      </c>
      <c r="M58" s="18" t="str">
        <f>IF(I58&lt;&gt;"Sí","",IF(YEAR(F58)&lt;&gt;2026,"",INDEX({"Enero","Febrero","Marzo","Abril","Mayo","Junio","Julio","Agosto","Septiembre","Octubre","Noviembre","Diciembre"},MONTH(F58))))</f>
        <v/>
      </c>
      <c r="N58" s="18" t="str">
        <f t="shared" si="2"/>
        <v/>
      </c>
    </row>
    <row r="59" spans="1:20" ht="14.5" x14ac:dyDescent="0.25">
      <c r="A59" s="19">
        <v>26</v>
      </c>
      <c r="B59" s="18" t="s">
        <v>504</v>
      </c>
      <c r="C59" s="18" t="s">
        <v>97</v>
      </c>
      <c r="D59" s="18" t="s">
        <v>549</v>
      </c>
      <c r="E59" s="18" t="s">
        <v>570</v>
      </c>
      <c r="F59" s="101">
        <v>46009.57708333333</v>
      </c>
      <c r="G59" s="101">
        <v>46010.705555555556</v>
      </c>
      <c r="H59" s="18" t="s">
        <v>507</v>
      </c>
      <c r="I59" s="18" t="s">
        <v>508</v>
      </c>
      <c r="J59" s="18"/>
      <c r="K59" s="21">
        <f t="shared" si="0"/>
        <v>27.083333333430346</v>
      </c>
      <c r="L59" s="19">
        <f t="shared" si="1"/>
        <v>16</v>
      </c>
      <c r="M59" s="18" t="str">
        <f>IF(I59&lt;&gt;"Sí","",IF(YEAR(F59)&lt;&gt;2026,"",INDEX({"Enero","Febrero","Marzo","Abril","Mayo","Junio","Julio","Agosto","Septiembre","Octubre","Noviembre","Diciembre"},MONTH(F59))))</f>
        <v/>
      </c>
      <c r="N59" s="18" t="str">
        <f t="shared" si="2"/>
        <v/>
      </c>
    </row>
    <row r="60" spans="1:20" ht="14.5" x14ac:dyDescent="0.25">
      <c r="A60" s="19">
        <v>26</v>
      </c>
      <c r="B60" s="18" t="s">
        <v>504</v>
      </c>
      <c r="C60" s="18" t="s">
        <v>97</v>
      </c>
      <c r="D60" s="18" t="s">
        <v>549</v>
      </c>
      <c r="E60" s="18" t="s">
        <v>571</v>
      </c>
      <c r="F60" s="101">
        <v>46009.57708333333</v>
      </c>
      <c r="G60" s="101">
        <v>46010.708333333336</v>
      </c>
      <c r="H60" s="18" t="s">
        <v>507</v>
      </c>
      <c r="I60" s="18" t="s">
        <v>508</v>
      </c>
      <c r="J60" s="18"/>
      <c r="K60" s="21">
        <f t="shared" si="0"/>
        <v>27.150000000139698</v>
      </c>
      <c r="L60" s="19">
        <f t="shared" si="1"/>
        <v>16</v>
      </c>
      <c r="M60" s="18" t="str">
        <f>IF(I60&lt;&gt;"Sí","",IF(YEAR(F60)&lt;&gt;2026,"",INDEX({"Enero","Febrero","Marzo","Abril","Mayo","Junio","Julio","Agosto","Septiembre","Octubre","Noviembre","Diciembre"},MONTH(F60))))</f>
        <v/>
      </c>
      <c r="N60" s="18" t="str">
        <f t="shared" si="2"/>
        <v/>
      </c>
    </row>
    <row r="61" spans="1:20" ht="14.5" x14ac:dyDescent="0.25">
      <c r="A61" s="19">
        <v>26</v>
      </c>
      <c r="B61" s="18" t="s">
        <v>504</v>
      </c>
      <c r="C61" s="18" t="s">
        <v>97</v>
      </c>
      <c r="D61" s="18" t="s">
        <v>549</v>
      </c>
      <c r="E61" s="18" t="s">
        <v>572</v>
      </c>
      <c r="F61" s="101">
        <v>46009.581250000003</v>
      </c>
      <c r="G61" s="101">
        <v>46010.702777777777</v>
      </c>
      <c r="H61" s="18" t="s">
        <v>507</v>
      </c>
      <c r="I61" s="18" t="s">
        <v>508</v>
      </c>
      <c r="J61" s="18"/>
      <c r="K61" s="21">
        <f t="shared" si="0"/>
        <v>26.916666666569654</v>
      </c>
      <c r="L61" s="19">
        <f t="shared" si="1"/>
        <v>17</v>
      </c>
      <c r="M61" s="18" t="str">
        <f>IF(I61&lt;&gt;"Sí","",IF(YEAR(F61)&lt;&gt;2026,"",INDEX({"Enero","Febrero","Marzo","Abril","Mayo","Junio","Julio","Agosto","Septiembre","Octubre","Noviembre","Diciembre"},MONTH(F61))))</f>
        <v/>
      </c>
      <c r="N61" s="18" t="str">
        <f t="shared" si="2"/>
        <v/>
      </c>
    </row>
    <row r="62" spans="1:20" ht="14.5" x14ac:dyDescent="0.25">
      <c r="A62" s="19">
        <v>26</v>
      </c>
      <c r="B62" s="18" t="s">
        <v>504</v>
      </c>
      <c r="C62" s="18" t="s">
        <v>97</v>
      </c>
      <c r="D62" s="18" t="s">
        <v>549</v>
      </c>
      <c r="E62" s="18" t="s">
        <v>573</v>
      </c>
      <c r="F62" s="101">
        <v>46009.581944444442</v>
      </c>
      <c r="G62" s="101">
        <v>46010.7</v>
      </c>
      <c r="H62" s="18" t="s">
        <v>507</v>
      </c>
      <c r="I62" s="18" t="s">
        <v>508</v>
      </c>
      <c r="J62" s="18"/>
      <c r="K62" s="21">
        <f t="shared" si="0"/>
        <v>26.833333333313931</v>
      </c>
      <c r="L62" s="19">
        <f t="shared" si="1"/>
        <v>18</v>
      </c>
      <c r="M62" s="18" t="str">
        <f>IF(I62&lt;&gt;"Sí","",IF(YEAR(F62)&lt;&gt;2026,"",INDEX({"Enero","Febrero","Marzo","Abril","Mayo","Junio","Julio","Agosto","Septiembre","Octubre","Noviembre","Diciembre"},MONTH(F62))))</f>
        <v/>
      </c>
      <c r="N62" s="18" t="str">
        <f t="shared" si="2"/>
        <v/>
      </c>
    </row>
    <row r="63" spans="1:20" ht="14.5" x14ac:dyDescent="0.25">
      <c r="A63" s="19">
        <v>26</v>
      </c>
      <c r="B63" s="18" t="s">
        <v>504</v>
      </c>
      <c r="C63" s="18" t="s">
        <v>97</v>
      </c>
      <c r="D63" s="18" t="s">
        <v>549</v>
      </c>
      <c r="E63" s="18" t="s">
        <v>574</v>
      </c>
      <c r="F63" s="101">
        <v>46009.594444444447</v>
      </c>
      <c r="G63" s="101">
        <v>46010.635416666664</v>
      </c>
      <c r="H63" s="18" t="s">
        <v>507</v>
      </c>
      <c r="I63" s="18" t="s">
        <v>508</v>
      </c>
      <c r="J63" s="18"/>
      <c r="K63" s="21">
        <f t="shared" si="0"/>
        <v>24.983333333220799</v>
      </c>
      <c r="L63" s="19">
        <f t="shared" si="1"/>
        <v>20</v>
      </c>
      <c r="M63" s="18" t="str">
        <f>IF(I63&lt;&gt;"Sí","",IF(YEAR(F63)&lt;&gt;2026,"",INDEX({"Enero","Febrero","Marzo","Abril","Mayo","Junio","Julio","Agosto","Septiembre","Octubre","Noviembre","Diciembre"},MONTH(F63))))</f>
        <v/>
      </c>
      <c r="N63" s="18" t="str">
        <f t="shared" si="2"/>
        <v/>
      </c>
    </row>
    <row r="64" spans="1:20" ht="14.5" x14ac:dyDescent="0.25">
      <c r="A64" s="19">
        <v>26</v>
      </c>
      <c r="B64" s="18" t="s">
        <v>504</v>
      </c>
      <c r="C64" s="18" t="s">
        <v>97</v>
      </c>
      <c r="D64" s="18" t="s">
        <v>549</v>
      </c>
      <c r="E64" s="18" t="s">
        <v>575</v>
      </c>
      <c r="F64" s="101">
        <v>46009.594444444447</v>
      </c>
      <c r="G64" s="101">
        <v>46010.697222222225</v>
      </c>
      <c r="H64" s="18" t="s">
        <v>507</v>
      </c>
      <c r="I64" s="18" t="s">
        <v>508</v>
      </c>
      <c r="J64" s="18"/>
      <c r="K64" s="21">
        <f t="shared" si="0"/>
        <v>26.466666666674428</v>
      </c>
      <c r="L64" s="19">
        <f t="shared" si="1"/>
        <v>20</v>
      </c>
      <c r="M64" s="18" t="str">
        <f>IF(I64&lt;&gt;"Sí","",IF(YEAR(F64)&lt;&gt;2026,"",INDEX({"Enero","Febrero","Marzo","Abril","Mayo","Junio","Julio","Agosto","Septiembre","Octubre","Noviembre","Diciembre"},MONTH(F64))))</f>
        <v/>
      </c>
      <c r="N64" s="18" t="str">
        <f t="shared" si="2"/>
        <v/>
      </c>
    </row>
    <row r="65" spans="1:14" ht="14.5" x14ac:dyDescent="0.25">
      <c r="A65" s="19">
        <v>26</v>
      </c>
      <c r="B65" s="18" t="s">
        <v>504</v>
      </c>
      <c r="C65" s="18" t="s">
        <v>97</v>
      </c>
      <c r="D65" s="18" t="s">
        <v>549</v>
      </c>
      <c r="E65" s="18" t="s">
        <v>576</v>
      </c>
      <c r="F65" s="101">
        <v>46009.597916666666</v>
      </c>
      <c r="G65" s="101">
        <v>46010.686111111114</v>
      </c>
      <c r="H65" s="18" t="s">
        <v>507</v>
      </c>
      <c r="I65" s="18" t="s">
        <v>508</v>
      </c>
      <c r="J65" s="18"/>
      <c r="K65" s="21">
        <f t="shared" si="0"/>
        <v>26.116666666755918</v>
      </c>
      <c r="L65" s="19">
        <f t="shared" si="1"/>
        <v>21</v>
      </c>
      <c r="M65" s="18" t="str">
        <f>IF(I65&lt;&gt;"Sí","",IF(YEAR(F65)&lt;&gt;2026,"",INDEX({"Enero","Febrero","Marzo","Abril","Mayo","Junio","Julio","Agosto","Septiembre","Octubre","Noviembre","Diciembre"},MONTH(F65))))</f>
        <v/>
      </c>
      <c r="N65" s="18" t="str">
        <f t="shared" si="2"/>
        <v/>
      </c>
    </row>
    <row r="66" spans="1:14" ht="14.5" x14ac:dyDescent="0.25">
      <c r="A66" s="19">
        <v>26</v>
      </c>
      <c r="B66" s="18" t="s">
        <v>504</v>
      </c>
      <c r="C66" s="18" t="s">
        <v>97</v>
      </c>
      <c r="D66" s="18" t="s">
        <v>549</v>
      </c>
      <c r="E66" s="18" t="s">
        <v>577</v>
      </c>
      <c r="F66" s="101">
        <v>46009.598611111112</v>
      </c>
      <c r="G66" s="101">
        <v>46010.680555555555</v>
      </c>
      <c r="H66" s="18" t="s">
        <v>507</v>
      </c>
      <c r="I66" s="18" t="s">
        <v>508</v>
      </c>
      <c r="J66" s="18"/>
      <c r="K66" s="21">
        <f t="shared" si="0"/>
        <v>25.96666666661622</v>
      </c>
      <c r="L66" s="19">
        <f t="shared" si="1"/>
        <v>22</v>
      </c>
      <c r="M66" s="18" t="str">
        <f>IF(I66&lt;&gt;"Sí","",IF(YEAR(F66)&lt;&gt;2026,"",INDEX({"Enero","Febrero","Marzo","Abril","Mayo","Junio","Julio","Agosto","Septiembre","Octubre","Noviembre","Diciembre"},MONTH(F66))))</f>
        <v/>
      </c>
      <c r="N66" s="18" t="str">
        <f t="shared" si="2"/>
        <v/>
      </c>
    </row>
    <row r="67" spans="1:14" ht="14.5" x14ac:dyDescent="0.25">
      <c r="A67" s="19">
        <v>26</v>
      </c>
      <c r="B67" s="18" t="s">
        <v>504</v>
      </c>
      <c r="C67" s="18" t="s">
        <v>97</v>
      </c>
      <c r="D67" s="18" t="s">
        <v>549</v>
      </c>
      <c r="E67" s="18" t="s">
        <v>578</v>
      </c>
      <c r="F67" s="101">
        <v>46009.599305555559</v>
      </c>
      <c r="G67" s="101">
        <v>46010.691666666666</v>
      </c>
      <c r="H67" s="18" t="s">
        <v>507</v>
      </c>
      <c r="I67" s="18" t="s">
        <v>508</v>
      </c>
      <c r="J67" s="18"/>
      <c r="K67" s="21">
        <f t="shared" si="0"/>
        <v>26.216666666558012</v>
      </c>
      <c r="L67" s="19">
        <f t="shared" si="1"/>
        <v>23</v>
      </c>
      <c r="M67" s="18" t="str">
        <f>IF(I67&lt;&gt;"Sí","",IF(YEAR(F67)&lt;&gt;2026,"",INDEX({"Enero","Febrero","Marzo","Abril","Mayo","Junio","Julio","Agosto","Septiembre","Octubre","Noviembre","Diciembre"},MONTH(F67))))</f>
        <v/>
      </c>
      <c r="N67" s="18" t="str">
        <f t="shared" si="2"/>
        <v/>
      </c>
    </row>
    <row r="68" spans="1:14" ht="14.5" x14ac:dyDescent="0.25">
      <c r="A68" s="19">
        <v>26</v>
      </c>
      <c r="B68" s="18" t="s">
        <v>504</v>
      </c>
      <c r="C68" s="18" t="s">
        <v>97</v>
      </c>
      <c r="D68" s="18" t="s">
        <v>549</v>
      </c>
      <c r="E68" s="18" t="s">
        <v>579</v>
      </c>
      <c r="F68" s="101">
        <v>46009.599999999999</v>
      </c>
      <c r="G68" s="101">
        <v>46010.688888888886</v>
      </c>
      <c r="H68" s="18" t="s">
        <v>507</v>
      </c>
      <c r="I68" s="18" t="s">
        <v>508</v>
      </c>
      <c r="J68" s="18"/>
      <c r="K68" s="21">
        <f t="shared" si="0"/>
        <v>26.133333333302289</v>
      </c>
      <c r="L68" s="19">
        <f t="shared" si="1"/>
        <v>24</v>
      </c>
      <c r="M68" s="18" t="str">
        <f>IF(I68&lt;&gt;"Sí","",IF(YEAR(F68)&lt;&gt;2026,"",INDEX({"Enero","Febrero","Marzo","Abril","Mayo","Junio","Julio","Agosto","Septiembre","Octubre","Noviembre","Diciembre"},MONTH(F68))))</f>
        <v/>
      </c>
      <c r="N68" s="18" t="str">
        <f t="shared" si="2"/>
        <v/>
      </c>
    </row>
    <row r="69" spans="1:14" ht="14.5" x14ac:dyDescent="0.25">
      <c r="A69" s="19">
        <v>26</v>
      </c>
      <c r="B69" s="18" t="s">
        <v>504</v>
      </c>
      <c r="C69" s="18" t="s">
        <v>97</v>
      </c>
      <c r="D69" s="18" t="s">
        <v>549</v>
      </c>
      <c r="E69" s="18" t="s">
        <v>580</v>
      </c>
      <c r="F69" s="101">
        <v>46009.603472222225</v>
      </c>
      <c r="G69" s="101">
        <v>46010.689583333333</v>
      </c>
      <c r="H69" s="18" t="s">
        <v>507</v>
      </c>
      <c r="I69" s="18" t="s">
        <v>508</v>
      </c>
      <c r="J69" s="18"/>
      <c r="K69" s="21">
        <f t="shared" si="0"/>
        <v>26.066666666592937</v>
      </c>
      <c r="L69" s="19">
        <f t="shared" si="1"/>
        <v>25</v>
      </c>
      <c r="M69" s="18" t="str">
        <f>IF(I69&lt;&gt;"Sí","",IF(YEAR(F69)&lt;&gt;2026,"",INDEX({"Enero","Febrero","Marzo","Abril","Mayo","Junio","Julio","Agosto","Septiembre","Octubre","Noviembre","Diciembre"},MONTH(F69))))</f>
        <v/>
      </c>
      <c r="N69" s="18" t="str">
        <f t="shared" si="2"/>
        <v/>
      </c>
    </row>
    <row r="70" spans="1:14" ht="14.5" x14ac:dyDescent="0.25">
      <c r="A70" s="19">
        <v>26</v>
      </c>
      <c r="B70" s="18" t="s">
        <v>504</v>
      </c>
      <c r="C70" s="18" t="s">
        <v>97</v>
      </c>
      <c r="D70" s="18" t="s">
        <v>549</v>
      </c>
      <c r="E70" s="18" t="s">
        <v>581</v>
      </c>
      <c r="F70" s="101">
        <v>46009.607638888891</v>
      </c>
      <c r="G70" s="101">
        <v>46010.708333333336</v>
      </c>
      <c r="H70" s="18" t="s">
        <v>507</v>
      </c>
      <c r="I70" s="18" t="s">
        <v>508</v>
      </c>
      <c r="J70" s="18"/>
      <c r="K70" s="21">
        <f t="shared" si="0"/>
        <v>26.416666666686069</v>
      </c>
      <c r="L70" s="19">
        <f t="shared" si="1"/>
        <v>26</v>
      </c>
      <c r="M70" s="18" t="str">
        <f>IF(I70&lt;&gt;"Sí","",IF(YEAR(F70)&lt;&gt;2026,"",INDEX({"Enero","Febrero","Marzo","Abril","Mayo","Junio","Julio","Agosto","Septiembre","Octubre","Noviembre","Diciembre"},MONTH(F70))))</f>
        <v/>
      </c>
      <c r="N70" s="18" t="str">
        <f t="shared" si="2"/>
        <v/>
      </c>
    </row>
    <row r="71" spans="1:14" ht="14.5" x14ac:dyDescent="0.25">
      <c r="A71" s="19">
        <v>26</v>
      </c>
      <c r="B71" s="18" t="s">
        <v>504</v>
      </c>
      <c r="C71" s="18" t="s">
        <v>97</v>
      </c>
      <c r="D71" s="18" t="s">
        <v>549</v>
      </c>
      <c r="E71" s="18" t="s">
        <v>582</v>
      </c>
      <c r="F71" s="101">
        <v>46009.609722222223</v>
      </c>
      <c r="G71" s="101">
        <v>46010.708333333336</v>
      </c>
      <c r="H71" s="18" t="s">
        <v>507</v>
      </c>
      <c r="I71" s="18" t="s">
        <v>508</v>
      </c>
      <c r="J71" s="18"/>
      <c r="K71" s="21">
        <f t="shared" ref="K71:K134" si="3">IF(I71="Sí",(G71-F71)*24,"")</f>
        <v>26.366666666697711</v>
      </c>
      <c r="L71" s="19">
        <f t="shared" ref="L71:L134" si="4">IF(I71="Sí",COUNTIFS($F$7:$F$4000,"&lt;="&amp;F71,$G$7:$G$4000,"&gt;"&amp;F71,$I$7:$I$4000,"Sí"),"")</f>
        <v>27</v>
      </c>
      <c r="M71" s="18" t="str">
        <f>IF(I71&lt;&gt;"Sí","",IF(YEAR(F71)&lt;&gt;2026,"",INDEX({"Enero","Febrero","Marzo","Abril","Mayo","Junio","Julio","Agosto","Septiembre","Octubre","Noviembre","Diciembre"},MONTH(F71))))</f>
        <v/>
      </c>
      <c r="N71" s="18" t="str">
        <f t="shared" ref="N71:N134" si="5">IF(M71="","",M71&amp;"|"&amp;L71)</f>
        <v/>
      </c>
    </row>
    <row r="72" spans="1:14" ht="14.5" x14ac:dyDescent="0.25">
      <c r="A72" s="19">
        <v>26</v>
      </c>
      <c r="B72" s="18" t="s">
        <v>504</v>
      </c>
      <c r="C72" s="18" t="s">
        <v>97</v>
      </c>
      <c r="D72" s="18" t="s">
        <v>549</v>
      </c>
      <c r="E72" s="18" t="s">
        <v>583</v>
      </c>
      <c r="F72" s="101">
        <v>46009.611111111109</v>
      </c>
      <c r="G72" s="101">
        <v>46010.708333333336</v>
      </c>
      <c r="H72" s="18" t="s">
        <v>507</v>
      </c>
      <c r="I72" s="18" t="s">
        <v>508</v>
      </c>
      <c r="J72" s="18"/>
      <c r="K72" s="21">
        <f t="shared" si="3"/>
        <v>26.333333333430346</v>
      </c>
      <c r="L72" s="19">
        <f t="shared" si="4"/>
        <v>28</v>
      </c>
      <c r="M72" s="18" t="str">
        <f>IF(I72&lt;&gt;"Sí","",IF(YEAR(F72)&lt;&gt;2026,"",INDEX({"Enero","Febrero","Marzo","Abril","Mayo","Junio","Julio","Agosto","Septiembre","Octubre","Noviembre","Diciembre"},MONTH(F72))))</f>
        <v/>
      </c>
      <c r="N72" s="18" t="str">
        <f t="shared" si="5"/>
        <v/>
      </c>
    </row>
    <row r="73" spans="1:14" ht="14.5" x14ac:dyDescent="0.25">
      <c r="A73" s="19">
        <v>26</v>
      </c>
      <c r="B73" s="18" t="s">
        <v>504</v>
      </c>
      <c r="C73" s="18" t="s">
        <v>97</v>
      </c>
      <c r="D73" s="18" t="s">
        <v>549</v>
      </c>
      <c r="E73" s="18" t="s">
        <v>584</v>
      </c>
      <c r="F73" s="101">
        <v>46009.661111111112</v>
      </c>
      <c r="G73" s="101">
        <v>46010.708333333336</v>
      </c>
      <c r="H73" s="18" t="s">
        <v>507</v>
      </c>
      <c r="I73" s="18" t="s">
        <v>508</v>
      </c>
      <c r="J73" s="18"/>
      <c r="K73" s="21">
        <f t="shared" si="3"/>
        <v>25.133333333360497</v>
      </c>
      <c r="L73" s="19">
        <f t="shared" si="4"/>
        <v>29</v>
      </c>
      <c r="M73" s="18" t="str">
        <f>IF(I73&lt;&gt;"Sí","",IF(YEAR(F73)&lt;&gt;2026,"",INDEX({"Enero","Febrero","Marzo","Abril","Mayo","Junio","Julio","Agosto","Septiembre","Octubre","Noviembre","Diciembre"},MONTH(F73))))</f>
        <v/>
      </c>
      <c r="N73" s="18" t="str">
        <f t="shared" si="5"/>
        <v/>
      </c>
    </row>
    <row r="74" spans="1:14" ht="14.5" x14ac:dyDescent="0.25">
      <c r="A74" s="19">
        <v>26</v>
      </c>
      <c r="B74" s="18" t="s">
        <v>504</v>
      </c>
      <c r="C74" s="18" t="s">
        <v>97</v>
      </c>
      <c r="D74" s="18" t="s">
        <v>549</v>
      </c>
      <c r="E74" s="18" t="s">
        <v>585</v>
      </c>
      <c r="F74" s="101">
        <v>46009.6875</v>
      </c>
      <c r="G74" s="101">
        <v>46010.708333333336</v>
      </c>
      <c r="H74" s="18" t="s">
        <v>507</v>
      </c>
      <c r="I74" s="18" t="s">
        <v>508</v>
      </c>
      <c r="J74" s="18"/>
      <c r="K74" s="21">
        <f t="shared" si="3"/>
        <v>24.500000000058208</v>
      </c>
      <c r="L74" s="19">
        <f t="shared" si="4"/>
        <v>30</v>
      </c>
      <c r="M74" s="18" t="str">
        <f>IF(I74&lt;&gt;"Sí","",IF(YEAR(F74)&lt;&gt;2026,"",INDEX({"Enero","Febrero","Marzo","Abril","Mayo","Junio","Julio","Agosto","Septiembre","Octubre","Noviembre","Diciembre"},MONTH(F74))))</f>
        <v/>
      </c>
      <c r="N74" s="18" t="str">
        <f t="shared" si="5"/>
        <v/>
      </c>
    </row>
    <row r="75" spans="1:14" ht="14.5" x14ac:dyDescent="0.25">
      <c r="A75" s="19">
        <v>26</v>
      </c>
      <c r="B75" s="18" t="s">
        <v>504</v>
      </c>
      <c r="C75" s="18" t="s">
        <v>97</v>
      </c>
      <c r="D75" s="18" t="s">
        <v>549</v>
      </c>
      <c r="E75" s="18" t="s">
        <v>586</v>
      </c>
      <c r="F75" s="101">
        <v>46009.689583333333</v>
      </c>
      <c r="G75" s="101">
        <v>46010.708333333336</v>
      </c>
      <c r="H75" s="18" t="s">
        <v>507</v>
      </c>
      <c r="I75" s="18" t="s">
        <v>508</v>
      </c>
      <c r="J75" s="18"/>
      <c r="K75" s="21">
        <f t="shared" si="3"/>
        <v>24.450000000069849</v>
      </c>
      <c r="L75" s="19">
        <f t="shared" si="4"/>
        <v>31</v>
      </c>
      <c r="M75" s="18" t="str">
        <f>IF(I75&lt;&gt;"Sí","",IF(YEAR(F75)&lt;&gt;2026,"",INDEX({"Enero","Febrero","Marzo","Abril","Mayo","Junio","Julio","Agosto","Septiembre","Octubre","Noviembre","Diciembre"},MONTH(F75))))</f>
        <v/>
      </c>
      <c r="N75" s="18" t="str">
        <f t="shared" si="5"/>
        <v/>
      </c>
    </row>
    <row r="76" spans="1:14" ht="14.5" x14ac:dyDescent="0.25">
      <c r="A76" s="19">
        <v>26</v>
      </c>
      <c r="B76" s="18" t="s">
        <v>504</v>
      </c>
      <c r="C76" s="18" t="s">
        <v>97</v>
      </c>
      <c r="D76" s="18" t="s">
        <v>549</v>
      </c>
      <c r="E76" s="18" t="s">
        <v>587</v>
      </c>
      <c r="F76" s="101">
        <v>46009.692361111112</v>
      </c>
      <c r="G76" s="101">
        <v>46010.708333333336</v>
      </c>
      <c r="H76" s="18" t="s">
        <v>507</v>
      </c>
      <c r="I76" s="18" t="s">
        <v>508</v>
      </c>
      <c r="J76" s="18"/>
      <c r="K76" s="21">
        <f t="shared" si="3"/>
        <v>24.383333333360497</v>
      </c>
      <c r="L76" s="19">
        <f t="shared" si="4"/>
        <v>32</v>
      </c>
      <c r="M76" s="18" t="str">
        <f>IF(I76&lt;&gt;"Sí","",IF(YEAR(F76)&lt;&gt;2026,"",INDEX({"Enero","Febrero","Marzo","Abril","Mayo","Junio","Julio","Agosto","Septiembre","Octubre","Noviembre","Diciembre"},MONTH(F76))))</f>
        <v/>
      </c>
      <c r="N76" s="18" t="str">
        <f t="shared" si="5"/>
        <v/>
      </c>
    </row>
    <row r="77" spans="1:14" ht="14.5" x14ac:dyDescent="0.25">
      <c r="A77" s="19">
        <v>26</v>
      </c>
      <c r="B77" s="18" t="s">
        <v>504</v>
      </c>
      <c r="C77" s="18" t="s">
        <v>97</v>
      </c>
      <c r="D77" s="18" t="s">
        <v>549</v>
      </c>
      <c r="E77" s="18" t="s">
        <v>588</v>
      </c>
      <c r="F77" s="101">
        <v>46009.693749999999</v>
      </c>
      <c r="G77" s="101">
        <v>46010.708333333336</v>
      </c>
      <c r="H77" s="18" t="s">
        <v>507</v>
      </c>
      <c r="I77" s="18" t="s">
        <v>508</v>
      </c>
      <c r="J77" s="18"/>
      <c r="K77" s="21">
        <f t="shared" si="3"/>
        <v>24.350000000093132</v>
      </c>
      <c r="L77" s="19">
        <f t="shared" si="4"/>
        <v>33</v>
      </c>
      <c r="M77" s="18" t="str">
        <f>IF(I77&lt;&gt;"Sí","",IF(YEAR(F77)&lt;&gt;2026,"",INDEX({"Enero","Febrero","Marzo","Abril","Mayo","Junio","Julio","Agosto","Septiembre","Octubre","Noviembre","Diciembre"},MONTH(F77))))</f>
        <v/>
      </c>
      <c r="N77" s="18" t="str">
        <f t="shared" si="5"/>
        <v/>
      </c>
    </row>
    <row r="78" spans="1:14" ht="14.5" x14ac:dyDescent="0.25">
      <c r="A78" s="19">
        <v>26</v>
      </c>
      <c r="B78" s="18" t="s">
        <v>504</v>
      </c>
      <c r="C78" s="18" t="s">
        <v>97</v>
      </c>
      <c r="D78" s="18" t="s">
        <v>549</v>
      </c>
      <c r="E78" s="18" t="s">
        <v>589</v>
      </c>
      <c r="F78" s="101">
        <v>46009.695833333331</v>
      </c>
      <c r="G78" s="101">
        <v>46010.925694444442</v>
      </c>
      <c r="H78" s="18" t="s">
        <v>507</v>
      </c>
      <c r="I78" s="18" t="s">
        <v>508</v>
      </c>
      <c r="J78" s="18"/>
      <c r="K78" s="21">
        <f t="shared" si="3"/>
        <v>29.516666666662786</v>
      </c>
      <c r="L78" s="19">
        <f t="shared" si="4"/>
        <v>35</v>
      </c>
      <c r="M78" s="18" t="str">
        <f>IF(I78&lt;&gt;"Sí","",IF(YEAR(F78)&lt;&gt;2026,"",INDEX({"Enero","Febrero","Marzo","Abril","Mayo","Junio","Julio","Agosto","Septiembre","Octubre","Noviembre","Diciembre"},MONTH(F78))))</f>
        <v/>
      </c>
      <c r="N78" s="18" t="str">
        <f t="shared" si="5"/>
        <v/>
      </c>
    </row>
    <row r="79" spans="1:14" ht="14.5" x14ac:dyDescent="0.25">
      <c r="A79" s="19">
        <v>26</v>
      </c>
      <c r="B79" s="18" t="s">
        <v>504</v>
      </c>
      <c r="C79" s="18" t="s">
        <v>97</v>
      </c>
      <c r="D79" s="18" t="s">
        <v>549</v>
      </c>
      <c r="E79" s="18" t="s">
        <v>590</v>
      </c>
      <c r="F79" s="101">
        <v>46009.695833333331</v>
      </c>
      <c r="G79" s="101">
        <v>46010.618055555555</v>
      </c>
      <c r="H79" s="18" t="s">
        <v>507</v>
      </c>
      <c r="I79" s="18" t="s">
        <v>508</v>
      </c>
      <c r="J79" s="18"/>
      <c r="K79" s="21">
        <f t="shared" si="3"/>
        <v>22.133333333360497</v>
      </c>
      <c r="L79" s="19">
        <f t="shared" si="4"/>
        <v>35</v>
      </c>
      <c r="M79" s="18" t="str">
        <f>IF(I79&lt;&gt;"Sí","",IF(YEAR(F79)&lt;&gt;2026,"",INDEX({"Enero","Febrero","Marzo","Abril","Mayo","Junio","Julio","Agosto","Septiembre","Octubre","Noviembre","Diciembre"},MONTH(F79))))</f>
        <v/>
      </c>
      <c r="N79" s="18" t="str">
        <f t="shared" si="5"/>
        <v/>
      </c>
    </row>
    <row r="80" spans="1:14" ht="14.5" x14ac:dyDescent="0.25">
      <c r="A80" s="19">
        <v>26</v>
      </c>
      <c r="B80" s="18" t="s">
        <v>504</v>
      </c>
      <c r="C80" s="18" t="s">
        <v>97</v>
      </c>
      <c r="D80" s="18" t="s">
        <v>549</v>
      </c>
      <c r="E80" s="18" t="s">
        <v>591</v>
      </c>
      <c r="F80" s="101">
        <v>46009.699305555558</v>
      </c>
      <c r="G80" s="101">
        <v>46010.708333333336</v>
      </c>
      <c r="H80" s="18" t="s">
        <v>507</v>
      </c>
      <c r="I80" s="18" t="s">
        <v>508</v>
      </c>
      <c r="J80" s="18"/>
      <c r="K80" s="21">
        <f t="shared" si="3"/>
        <v>24.216666666674428</v>
      </c>
      <c r="L80" s="19">
        <f t="shared" si="4"/>
        <v>36</v>
      </c>
      <c r="M80" s="18" t="str">
        <f>IF(I80&lt;&gt;"Sí","",IF(YEAR(F80)&lt;&gt;2026,"",INDEX({"Enero","Febrero","Marzo","Abril","Mayo","Junio","Julio","Agosto","Septiembre","Octubre","Noviembre","Diciembre"},MONTH(F80))))</f>
        <v/>
      </c>
      <c r="N80" s="18" t="str">
        <f t="shared" si="5"/>
        <v/>
      </c>
    </row>
    <row r="81" spans="1:14" ht="14.5" x14ac:dyDescent="0.25">
      <c r="A81" s="19">
        <v>26</v>
      </c>
      <c r="B81" s="18" t="s">
        <v>504</v>
      </c>
      <c r="C81" s="18" t="s">
        <v>97</v>
      </c>
      <c r="D81" s="18" t="s">
        <v>549</v>
      </c>
      <c r="E81" s="18" t="s">
        <v>592</v>
      </c>
      <c r="F81" s="101">
        <v>46009.706944444442</v>
      </c>
      <c r="G81" s="101">
        <v>46010.708333333336</v>
      </c>
      <c r="H81" s="18" t="s">
        <v>507</v>
      </c>
      <c r="I81" s="18" t="s">
        <v>508</v>
      </c>
      <c r="J81" s="18"/>
      <c r="K81" s="21">
        <f t="shared" si="3"/>
        <v>24.033333333441988</v>
      </c>
      <c r="L81" s="19">
        <f t="shared" si="4"/>
        <v>37</v>
      </c>
      <c r="M81" s="18" t="str">
        <f>IF(I81&lt;&gt;"Sí","",IF(YEAR(F81)&lt;&gt;2026,"",INDEX({"Enero","Febrero","Marzo","Abril","Mayo","Junio","Julio","Agosto","Septiembre","Octubre","Noviembre","Diciembre"},MONTH(F81))))</f>
        <v/>
      </c>
      <c r="N81" s="18" t="str">
        <f t="shared" si="5"/>
        <v/>
      </c>
    </row>
    <row r="82" spans="1:14" ht="14.5" x14ac:dyDescent="0.25">
      <c r="A82" s="19">
        <v>26</v>
      </c>
      <c r="B82" s="18" t="s">
        <v>504</v>
      </c>
      <c r="C82" s="18" t="s">
        <v>97</v>
      </c>
      <c r="D82" s="18" t="s">
        <v>549</v>
      </c>
      <c r="E82" s="18" t="s">
        <v>593</v>
      </c>
      <c r="F82" s="101">
        <v>46009.716666666667</v>
      </c>
      <c r="G82" s="101">
        <v>46010.708333333336</v>
      </c>
      <c r="H82" s="18" t="s">
        <v>507</v>
      </c>
      <c r="I82" s="18" t="s">
        <v>508</v>
      </c>
      <c r="J82" s="18"/>
      <c r="K82" s="21">
        <f t="shared" si="3"/>
        <v>23.800000000046566</v>
      </c>
      <c r="L82" s="19">
        <f t="shared" si="4"/>
        <v>38</v>
      </c>
      <c r="M82" s="18" t="str">
        <f>IF(I82&lt;&gt;"Sí","",IF(YEAR(F82)&lt;&gt;2026,"",INDEX({"Enero","Febrero","Marzo","Abril","Mayo","Junio","Julio","Agosto","Septiembre","Octubre","Noviembre","Diciembre"},MONTH(F82))))</f>
        <v/>
      </c>
      <c r="N82" s="18" t="str">
        <f t="shared" si="5"/>
        <v/>
      </c>
    </row>
    <row r="83" spans="1:14" ht="14.5" x14ac:dyDescent="0.25">
      <c r="A83" s="19">
        <v>26</v>
      </c>
      <c r="B83" s="18" t="s">
        <v>504</v>
      </c>
      <c r="C83" s="18" t="s">
        <v>97</v>
      </c>
      <c r="D83" s="18" t="s">
        <v>549</v>
      </c>
      <c r="E83" s="18" t="s">
        <v>594</v>
      </c>
      <c r="F83" s="101">
        <v>46009.718055555553</v>
      </c>
      <c r="G83" s="101">
        <v>46010.708333333336</v>
      </c>
      <c r="H83" s="18" t="s">
        <v>507</v>
      </c>
      <c r="I83" s="18" t="s">
        <v>508</v>
      </c>
      <c r="J83" s="18"/>
      <c r="K83" s="21">
        <f t="shared" si="3"/>
        <v>23.766666666779201</v>
      </c>
      <c r="L83" s="19">
        <f t="shared" si="4"/>
        <v>39</v>
      </c>
      <c r="M83" s="18" t="str">
        <f>IF(I83&lt;&gt;"Sí","",IF(YEAR(F83)&lt;&gt;2026,"",INDEX({"Enero","Febrero","Marzo","Abril","Mayo","Junio","Julio","Agosto","Septiembre","Octubre","Noviembre","Diciembre"},MONTH(F83))))</f>
        <v/>
      </c>
      <c r="N83" s="18" t="str">
        <f t="shared" si="5"/>
        <v/>
      </c>
    </row>
    <row r="84" spans="1:14" ht="14.5" x14ac:dyDescent="0.25">
      <c r="A84" s="19">
        <v>26</v>
      </c>
      <c r="B84" s="18" t="s">
        <v>504</v>
      </c>
      <c r="C84" s="18" t="s">
        <v>97</v>
      </c>
      <c r="D84" s="18" t="s">
        <v>549</v>
      </c>
      <c r="E84" s="18" t="s">
        <v>595</v>
      </c>
      <c r="F84" s="101">
        <v>46009.71875</v>
      </c>
      <c r="G84" s="101">
        <v>46010.708333333336</v>
      </c>
      <c r="H84" s="18" t="s">
        <v>507</v>
      </c>
      <c r="I84" s="18" t="s">
        <v>508</v>
      </c>
      <c r="J84" s="18"/>
      <c r="K84" s="21">
        <f t="shared" si="3"/>
        <v>23.750000000058208</v>
      </c>
      <c r="L84" s="19">
        <f t="shared" si="4"/>
        <v>40</v>
      </c>
      <c r="M84" s="18" t="str">
        <f>IF(I84&lt;&gt;"Sí","",IF(YEAR(F84)&lt;&gt;2026,"",INDEX({"Enero","Febrero","Marzo","Abril","Mayo","Junio","Julio","Agosto","Septiembre","Octubre","Noviembre","Diciembre"},MONTH(F84))))</f>
        <v/>
      </c>
      <c r="N84" s="18" t="str">
        <f t="shared" si="5"/>
        <v/>
      </c>
    </row>
    <row r="85" spans="1:14" ht="14.5" x14ac:dyDescent="0.25">
      <c r="A85" s="19">
        <v>26</v>
      </c>
      <c r="B85" s="18" t="s">
        <v>504</v>
      </c>
      <c r="C85" s="18" t="s">
        <v>97</v>
      </c>
      <c r="D85" s="18" t="s">
        <v>549</v>
      </c>
      <c r="E85" s="18" t="s">
        <v>596</v>
      </c>
      <c r="F85" s="101">
        <v>46009.720138888886</v>
      </c>
      <c r="G85" s="101">
        <v>46010.849305555559</v>
      </c>
      <c r="H85" s="18" t="s">
        <v>507</v>
      </c>
      <c r="I85" s="18" t="s">
        <v>508</v>
      </c>
      <c r="J85" s="18"/>
      <c r="K85" s="21">
        <f t="shared" si="3"/>
        <v>27.10000000015134</v>
      </c>
      <c r="L85" s="19">
        <f t="shared" si="4"/>
        <v>41</v>
      </c>
      <c r="M85" s="18" t="str">
        <f>IF(I85&lt;&gt;"Sí","",IF(YEAR(F85)&lt;&gt;2026,"",INDEX({"Enero","Febrero","Marzo","Abril","Mayo","Junio","Julio","Agosto","Septiembre","Octubre","Noviembre","Diciembre"},MONTH(F85))))</f>
        <v/>
      </c>
      <c r="N85" s="18" t="str">
        <f t="shared" si="5"/>
        <v/>
      </c>
    </row>
    <row r="86" spans="1:14" ht="14.5" x14ac:dyDescent="0.25">
      <c r="A86" s="19">
        <v>26</v>
      </c>
      <c r="B86" s="18" t="s">
        <v>504</v>
      </c>
      <c r="C86" s="18" t="s">
        <v>97</v>
      </c>
      <c r="D86" s="18" t="s">
        <v>549</v>
      </c>
      <c r="E86" s="18" t="s">
        <v>597</v>
      </c>
      <c r="F86" s="101">
        <v>46009.722222222219</v>
      </c>
      <c r="G86" s="101">
        <v>46010.754166666666</v>
      </c>
      <c r="H86" s="18" t="s">
        <v>507</v>
      </c>
      <c r="I86" s="18" t="s">
        <v>508</v>
      </c>
      <c r="J86" s="18"/>
      <c r="K86" s="21">
        <f t="shared" si="3"/>
        <v>24.766666666720994</v>
      </c>
      <c r="L86" s="19">
        <f t="shared" si="4"/>
        <v>42</v>
      </c>
      <c r="M86" s="18" t="str">
        <f>IF(I86&lt;&gt;"Sí","",IF(YEAR(F86)&lt;&gt;2026,"",INDEX({"Enero","Febrero","Marzo","Abril","Mayo","Junio","Julio","Agosto","Septiembre","Octubre","Noviembre","Diciembre"},MONTH(F86))))</f>
        <v/>
      </c>
      <c r="N86" s="18" t="str">
        <f t="shared" si="5"/>
        <v/>
      </c>
    </row>
    <row r="87" spans="1:14" ht="14.5" x14ac:dyDescent="0.25">
      <c r="A87" s="19">
        <v>26</v>
      </c>
      <c r="B87" s="18" t="s">
        <v>504</v>
      </c>
      <c r="C87" s="18" t="s">
        <v>97</v>
      </c>
      <c r="D87" s="18" t="s">
        <v>549</v>
      </c>
      <c r="E87" s="18" t="s">
        <v>598</v>
      </c>
      <c r="F87" s="101">
        <v>46009.725694444445</v>
      </c>
      <c r="G87" s="101">
        <v>46010.754166666666</v>
      </c>
      <c r="H87" s="18" t="s">
        <v>507</v>
      </c>
      <c r="I87" s="18" t="s">
        <v>508</v>
      </c>
      <c r="J87" s="18"/>
      <c r="K87" s="21">
        <f t="shared" si="3"/>
        <v>24.683333333290648</v>
      </c>
      <c r="L87" s="19">
        <f t="shared" si="4"/>
        <v>44</v>
      </c>
      <c r="M87" s="18" t="str">
        <f>IF(I87&lt;&gt;"Sí","",IF(YEAR(F87)&lt;&gt;2026,"",INDEX({"Enero","Febrero","Marzo","Abril","Mayo","Junio","Julio","Agosto","Septiembre","Octubre","Noviembre","Diciembre"},MONTH(F87))))</f>
        <v/>
      </c>
      <c r="N87" s="18" t="str">
        <f t="shared" si="5"/>
        <v/>
      </c>
    </row>
    <row r="88" spans="1:14" ht="14.5" x14ac:dyDescent="0.25">
      <c r="A88" s="19">
        <v>26</v>
      </c>
      <c r="B88" s="18" t="s">
        <v>504</v>
      </c>
      <c r="C88" s="18" t="s">
        <v>97</v>
      </c>
      <c r="D88" s="18" t="s">
        <v>549</v>
      </c>
      <c r="E88" s="18" t="s">
        <v>599</v>
      </c>
      <c r="F88" s="101">
        <v>46009.725694444445</v>
      </c>
      <c r="G88" s="101">
        <v>46010.754166666666</v>
      </c>
      <c r="H88" s="18" t="s">
        <v>507</v>
      </c>
      <c r="I88" s="18" t="s">
        <v>508</v>
      </c>
      <c r="J88" s="18"/>
      <c r="K88" s="21">
        <f t="shared" si="3"/>
        <v>24.683333333290648</v>
      </c>
      <c r="L88" s="19">
        <f t="shared" si="4"/>
        <v>44</v>
      </c>
      <c r="M88" s="18" t="str">
        <f>IF(I88&lt;&gt;"Sí","",IF(YEAR(F88)&lt;&gt;2026,"",INDEX({"Enero","Febrero","Marzo","Abril","Mayo","Junio","Julio","Agosto","Septiembre","Octubre","Noviembre","Diciembre"},MONTH(F88))))</f>
        <v/>
      </c>
      <c r="N88" s="18" t="str">
        <f t="shared" si="5"/>
        <v/>
      </c>
    </row>
    <row r="89" spans="1:14" ht="14.5" x14ac:dyDescent="0.25">
      <c r="A89" s="19">
        <v>26</v>
      </c>
      <c r="B89" s="18" t="s">
        <v>504</v>
      </c>
      <c r="C89" s="18" t="s">
        <v>97</v>
      </c>
      <c r="D89" s="18" t="s">
        <v>549</v>
      </c>
      <c r="E89" s="18" t="s">
        <v>600</v>
      </c>
      <c r="F89" s="101">
        <v>46009.725775462961</v>
      </c>
      <c r="G89" s="101">
        <v>46010.754166666666</v>
      </c>
      <c r="H89" s="18" t="s">
        <v>507</v>
      </c>
      <c r="I89" s="18" t="s">
        <v>508</v>
      </c>
      <c r="J89" s="18"/>
      <c r="K89" s="21">
        <f t="shared" si="3"/>
        <v>24.681388888915535</v>
      </c>
      <c r="L89" s="19">
        <f t="shared" si="4"/>
        <v>45</v>
      </c>
      <c r="M89" s="18" t="str">
        <f>IF(I89&lt;&gt;"Sí","",IF(YEAR(F89)&lt;&gt;2026,"",INDEX({"Enero","Febrero","Marzo","Abril","Mayo","Junio","Julio","Agosto","Septiembre","Octubre","Noviembre","Diciembre"},MONTH(F89))))</f>
        <v/>
      </c>
      <c r="N89" s="18" t="str">
        <f t="shared" si="5"/>
        <v/>
      </c>
    </row>
    <row r="90" spans="1:14" ht="14.5" x14ac:dyDescent="0.25">
      <c r="A90" s="19">
        <v>26</v>
      </c>
      <c r="B90" s="18" t="s">
        <v>504</v>
      </c>
      <c r="C90" s="18" t="s">
        <v>97</v>
      </c>
      <c r="D90" s="18" t="s">
        <v>549</v>
      </c>
      <c r="E90" s="18" t="s">
        <v>601</v>
      </c>
      <c r="F90" s="101">
        <v>46009.727777777778</v>
      </c>
      <c r="G90" s="101">
        <v>46010.754166666666</v>
      </c>
      <c r="H90" s="18" t="s">
        <v>507</v>
      </c>
      <c r="I90" s="18" t="s">
        <v>508</v>
      </c>
      <c r="J90" s="18"/>
      <c r="K90" s="21">
        <f t="shared" si="3"/>
        <v>24.633333333302289</v>
      </c>
      <c r="L90" s="19">
        <f t="shared" si="4"/>
        <v>46</v>
      </c>
      <c r="M90" s="18" t="str">
        <f>IF(I90&lt;&gt;"Sí","",IF(YEAR(F90)&lt;&gt;2026,"",INDEX({"Enero","Febrero","Marzo","Abril","Mayo","Junio","Julio","Agosto","Septiembre","Octubre","Noviembre","Diciembre"},MONTH(F90))))</f>
        <v/>
      </c>
      <c r="N90" s="18" t="str">
        <f t="shared" si="5"/>
        <v/>
      </c>
    </row>
    <row r="91" spans="1:14" ht="14.5" x14ac:dyDescent="0.25">
      <c r="A91" s="19">
        <v>26</v>
      </c>
      <c r="B91" s="18" t="s">
        <v>504</v>
      </c>
      <c r="C91" s="18" t="s">
        <v>97</v>
      </c>
      <c r="D91" s="18" t="s">
        <v>549</v>
      </c>
      <c r="E91" s="18" t="s">
        <v>602</v>
      </c>
      <c r="F91" s="101">
        <v>46009.729861111111</v>
      </c>
      <c r="G91" s="101">
        <v>46010.754166666666</v>
      </c>
      <c r="H91" s="18" t="s">
        <v>507</v>
      </c>
      <c r="I91" s="18" t="s">
        <v>508</v>
      </c>
      <c r="J91" s="18"/>
      <c r="K91" s="21">
        <f t="shared" si="3"/>
        <v>24.583333333313931</v>
      </c>
      <c r="L91" s="19">
        <f t="shared" si="4"/>
        <v>48</v>
      </c>
      <c r="M91" s="18" t="str">
        <f>IF(I91&lt;&gt;"Sí","",IF(YEAR(F91)&lt;&gt;2026,"",INDEX({"Enero","Febrero","Marzo","Abril","Mayo","Junio","Julio","Agosto","Septiembre","Octubre","Noviembre","Diciembre"},MONTH(F91))))</f>
        <v/>
      </c>
      <c r="N91" s="18" t="str">
        <f t="shared" si="5"/>
        <v/>
      </c>
    </row>
    <row r="92" spans="1:14" ht="14.5" x14ac:dyDescent="0.25">
      <c r="A92" s="19">
        <v>26</v>
      </c>
      <c r="B92" s="18" t="s">
        <v>504</v>
      </c>
      <c r="C92" s="18" t="s">
        <v>97</v>
      </c>
      <c r="D92" s="18" t="s">
        <v>549</v>
      </c>
      <c r="E92" s="18" t="s">
        <v>603</v>
      </c>
      <c r="F92" s="101">
        <v>46009.729861111111</v>
      </c>
      <c r="G92" s="101">
        <v>46010.754166666666</v>
      </c>
      <c r="H92" s="18" t="s">
        <v>507</v>
      </c>
      <c r="I92" s="18" t="s">
        <v>508</v>
      </c>
      <c r="J92" s="18"/>
      <c r="K92" s="21">
        <f t="shared" si="3"/>
        <v>24.583333333313931</v>
      </c>
      <c r="L92" s="19">
        <f t="shared" si="4"/>
        <v>48</v>
      </c>
      <c r="M92" s="18" t="str">
        <f>IF(I92&lt;&gt;"Sí","",IF(YEAR(F92)&lt;&gt;2026,"",INDEX({"Enero","Febrero","Marzo","Abril","Mayo","Junio","Julio","Agosto","Septiembre","Octubre","Noviembre","Diciembre"},MONTH(F92))))</f>
        <v/>
      </c>
      <c r="N92" s="18" t="str">
        <f t="shared" si="5"/>
        <v/>
      </c>
    </row>
    <row r="93" spans="1:14" ht="14.5" x14ac:dyDescent="0.25">
      <c r="A93" s="19">
        <v>26</v>
      </c>
      <c r="B93" s="18" t="s">
        <v>504</v>
      </c>
      <c r="C93" s="18" t="s">
        <v>97</v>
      </c>
      <c r="D93" s="18" t="s">
        <v>549</v>
      </c>
      <c r="E93" s="18" t="s">
        <v>604</v>
      </c>
      <c r="F93" s="101">
        <v>46009.732638888891</v>
      </c>
      <c r="G93" s="101">
        <v>46010.754166666666</v>
      </c>
      <c r="H93" s="18" t="s">
        <v>507</v>
      </c>
      <c r="I93" s="18" t="s">
        <v>508</v>
      </c>
      <c r="J93" s="18"/>
      <c r="K93" s="21">
        <f t="shared" si="3"/>
        <v>24.516666666604578</v>
      </c>
      <c r="L93" s="19">
        <f t="shared" si="4"/>
        <v>49</v>
      </c>
      <c r="M93" s="18" t="str">
        <f>IF(I93&lt;&gt;"Sí","",IF(YEAR(F93)&lt;&gt;2026,"",INDEX({"Enero","Febrero","Marzo","Abril","Mayo","Junio","Julio","Agosto","Septiembre","Octubre","Noviembre","Diciembre"},MONTH(F93))))</f>
        <v/>
      </c>
      <c r="N93" s="18" t="str">
        <f t="shared" si="5"/>
        <v/>
      </c>
    </row>
    <row r="94" spans="1:14" ht="14.5" x14ac:dyDescent="0.25">
      <c r="A94" s="19">
        <v>26</v>
      </c>
      <c r="B94" s="18" t="s">
        <v>504</v>
      </c>
      <c r="C94" s="18" t="s">
        <v>97</v>
      </c>
      <c r="D94" s="18" t="s">
        <v>549</v>
      </c>
      <c r="E94" s="18" t="s">
        <v>605</v>
      </c>
      <c r="F94" s="101">
        <v>46009.734722222223</v>
      </c>
      <c r="G94" s="101">
        <v>46010.75</v>
      </c>
      <c r="H94" s="18" t="s">
        <v>507</v>
      </c>
      <c r="I94" s="18" t="s">
        <v>508</v>
      </c>
      <c r="J94" s="18"/>
      <c r="K94" s="21">
        <f t="shared" si="3"/>
        <v>24.366666666639503</v>
      </c>
      <c r="L94" s="19">
        <f t="shared" si="4"/>
        <v>50</v>
      </c>
      <c r="M94" s="18" t="str">
        <f>IF(I94&lt;&gt;"Sí","",IF(YEAR(F94)&lt;&gt;2026,"",INDEX({"Enero","Febrero","Marzo","Abril","Mayo","Junio","Julio","Agosto","Septiembre","Octubre","Noviembre","Diciembre"},MONTH(F94))))</f>
        <v/>
      </c>
      <c r="N94" s="18" t="str">
        <f t="shared" si="5"/>
        <v/>
      </c>
    </row>
    <row r="95" spans="1:14" ht="14.5" x14ac:dyDescent="0.25">
      <c r="A95" s="19">
        <v>26</v>
      </c>
      <c r="B95" s="18" t="s">
        <v>504</v>
      </c>
      <c r="C95" s="18" t="s">
        <v>97</v>
      </c>
      <c r="D95" s="18" t="s">
        <v>549</v>
      </c>
      <c r="E95" s="18" t="s">
        <v>606</v>
      </c>
      <c r="F95" s="101">
        <v>46009.73541666667</v>
      </c>
      <c r="G95" s="101">
        <v>46010.75</v>
      </c>
      <c r="H95" s="18" t="s">
        <v>507</v>
      </c>
      <c r="I95" s="18" t="s">
        <v>508</v>
      </c>
      <c r="J95" s="18"/>
      <c r="K95" s="21">
        <f t="shared" si="3"/>
        <v>24.349999999918509</v>
      </c>
      <c r="L95" s="19">
        <f t="shared" si="4"/>
        <v>51</v>
      </c>
      <c r="M95" s="18" t="str">
        <f>IF(I95&lt;&gt;"Sí","",IF(YEAR(F95)&lt;&gt;2026,"",INDEX({"Enero","Febrero","Marzo","Abril","Mayo","Junio","Julio","Agosto","Septiembre","Octubre","Noviembre","Diciembre"},MONTH(F95))))</f>
        <v/>
      </c>
      <c r="N95" s="18" t="str">
        <f t="shared" si="5"/>
        <v/>
      </c>
    </row>
    <row r="96" spans="1:14" ht="14.5" x14ac:dyDescent="0.25">
      <c r="A96" s="19">
        <v>26</v>
      </c>
      <c r="B96" s="18" t="s">
        <v>504</v>
      </c>
      <c r="C96" s="18" t="s">
        <v>97</v>
      </c>
      <c r="D96" s="18" t="s">
        <v>549</v>
      </c>
      <c r="E96" s="18" t="s">
        <v>607</v>
      </c>
      <c r="F96" s="101">
        <v>46009.737500000003</v>
      </c>
      <c r="G96" s="101">
        <v>46010.75</v>
      </c>
      <c r="H96" s="18" t="s">
        <v>507</v>
      </c>
      <c r="I96" s="18" t="s">
        <v>508</v>
      </c>
      <c r="J96" s="18"/>
      <c r="K96" s="21">
        <f t="shared" si="3"/>
        <v>24.299999999930151</v>
      </c>
      <c r="L96" s="19">
        <f t="shared" si="4"/>
        <v>52</v>
      </c>
      <c r="M96" s="18" t="str">
        <f>IF(I96&lt;&gt;"Sí","",IF(YEAR(F96)&lt;&gt;2026,"",INDEX({"Enero","Febrero","Marzo","Abril","Mayo","Junio","Julio","Agosto","Septiembre","Octubre","Noviembre","Diciembre"},MONTH(F96))))</f>
        <v/>
      </c>
      <c r="N96" s="18" t="str">
        <f t="shared" si="5"/>
        <v/>
      </c>
    </row>
    <row r="97" spans="1:14" ht="14.5" x14ac:dyDescent="0.25">
      <c r="A97" s="19">
        <v>26</v>
      </c>
      <c r="B97" s="18" t="s">
        <v>504</v>
      </c>
      <c r="C97" s="18" t="s">
        <v>97</v>
      </c>
      <c r="D97" s="18" t="s">
        <v>549</v>
      </c>
      <c r="E97" s="18" t="s">
        <v>608</v>
      </c>
      <c r="F97" s="101">
        <v>46009.740277777775</v>
      </c>
      <c r="G97" s="101">
        <v>46010.75</v>
      </c>
      <c r="H97" s="18" t="s">
        <v>507</v>
      </c>
      <c r="I97" s="18" t="s">
        <v>508</v>
      </c>
      <c r="J97" s="18"/>
      <c r="K97" s="21">
        <f t="shared" si="3"/>
        <v>24.233333333395422</v>
      </c>
      <c r="L97" s="19">
        <f t="shared" si="4"/>
        <v>54</v>
      </c>
      <c r="M97" s="18" t="str">
        <f>IF(I97&lt;&gt;"Sí","",IF(YEAR(F97)&lt;&gt;2026,"",INDEX({"Enero","Febrero","Marzo","Abril","Mayo","Junio","Julio","Agosto","Septiembre","Octubre","Noviembre","Diciembre"},MONTH(F97))))</f>
        <v/>
      </c>
      <c r="N97" s="18" t="str">
        <f t="shared" si="5"/>
        <v/>
      </c>
    </row>
    <row r="98" spans="1:14" ht="14.5" x14ac:dyDescent="0.25">
      <c r="A98" s="19">
        <v>26</v>
      </c>
      <c r="B98" s="18" t="s">
        <v>504</v>
      </c>
      <c r="C98" s="18" t="s">
        <v>97</v>
      </c>
      <c r="D98" s="18" t="s">
        <v>549</v>
      </c>
      <c r="E98" s="18" t="s">
        <v>609</v>
      </c>
      <c r="F98" s="101">
        <v>46009.740277777775</v>
      </c>
      <c r="G98" s="101">
        <v>46010.75</v>
      </c>
      <c r="H98" s="18" t="s">
        <v>507</v>
      </c>
      <c r="I98" s="18" t="s">
        <v>508</v>
      </c>
      <c r="J98" s="18"/>
      <c r="K98" s="21">
        <f t="shared" si="3"/>
        <v>24.233333333395422</v>
      </c>
      <c r="L98" s="19">
        <f t="shared" si="4"/>
        <v>54</v>
      </c>
      <c r="M98" s="18" t="str">
        <f>IF(I98&lt;&gt;"Sí","",IF(YEAR(F98)&lt;&gt;2026,"",INDEX({"Enero","Febrero","Marzo","Abril","Mayo","Junio","Julio","Agosto","Septiembre","Octubre","Noviembre","Diciembre"},MONTH(F98))))</f>
        <v/>
      </c>
      <c r="N98" s="18" t="str">
        <f t="shared" si="5"/>
        <v/>
      </c>
    </row>
    <row r="99" spans="1:14" ht="14.5" x14ac:dyDescent="0.25">
      <c r="A99" s="19">
        <v>26</v>
      </c>
      <c r="B99" s="18" t="s">
        <v>504</v>
      </c>
      <c r="C99" s="18" t="s">
        <v>97</v>
      </c>
      <c r="D99" s="18" t="s">
        <v>549</v>
      </c>
      <c r="E99" s="18" t="s">
        <v>610</v>
      </c>
      <c r="F99" s="101">
        <v>46009.743055555555</v>
      </c>
      <c r="G99" s="101">
        <v>46010.75</v>
      </c>
      <c r="H99" s="18" t="s">
        <v>507</v>
      </c>
      <c r="I99" s="18" t="s">
        <v>508</v>
      </c>
      <c r="J99" s="18"/>
      <c r="K99" s="21">
        <f t="shared" si="3"/>
        <v>24.166666666686069</v>
      </c>
      <c r="L99" s="19">
        <f t="shared" si="4"/>
        <v>55</v>
      </c>
      <c r="M99" s="18" t="str">
        <f>IF(I99&lt;&gt;"Sí","",IF(YEAR(F99)&lt;&gt;2026,"",INDEX({"Enero","Febrero","Marzo","Abril","Mayo","Junio","Julio","Agosto","Septiembre","Octubre","Noviembre","Diciembre"},MONTH(F99))))</f>
        <v/>
      </c>
      <c r="N99" s="18" t="str">
        <f t="shared" si="5"/>
        <v/>
      </c>
    </row>
    <row r="100" spans="1:14" ht="14.5" x14ac:dyDescent="0.25">
      <c r="A100" s="19">
        <v>26</v>
      </c>
      <c r="B100" s="18" t="s">
        <v>504</v>
      </c>
      <c r="C100" s="18" t="s">
        <v>97</v>
      </c>
      <c r="D100" s="18" t="s">
        <v>549</v>
      </c>
      <c r="E100" s="18" t="s">
        <v>611</v>
      </c>
      <c r="F100" s="101">
        <v>46009.744444444441</v>
      </c>
      <c r="G100" s="101">
        <v>46010.75</v>
      </c>
      <c r="H100" s="18" t="s">
        <v>507</v>
      </c>
      <c r="I100" s="18" t="s">
        <v>508</v>
      </c>
      <c r="J100" s="18"/>
      <c r="K100" s="21">
        <f t="shared" si="3"/>
        <v>24.133333333418705</v>
      </c>
      <c r="L100" s="19">
        <f t="shared" si="4"/>
        <v>56</v>
      </c>
      <c r="M100" s="18" t="str">
        <f>IF(I100&lt;&gt;"Sí","",IF(YEAR(F100)&lt;&gt;2026,"",INDEX({"Enero","Febrero","Marzo","Abril","Mayo","Junio","Julio","Agosto","Septiembre","Octubre","Noviembre","Diciembre"},MONTH(F100))))</f>
        <v/>
      </c>
      <c r="N100" s="18" t="str">
        <f t="shared" si="5"/>
        <v/>
      </c>
    </row>
    <row r="101" spans="1:14" ht="14.5" x14ac:dyDescent="0.25">
      <c r="A101" s="19">
        <v>26</v>
      </c>
      <c r="B101" s="18" t="s">
        <v>504</v>
      </c>
      <c r="C101" s="18" t="s">
        <v>97</v>
      </c>
      <c r="D101" s="18" t="s">
        <v>549</v>
      </c>
      <c r="E101" s="18" t="s">
        <v>612</v>
      </c>
      <c r="F101" s="101">
        <v>46009.74722222222</v>
      </c>
      <c r="G101" s="101">
        <v>46010.75</v>
      </c>
      <c r="H101" s="18" t="s">
        <v>507</v>
      </c>
      <c r="I101" s="18" t="s">
        <v>508</v>
      </c>
      <c r="J101" s="18"/>
      <c r="K101" s="21">
        <f t="shared" si="3"/>
        <v>24.066666666709352</v>
      </c>
      <c r="L101" s="19">
        <f t="shared" si="4"/>
        <v>57</v>
      </c>
      <c r="M101" s="18" t="str">
        <f>IF(I101&lt;&gt;"Sí","",IF(YEAR(F101)&lt;&gt;2026,"",INDEX({"Enero","Febrero","Marzo","Abril","Mayo","Junio","Julio","Agosto","Septiembre","Octubre","Noviembre","Diciembre"},MONTH(F101))))</f>
        <v/>
      </c>
      <c r="N101" s="18" t="str">
        <f t="shared" si="5"/>
        <v/>
      </c>
    </row>
    <row r="102" spans="1:14" ht="14.5" x14ac:dyDescent="0.25">
      <c r="A102" s="19">
        <v>26</v>
      </c>
      <c r="B102" s="18" t="s">
        <v>504</v>
      </c>
      <c r="C102" s="18" t="s">
        <v>97</v>
      </c>
      <c r="D102" s="18" t="s">
        <v>549</v>
      </c>
      <c r="E102" s="18" t="s">
        <v>613</v>
      </c>
      <c r="F102" s="101">
        <v>46009.748611111114</v>
      </c>
      <c r="G102" s="101">
        <v>46010.75</v>
      </c>
      <c r="H102" s="18" t="s">
        <v>507</v>
      </c>
      <c r="I102" s="18" t="s">
        <v>508</v>
      </c>
      <c r="J102" s="18"/>
      <c r="K102" s="21">
        <f t="shared" si="3"/>
        <v>24.033333333267365</v>
      </c>
      <c r="L102" s="19">
        <f t="shared" si="4"/>
        <v>59</v>
      </c>
      <c r="M102" s="18" t="str">
        <f>IF(I102&lt;&gt;"Sí","",IF(YEAR(F102)&lt;&gt;2026,"",INDEX({"Enero","Febrero","Marzo","Abril","Mayo","Junio","Julio","Agosto","Septiembre","Octubre","Noviembre","Diciembre"},MONTH(F102))))</f>
        <v/>
      </c>
      <c r="N102" s="18" t="str">
        <f t="shared" si="5"/>
        <v/>
      </c>
    </row>
    <row r="103" spans="1:14" ht="14.5" x14ac:dyDescent="0.25">
      <c r="A103" s="19">
        <v>26</v>
      </c>
      <c r="B103" s="18" t="s">
        <v>504</v>
      </c>
      <c r="C103" s="18" t="s">
        <v>97</v>
      </c>
      <c r="D103" s="18" t="s">
        <v>549</v>
      </c>
      <c r="E103" s="18" t="s">
        <v>614</v>
      </c>
      <c r="F103" s="101">
        <v>46009.748611111114</v>
      </c>
      <c r="G103" s="101">
        <v>46010.581250000003</v>
      </c>
      <c r="H103" s="18" t="s">
        <v>507</v>
      </c>
      <c r="I103" s="18" t="s">
        <v>508</v>
      </c>
      <c r="J103" s="18"/>
      <c r="K103" s="21">
        <f t="shared" si="3"/>
        <v>19.983333333337214</v>
      </c>
      <c r="L103" s="19">
        <f t="shared" si="4"/>
        <v>59</v>
      </c>
      <c r="M103" s="18" t="str">
        <f>IF(I103&lt;&gt;"Sí","",IF(YEAR(F103)&lt;&gt;2026,"",INDEX({"Enero","Febrero","Marzo","Abril","Mayo","Junio","Julio","Agosto","Septiembre","Octubre","Noviembre","Diciembre"},MONTH(F103))))</f>
        <v/>
      </c>
      <c r="N103" s="18" t="str">
        <f t="shared" si="5"/>
        <v/>
      </c>
    </row>
    <row r="104" spans="1:14" ht="14.5" x14ac:dyDescent="0.25">
      <c r="A104" s="19">
        <v>26</v>
      </c>
      <c r="B104" s="18" t="s">
        <v>504</v>
      </c>
      <c r="C104" s="18" t="s">
        <v>97</v>
      </c>
      <c r="D104" s="18" t="s">
        <v>549</v>
      </c>
      <c r="E104" s="18" t="s">
        <v>615</v>
      </c>
      <c r="F104" s="101">
        <v>46009.753472222219</v>
      </c>
      <c r="G104" s="101">
        <v>46010.585416666669</v>
      </c>
      <c r="H104" s="18" t="s">
        <v>507</v>
      </c>
      <c r="I104" s="18" t="s">
        <v>508</v>
      </c>
      <c r="J104" s="18"/>
      <c r="K104" s="21">
        <f t="shared" si="3"/>
        <v>19.966666666790843</v>
      </c>
      <c r="L104" s="19">
        <f t="shared" si="4"/>
        <v>60</v>
      </c>
      <c r="M104" s="18" t="str">
        <f>IF(I104&lt;&gt;"Sí","",IF(YEAR(F104)&lt;&gt;2026,"",INDEX({"Enero","Febrero","Marzo","Abril","Mayo","Junio","Julio","Agosto","Septiembre","Octubre","Noviembre","Diciembre"},MONTH(F104))))</f>
        <v/>
      </c>
      <c r="N104" s="18" t="str">
        <f t="shared" si="5"/>
        <v/>
      </c>
    </row>
    <row r="105" spans="1:14" ht="14.5" x14ac:dyDescent="0.25">
      <c r="A105" s="19">
        <v>26</v>
      </c>
      <c r="B105" s="18" t="s">
        <v>504</v>
      </c>
      <c r="C105" s="18" t="s">
        <v>97</v>
      </c>
      <c r="D105" s="18" t="s">
        <v>549</v>
      </c>
      <c r="E105" s="18" t="s">
        <v>616</v>
      </c>
      <c r="F105" s="101">
        <v>46009.755555555559</v>
      </c>
      <c r="G105" s="101">
        <v>46010.587500000001</v>
      </c>
      <c r="H105" s="18" t="s">
        <v>507</v>
      </c>
      <c r="I105" s="18" t="s">
        <v>508</v>
      </c>
      <c r="J105" s="18"/>
      <c r="K105" s="21">
        <f t="shared" si="3"/>
        <v>19.96666666661622</v>
      </c>
      <c r="L105" s="19">
        <f t="shared" si="4"/>
        <v>61</v>
      </c>
      <c r="M105" s="18" t="str">
        <f>IF(I105&lt;&gt;"Sí","",IF(YEAR(F105)&lt;&gt;2026,"",INDEX({"Enero","Febrero","Marzo","Abril","Mayo","Junio","Julio","Agosto","Septiembre","Octubre","Noviembre","Diciembre"},MONTH(F105))))</f>
        <v/>
      </c>
      <c r="N105" s="18" t="str">
        <f t="shared" si="5"/>
        <v/>
      </c>
    </row>
    <row r="106" spans="1:14" ht="14.5" x14ac:dyDescent="0.25">
      <c r="A106" s="19">
        <v>26</v>
      </c>
      <c r="B106" s="18" t="s">
        <v>504</v>
      </c>
      <c r="C106" s="18" t="s">
        <v>97</v>
      </c>
      <c r="D106" s="18" t="s">
        <v>549</v>
      </c>
      <c r="E106" s="18" t="s">
        <v>617</v>
      </c>
      <c r="F106" s="101">
        <v>46009.756249999999</v>
      </c>
      <c r="G106" s="101">
        <v>46010.589583333334</v>
      </c>
      <c r="H106" s="18" t="s">
        <v>507</v>
      </c>
      <c r="I106" s="18" t="s">
        <v>508</v>
      </c>
      <c r="J106" s="18"/>
      <c r="K106" s="21">
        <f t="shared" si="3"/>
        <v>20.000000000058208</v>
      </c>
      <c r="L106" s="19">
        <f t="shared" si="4"/>
        <v>62</v>
      </c>
      <c r="M106" s="18" t="str">
        <f>IF(I106&lt;&gt;"Sí","",IF(YEAR(F106)&lt;&gt;2026,"",INDEX({"Enero","Febrero","Marzo","Abril","Mayo","Junio","Julio","Agosto","Septiembre","Octubre","Noviembre","Diciembre"},MONTH(F106))))</f>
        <v/>
      </c>
      <c r="N106" s="18" t="str">
        <f t="shared" si="5"/>
        <v/>
      </c>
    </row>
    <row r="107" spans="1:14" ht="14.5" x14ac:dyDescent="0.25">
      <c r="A107" s="19">
        <v>26</v>
      </c>
      <c r="B107" s="18" t="s">
        <v>504</v>
      </c>
      <c r="C107" s="18" t="s">
        <v>97</v>
      </c>
      <c r="D107" s="18" t="s">
        <v>549</v>
      </c>
      <c r="E107" s="18" t="s">
        <v>618</v>
      </c>
      <c r="F107" s="101">
        <v>46009.757638888892</v>
      </c>
      <c r="G107" s="101">
        <v>46010.592361111114</v>
      </c>
      <c r="H107" s="18" t="s">
        <v>507</v>
      </c>
      <c r="I107" s="18" t="s">
        <v>508</v>
      </c>
      <c r="J107" s="18"/>
      <c r="K107" s="21">
        <f t="shared" si="3"/>
        <v>20.033333333325572</v>
      </c>
      <c r="L107" s="19">
        <f t="shared" si="4"/>
        <v>64</v>
      </c>
      <c r="M107" s="18" t="str">
        <f>IF(I107&lt;&gt;"Sí","",IF(YEAR(F107)&lt;&gt;2026,"",INDEX({"Enero","Febrero","Marzo","Abril","Mayo","Junio","Julio","Agosto","Septiembre","Octubre","Noviembre","Diciembre"},MONTH(F107))))</f>
        <v/>
      </c>
      <c r="N107" s="18" t="str">
        <f t="shared" si="5"/>
        <v/>
      </c>
    </row>
    <row r="108" spans="1:14" ht="14.5" x14ac:dyDescent="0.25">
      <c r="A108" s="19">
        <v>26</v>
      </c>
      <c r="B108" s="18" t="s">
        <v>504</v>
      </c>
      <c r="C108" s="18" t="s">
        <v>97</v>
      </c>
      <c r="D108" s="18" t="s">
        <v>549</v>
      </c>
      <c r="E108" s="18" t="s">
        <v>619</v>
      </c>
      <c r="F108" s="101">
        <v>46009.757638888892</v>
      </c>
      <c r="G108" s="101">
        <v>46010.594444444447</v>
      </c>
      <c r="H108" s="18" t="s">
        <v>507</v>
      </c>
      <c r="I108" s="18" t="s">
        <v>508</v>
      </c>
      <c r="J108" s="18"/>
      <c r="K108" s="21">
        <f t="shared" si="3"/>
        <v>20.083333333313931</v>
      </c>
      <c r="L108" s="19">
        <f t="shared" si="4"/>
        <v>64</v>
      </c>
      <c r="M108" s="18" t="str">
        <f>IF(I108&lt;&gt;"Sí","",IF(YEAR(F108)&lt;&gt;2026,"",INDEX({"Enero","Febrero","Marzo","Abril","Mayo","Junio","Julio","Agosto","Septiembre","Octubre","Noviembre","Diciembre"},MONTH(F108))))</f>
        <v/>
      </c>
      <c r="N108" s="18" t="str">
        <f t="shared" si="5"/>
        <v/>
      </c>
    </row>
    <row r="109" spans="1:14" ht="14.5" x14ac:dyDescent="0.25">
      <c r="A109" s="19">
        <v>26</v>
      </c>
      <c r="B109" s="18" t="s">
        <v>504</v>
      </c>
      <c r="C109" s="18" t="s">
        <v>97</v>
      </c>
      <c r="D109" s="18" t="s">
        <v>549</v>
      </c>
      <c r="E109" s="18" t="s">
        <v>620</v>
      </c>
      <c r="F109" s="101">
        <v>46009.761111111111</v>
      </c>
      <c r="G109" s="101">
        <v>46010.762499999997</v>
      </c>
      <c r="H109" s="18" t="s">
        <v>507</v>
      </c>
      <c r="I109" s="18" t="s">
        <v>508</v>
      </c>
      <c r="J109" s="18"/>
      <c r="K109" s="21">
        <f t="shared" si="3"/>
        <v>24.033333333267365</v>
      </c>
      <c r="L109" s="19">
        <f t="shared" si="4"/>
        <v>65</v>
      </c>
      <c r="M109" s="18" t="str">
        <f>IF(I109&lt;&gt;"Sí","",IF(YEAR(F109)&lt;&gt;2026,"",INDEX({"Enero","Febrero","Marzo","Abril","Mayo","Junio","Julio","Agosto","Septiembre","Octubre","Noviembre","Diciembre"},MONTH(F109))))</f>
        <v/>
      </c>
      <c r="N109" s="18" t="str">
        <f t="shared" si="5"/>
        <v/>
      </c>
    </row>
    <row r="110" spans="1:14" ht="14.5" x14ac:dyDescent="0.25">
      <c r="A110" s="19">
        <v>26</v>
      </c>
      <c r="B110" s="18" t="s">
        <v>504</v>
      </c>
      <c r="C110" s="18" t="s">
        <v>97</v>
      </c>
      <c r="D110" s="18" t="s">
        <v>549</v>
      </c>
      <c r="E110" s="18" t="s">
        <v>621</v>
      </c>
      <c r="F110" s="101">
        <v>46009.763888888891</v>
      </c>
      <c r="G110" s="101">
        <v>46010.597916666666</v>
      </c>
      <c r="H110" s="18" t="s">
        <v>507</v>
      </c>
      <c r="I110" s="18" t="s">
        <v>508</v>
      </c>
      <c r="J110" s="18"/>
      <c r="K110" s="21">
        <f t="shared" si="3"/>
        <v>20.016666666604578</v>
      </c>
      <c r="L110" s="19">
        <f t="shared" si="4"/>
        <v>66</v>
      </c>
      <c r="M110" s="18" t="str">
        <f>IF(I110&lt;&gt;"Sí","",IF(YEAR(F110)&lt;&gt;2026,"",INDEX({"Enero","Febrero","Marzo","Abril","Mayo","Junio","Julio","Agosto","Septiembre","Octubre","Noviembre","Diciembre"},MONTH(F110))))</f>
        <v/>
      </c>
      <c r="N110" s="18" t="str">
        <f t="shared" si="5"/>
        <v/>
      </c>
    </row>
    <row r="111" spans="1:14" ht="14.5" x14ac:dyDescent="0.25">
      <c r="A111" s="19">
        <v>26</v>
      </c>
      <c r="B111" s="18" t="s">
        <v>504</v>
      </c>
      <c r="C111" s="18" t="s">
        <v>97</v>
      </c>
      <c r="D111" s="18" t="s">
        <v>549</v>
      </c>
      <c r="E111" s="18" t="s">
        <v>622</v>
      </c>
      <c r="F111" s="101">
        <v>46009.771527777775</v>
      </c>
      <c r="G111" s="101">
        <v>46010.758333333331</v>
      </c>
      <c r="H111" s="18" t="s">
        <v>507</v>
      </c>
      <c r="I111" s="18" t="s">
        <v>508</v>
      </c>
      <c r="J111" s="18"/>
      <c r="K111" s="21">
        <f t="shared" si="3"/>
        <v>23.683333333348855</v>
      </c>
      <c r="L111" s="19">
        <f t="shared" si="4"/>
        <v>67</v>
      </c>
      <c r="M111" s="18" t="str">
        <f>IF(I111&lt;&gt;"Sí","",IF(YEAR(F111)&lt;&gt;2026,"",INDEX({"Enero","Febrero","Marzo","Abril","Mayo","Junio","Julio","Agosto","Septiembre","Octubre","Noviembre","Diciembre"},MONTH(F111))))</f>
        <v/>
      </c>
      <c r="N111" s="18" t="str">
        <f t="shared" si="5"/>
        <v/>
      </c>
    </row>
    <row r="112" spans="1:14" ht="14.5" x14ac:dyDescent="0.25">
      <c r="A112" s="19">
        <v>26</v>
      </c>
      <c r="B112" s="18" t="s">
        <v>504</v>
      </c>
      <c r="C112" s="18" t="s">
        <v>97</v>
      </c>
      <c r="D112" s="18" t="s">
        <v>549</v>
      </c>
      <c r="E112" s="18" t="s">
        <v>623</v>
      </c>
      <c r="F112" s="101">
        <v>46009.840277777781</v>
      </c>
      <c r="G112" s="101">
        <v>46010.857638888891</v>
      </c>
      <c r="H112" s="18" t="s">
        <v>507</v>
      </c>
      <c r="I112" s="18" t="s">
        <v>508</v>
      </c>
      <c r="J112" s="18"/>
      <c r="K112" s="21">
        <f t="shared" si="3"/>
        <v>24.416666666627862</v>
      </c>
      <c r="L112" s="19">
        <f t="shared" si="4"/>
        <v>69</v>
      </c>
      <c r="M112" s="18" t="str">
        <f>IF(I112&lt;&gt;"Sí","",IF(YEAR(F112)&lt;&gt;2026,"",INDEX({"Enero","Febrero","Marzo","Abril","Mayo","Junio","Julio","Agosto","Septiembre","Octubre","Noviembre","Diciembre"},MONTH(F112))))</f>
        <v/>
      </c>
      <c r="N112" s="18" t="str">
        <f t="shared" si="5"/>
        <v/>
      </c>
    </row>
    <row r="113" spans="1:14" ht="14.5" x14ac:dyDescent="0.25">
      <c r="A113" s="19">
        <v>26</v>
      </c>
      <c r="B113" s="18" t="s">
        <v>504</v>
      </c>
      <c r="C113" s="18" t="s">
        <v>97</v>
      </c>
      <c r="D113" s="18" t="s">
        <v>549</v>
      </c>
      <c r="E113" s="18" t="s">
        <v>624</v>
      </c>
      <c r="F113" s="101">
        <v>46009.840277777781</v>
      </c>
      <c r="G113" s="101">
        <v>46010.857638888891</v>
      </c>
      <c r="H113" s="18" t="s">
        <v>507</v>
      </c>
      <c r="I113" s="18" t="s">
        <v>508</v>
      </c>
      <c r="J113" s="18"/>
      <c r="K113" s="21">
        <f t="shared" si="3"/>
        <v>24.416666666627862</v>
      </c>
      <c r="L113" s="19">
        <f t="shared" si="4"/>
        <v>69</v>
      </c>
      <c r="M113" s="18" t="str">
        <f>IF(I113&lt;&gt;"Sí","",IF(YEAR(F113)&lt;&gt;2026,"",INDEX({"Enero","Febrero","Marzo","Abril","Mayo","Junio","Julio","Agosto","Septiembre","Octubre","Noviembre","Diciembre"},MONTH(F113))))</f>
        <v/>
      </c>
      <c r="N113" s="18" t="str">
        <f t="shared" si="5"/>
        <v/>
      </c>
    </row>
    <row r="114" spans="1:14" ht="14.5" x14ac:dyDescent="0.25">
      <c r="A114" s="19">
        <v>26</v>
      </c>
      <c r="B114" s="18" t="s">
        <v>504</v>
      </c>
      <c r="C114" s="18" t="s">
        <v>97</v>
      </c>
      <c r="D114" s="18" t="s">
        <v>549</v>
      </c>
      <c r="E114" s="18" t="s">
        <v>625</v>
      </c>
      <c r="F114" s="101">
        <v>46009.84097222222</v>
      </c>
      <c r="G114" s="101">
        <v>46010.857638888891</v>
      </c>
      <c r="H114" s="18" t="s">
        <v>507</v>
      </c>
      <c r="I114" s="18" t="s">
        <v>508</v>
      </c>
      <c r="J114" s="18"/>
      <c r="K114" s="21">
        <f t="shared" si="3"/>
        <v>24.400000000081491</v>
      </c>
      <c r="L114" s="19">
        <f t="shared" si="4"/>
        <v>71</v>
      </c>
      <c r="M114" s="18" t="str">
        <f>IF(I114&lt;&gt;"Sí","",IF(YEAR(F114)&lt;&gt;2026,"",INDEX({"Enero","Febrero","Marzo","Abril","Mayo","Junio","Julio","Agosto","Septiembre","Octubre","Noviembre","Diciembre"},MONTH(F114))))</f>
        <v/>
      </c>
      <c r="N114" s="18" t="str">
        <f t="shared" si="5"/>
        <v/>
      </c>
    </row>
    <row r="115" spans="1:14" ht="14.5" x14ac:dyDescent="0.25">
      <c r="A115" s="19">
        <v>26</v>
      </c>
      <c r="B115" s="18" t="s">
        <v>504</v>
      </c>
      <c r="C115" s="18" t="s">
        <v>97</v>
      </c>
      <c r="D115" s="18" t="s">
        <v>549</v>
      </c>
      <c r="E115" s="18" t="s">
        <v>626</v>
      </c>
      <c r="F115" s="101">
        <v>46009.84097222222</v>
      </c>
      <c r="G115" s="101">
        <v>46010.597222222219</v>
      </c>
      <c r="H115" s="18" t="s">
        <v>507</v>
      </c>
      <c r="I115" s="18" t="s">
        <v>508</v>
      </c>
      <c r="J115" s="18"/>
      <c r="K115" s="21">
        <f t="shared" si="3"/>
        <v>18.149999999965075</v>
      </c>
      <c r="L115" s="19">
        <f t="shared" si="4"/>
        <v>71</v>
      </c>
      <c r="M115" s="18" t="str">
        <f>IF(I115&lt;&gt;"Sí","",IF(YEAR(F115)&lt;&gt;2026,"",INDEX({"Enero","Febrero","Marzo","Abril","Mayo","Junio","Julio","Agosto","Septiembre","Octubre","Noviembre","Diciembre"},MONTH(F115))))</f>
        <v/>
      </c>
      <c r="N115" s="18" t="str">
        <f t="shared" si="5"/>
        <v/>
      </c>
    </row>
    <row r="116" spans="1:14" ht="14.5" x14ac:dyDescent="0.25">
      <c r="A116" s="19">
        <v>26</v>
      </c>
      <c r="B116" s="18" t="s">
        <v>504</v>
      </c>
      <c r="C116" s="18" t="s">
        <v>97</v>
      </c>
      <c r="D116" s="18" t="s">
        <v>549</v>
      </c>
      <c r="E116" s="18" t="s">
        <v>627</v>
      </c>
      <c r="F116" s="101">
        <v>46009.84375</v>
      </c>
      <c r="G116" s="101">
        <v>46010.810416666667</v>
      </c>
      <c r="H116" s="18" t="s">
        <v>507</v>
      </c>
      <c r="I116" s="18" t="s">
        <v>508</v>
      </c>
      <c r="J116" s="18"/>
      <c r="K116" s="21">
        <f t="shared" si="3"/>
        <v>23.200000000011642</v>
      </c>
      <c r="L116" s="19">
        <f t="shared" si="4"/>
        <v>73</v>
      </c>
      <c r="M116" s="18" t="str">
        <f>IF(I116&lt;&gt;"Sí","",IF(YEAR(F116)&lt;&gt;2026,"",INDEX({"Enero","Febrero","Marzo","Abril","Mayo","Junio","Julio","Agosto","Septiembre","Octubre","Noviembre","Diciembre"},MONTH(F116))))</f>
        <v/>
      </c>
      <c r="N116" s="18" t="str">
        <f t="shared" si="5"/>
        <v/>
      </c>
    </row>
    <row r="117" spans="1:14" ht="14.5" x14ac:dyDescent="0.25">
      <c r="A117" s="19">
        <v>26</v>
      </c>
      <c r="B117" s="18" t="s">
        <v>504</v>
      </c>
      <c r="C117" s="18" t="s">
        <v>97</v>
      </c>
      <c r="D117" s="18" t="s">
        <v>549</v>
      </c>
      <c r="E117" s="18" t="s">
        <v>628</v>
      </c>
      <c r="F117" s="101">
        <v>46009.84375</v>
      </c>
      <c r="G117" s="101">
        <v>46010.809027777781</v>
      </c>
      <c r="H117" s="18" t="s">
        <v>507</v>
      </c>
      <c r="I117" s="18" t="s">
        <v>508</v>
      </c>
      <c r="J117" s="18"/>
      <c r="K117" s="21">
        <f t="shared" si="3"/>
        <v>23.166666666744277</v>
      </c>
      <c r="L117" s="19">
        <f t="shared" si="4"/>
        <v>73</v>
      </c>
      <c r="M117" s="18" t="str">
        <f>IF(I117&lt;&gt;"Sí","",IF(YEAR(F117)&lt;&gt;2026,"",INDEX({"Enero","Febrero","Marzo","Abril","Mayo","Junio","Julio","Agosto","Septiembre","Octubre","Noviembre","Diciembre"},MONTH(F117))))</f>
        <v/>
      </c>
      <c r="N117" s="18" t="str">
        <f t="shared" si="5"/>
        <v/>
      </c>
    </row>
    <row r="118" spans="1:14" ht="14.5" x14ac:dyDescent="0.25">
      <c r="A118" s="19">
        <v>26</v>
      </c>
      <c r="B118" s="18" t="s">
        <v>504</v>
      </c>
      <c r="C118" s="18" t="s">
        <v>97</v>
      </c>
      <c r="D118" s="18" t="s">
        <v>549</v>
      </c>
      <c r="E118" s="18" t="s">
        <v>629</v>
      </c>
      <c r="F118" s="101">
        <v>46009.844444444447</v>
      </c>
      <c r="G118" s="101">
        <v>46010.597222222219</v>
      </c>
      <c r="H118" s="18" t="s">
        <v>507</v>
      </c>
      <c r="I118" s="18" t="s">
        <v>508</v>
      </c>
      <c r="J118" s="18"/>
      <c r="K118" s="21">
        <f t="shared" si="3"/>
        <v>18.066666666534729</v>
      </c>
      <c r="L118" s="19">
        <f t="shared" si="4"/>
        <v>76</v>
      </c>
      <c r="M118" s="18" t="str">
        <f>IF(I118&lt;&gt;"Sí","",IF(YEAR(F118)&lt;&gt;2026,"",INDEX({"Enero","Febrero","Marzo","Abril","Mayo","Junio","Julio","Agosto","Septiembre","Octubre","Noviembre","Diciembre"},MONTH(F118))))</f>
        <v/>
      </c>
      <c r="N118" s="18" t="str">
        <f t="shared" si="5"/>
        <v/>
      </c>
    </row>
    <row r="119" spans="1:14" ht="14.5" x14ac:dyDescent="0.25">
      <c r="A119" s="19">
        <v>26</v>
      </c>
      <c r="B119" s="18" t="s">
        <v>504</v>
      </c>
      <c r="C119" s="18" t="s">
        <v>97</v>
      </c>
      <c r="D119" s="18" t="s">
        <v>549</v>
      </c>
      <c r="E119" s="18" t="s">
        <v>630</v>
      </c>
      <c r="F119" s="101">
        <v>46009.844444444447</v>
      </c>
      <c r="G119" s="101">
        <v>46010.597222222219</v>
      </c>
      <c r="H119" s="18" t="s">
        <v>507</v>
      </c>
      <c r="I119" s="18" t="s">
        <v>508</v>
      </c>
      <c r="J119" s="18"/>
      <c r="K119" s="21">
        <f t="shared" si="3"/>
        <v>18.066666666534729</v>
      </c>
      <c r="L119" s="19">
        <f t="shared" si="4"/>
        <v>76</v>
      </c>
      <c r="M119" s="18" t="str">
        <f>IF(I119&lt;&gt;"Sí","",IF(YEAR(F119)&lt;&gt;2026,"",INDEX({"Enero","Febrero","Marzo","Abril","Mayo","Junio","Julio","Agosto","Septiembre","Octubre","Noviembre","Diciembre"},MONTH(F119))))</f>
        <v/>
      </c>
      <c r="N119" s="18" t="str">
        <f t="shared" si="5"/>
        <v/>
      </c>
    </row>
    <row r="120" spans="1:14" ht="14.5" x14ac:dyDescent="0.25">
      <c r="A120" s="19">
        <v>26</v>
      </c>
      <c r="B120" s="18" t="s">
        <v>504</v>
      </c>
      <c r="C120" s="18" t="s">
        <v>97</v>
      </c>
      <c r="D120" s="18" t="s">
        <v>549</v>
      </c>
      <c r="E120" s="18" t="s">
        <v>631</v>
      </c>
      <c r="F120" s="101">
        <v>46009.844444444447</v>
      </c>
      <c r="G120" s="101">
        <v>46010.597222222219</v>
      </c>
      <c r="H120" s="18" t="s">
        <v>507</v>
      </c>
      <c r="I120" s="18" t="s">
        <v>508</v>
      </c>
      <c r="J120" s="18"/>
      <c r="K120" s="21">
        <f t="shared" si="3"/>
        <v>18.066666666534729</v>
      </c>
      <c r="L120" s="19">
        <f t="shared" si="4"/>
        <v>76</v>
      </c>
      <c r="M120" s="18" t="str">
        <f>IF(I120&lt;&gt;"Sí","",IF(YEAR(F120)&lt;&gt;2026,"",INDEX({"Enero","Febrero","Marzo","Abril","Mayo","Junio","Julio","Agosto","Septiembre","Octubre","Noviembre","Diciembre"},MONTH(F120))))</f>
        <v/>
      </c>
      <c r="N120" s="18" t="str">
        <f t="shared" si="5"/>
        <v/>
      </c>
    </row>
    <row r="121" spans="1:14" ht="14.5" x14ac:dyDescent="0.25">
      <c r="A121" s="19">
        <v>26</v>
      </c>
      <c r="B121" s="18" t="s">
        <v>504</v>
      </c>
      <c r="C121" s="18" t="s">
        <v>97</v>
      </c>
      <c r="D121" s="18" t="s">
        <v>549</v>
      </c>
      <c r="E121" s="18" t="s">
        <v>632</v>
      </c>
      <c r="F121" s="101">
        <v>46009.845138888886</v>
      </c>
      <c r="G121" s="101">
        <v>46010.597222222219</v>
      </c>
      <c r="H121" s="18" t="s">
        <v>507</v>
      </c>
      <c r="I121" s="18" t="s">
        <v>508</v>
      </c>
      <c r="J121" s="18"/>
      <c r="K121" s="21">
        <f t="shared" si="3"/>
        <v>18.049999999988358</v>
      </c>
      <c r="L121" s="19">
        <f t="shared" si="4"/>
        <v>77</v>
      </c>
      <c r="M121" s="18" t="str">
        <f>IF(I121&lt;&gt;"Sí","",IF(YEAR(F121)&lt;&gt;2026,"",INDEX({"Enero","Febrero","Marzo","Abril","Mayo","Junio","Julio","Agosto","Septiembre","Octubre","Noviembre","Diciembre"},MONTH(F121))))</f>
        <v/>
      </c>
      <c r="N121" s="18" t="str">
        <f t="shared" si="5"/>
        <v/>
      </c>
    </row>
    <row r="122" spans="1:14" ht="14.5" x14ac:dyDescent="0.25">
      <c r="A122" s="19">
        <v>26</v>
      </c>
      <c r="B122" s="18" t="s">
        <v>504</v>
      </c>
      <c r="C122" s="18" t="s">
        <v>97</v>
      </c>
      <c r="D122" s="18" t="s">
        <v>549</v>
      </c>
      <c r="E122" s="18" t="s">
        <v>633</v>
      </c>
      <c r="F122" s="101">
        <v>46009.847916666666</v>
      </c>
      <c r="G122" s="101">
        <v>46010.597222222219</v>
      </c>
      <c r="H122" s="18" t="s">
        <v>507</v>
      </c>
      <c r="I122" s="18" t="s">
        <v>508</v>
      </c>
      <c r="J122" s="18"/>
      <c r="K122" s="21">
        <f t="shared" si="3"/>
        <v>17.983333333279006</v>
      </c>
      <c r="L122" s="19">
        <f t="shared" si="4"/>
        <v>78</v>
      </c>
      <c r="M122" s="18" t="str">
        <f>IF(I122&lt;&gt;"Sí","",IF(YEAR(F122)&lt;&gt;2026,"",INDEX({"Enero","Febrero","Marzo","Abril","Mayo","Junio","Julio","Agosto","Septiembre","Octubre","Noviembre","Diciembre"},MONTH(F122))))</f>
        <v/>
      </c>
      <c r="N122" s="18" t="str">
        <f t="shared" si="5"/>
        <v/>
      </c>
    </row>
    <row r="123" spans="1:14" ht="14.5" x14ac:dyDescent="0.25">
      <c r="A123" s="19">
        <v>26</v>
      </c>
      <c r="B123" s="18" t="s">
        <v>504</v>
      </c>
      <c r="C123" s="18" t="s">
        <v>97</v>
      </c>
      <c r="D123" s="18" t="s">
        <v>549</v>
      </c>
      <c r="E123" s="18" t="s">
        <v>634</v>
      </c>
      <c r="F123" s="101">
        <v>46009.848611111112</v>
      </c>
      <c r="G123" s="101">
        <v>46010.597222222219</v>
      </c>
      <c r="H123" s="18" t="s">
        <v>507</v>
      </c>
      <c r="I123" s="18" t="s">
        <v>508</v>
      </c>
      <c r="J123" s="18"/>
      <c r="K123" s="21">
        <f t="shared" si="3"/>
        <v>17.966666666558012</v>
      </c>
      <c r="L123" s="19">
        <f t="shared" si="4"/>
        <v>79</v>
      </c>
      <c r="M123" s="18" t="str">
        <f>IF(I123&lt;&gt;"Sí","",IF(YEAR(F123)&lt;&gt;2026,"",INDEX({"Enero","Febrero","Marzo","Abril","Mayo","Junio","Julio","Agosto","Septiembre","Octubre","Noviembre","Diciembre"},MONTH(F123))))</f>
        <v/>
      </c>
      <c r="N123" s="18" t="str">
        <f t="shared" si="5"/>
        <v/>
      </c>
    </row>
    <row r="124" spans="1:14" ht="14.5" x14ac:dyDescent="0.25">
      <c r="A124" s="19">
        <v>26</v>
      </c>
      <c r="B124" s="18" t="s">
        <v>504</v>
      </c>
      <c r="C124" s="18" t="s">
        <v>97</v>
      </c>
      <c r="D124" s="18" t="s">
        <v>549</v>
      </c>
      <c r="E124" s="18" t="s">
        <v>635</v>
      </c>
      <c r="F124" s="101">
        <v>46009.849305555559</v>
      </c>
      <c r="G124" s="101">
        <v>46010.597222222219</v>
      </c>
      <c r="H124" s="18" t="s">
        <v>507</v>
      </c>
      <c r="I124" s="18" t="s">
        <v>508</v>
      </c>
      <c r="J124" s="18"/>
      <c r="K124" s="21">
        <f t="shared" si="3"/>
        <v>17.949999999837019</v>
      </c>
      <c r="L124" s="19">
        <f t="shared" si="4"/>
        <v>80</v>
      </c>
      <c r="M124" s="18" t="str">
        <f>IF(I124&lt;&gt;"Sí","",IF(YEAR(F124)&lt;&gt;2026,"",INDEX({"Enero","Febrero","Marzo","Abril","Mayo","Junio","Julio","Agosto","Septiembre","Octubre","Noviembre","Diciembre"},MONTH(F124))))</f>
        <v/>
      </c>
      <c r="N124" s="18" t="str">
        <f t="shared" si="5"/>
        <v/>
      </c>
    </row>
    <row r="125" spans="1:14" ht="14.5" x14ac:dyDescent="0.25">
      <c r="A125" s="19">
        <v>26</v>
      </c>
      <c r="B125" s="18" t="s">
        <v>504</v>
      </c>
      <c r="C125" s="18" t="s">
        <v>97</v>
      </c>
      <c r="D125" s="18" t="s">
        <v>549</v>
      </c>
      <c r="E125" s="18" t="s">
        <v>636</v>
      </c>
      <c r="F125" s="101">
        <v>46009.852083333331</v>
      </c>
      <c r="G125" s="101">
        <v>46010.597222222219</v>
      </c>
      <c r="H125" s="18" t="s">
        <v>507</v>
      </c>
      <c r="I125" s="18" t="s">
        <v>508</v>
      </c>
      <c r="J125" s="18"/>
      <c r="K125" s="21">
        <f t="shared" si="3"/>
        <v>17.883333333302289</v>
      </c>
      <c r="L125" s="19">
        <f t="shared" si="4"/>
        <v>82</v>
      </c>
      <c r="M125" s="18" t="str">
        <f>IF(I125&lt;&gt;"Sí","",IF(YEAR(F125)&lt;&gt;2026,"",INDEX({"Enero","Febrero","Marzo","Abril","Mayo","Junio","Julio","Agosto","Septiembre","Octubre","Noviembre","Diciembre"},MONTH(F125))))</f>
        <v/>
      </c>
      <c r="N125" s="18" t="str">
        <f t="shared" si="5"/>
        <v/>
      </c>
    </row>
    <row r="126" spans="1:14" ht="14.5" x14ac:dyDescent="0.25">
      <c r="A126" s="19">
        <v>26</v>
      </c>
      <c r="B126" s="18" t="s">
        <v>504</v>
      </c>
      <c r="C126" s="18" t="s">
        <v>97</v>
      </c>
      <c r="D126" s="18" t="s">
        <v>549</v>
      </c>
      <c r="E126" s="18" t="s">
        <v>637</v>
      </c>
      <c r="F126" s="101">
        <v>46009.852083333331</v>
      </c>
      <c r="G126" s="101">
        <v>46010.597222222219</v>
      </c>
      <c r="H126" s="18" t="s">
        <v>507</v>
      </c>
      <c r="I126" s="18" t="s">
        <v>508</v>
      </c>
      <c r="J126" s="18"/>
      <c r="K126" s="21">
        <f t="shared" si="3"/>
        <v>17.883333333302289</v>
      </c>
      <c r="L126" s="19">
        <f t="shared" si="4"/>
        <v>82</v>
      </c>
      <c r="M126" s="18" t="str">
        <f>IF(I126&lt;&gt;"Sí","",IF(YEAR(F126)&lt;&gt;2026,"",INDEX({"Enero","Febrero","Marzo","Abril","Mayo","Junio","Julio","Agosto","Septiembre","Octubre","Noviembre","Diciembre"},MONTH(F126))))</f>
        <v/>
      </c>
      <c r="N126" s="18" t="str">
        <f t="shared" si="5"/>
        <v/>
      </c>
    </row>
    <row r="127" spans="1:14" ht="14.5" x14ac:dyDescent="0.25">
      <c r="A127" s="19">
        <v>26</v>
      </c>
      <c r="B127" s="18" t="s">
        <v>504</v>
      </c>
      <c r="C127" s="18" t="s">
        <v>97</v>
      </c>
      <c r="D127" s="18" t="s">
        <v>549</v>
      </c>
      <c r="E127" s="18" t="s">
        <v>638</v>
      </c>
      <c r="F127" s="101">
        <v>46009.853472222225</v>
      </c>
      <c r="G127" s="101">
        <v>46010.611111111109</v>
      </c>
      <c r="H127" s="18" t="s">
        <v>507</v>
      </c>
      <c r="I127" s="18" t="s">
        <v>508</v>
      </c>
      <c r="J127" s="18"/>
      <c r="K127" s="21">
        <f t="shared" si="3"/>
        <v>18.18333333323244</v>
      </c>
      <c r="L127" s="19">
        <f t="shared" si="4"/>
        <v>90</v>
      </c>
      <c r="M127" s="18" t="str">
        <f>IF(I127&lt;&gt;"Sí","",IF(YEAR(F127)&lt;&gt;2026,"",INDEX({"Enero","Febrero","Marzo","Abril","Mayo","Junio","Julio","Agosto","Septiembre","Octubre","Noviembre","Diciembre"},MONTH(F127))))</f>
        <v/>
      </c>
      <c r="N127" s="18" t="str">
        <f t="shared" si="5"/>
        <v/>
      </c>
    </row>
    <row r="128" spans="1:14" ht="14.5" x14ac:dyDescent="0.25">
      <c r="A128" s="19">
        <v>26</v>
      </c>
      <c r="B128" s="18" t="s">
        <v>504</v>
      </c>
      <c r="C128" s="18" t="s">
        <v>97</v>
      </c>
      <c r="D128" s="18" t="s">
        <v>549</v>
      </c>
      <c r="E128" s="18" t="s">
        <v>639</v>
      </c>
      <c r="F128" s="101">
        <v>46009.853472222225</v>
      </c>
      <c r="G128" s="101">
        <v>46010.870833333334</v>
      </c>
      <c r="H128" s="18" t="s">
        <v>507</v>
      </c>
      <c r="I128" s="18" t="s">
        <v>508</v>
      </c>
      <c r="J128" s="18"/>
      <c r="K128" s="21">
        <f t="shared" si="3"/>
        <v>24.416666666627862</v>
      </c>
      <c r="L128" s="19">
        <f t="shared" si="4"/>
        <v>90</v>
      </c>
      <c r="M128" s="18" t="str">
        <f>IF(I128&lt;&gt;"Sí","",IF(YEAR(F128)&lt;&gt;2026,"",INDEX({"Enero","Febrero","Marzo","Abril","Mayo","Junio","Julio","Agosto","Septiembre","Octubre","Noviembre","Diciembre"},MONTH(F128))))</f>
        <v/>
      </c>
      <c r="N128" s="18" t="str">
        <f t="shared" si="5"/>
        <v/>
      </c>
    </row>
    <row r="129" spans="1:14" ht="14.5" x14ac:dyDescent="0.25">
      <c r="A129" s="19">
        <v>26</v>
      </c>
      <c r="B129" s="18" t="s">
        <v>504</v>
      </c>
      <c r="C129" s="18" t="s">
        <v>97</v>
      </c>
      <c r="D129" s="18" t="s">
        <v>549</v>
      </c>
      <c r="E129" s="18" t="s">
        <v>640</v>
      </c>
      <c r="F129" s="101">
        <v>46009.853472222225</v>
      </c>
      <c r="G129" s="101">
        <v>46010.609027777777</v>
      </c>
      <c r="H129" s="18" t="s">
        <v>507</v>
      </c>
      <c r="I129" s="18" t="s">
        <v>508</v>
      </c>
      <c r="J129" s="18"/>
      <c r="K129" s="21">
        <f t="shared" si="3"/>
        <v>18.133333333244082</v>
      </c>
      <c r="L129" s="19">
        <f t="shared" si="4"/>
        <v>90</v>
      </c>
      <c r="M129" s="18" t="str">
        <f>IF(I129&lt;&gt;"Sí","",IF(YEAR(F129)&lt;&gt;2026,"",INDEX({"Enero","Febrero","Marzo","Abril","Mayo","Junio","Julio","Agosto","Septiembre","Octubre","Noviembre","Diciembre"},MONTH(F129))))</f>
        <v/>
      </c>
      <c r="N129" s="18" t="str">
        <f t="shared" si="5"/>
        <v/>
      </c>
    </row>
    <row r="130" spans="1:14" ht="14.5" x14ac:dyDescent="0.25">
      <c r="A130" s="19">
        <v>26</v>
      </c>
      <c r="B130" s="18" t="s">
        <v>504</v>
      </c>
      <c r="C130" s="18" t="s">
        <v>97</v>
      </c>
      <c r="D130" s="18" t="s">
        <v>549</v>
      </c>
      <c r="E130" s="18" t="s">
        <v>641</v>
      </c>
      <c r="F130" s="101">
        <v>46009.853472222225</v>
      </c>
      <c r="G130" s="101">
        <v>46010.606944444444</v>
      </c>
      <c r="H130" s="18" t="s">
        <v>507</v>
      </c>
      <c r="I130" s="18" t="s">
        <v>508</v>
      </c>
      <c r="J130" s="18"/>
      <c r="K130" s="21">
        <f t="shared" si="3"/>
        <v>18.083333333255723</v>
      </c>
      <c r="L130" s="19">
        <f t="shared" si="4"/>
        <v>90</v>
      </c>
      <c r="M130" s="18" t="str">
        <f>IF(I130&lt;&gt;"Sí","",IF(YEAR(F130)&lt;&gt;2026,"",INDEX({"Enero","Febrero","Marzo","Abril","Mayo","Junio","Julio","Agosto","Septiembre","Octubre","Noviembre","Diciembre"},MONTH(F130))))</f>
        <v/>
      </c>
      <c r="N130" s="18" t="str">
        <f t="shared" si="5"/>
        <v/>
      </c>
    </row>
    <row r="131" spans="1:14" ht="14.5" x14ac:dyDescent="0.25">
      <c r="A131" s="19">
        <v>26</v>
      </c>
      <c r="B131" s="18" t="s">
        <v>504</v>
      </c>
      <c r="C131" s="18" t="s">
        <v>97</v>
      </c>
      <c r="D131" s="18" t="s">
        <v>549</v>
      </c>
      <c r="E131" s="18" t="s">
        <v>642</v>
      </c>
      <c r="F131" s="101">
        <v>46009.853472222225</v>
      </c>
      <c r="G131" s="101">
        <v>46010.605555555558</v>
      </c>
      <c r="H131" s="18" t="s">
        <v>507</v>
      </c>
      <c r="I131" s="18" t="s">
        <v>508</v>
      </c>
      <c r="J131" s="18"/>
      <c r="K131" s="21">
        <f t="shared" si="3"/>
        <v>18.049999999988358</v>
      </c>
      <c r="L131" s="19">
        <f t="shared" si="4"/>
        <v>90</v>
      </c>
      <c r="M131" s="18" t="str">
        <f>IF(I131&lt;&gt;"Sí","",IF(YEAR(F131)&lt;&gt;2026,"",INDEX({"Enero","Febrero","Marzo","Abril","Mayo","Junio","Julio","Agosto","Septiembre","Octubre","Noviembre","Diciembre"},MONTH(F131))))</f>
        <v/>
      </c>
      <c r="N131" s="18" t="str">
        <f t="shared" si="5"/>
        <v/>
      </c>
    </row>
    <row r="132" spans="1:14" ht="14.5" x14ac:dyDescent="0.25">
      <c r="A132" s="19">
        <v>26</v>
      </c>
      <c r="B132" s="18" t="s">
        <v>504</v>
      </c>
      <c r="C132" s="18" t="s">
        <v>97</v>
      </c>
      <c r="D132" s="18" t="s">
        <v>549</v>
      </c>
      <c r="E132" s="18" t="s">
        <v>643</v>
      </c>
      <c r="F132" s="101">
        <v>46009.853472222225</v>
      </c>
      <c r="G132" s="101">
        <v>46010.603472222225</v>
      </c>
      <c r="H132" s="18" t="s">
        <v>507</v>
      </c>
      <c r="I132" s="18" t="s">
        <v>508</v>
      </c>
      <c r="J132" s="18"/>
      <c r="K132" s="21">
        <f t="shared" si="3"/>
        <v>18</v>
      </c>
      <c r="L132" s="19">
        <f t="shared" si="4"/>
        <v>90</v>
      </c>
      <c r="M132" s="18" t="str">
        <f>IF(I132&lt;&gt;"Sí","",IF(YEAR(F132)&lt;&gt;2026,"",INDEX({"Enero","Febrero","Marzo","Abril","Mayo","Junio","Julio","Agosto","Septiembre","Octubre","Noviembre","Diciembre"},MONTH(F132))))</f>
        <v/>
      </c>
      <c r="N132" s="18" t="str">
        <f t="shared" si="5"/>
        <v/>
      </c>
    </row>
    <row r="133" spans="1:14" ht="14.5" x14ac:dyDescent="0.25">
      <c r="A133" s="19">
        <v>26</v>
      </c>
      <c r="B133" s="18" t="s">
        <v>504</v>
      </c>
      <c r="C133" s="18" t="s">
        <v>97</v>
      </c>
      <c r="D133" s="18" t="s">
        <v>549</v>
      </c>
      <c r="E133" s="18" t="s">
        <v>644</v>
      </c>
      <c r="F133" s="101">
        <v>46009.853472222225</v>
      </c>
      <c r="G133" s="101">
        <v>46010.602083333331</v>
      </c>
      <c r="H133" s="18" t="s">
        <v>507</v>
      </c>
      <c r="I133" s="18" t="s">
        <v>508</v>
      </c>
      <c r="J133" s="18"/>
      <c r="K133" s="21">
        <f t="shared" si="3"/>
        <v>17.966666666558012</v>
      </c>
      <c r="L133" s="19">
        <f t="shared" si="4"/>
        <v>90</v>
      </c>
      <c r="M133" s="18" t="str">
        <f>IF(I133&lt;&gt;"Sí","",IF(YEAR(F133)&lt;&gt;2026,"",INDEX({"Enero","Febrero","Marzo","Abril","Mayo","Junio","Julio","Agosto","Septiembre","Octubre","Noviembre","Diciembre"},MONTH(F133))))</f>
        <v/>
      </c>
      <c r="N133" s="18" t="str">
        <f t="shared" si="5"/>
        <v/>
      </c>
    </row>
    <row r="134" spans="1:14" ht="14.5" x14ac:dyDescent="0.25">
      <c r="A134" s="19">
        <v>26</v>
      </c>
      <c r="B134" s="18" t="s">
        <v>504</v>
      </c>
      <c r="C134" s="18" t="s">
        <v>97</v>
      </c>
      <c r="D134" s="18" t="s">
        <v>549</v>
      </c>
      <c r="E134" s="18" t="s">
        <v>645</v>
      </c>
      <c r="F134" s="101">
        <v>46009.853472222225</v>
      </c>
      <c r="G134" s="101">
        <v>46010.6</v>
      </c>
      <c r="H134" s="18" t="s">
        <v>507</v>
      </c>
      <c r="I134" s="18" t="s">
        <v>508</v>
      </c>
      <c r="J134" s="18"/>
      <c r="K134" s="21">
        <f t="shared" si="3"/>
        <v>17.916666666569654</v>
      </c>
      <c r="L134" s="19">
        <f t="shared" si="4"/>
        <v>90</v>
      </c>
      <c r="M134" s="18" t="str">
        <f>IF(I134&lt;&gt;"Sí","",IF(YEAR(F134)&lt;&gt;2026,"",INDEX({"Enero","Febrero","Marzo","Abril","Mayo","Junio","Julio","Agosto","Septiembre","Octubre","Noviembre","Diciembre"},MONTH(F134))))</f>
        <v/>
      </c>
      <c r="N134" s="18" t="str">
        <f t="shared" si="5"/>
        <v/>
      </c>
    </row>
    <row r="135" spans="1:14" ht="14.5" x14ac:dyDescent="0.25">
      <c r="A135" s="19">
        <v>26</v>
      </c>
      <c r="B135" s="18" t="s">
        <v>504</v>
      </c>
      <c r="C135" s="18" t="s">
        <v>97</v>
      </c>
      <c r="D135" s="18" t="s">
        <v>549</v>
      </c>
      <c r="E135" s="18" t="s">
        <v>646</v>
      </c>
      <c r="F135" s="101">
        <v>46009.854166666664</v>
      </c>
      <c r="G135" s="101">
        <v>46010.597222222219</v>
      </c>
      <c r="H135" s="18" t="s">
        <v>507</v>
      </c>
      <c r="I135" s="18" t="s">
        <v>508</v>
      </c>
      <c r="J135" s="18"/>
      <c r="K135" s="21">
        <f t="shared" ref="K135:K198" si="6">IF(I135="Sí",(G135-F135)*24,"")</f>
        <v>17.833333333313931</v>
      </c>
      <c r="L135" s="19">
        <f t="shared" ref="L135:L198" si="7">IF(I135="Sí",COUNTIFS($F$7:$F$4000,"&lt;="&amp;F135,$G$7:$G$4000,"&gt;"&amp;F135,$I$7:$I$4000,"Sí"),"")</f>
        <v>92</v>
      </c>
      <c r="M135" s="18" t="str">
        <f>IF(I135&lt;&gt;"Sí","",IF(YEAR(F135)&lt;&gt;2026,"",INDEX({"Enero","Febrero","Marzo","Abril","Mayo","Junio","Julio","Agosto","Septiembre","Octubre","Noviembre","Diciembre"},MONTH(F135))))</f>
        <v/>
      </c>
      <c r="N135" s="18" t="str">
        <f t="shared" ref="N135:N198" si="8">IF(M135="","",M135&amp;"|"&amp;L135)</f>
        <v/>
      </c>
    </row>
    <row r="136" spans="1:14" ht="14.5" x14ac:dyDescent="0.25">
      <c r="A136" s="19">
        <v>26</v>
      </c>
      <c r="B136" s="18" t="s">
        <v>504</v>
      </c>
      <c r="C136" s="18" t="s">
        <v>97</v>
      </c>
      <c r="D136" s="18" t="s">
        <v>549</v>
      </c>
      <c r="E136" s="18" t="s">
        <v>647</v>
      </c>
      <c r="F136" s="101">
        <v>46009.854166666664</v>
      </c>
      <c r="G136" s="101">
        <v>46010.597222222219</v>
      </c>
      <c r="H136" s="18" t="s">
        <v>507</v>
      </c>
      <c r="I136" s="18" t="s">
        <v>508</v>
      </c>
      <c r="J136" s="18"/>
      <c r="K136" s="21">
        <f t="shared" si="6"/>
        <v>17.833333333313931</v>
      </c>
      <c r="L136" s="19">
        <f t="shared" si="7"/>
        <v>92</v>
      </c>
      <c r="M136" s="18" t="str">
        <f>IF(I136&lt;&gt;"Sí","",IF(YEAR(F136)&lt;&gt;2026,"",INDEX({"Enero","Febrero","Marzo","Abril","Mayo","Junio","Julio","Agosto","Septiembre","Octubre","Noviembre","Diciembre"},MONTH(F136))))</f>
        <v/>
      </c>
      <c r="N136" s="18" t="str">
        <f t="shared" si="8"/>
        <v/>
      </c>
    </row>
    <row r="137" spans="1:14" ht="14.5" x14ac:dyDescent="0.25">
      <c r="A137" s="19">
        <v>26</v>
      </c>
      <c r="B137" s="18" t="s">
        <v>504</v>
      </c>
      <c r="C137" s="18" t="s">
        <v>97</v>
      </c>
      <c r="D137" s="18" t="s">
        <v>549</v>
      </c>
      <c r="E137" s="18" t="s">
        <v>648</v>
      </c>
      <c r="F137" s="101">
        <v>46009.888888888891</v>
      </c>
      <c r="G137" s="101">
        <v>46010.727777777778</v>
      </c>
      <c r="H137" s="18" t="s">
        <v>507</v>
      </c>
      <c r="I137" s="18" t="s">
        <v>508</v>
      </c>
      <c r="J137" s="18"/>
      <c r="K137" s="21">
        <f t="shared" si="6"/>
        <v>20.133333333302289</v>
      </c>
      <c r="L137" s="19">
        <f t="shared" si="7"/>
        <v>95</v>
      </c>
      <c r="M137" s="18" t="str">
        <f>IF(I137&lt;&gt;"Sí","",IF(YEAR(F137)&lt;&gt;2026,"",INDEX({"Enero","Febrero","Marzo","Abril","Mayo","Junio","Julio","Agosto","Septiembre","Octubre","Noviembre","Diciembre"},MONTH(F137))))</f>
        <v/>
      </c>
      <c r="N137" s="18" t="str">
        <f t="shared" si="8"/>
        <v/>
      </c>
    </row>
    <row r="138" spans="1:14" ht="14.5" x14ac:dyDescent="0.25">
      <c r="A138" s="19">
        <v>26</v>
      </c>
      <c r="B138" s="18" t="s">
        <v>504</v>
      </c>
      <c r="C138" s="18" t="s">
        <v>97</v>
      </c>
      <c r="D138" s="18" t="s">
        <v>549</v>
      </c>
      <c r="E138" s="18" t="s">
        <v>649</v>
      </c>
      <c r="F138" s="101">
        <v>46009.888888888891</v>
      </c>
      <c r="G138" s="101">
        <v>46010.724999999999</v>
      </c>
      <c r="H138" s="18" t="s">
        <v>507</v>
      </c>
      <c r="I138" s="18" t="s">
        <v>508</v>
      </c>
      <c r="J138" s="18"/>
      <c r="K138" s="21">
        <f t="shared" si="6"/>
        <v>20.066666666592937</v>
      </c>
      <c r="L138" s="19">
        <f t="shared" si="7"/>
        <v>95</v>
      </c>
      <c r="M138" s="18" t="str">
        <f>IF(I138&lt;&gt;"Sí","",IF(YEAR(F138)&lt;&gt;2026,"",INDEX({"Enero","Febrero","Marzo","Abril","Mayo","Junio","Julio","Agosto","Septiembre","Octubre","Noviembre","Diciembre"},MONTH(F138))))</f>
        <v/>
      </c>
      <c r="N138" s="18" t="str">
        <f t="shared" si="8"/>
        <v/>
      </c>
    </row>
    <row r="139" spans="1:14" ht="14.5" x14ac:dyDescent="0.25">
      <c r="A139" s="19">
        <v>26</v>
      </c>
      <c r="B139" s="18" t="s">
        <v>504</v>
      </c>
      <c r="C139" s="18" t="s">
        <v>97</v>
      </c>
      <c r="D139" s="18" t="s">
        <v>549</v>
      </c>
      <c r="E139" s="18" t="s">
        <v>650</v>
      </c>
      <c r="F139" s="101">
        <v>46009.888888888891</v>
      </c>
      <c r="G139" s="101">
        <v>46010.722222222219</v>
      </c>
      <c r="H139" s="18" t="s">
        <v>507</v>
      </c>
      <c r="I139" s="18" t="s">
        <v>508</v>
      </c>
      <c r="J139" s="18"/>
      <c r="K139" s="21">
        <f t="shared" si="6"/>
        <v>19.999999999883585</v>
      </c>
      <c r="L139" s="19">
        <f t="shared" si="7"/>
        <v>95</v>
      </c>
      <c r="M139" s="18" t="str">
        <f>IF(I139&lt;&gt;"Sí","",IF(YEAR(F139)&lt;&gt;2026,"",INDEX({"Enero","Febrero","Marzo","Abril","Mayo","Junio","Julio","Agosto","Septiembre","Octubre","Noviembre","Diciembre"},MONTH(F139))))</f>
        <v/>
      </c>
      <c r="N139" s="18" t="str">
        <f t="shared" si="8"/>
        <v/>
      </c>
    </row>
    <row r="140" spans="1:14" ht="14.5" x14ac:dyDescent="0.25">
      <c r="A140" s="19">
        <v>26</v>
      </c>
      <c r="B140" s="18" t="s">
        <v>504</v>
      </c>
      <c r="C140" s="18" t="s">
        <v>97</v>
      </c>
      <c r="D140" s="18" t="s">
        <v>549</v>
      </c>
      <c r="E140" s="18" t="s">
        <v>651</v>
      </c>
      <c r="F140" s="101">
        <v>46009.9375</v>
      </c>
      <c r="G140" s="101">
        <v>46010.730555555558</v>
      </c>
      <c r="H140" s="18" t="s">
        <v>507</v>
      </c>
      <c r="I140" s="18" t="s">
        <v>508</v>
      </c>
      <c r="J140" s="18"/>
      <c r="K140" s="21">
        <f t="shared" si="6"/>
        <v>19.03333333338378</v>
      </c>
      <c r="L140" s="19">
        <f t="shared" si="7"/>
        <v>96</v>
      </c>
      <c r="M140" s="18" t="str">
        <f>IF(I140&lt;&gt;"Sí","",IF(YEAR(F140)&lt;&gt;2026,"",INDEX({"Enero","Febrero","Marzo","Abril","Mayo","Junio","Julio","Agosto","Septiembre","Octubre","Noviembre","Diciembre"},MONTH(F140))))</f>
        <v/>
      </c>
      <c r="N140" s="18" t="str">
        <f t="shared" si="8"/>
        <v/>
      </c>
    </row>
    <row r="141" spans="1:14" ht="14.5" x14ac:dyDescent="0.25">
      <c r="A141" s="19">
        <v>26</v>
      </c>
      <c r="B141" s="18" t="s">
        <v>504</v>
      </c>
      <c r="C141" s="18" t="s">
        <v>97</v>
      </c>
      <c r="D141" s="18" t="s">
        <v>549</v>
      </c>
      <c r="E141" s="18" t="s">
        <v>652</v>
      </c>
      <c r="F141" s="101">
        <v>46010.557638888888</v>
      </c>
      <c r="G141" s="101">
        <v>46020.798611111109</v>
      </c>
      <c r="H141" s="18" t="s">
        <v>507</v>
      </c>
      <c r="I141" s="18" t="s">
        <v>508</v>
      </c>
      <c r="J141" s="18"/>
      <c r="K141" s="21">
        <f t="shared" si="6"/>
        <v>245.78333333332557</v>
      </c>
      <c r="L141" s="19">
        <f t="shared" si="7"/>
        <v>95</v>
      </c>
      <c r="M141" s="18" t="str">
        <f>IF(I141&lt;&gt;"Sí","",IF(YEAR(F141)&lt;&gt;2026,"",INDEX({"Enero","Febrero","Marzo","Abril","Mayo","Junio","Julio","Agosto","Septiembre","Octubre","Noviembre","Diciembre"},MONTH(F141))))</f>
        <v/>
      </c>
      <c r="N141" s="18" t="str">
        <f t="shared" si="8"/>
        <v/>
      </c>
    </row>
    <row r="142" spans="1:14" ht="14.5" x14ac:dyDescent="0.25">
      <c r="A142" s="19">
        <v>26</v>
      </c>
      <c r="B142" s="18" t="s">
        <v>504</v>
      </c>
      <c r="C142" s="18" t="s">
        <v>126</v>
      </c>
      <c r="D142" s="18" t="s">
        <v>653</v>
      </c>
      <c r="E142" s="18" t="s">
        <v>654</v>
      </c>
      <c r="F142" s="101">
        <v>46010.557638888888</v>
      </c>
      <c r="G142" s="101">
        <v>46020.798611111109</v>
      </c>
      <c r="H142" s="18" t="s">
        <v>507</v>
      </c>
      <c r="I142" s="18" t="s">
        <v>508</v>
      </c>
      <c r="J142" s="18"/>
      <c r="K142" s="21">
        <f t="shared" si="6"/>
        <v>245.78333333332557</v>
      </c>
      <c r="L142" s="19">
        <f t="shared" si="7"/>
        <v>95</v>
      </c>
      <c r="M142" s="18" t="str">
        <f>IF(I142&lt;&gt;"Sí","",IF(YEAR(F142)&lt;&gt;2026,"",INDEX({"Enero","Febrero","Marzo","Abril","Mayo","Junio","Julio","Agosto","Septiembre","Octubre","Noviembre","Diciembre"},MONTH(F142))))</f>
        <v/>
      </c>
      <c r="N142" s="18" t="str">
        <f t="shared" si="8"/>
        <v/>
      </c>
    </row>
    <row r="143" spans="1:14" ht="14.5" x14ac:dyDescent="0.25">
      <c r="A143" s="19">
        <v>26</v>
      </c>
      <c r="B143" s="18" t="s">
        <v>504</v>
      </c>
      <c r="C143" s="18" t="s">
        <v>97</v>
      </c>
      <c r="D143" s="18" t="s">
        <v>549</v>
      </c>
      <c r="E143" s="18" t="s">
        <v>655</v>
      </c>
      <c r="F143" s="101"/>
      <c r="G143" s="101">
        <v>46010.622916666667</v>
      </c>
      <c r="H143" s="18" t="s">
        <v>554</v>
      </c>
      <c r="I143" s="18" t="s">
        <v>555</v>
      </c>
      <c r="J143" s="18" t="s">
        <v>556</v>
      </c>
      <c r="K143" s="21" t="str">
        <f t="shared" si="6"/>
        <v/>
      </c>
      <c r="L143" s="19" t="str">
        <f t="shared" si="7"/>
        <v/>
      </c>
      <c r="M143" s="18" t="str">
        <f>IF(I143&lt;&gt;"Sí","",IF(YEAR(F143)&lt;&gt;2026,"",INDEX({"Enero","Febrero","Marzo","Abril","Mayo","Junio","Julio","Agosto","Septiembre","Octubre","Noviembre","Diciembre"},MONTH(F143))))</f>
        <v/>
      </c>
      <c r="N143" s="18" t="str">
        <f t="shared" si="8"/>
        <v/>
      </c>
    </row>
    <row r="144" spans="1:14" ht="14.5" x14ac:dyDescent="0.25">
      <c r="A144" s="19">
        <v>26</v>
      </c>
      <c r="B144" s="18" t="s">
        <v>504</v>
      </c>
      <c r="C144" s="18" t="s">
        <v>97</v>
      </c>
      <c r="D144" s="18" t="s">
        <v>549</v>
      </c>
      <c r="E144" s="18" t="s">
        <v>656</v>
      </c>
      <c r="F144" s="101"/>
      <c r="G144" s="101">
        <v>46010.622916666667</v>
      </c>
      <c r="H144" s="18" t="s">
        <v>554</v>
      </c>
      <c r="I144" s="18" t="s">
        <v>555</v>
      </c>
      <c r="J144" s="18" t="s">
        <v>556</v>
      </c>
      <c r="K144" s="21" t="str">
        <f t="shared" si="6"/>
        <v/>
      </c>
      <c r="L144" s="19" t="str">
        <f t="shared" si="7"/>
        <v/>
      </c>
      <c r="M144" s="18" t="str">
        <f>IF(I144&lt;&gt;"Sí","",IF(YEAR(F144)&lt;&gt;2026,"",INDEX({"Enero","Febrero","Marzo","Abril","Mayo","Junio","Julio","Agosto","Septiembre","Octubre","Noviembre","Diciembre"},MONTH(F144))))</f>
        <v/>
      </c>
      <c r="N144" s="18" t="str">
        <f t="shared" si="8"/>
        <v/>
      </c>
    </row>
    <row r="145" spans="1:14" ht="14.5" x14ac:dyDescent="0.25">
      <c r="A145" s="19">
        <v>26</v>
      </c>
      <c r="B145" s="18" t="s">
        <v>504</v>
      </c>
      <c r="C145" s="18" t="s">
        <v>97</v>
      </c>
      <c r="D145" s="18" t="s">
        <v>549</v>
      </c>
      <c r="E145" s="18" t="s">
        <v>657</v>
      </c>
      <c r="F145" s="101">
        <v>46010.715277777781</v>
      </c>
      <c r="G145" s="101">
        <v>46020.809027777781</v>
      </c>
      <c r="H145" s="18" t="s">
        <v>507</v>
      </c>
      <c r="I145" s="18" t="s">
        <v>508</v>
      </c>
      <c r="J145" s="18"/>
      <c r="K145" s="21">
        <f t="shared" si="6"/>
        <v>242.25</v>
      </c>
      <c r="L145" s="19">
        <f t="shared" si="7"/>
        <v>55</v>
      </c>
      <c r="M145" s="18" t="str">
        <f>IF(I145&lt;&gt;"Sí","",IF(YEAR(F145)&lt;&gt;2026,"",INDEX({"Enero","Febrero","Marzo","Abril","Mayo","Junio","Julio","Agosto","Septiembre","Octubre","Noviembre","Diciembre"},MONTH(F145))))</f>
        <v/>
      </c>
      <c r="N145" s="18" t="str">
        <f t="shared" si="8"/>
        <v/>
      </c>
    </row>
    <row r="146" spans="1:14" ht="14.5" x14ac:dyDescent="0.25">
      <c r="A146" s="19">
        <v>26</v>
      </c>
      <c r="B146" s="18" t="s">
        <v>504</v>
      </c>
      <c r="C146" s="18" t="s">
        <v>97</v>
      </c>
      <c r="D146" s="18" t="s">
        <v>549</v>
      </c>
      <c r="E146" s="18" t="s">
        <v>658</v>
      </c>
      <c r="F146" s="101">
        <v>46010.715277777781</v>
      </c>
      <c r="G146" s="101">
        <v>46020.070833333331</v>
      </c>
      <c r="H146" s="18" t="s">
        <v>507</v>
      </c>
      <c r="I146" s="18" t="s">
        <v>508</v>
      </c>
      <c r="J146" s="18"/>
      <c r="K146" s="21">
        <f t="shared" si="6"/>
        <v>224.53333333320916</v>
      </c>
      <c r="L146" s="19">
        <f t="shared" si="7"/>
        <v>55</v>
      </c>
      <c r="M146" s="18" t="str">
        <f>IF(I146&lt;&gt;"Sí","",IF(YEAR(F146)&lt;&gt;2026,"",INDEX({"Enero","Febrero","Marzo","Abril","Mayo","Junio","Julio","Agosto","Septiembre","Octubre","Noviembre","Diciembre"},MONTH(F146))))</f>
        <v/>
      </c>
      <c r="N146" s="18" t="str">
        <f t="shared" si="8"/>
        <v/>
      </c>
    </row>
    <row r="147" spans="1:14" ht="14.5" x14ac:dyDescent="0.25">
      <c r="A147" s="19">
        <v>26</v>
      </c>
      <c r="B147" s="18" t="s">
        <v>504</v>
      </c>
      <c r="C147" s="18" t="s">
        <v>97</v>
      </c>
      <c r="D147" s="18" t="s">
        <v>549</v>
      </c>
      <c r="E147" s="18" t="s">
        <v>659</v>
      </c>
      <c r="F147" s="101">
        <v>46010.715277777781</v>
      </c>
      <c r="G147" s="101">
        <v>46020.069444444445</v>
      </c>
      <c r="H147" s="18" t="s">
        <v>507</v>
      </c>
      <c r="I147" s="18" t="s">
        <v>508</v>
      </c>
      <c r="J147" s="18"/>
      <c r="K147" s="21">
        <f t="shared" si="6"/>
        <v>224.49999999994179</v>
      </c>
      <c r="L147" s="19">
        <f t="shared" si="7"/>
        <v>55</v>
      </c>
      <c r="M147" s="18" t="str">
        <f>IF(I147&lt;&gt;"Sí","",IF(YEAR(F147)&lt;&gt;2026,"",INDEX({"Enero","Febrero","Marzo","Abril","Mayo","Junio","Julio","Agosto","Septiembre","Octubre","Noviembre","Diciembre"},MONTH(F147))))</f>
        <v/>
      </c>
      <c r="N147" s="18" t="str">
        <f t="shared" si="8"/>
        <v/>
      </c>
    </row>
    <row r="148" spans="1:14" ht="14.5" x14ac:dyDescent="0.25">
      <c r="A148" s="19">
        <v>26</v>
      </c>
      <c r="B148" s="18" t="s">
        <v>504</v>
      </c>
      <c r="C148" s="18" t="s">
        <v>97</v>
      </c>
      <c r="D148" s="18" t="s">
        <v>549</v>
      </c>
      <c r="E148" s="18" t="s">
        <v>660</v>
      </c>
      <c r="F148" s="101">
        <v>46010.715277777781</v>
      </c>
      <c r="G148" s="101">
        <v>46020.802777777775</v>
      </c>
      <c r="H148" s="18" t="s">
        <v>507</v>
      </c>
      <c r="I148" s="18" t="s">
        <v>508</v>
      </c>
      <c r="J148" s="18"/>
      <c r="K148" s="21">
        <f t="shared" si="6"/>
        <v>242.0999999998603</v>
      </c>
      <c r="L148" s="19">
        <f t="shared" si="7"/>
        <v>55</v>
      </c>
      <c r="M148" s="18" t="str">
        <f>IF(I148&lt;&gt;"Sí","",IF(YEAR(F148)&lt;&gt;2026,"",INDEX({"Enero","Febrero","Marzo","Abril","Mayo","Junio","Julio","Agosto","Septiembre","Octubre","Noviembre","Diciembre"},MONTH(F148))))</f>
        <v/>
      </c>
      <c r="N148" s="18" t="str">
        <f t="shared" si="8"/>
        <v/>
      </c>
    </row>
    <row r="149" spans="1:14" ht="14.5" x14ac:dyDescent="0.25">
      <c r="A149" s="19">
        <v>26</v>
      </c>
      <c r="B149" s="18" t="s">
        <v>504</v>
      </c>
      <c r="C149" s="18" t="s">
        <v>97</v>
      </c>
      <c r="D149" s="18" t="s">
        <v>549</v>
      </c>
      <c r="E149" s="18" t="s">
        <v>661</v>
      </c>
      <c r="F149" s="101">
        <v>46010.715277777781</v>
      </c>
      <c r="G149" s="101">
        <v>46020.800694444442</v>
      </c>
      <c r="H149" s="18" t="s">
        <v>507</v>
      </c>
      <c r="I149" s="18" t="s">
        <v>508</v>
      </c>
      <c r="J149" s="18"/>
      <c r="K149" s="21">
        <f t="shared" si="6"/>
        <v>242.04999999987194</v>
      </c>
      <c r="L149" s="19">
        <f t="shared" si="7"/>
        <v>55</v>
      </c>
      <c r="M149" s="18" t="str">
        <f>IF(I149&lt;&gt;"Sí","",IF(YEAR(F149)&lt;&gt;2026,"",INDEX({"Enero","Febrero","Marzo","Abril","Mayo","Junio","Julio","Agosto","Septiembre","Octubre","Noviembre","Diciembre"},MONTH(F149))))</f>
        <v/>
      </c>
      <c r="N149" s="18" t="str">
        <f t="shared" si="8"/>
        <v/>
      </c>
    </row>
    <row r="150" spans="1:14" ht="14.5" x14ac:dyDescent="0.25">
      <c r="A150" s="19">
        <v>26</v>
      </c>
      <c r="B150" s="18" t="s">
        <v>504</v>
      </c>
      <c r="C150" s="18" t="s">
        <v>97</v>
      </c>
      <c r="D150" s="18" t="s">
        <v>549</v>
      </c>
      <c r="E150" s="18" t="s">
        <v>662</v>
      </c>
      <c r="F150" s="101">
        <v>46010.715277777781</v>
      </c>
      <c r="G150" s="101">
        <v>46020.069444444445</v>
      </c>
      <c r="H150" s="18" t="s">
        <v>507</v>
      </c>
      <c r="I150" s="18" t="s">
        <v>508</v>
      </c>
      <c r="J150" s="18"/>
      <c r="K150" s="21">
        <f t="shared" si="6"/>
        <v>224.49999999994179</v>
      </c>
      <c r="L150" s="19">
        <f t="shared" si="7"/>
        <v>55</v>
      </c>
      <c r="M150" s="18" t="str">
        <f>IF(I150&lt;&gt;"Sí","",IF(YEAR(F150)&lt;&gt;2026,"",INDEX({"Enero","Febrero","Marzo","Abril","Mayo","Junio","Julio","Agosto","Septiembre","Octubre","Noviembre","Diciembre"},MONTH(F150))))</f>
        <v/>
      </c>
      <c r="N150" s="18" t="str">
        <f t="shared" si="8"/>
        <v/>
      </c>
    </row>
    <row r="151" spans="1:14" ht="14.5" x14ac:dyDescent="0.25">
      <c r="A151" s="19">
        <v>26</v>
      </c>
      <c r="B151" s="18" t="s">
        <v>504</v>
      </c>
      <c r="C151" s="18" t="s">
        <v>97</v>
      </c>
      <c r="D151" s="18" t="s">
        <v>549</v>
      </c>
      <c r="E151" s="18" t="s">
        <v>663</v>
      </c>
      <c r="F151" s="101">
        <v>46010.715277777781</v>
      </c>
      <c r="G151" s="101">
        <v>46020.069444444445</v>
      </c>
      <c r="H151" s="18" t="s">
        <v>507</v>
      </c>
      <c r="I151" s="18" t="s">
        <v>508</v>
      </c>
      <c r="J151" s="18"/>
      <c r="K151" s="21">
        <f t="shared" si="6"/>
        <v>224.49999999994179</v>
      </c>
      <c r="L151" s="19">
        <f t="shared" si="7"/>
        <v>55</v>
      </c>
      <c r="M151" s="18" t="str">
        <f>IF(I151&lt;&gt;"Sí","",IF(YEAR(F151)&lt;&gt;2026,"",INDEX({"Enero","Febrero","Marzo","Abril","Mayo","Junio","Julio","Agosto","Septiembre","Octubre","Noviembre","Diciembre"},MONTH(F151))))</f>
        <v/>
      </c>
      <c r="N151" s="18" t="str">
        <f t="shared" si="8"/>
        <v/>
      </c>
    </row>
    <row r="152" spans="1:14" ht="14.5" x14ac:dyDescent="0.25">
      <c r="A152" s="19">
        <v>26</v>
      </c>
      <c r="B152" s="18" t="s">
        <v>504</v>
      </c>
      <c r="C152" s="18" t="s">
        <v>126</v>
      </c>
      <c r="D152" s="18" t="s">
        <v>653</v>
      </c>
      <c r="E152" s="18" t="s">
        <v>664</v>
      </c>
      <c r="F152" s="101">
        <v>46010.715277777781</v>
      </c>
      <c r="G152" s="101">
        <v>46020.809027777781</v>
      </c>
      <c r="H152" s="18" t="s">
        <v>507</v>
      </c>
      <c r="I152" s="18" t="s">
        <v>508</v>
      </c>
      <c r="J152" s="18"/>
      <c r="K152" s="21">
        <f t="shared" si="6"/>
        <v>242.25</v>
      </c>
      <c r="L152" s="19">
        <f t="shared" si="7"/>
        <v>55</v>
      </c>
      <c r="M152" s="18" t="str">
        <f>IF(I152&lt;&gt;"Sí","",IF(YEAR(F152)&lt;&gt;2026,"",INDEX({"Enero","Febrero","Marzo","Abril","Mayo","Junio","Julio","Agosto","Septiembre","Octubre","Noviembre","Diciembre"},MONTH(F152))))</f>
        <v/>
      </c>
      <c r="N152" s="18" t="str">
        <f t="shared" si="8"/>
        <v/>
      </c>
    </row>
    <row r="153" spans="1:14" ht="14.5" x14ac:dyDescent="0.25">
      <c r="A153" s="19">
        <v>26</v>
      </c>
      <c r="B153" s="18" t="s">
        <v>504</v>
      </c>
      <c r="C153" s="18" t="s">
        <v>126</v>
      </c>
      <c r="D153" s="18" t="s">
        <v>653</v>
      </c>
      <c r="E153" s="18" t="s">
        <v>665</v>
      </c>
      <c r="F153" s="101">
        <v>46010.715277777781</v>
      </c>
      <c r="G153" s="101">
        <v>46020.070833333331</v>
      </c>
      <c r="H153" s="18" t="s">
        <v>507</v>
      </c>
      <c r="I153" s="18" t="s">
        <v>508</v>
      </c>
      <c r="J153" s="18"/>
      <c r="K153" s="21">
        <f t="shared" si="6"/>
        <v>224.53333333320916</v>
      </c>
      <c r="L153" s="19">
        <f t="shared" si="7"/>
        <v>55</v>
      </c>
      <c r="M153" s="18" t="str">
        <f>IF(I153&lt;&gt;"Sí","",IF(YEAR(F153)&lt;&gt;2026,"",INDEX({"Enero","Febrero","Marzo","Abril","Mayo","Junio","Julio","Agosto","Septiembre","Octubre","Noviembre","Diciembre"},MONTH(F153))))</f>
        <v/>
      </c>
      <c r="N153" s="18" t="str">
        <f t="shared" si="8"/>
        <v/>
      </c>
    </row>
    <row r="154" spans="1:14" ht="14.5" x14ac:dyDescent="0.25">
      <c r="A154" s="19">
        <v>26</v>
      </c>
      <c r="B154" s="18" t="s">
        <v>504</v>
      </c>
      <c r="C154" s="18" t="s">
        <v>126</v>
      </c>
      <c r="D154" s="18" t="s">
        <v>653</v>
      </c>
      <c r="E154" s="18" t="s">
        <v>666</v>
      </c>
      <c r="F154" s="101">
        <v>46010.715277777781</v>
      </c>
      <c r="G154" s="101">
        <v>46020.069444444445</v>
      </c>
      <c r="H154" s="18" t="s">
        <v>507</v>
      </c>
      <c r="I154" s="18" t="s">
        <v>508</v>
      </c>
      <c r="J154" s="18"/>
      <c r="K154" s="21">
        <f t="shared" si="6"/>
        <v>224.49999999994179</v>
      </c>
      <c r="L154" s="19">
        <f t="shared" si="7"/>
        <v>55</v>
      </c>
      <c r="M154" s="18" t="str">
        <f>IF(I154&lt;&gt;"Sí","",IF(YEAR(F154)&lt;&gt;2026,"",INDEX({"Enero","Febrero","Marzo","Abril","Mayo","Junio","Julio","Agosto","Septiembre","Octubre","Noviembre","Diciembre"},MONTH(F154))))</f>
        <v/>
      </c>
      <c r="N154" s="18" t="str">
        <f t="shared" si="8"/>
        <v/>
      </c>
    </row>
    <row r="155" spans="1:14" ht="14.5" x14ac:dyDescent="0.25">
      <c r="A155" s="19">
        <v>26</v>
      </c>
      <c r="B155" s="18" t="s">
        <v>504</v>
      </c>
      <c r="C155" s="18" t="s">
        <v>126</v>
      </c>
      <c r="D155" s="18" t="s">
        <v>653</v>
      </c>
      <c r="E155" s="18" t="s">
        <v>667</v>
      </c>
      <c r="F155" s="101">
        <v>46010.715277777781</v>
      </c>
      <c r="G155" s="101">
        <v>46020.802777777775</v>
      </c>
      <c r="H155" s="18" t="s">
        <v>507</v>
      </c>
      <c r="I155" s="18" t="s">
        <v>508</v>
      </c>
      <c r="J155" s="18"/>
      <c r="K155" s="21">
        <f t="shared" si="6"/>
        <v>242.0999999998603</v>
      </c>
      <c r="L155" s="19">
        <f t="shared" si="7"/>
        <v>55</v>
      </c>
      <c r="M155" s="18" t="str">
        <f>IF(I155&lt;&gt;"Sí","",IF(YEAR(F155)&lt;&gt;2026,"",INDEX({"Enero","Febrero","Marzo","Abril","Mayo","Junio","Julio","Agosto","Septiembre","Octubre","Noviembre","Diciembre"},MONTH(F155))))</f>
        <v/>
      </c>
      <c r="N155" s="18" t="str">
        <f t="shared" si="8"/>
        <v/>
      </c>
    </row>
    <row r="156" spans="1:14" ht="14.5" x14ac:dyDescent="0.25">
      <c r="A156" s="19">
        <v>26</v>
      </c>
      <c r="B156" s="18" t="s">
        <v>504</v>
      </c>
      <c r="C156" s="18" t="s">
        <v>126</v>
      </c>
      <c r="D156" s="18" t="s">
        <v>653</v>
      </c>
      <c r="E156" s="18" t="s">
        <v>668</v>
      </c>
      <c r="F156" s="101">
        <v>46010.715277777781</v>
      </c>
      <c r="G156" s="101">
        <v>46020.800694444442</v>
      </c>
      <c r="H156" s="18" t="s">
        <v>507</v>
      </c>
      <c r="I156" s="18" t="s">
        <v>508</v>
      </c>
      <c r="J156" s="18"/>
      <c r="K156" s="21">
        <f t="shared" si="6"/>
        <v>242.04999999987194</v>
      </c>
      <c r="L156" s="19">
        <f t="shared" si="7"/>
        <v>55</v>
      </c>
      <c r="M156" s="18" t="str">
        <f>IF(I156&lt;&gt;"Sí","",IF(YEAR(F156)&lt;&gt;2026,"",INDEX({"Enero","Febrero","Marzo","Abril","Mayo","Junio","Julio","Agosto","Septiembre","Octubre","Noviembre","Diciembre"},MONTH(F156))))</f>
        <v/>
      </c>
      <c r="N156" s="18" t="str">
        <f t="shared" si="8"/>
        <v/>
      </c>
    </row>
    <row r="157" spans="1:14" ht="14.5" x14ac:dyDescent="0.25">
      <c r="A157" s="19">
        <v>26</v>
      </c>
      <c r="B157" s="18" t="s">
        <v>504</v>
      </c>
      <c r="C157" s="18" t="s">
        <v>126</v>
      </c>
      <c r="D157" s="18" t="s">
        <v>653</v>
      </c>
      <c r="E157" s="18" t="s">
        <v>669</v>
      </c>
      <c r="F157" s="101">
        <v>46010.715277777781</v>
      </c>
      <c r="G157" s="101">
        <v>46020.069444444445</v>
      </c>
      <c r="H157" s="18" t="s">
        <v>507</v>
      </c>
      <c r="I157" s="18" t="s">
        <v>508</v>
      </c>
      <c r="J157" s="18"/>
      <c r="K157" s="21">
        <f t="shared" si="6"/>
        <v>224.49999999994179</v>
      </c>
      <c r="L157" s="19">
        <f t="shared" si="7"/>
        <v>55</v>
      </c>
      <c r="M157" s="18" t="str">
        <f>IF(I157&lt;&gt;"Sí","",IF(YEAR(F157)&lt;&gt;2026,"",INDEX({"Enero","Febrero","Marzo","Abril","Mayo","Junio","Julio","Agosto","Septiembre","Octubre","Noviembre","Diciembre"},MONTH(F157))))</f>
        <v/>
      </c>
      <c r="N157" s="18" t="str">
        <f t="shared" si="8"/>
        <v/>
      </c>
    </row>
    <row r="158" spans="1:14" ht="14.5" x14ac:dyDescent="0.25">
      <c r="A158" s="19">
        <v>26</v>
      </c>
      <c r="B158" s="18" t="s">
        <v>504</v>
      </c>
      <c r="C158" s="18" t="s">
        <v>126</v>
      </c>
      <c r="D158" s="18" t="s">
        <v>653</v>
      </c>
      <c r="E158" s="18" t="s">
        <v>670</v>
      </c>
      <c r="F158" s="101">
        <v>46010.715277777781</v>
      </c>
      <c r="G158" s="101">
        <v>46020.069444444445</v>
      </c>
      <c r="H158" s="18" t="s">
        <v>507</v>
      </c>
      <c r="I158" s="18" t="s">
        <v>508</v>
      </c>
      <c r="J158" s="18"/>
      <c r="K158" s="21">
        <f t="shared" si="6"/>
        <v>224.49999999994179</v>
      </c>
      <c r="L158" s="19">
        <f t="shared" si="7"/>
        <v>55</v>
      </c>
      <c r="M158" s="18" t="str">
        <f>IF(I158&lt;&gt;"Sí","",IF(YEAR(F158)&lt;&gt;2026,"",INDEX({"Enero","Febrero","Marzo","Abril","Mayo","Junio","Julio","Agosto","Septiembre","Octubre","Noviembre","Diciembre"},MONTH(F158))))</f>
        <v/>
      </c>
      <c r="N158" s="18" t="str">
        <f t="shared" si="8"/>
        <v/>
      </c>
    </row>
    <row r="159" spans="1:14" ht="14.5" x14ac:dyDescent="0.25">
      <c r="A159" s="19">
        <v>26</v>
      </c>
      <c r="B159" s="18" t="s">
        <v>504</v>
      </c>
      <c r="C159" s="18" t="s">
        <v>97</v>
      </c>
      <c r="D159" s="18" t="s">
        <v>549</v>
      </c>
      <c r="E159" s="18" t="s">
        <v>671</v>
      </c>
      <c r="F159" s="101">
        <v>46013</v>
      </c>
      <c r="G159" s="101">
        <v>46020.862500000003</v>
      </c>
      <c r="H159" s="18" t="s">
        <v>507</v>
      </c>
      <c r="I159" s="18" t="s">
        <v>508</v>
      </c>
      <c r="J159" s="18"/>
      <c r="K159" s="21">
        <f t="shared" si="6"/>
        <v>188.70000000006985</v>
      </c>
      <c r="L159" s="19">
        <f t="shared" si="7"/>
        <v>24</v>
      </c>
      <c r="M159" s="18" t="str">
        <f>IF(I159&lt;&gt;"Sí","",IF(YEAR(F159)&lt;&gt;2026,"",INDEX({"Enero","Febrero","Marzo","Abril","Mayo","Junio","Julio","Agosto","Septiembre","Octubre","Noviembre","Diciembre"},MONTH(F159))))</f>
        <v/>
      </c>
      <c r="N159" s="18" t="str">
        <f t="shared" si="8"/>
        <v/>
      </c>
    </row>
    <row r="160" spans="1:14" ht="14.5" x14ac:dyDescent="0.25">
      <c r="A160" s="19">
        <v>26</v>
      </c>
      <c r="B160" s="18" t="s">
        <v>504</v>
      </c>
      <c r="C160" s="18" t="s">
        <v>97</v>
      </c>
      <c r="D160" s="18" t="s">
        <v>549</v>
      </c>
      <c r="E160" s="18" t="s">
        <v>672</v>
      </c>
      <c r="F160" s="101">
        <v>46013</v>
      </c>
      <c r="G160" s="101">
        <v>46020.862500000003</v>
      </c>
      <c r="H160" s="18" t="s">
        <v>507</v>
      </c>
      <c r="I160" s="18" t="s">
        <v>508</v>
      </c>
      <c r="J160" s="18"/>
      <c r="K160" s="21">
        <f t="shared" si="6"/>
        <v>188.70000000006985</v>
      </c>
      <c r="L160" s="19">
        <f t="shared" si="7"/>
        <v>24</v>
      </c>
      <c r="M160" s="18" t="str">
        <f>IF(I160&lt;&gt;"Sí","",IF(YEAR(F160)&lt;&gt;2026,"",INDEX({"Enero","Febrero","Marzo","Abril","Mayo","Junio","Julio","Agosto","Septiembre","Octubre","Noviembre","Diciembre"},MONTH(F160))))</f>
        <v/>
      </c>
      <c r="N160" s="18" t="str">
        <f t="shared" si="8"/>
        <v/>
      </c>
    </row>
    <row r="161" spans="1:14" ht="14.5" x14ac:dyDescent="0.25">
      <c r="A161" s="19">
        <v>26</v>
      </c>
      <c r="B161" s="18" t="s">
        <v>504</v>
      </c>
      <c r="C161" s="18" t="s">
        <v>126</v>
      </c>
      <c r="D161" s="18" t="s">
        <v>653</v>
      </c>
      <c r="E161" s="18" t="s">
        <v>673</v>
      </c>
      <c r="F161" s="101">
        <v>46013</v>
      </c>
      <c r="G161" s="101">
        <v>46020.862500000003</v>
      </c>
      <c r="H161" s="18" t="s">
        <v>507</v>
      </c>
      <c r="I161" s="18" t="s">
        <v>508</v>
      </c>
      <c r="J161" s="18"/>
      <c r="K161" s="21">
        <f t="shared" si="6"/>
        <v>188.70000000006985</v>
      </c>
      <c r="L161" s="19">
        <f t="shared" si="7"/>
        <v>24</v>
      </c>
      <c r="M161" s="18" t="str">
        <f>IF(I161&lt;&gt;"Sí","",IF(YEAR(F161)&lt;&gt;2026,"",INDEX({"Enero","Febrero","Marzo","Abril","Mayo","Junio","Julio","Agosto","Septiembre","Octubre","Noviembre","Diciembre"},MONTH(F161))))</f>
        <v/>
      </c>
      <c r="N161" s="18" t="str">
        <f t="shared" si="8"/>
        <v/>
      </c>
    </row>
    <row r="162" spans="1:14" ht="14.5" x14ac:dyDescent="0.25">
      <c r="A162" s="19">
        <v>26</v>
      </c>
      <c r="B162" s="18" t="s">
        <v>504</v>
      </c>
      <c r="C162" s="18" t="s">
        <v>126</v>
      </c>
      <c r="D162" s="18" t="s">
        <v>653</v>
      </c>
      <c r="E162" s="18" t="s">
        <v>674</v>
      </c>
      <c r="F162" s="101">
        <v>46013</v>
      </c>
      <c r="G162" s="101">
        <v>46020.862500000003</v>
      </c>
      <c r="H162" s="18" t="s">
        <v>507</v>
      </c>
      <c r="I162" s="18" t="s">
        <v>508</v>
      </c>
      <c r="J162" s="18"/>
      <c r="K162" s="21">
        <f t="shared" si="6"/>
        <v>188.70000000006985</v>
      </c>
      <c r="L162" s="19">
        <f t="shared" si="7"/>
        <v>24</v>
      </c>
      <c r="M162" s="18" t="str">
        <f>IF(I162&lt;&gt;"Sí","",IF(YEAR(F162)&lt;&gt;2026,"",INDEX({"Enero","Febrero","Marzo","Abril","Mayo","Junio","Julio","Agosto","Septiembre","Octubre","Noviembre","Diciembre"},MONTH(F162))))</f>
        <v/>
      </c>
      <c r="N162" s="18" t="str">
        <f t="shared" si="8"/>
        <v/>
      </c>
    </row>
    <row r="163" spans="1:14" ht="14.5" x14ac:dyDescent="0.25">
      <c r="A163" s="19">
        <v>26</v>
      </c>
      <c r="B163" s="18" t="s">
        <v>504</v>
      </c>
      <c r="C163" s="18" t="s">
        <v>97</v>
      </c>
      <c r="D163" s="18" t="s">
        <v>549</v>
      </c>
      <c r="E163" s="18" t="s">
        <v>675</v>
      </c>
      <c r="F163" s="101">
        <v>46013.515972222223</v>
      </c>
      <c r="G163" s="101">
        <v>46020.079861111109</v>
      </c>
      <c r="H163" s="18" t="s">
        <v>507</v>
      </c>
      <c r="I163" s="18" t="s">
        <v>508</v>
      </c>
      <c r="J163" s="18"/>
      <c r="K163" s="21">
        <f t="shared" si="6"/>
        <v>157.53333333326736</v>
      </c>
      <c r="L163" s="19">
        <f t="shared" si="7"/>
        <v>22</v>
      </c>
      <c r="M163" s="18" t="str">
        <f>IF(I163&lt;&gt;"Sí","",IF(YEAR(F163)&lt;&gt;2026,"",INDEX({"Enero","Febrero","Marzo","Abril","Mayo","Junio","Julio","Agosto","Septiembre","Octubre","Noviembre","Diciembre"},MONTH(F163))))</f>
        <v/>
      </c>
      <c r="N163" s="18" t="str">
        <f t="shared" si="8"/>
        <v/>
      </c>
    </row>
    <row r="164" spans="1:14" ht="14.5" x14ac:dyDescent="0.25">
      <c r="A164" s="19">
        <v>26</v>
      </c>
      <c r="B164" s="18" t="s">
        <v>504</v>
      </c>
      <c r="C164" s="18" t="s">
        <v>126</v>
      </c>
      <c r="D164" s="18" t="s">
        <v>653</v>
      </c>
      <c r="E164" s="18" t="s">
        <v>676</v>
      </c>
      <c r="F164" s="101">
        <v>46013.515972222223</v>
      </c>
      <c r="G164" s="101">
        <v>46020.079861111109</v>
      </c>
      <c r="H164" s="18" t="s">
        <v>507</v>
      </c>
      <c r="I164" s="18" t="s">
        <v>508</v>
      </c>
      <c r="J164" s="18"/>
      <c r="K164" s="21">
        <f t="shared" si="6"/>
        <v>157.53333333326736</v>
      </c>
      <c r="L164" s="19">
        <f t="shared" si="7"/>
        <v>22</v>
      </c>
      <c r="M164" s="18" t="str">
        <f>IF(I164&lt;&gt;"Sí","",IF(YEAR(F164)&lt;&gt;2026,"",INDEX({"Enero","Febrero","Marzo","Abril","Mayo","Junio","Julio","Agosto","Septiembre","Octubre","Noviembre","Diciembre"},MONTH(F164))))</f>
        <v/>
      </c>
      <c r="N164" s="18" t="str">
        <f t="shared" si="8"/>
        <v/>
      </c>
    </row>
    <row r="165" spans="1:14" ht="14.5" x14ac:dyDescent="0.25">
      <c r="A165" s="19">
        <v>26</v>
      </c>
      <c r="B165" s="18" t="s">
        <v>504</v>
      </c>
      <c r="C165" s="18" t="s">
        <v>97</v>
      </c>
      <c r="D165" s="18" t="s">
        <v>549</v>
      </c>
      <c r="E165" s="18" t="s">
        <v>677</v>
      </c>
      <c r="F165" s="101">
        <v>46013.638888888891</v>
      </c>
      <c r="G165" s="101">
        <v>46017.162499999999</v>
      </c>
      <c r="H165" s="18" t="s">
        <v>507</v>
      </c>
      <c r="I165" s="18" t="s">
        <v>508</v>
      </c>
      <c r="J165" s="18"/>
      <c r="K165" s="21">
        <f t="shared" si="6"/>
        <v>84.566666666592937</v>
      </c>
      <c r="L165" s="19">
        <f t="shared" si="7"/>
        <v>32</v>
      </c>
      <c r="M165" s="18" t="str">
        <f>IF(I165&lt;&gt;"Sí","",IF(YEAR(F165)&lt;&gt;2026,"",INDEX({"Enero","Febrero","Marzo","Abril","Mayo","Junio","Julio","Agosto","Septiembre","Octubre","Noviembre","Diciembre"},MONTH(F165))))</f>
        <v/>
      </c>
      <c r="N165" s="18" t="str">
        <f t="shared" si="8"/>
        <v/>
      </c>
    </row>
    <row r="166" spans="1:14" ht="14.5" x14ac:dyDescent="0.25">
      <c r="A166" s="19">
        <v>26</v>
      </c>
      <c r="B166" s="18" t="s">
        <v>504</v>
      </c>
      <c r="C166" s="18" t="s">
        <v>97</v>
      </c>
      <c r="D166" s="18" t="s">
        <v>549</v>
      </c>
      <c r="E166" s="18" t="s">
        <v>678</v>
      </c>
      <c r="F166" s="101">
        <v>46013.638888888891</v>
      </c>
      <c r="G166" s="101">
        <v>46020.862500000003</v>
      </c>
      <c r="H166" s="18" t="s">
        <v>507</v>
      </c>
      <c r="I166" s="18" t="s">
        <v>508</v>
      </c>
      <c r="J166" s="18"/>
      <c r="K166" s="21">
        <f t="shared" si="6"/>
        <v>173.36666666669771</v>
      </c>
      <c r="L166" s="19">
        <f t="shared" si="7"/>
        <v>32</v>
      </c>
      <c r="M166" s="18" t="str">
        <f>IF(I166&lt;&gt;"Sí","",IF(YEAR(F166)&lt;&gt;2026,"",INDEX({"Enero","Febrero","Marzo","Abril","Mayo","Junio","Julio","Agosto","Septiembre","Octubre","Noviembre","Diciembre"},MONTH(F166))))</f>
        <v/>
      </c>
      <c r="N166" s="18" t="str">
        <f t="shared" si="8"/>
        <v/>
      </c>
    </row>
    <row r="167" spans="1:14" ht="14.5" x14ac:dyDescent="0.25">
      <c r="A167" s="19">
        <v>26</v>
      </c>
      <c r="B167" s="18" t="s">
        <v>504</v>
      </c>
      <c r="C167" s="18" t="s">
        <v>97</v>
      </c>
      <c r="D167" s="18" t="s">
        <v>549</v>
      </c>
      <c r="E167" s="18" t="s">
        <v>679</v>
      </c>
      <c r="F167" s="101">
        <v>46013.638888888891</v>
      </c>
      <c r="G167" s="101">
        <v>46020.076388888891</v>
      </c>
      <c r="H167" s="18" t="s">
        <v>507</v>
      </c>
      <c r="I167" s="18" t="s">
        <v>508</v>
      </c>
      <c r="J167" s="18"/>
      <c r="K167" s="21">
        <f t="shared" si="6"/>
        <v>154.5</v>
      </c>
      <c r="L167" s="19">
        <f t="shared" si="7"/>
        <v>32</v>
      </c>
      <c r="M167" s="18" t="str">
        <f>IF(I167&lt;&gt;"Sí","",IF(YEAR(F167)&lt;&gt;2026,"",INDEX({"Enero","Febrero","Marzo","Abril","Mayo","Junio","Julio","Agosto","Septiembre","Octubre","Noviembre","Diciembre"},MONTH(F167))))</f>
        <v/>
      </c>
      <c r="N167" s="18" t="str">
        <f t="shared" si="8"/>
        <v/>
      </c>
    </row>
    <row r="168" spans="1:14" ht="14.5" x14ac:dyDescent="0.25">
      <c r="A168" s="19">
        <v>26</v>
      </c>
      <c r="B168" s="18" t="s">
        <v>504</v>
      </c>
      <c r="C168" s="18" t="s">
        <v>97</v>
      </c>
      <c r="D168" s="18" t="s">
        <v>549</v>
      </c>
      <c r="E168" s="18" t="s">
        <v>680</v>
      </c>
      <c r="F168" s="101">
        <v>46013.638888888891</v>
      </c>
      <c r="G168" s="101">
        <v>46020.067361111112</v>
      </c>
      <c r="H168" s="18" t="s">
        <v>507</v>
      </c>
      <c r="I168" s="18" t="s">
        <v>508</v>
      </c>
      <c r="J168" s="18"/>
      <c r="K168" s="21">
        <f t="shared" si="6"/>
        <v>154.28333333332557</v>
      </c>
      <c r="L168" s="19">
        <f t="shared" si="7"/>
        <v>32</v>
      </c>
      <c r="M168" s="18" t="str">
        <f>IF(I168&lt;&gt;"Sí","",IF(YEAR(F168)&lt;&gt;2026,"",INDEX({"Enero","Febrero","Marzo","Abril","Mayo","Junio","Julio","Agosto","Septiembre","Octubre","Noviembre","Diciembre"},MONTH(F168))))</f>
        <v/>
      </c>
      <c r="N168" s="18" t="str">
        <f t="shared" si="8"/>
        <v/>
      </c>
    </row>
    <row r="169" spans="1:14" ht="14.5" x14ac:dyDescent="0.25">
      <c r="A169" s="19">
        <v>26</v>
      </c>
      <c r="B169" s="18" t="s">
        <v>504</v>
      </c>
      <c r="C169" s="18" t="s">
        <v>97</v>
      </c>
      <c r="D169" s="18" t="s">
        <v>549</v>
      </c>
      <c r="E169" s="18" t="s">
        <v>681</v>
      </c>
      <c r="F169" s="101">
        <v>46013.638888888891</v>
      </c>
      <c r="G169" s="101">
        <v>46020.069444444445</v>
      </c>
      <c r="H169" s="18" t="s">
        <v>507</v>
      </c>
      <c r="I169" s="18" t="s">
        <v>508</v>
      </c>
      <c r="J169" s="18"/>
      <c r="K169" s="21">
        <f t="shared" si="6"/>
        <v>154.33333333331393</v>
      </c>
      <c r="L169" s="19">
        <f t="shared" si="7"/>
        <v>32</v>
      </c>
      <c r="M169" s="18" t="str">
        <f>IF(I169&lt;&gt;"Sí","",IF(YEAR(F169)&lt;&gt;2026,"",INDEX({"Enero","Febrero","Marzo","Abril","Mayo","Junio","Julio","Agosto","Septiembre","Octubre","Noviembre","Diciembre"},MONTH(F169))))</f>
        <v/>
      </c>
      <c r="N169" s="18" t="str">
        <f t="shared" si="8"/>
        <v/>
      </c>
    </row>
    <row r="170" spans="1:14" ht="14.5" x14ac:dyDescent="0.25">
      <c r="A170" s="19">
        <v>26</v>
      </c>
      <c r="B170" s="18" t="s">
        <v>504</v>
      </c>
      <c r="C170" s="18" t="s">
        <v>106</v>
      </c>
      <c r="D170" s="18" t="s">
        <v>682</v>
      </c>
      <c r="E170" s="18" t="s">
        <v>683</v>
      </c>
      <c r="F170" s="101">
        <v>46013.638888888891</v>
      </c>
      <c r="G170" s="101">
        <v>46017.162499999999</v>
      </c>
      <c r="H170" s="18" t="s">
        <v>507</v>
      </c>
      <c r="I170" s="18" t="s">
        <v>508</v>
      </c>
      <c r="J170" s="18"/>
      <c r="K170" s="21">
        <f t="shared" si="6"/>
        <v>84.566666666592937</v>
      </c>
      <c r="L170" s="19">
        <f t="shared" si="7"/>
        <v>32</v>
      </c>
      <c r="M170" s="18" t="str">
        <f>IF(I170&lt;&gt;"Sí","",IF(YEAR(F170)&lt;&gt;2026,"",INDEX({"Enero","Febrero","Marzo","Abril","Mayo","Junio","Julio","Agosto","Septiembre","Octubre","Noviembre","Diciembre"},MONTH(F170))))</f>
        <v/>
      </c>
      <c r="N170" s="18" t="str">
        <f t="shared" si="8"/>
        <v/>
      </c>
    </row>
    <row r="171" spans="1:14" ht="14.5" x14ac:dyDescent="0.25">
      <c r="A171" s="19">
        <v>26</v>
      </c>
      <c r="B171" s="18" t="s">
        <v>504</v>
      </c>
      <c r="C171" s="18" t="s">
        <v>126</v>
      </c>
      <c r="D171" s="18" t="s">
        <v>653</v>
      </c>
      <c r="E171" s="18" t="s">
        <v>684</v>
      </c>
      <c r="F171" s="101">
        <v>46013.638888888891</v>
      </c>
      <c r="G171" s="101">
        <v>46020.862500000003</v>
      </c>
      <c r="H171" s="18" t="s">
        <v>507</v>
      </c>
      <c r="I171" s="18" t="s">
        <v>508</v>
      </c>
      <c r="J171" s="18"/>
      <c r="K171" s="21">
        <f t="shared" si="6"/>
        <v>173.36666666669771</v>
      </c>
      <c r="L171" s="19">
        <f t="shared" si="7"/>
        <v>32</v>
      </c>
      <c r="M171" s="18" t="str">
        <f>IF(I171&lt;&gt;"Sí","",IF(YEAR(F171)&lt;&gt;2026,"",INDEX({"Enero","Febrero","Marzo","Abril","Mayo","Junio","Julio","Agosto","Septiembre","Octubre","Noviembre","Diciembre"},MONTH(F171))))</f>
        <v/>
      </c>
      <c r="N171" s="18" t="str">
        <f t="shared" si="8"/>
        <v/>
      </c>
    </row>
    <row r="172" spans="1:14" ht="14.5" x14ac:dyDescent="0.25">
      <c r="A172" s="19">
        <v>26</v>
      </c>
      <c r="B172" s="18" t="s">
        <v>504</v>
      </c>
      <c r="C172" s="18" t="s">
        <v>126</v>
      </c>
      <c r="D172" s="18" t="s">
        <v>653</v>
      </c>
      <c r="E172" s="18" t="s">
        <v>685</v>
      </c>
      <c r="F172" s="101">
        <v>46013.638888888891</v>
      </c>
      <c r="G172" s="101">
        <v>46020.076388888891</v>
      </c>
      <c r="H172" s="18" t="s">
        <v>507</v>
      </c>
      <c r="I172" s="18" t="s">
        <v>508</v>
      </c>
      <c r="J172" s="18"/>
      <c r="K172" s="21">
        <f t="shared" si="6"/>
        <v>154.5</v>
      </c>
      <c r="L172" s="19">
        <f t="shared" si="7"/>
        <v>32</v>
      </c>
      <c r="M172" s="18" t="str">
        <f>IF(I172&lt;&gt;"Sí","",IF(YEAR(F172)&lt;&gt;2026,"",INDEX({"Enero","Febrero","Marzo","Abril","Mayo","Junio","Julio","Agosto","Septiembre","Octubre","Noviembre","Diciembre"},MONTH(F172))))</f>
        <v/>
      </c>
      <c r="N172" s="18" t="str">
        <f t="shared" si="8"/>
        <v/>
      </c>
    </row>
    <row r="173" spans="1:14" ht="14.5" x14ac:dyDescent="0.25">
      <c r="A173" s="19">
        <v>26</v>
      </c>
      <c r="B173" s="18" t="s">
        <v>504</v>
      </c>
      <c r="C173" s="18" t="s">
        <v>126</v>
      </c>
      <c r="D173" s="18" t="s">
        <v>653</v>
      </c>
      <c r="E173" s="18" t="s">
        <v>686</v>
      </c>
      <c r="F173" s="101">
        <v>46013.638888888891</v>
      </c>
      <c r="G173" s="101">
        <v>46020.067361111112</v>
      </c>
      <c r="H173" s="18" t="s">
        <v>507</v>
      </c>
      <c r="I173" s="18" t="s">
        <v>508</v>
      </c>
      <c r="J173" s="18"/>
      <c r="K173" s="21">
        <f t="shared" si="6"/>
        <v>154.28333333332557</v>
      </c>
      <c r="L173" s="19">
        <f t="shared" si="7"/>
        <v>32</v>
      </c>
      <c r="M173" s="18" t="str">
        <f>IF(I173&lt;&gt;"Sí","",IF(YEAR(F173)&lt;&gt;2026,"",INDEX({"Enero","Febrero","Marzo","Abril","Mayo","Junio","Julio","Agosto","Septiembre","Octubre","Noviembre","Diciembre"},MONTH(F173))))</f>
        <v/>
      </c>
      <c r="N173" s="18" t="str">
        <f t="shared" si="8"/>
        <v/>
      </c>
    </row>
    <row r="174" spans="1:14" ht="14.5" x14ac:dyDescent="0.25">
      <c r="A174" s="19">
        <v>26</v>
      </c>
      <c r="B174" s="18" t="s">
        <v>504</v>
      </c>
      <c r="C174" s="18" t="s">
        <v>126</v>
      </c>
      <c r="D174" s="18" t="s">
        <v>653</v>
      </c>
      <c r="E174" s="18" t="s">
        <v>687</v>
      </c>
      <c r="F174" s="101">
        <v>46013.638888888891</v>
      </c>
      <c r="G174" s="101">
        <v>46020.069444444445</v>
      </c>
      <c r="H174" s="18" t="s">
        <v>507</v>
      </c>
      <c r="I174" s="18" t="s">
        <v>508</v>
      </c>
      <c r="J174" s="18"/>
      <c r="K174" s="21">
        <f t="shared" si="6"/>
        <v>154.33333333331393</v>
      </c>
      <c r="L174" s="19">
        <f t="shared" si="7"/>
        <v>32</v>
      </c>
      <c r="M174" s="18" t="str">
        <f>IF(I174&lt;&gt;"Sí","",IF(YEAR(F174)&lt;&gt;2026,"",INDEX({"Enero","Febrero","Marzo","Abril","Mayo","Junio","Julio","Agosto","Septiembre","Octubre","Noviembre","Diciembre"},MONTH(F174))))</f>
        <v/>
      </c>
      <c r="N174" s="18" t="str">
        <f t="shared" si="8"/>
        <v/>
      </c>
    </row>
    <row r="175" spans="1:14" ht="14.5" x14ac:dyDescent="0.25">
      <c r="A175" s="19">
        <v>26</v>
      </c>
      <c r="B175" s="18" t="s">
        <v>504</v>
      </c>
      <c r="C175" s="18" t="s">
        <v>97</v>
      </c>
      <c r="D175" s="18" t="s">
        <v>549</v>
      </c>
      <c r="E175" s="18" t="s">
        <v>688</v>
      </c>
      <c r="F175" s="101">
        <v>46014.541666666664</v>
      </c>
      <c r="G175" s="101">
        <v>46020.081944444442</v>
      </c>
      <c r="H175" s="18" t="s">
        <v>507</v>
      </c>
      <c r="I175" s="18" t="s">
        <v>508</v>
      </c>
      <c r="J175" s="18"/>
      <c r="K175" s="21">
        <f t="shared" si="6"/>
        <v>132.96666666667443</v>
      </c>
      <c r="L175" s="19">
        <f t="shared" si="7"/>
        <v>34</v>
      </c>
      <c r="M175" s="18" t="str">
        <f>IF(I175&lt;&gt;"Sí","",IF(YEAR(F175)&lt;&gt;2026,"",INDEX({"Enero","Febrero","Marzo","Abril","Mayo","Junio","Julio","Agosto","Septiembre","Octubre","Noviembre","Diciembre"},MONTH(F175))))</f>
        <v/>
      </c>
      <c r="N175" s="18" t="str">
        <f t="shared" si="8"/>
        <v/>
      </c>
    </row>
    <row r="176" spans="1:14" ht="14.5" x14ac:dyDescent="0.25">
      <c r="A176" s="19">
        <v>26</v>
      </c>
      <c r="B176" s="18" t="s">
        <v>504</v>
      </c>
      <c r="C176" s="18" t="s">
        <v>126</v>
      </c>
      <c r="D176" s="18" t="s">
        <v>653</v>
      </c>
      <c r="E176" s="18" t="s">
        <v>689</v>
      </c>
      <c r="F176" s="101">
        <v>46014.541666666664</v>
      </c>
      <c r="G176" s="101">
        <v>46020.081944444442</v>
      </c>
      <c r="H176" s="18" t="s">
        <v>507</v>
      </c>
      <c r="I176" s="18" t="s">
        <v>508</v>
      </c>
      <c r="J176" s="18"/>
      <c r="K176" s="21">
        <f t="shared" si="6"/>
        <v>132.96666666667443</v>
      </c>
      <c r="L176" s="19">
        <f t="shared" si="7"/>
        <v>34</v>
      </c>
      <c r="M176" s="18" t="str">
        <f>IF(I176&lt;&gt;"Sí","",IF(YEAR(F176)&lt;&gt;2026,"",INDEX({"Enero","Febrero","Marzo","Abril","Mayo","Junio","Julio","Agosto","Septiembre","Octubre","Noviembre","Diciembre"},MONTH(F176))))</f>
        <v/>
      </c>
      <c r="N176" s="18" t="str">
        <f t="shared" si="8"/>
        <v/>
      </c>
    </row>
    <row r="177" spans="1:14" ht="14.5" x14ac:dyDescent="0.25">
      <c r="A177" s="19">
        <v>26</v>
      </c>
      <c r="B177" s="18" t="s">
        <v>504</v>
      </c>
      <c r="C177" s="18" t="s">
        <v>97</v>
      </c>
      <c r="D177" s="18" t="s">
        <v>549</v>
      </c>
      <c r="E177" s="18" t="s">
        <v>690</v>
      </c>
      <c r="F177" s="101">
        <v>46014.623611111114</v>
      </c>
      <c r="G177" s="101">
        <v>46020.862500000003</v>
      </c>
      <c r="H177" s="18" t="s">
        <v>507</v>
      </c>
      <c r="I177" s="18" t="s">
        <v>508</v>
      </c>
      <c r="J177" s="18"/>
      <c r="K177" s="21">
        <f t="shared" si="6"/>
        <v>149.73333333333721</v>
      </c>
      <c r="L177" s="19">
        <f t="shared" si="7"/>
        <v>40</v>
      </c>
      <c r="M177" s="18" t="str">
        <f>IF(I177&lt;&gt;"Sí","",IF(YEAR(F177)&lt;&gt;2026,"",INDEX({"Enero","Febrero","Marzo","Abril","Mayo","Junio","Julio","Agosto","Septiembre","Octubre","Noviembre","Diciembre"},MONTH(F177))))</f>
        <v/>
      </c>
      <c r="N177" s="18" t="str">
        <f t="shared" si="8"/>
        <v/>
      </c>
    </row>
    <row r="178" spans="1:14" ht="14.5" x14ac:dyDescent="0.25">
      <c r="A178" s="19">
        <v>26</v>
      </c>
      <c r="B178" s="18" t="s">
        <v>504</v>
      </c>
      <c r="C178" s="18" t="s">
        <v>97</v>
      </c>
      <c r="D178" s="18" t="s">
        <v>549</v>
      </c>
      <c r="E178" s="18" t="s">
        <v>691</v>
      </c>
      <c r="F178" s="101">
        <v>46014.623611111114</v>
      </c>
      <c r="G178" s="101">
        <v>46020.804166666669</v>
      </c>
      <c r="H178" s="18" t="s">
        <v>507</v>
      </c>
      <c r="I178" s="18" t="s">
        <v>508</v>
      </c>
      <c r="J178" s="18"/>
      <c r="K178" s="21">
        <f t="shared" si="6"/>
        <v>148.33333333331393</v>
      </c>
      <c r="L178" s="19">
        <f t="shared" si="7"/>
        <v>40</v>
      </c>
      <c r="M178" s="18" t="str">
        <f>IF(I178&lt;&gt;"Sí","",IF(YEAR(F178)&lt;&gt;2026,"",INDEX({"Enero","Febrero","Marzo","Abril","Mayo","Junio","Julio","Agosto","Septiembre","Octubre","Noviembre","Diciembre"},MONTH(F178))))</f>
        <v/>
      </c>
      <c r="N178" s="18" t="str">
        <f t="shared" si="8"/>
        <v/>
      </c>
    </row>
    <row r="179" spans="1:14" ht="14.5" x14ac:dyDescent="0.25">
      <c r="A179" s="19">
        <v>26</v>
      </c>
      <c r="B179" s="18" t="s">
        <v>504</v>
      </c>
      <c r="C179" s="18" t="s">
        <v>97</v>
      </c>
      <c r="D179" s="18" t="s">
        <v>549</v>
      </c>
      <c r="E179" s="18" t="s">
        <v>692</v>
      </c>
      <c r="F179" s="101">
        <v>46014.623611111114</v>
      </c>
      <c r="G179" s="101">
        <v>46020.862500000003</v>
      </c>
      <c r="H179" s="18" t="s">
        <v>507</v>
      </c>
      <c r="I179" s="18" t="s">
        <v>508</v>
      </c>
      <c r="J179" s="18"/>
      <c r="K179" s="21">
        <f t="shared" si="6"/>
        <v>149.73333333333721</v>
      </c>
      <c r="L179" s="19">
        <f t="shared" si="7"/>
        <v>40</v>
      </c>
      <c r="M179" s="18" t="str">
        <f>IF(I179&lt;&gt;"Sí","",IF(YEAR(F179)&lt;&gt;2026,"",INDEX({"Enero","Febrero","Marzo","Abril","Mayo","Junio","Julio","Agosto","Septiembre","Octubre","Noviembre","Diciembre"},MONTH(F179))))</f>
        <v/>
      </c>
      <c r="N179" s="18" t="str">
        <f t="shared" si="8"/>
        <v/>
      </c>
    </row>
    <row r="180" spans="1:14" ht="14.5" x14ac:dyDescent="0.25">
      <c r="A180" s="19">
        <v>26</v>
      </c>
      <c r="B180" s="18" t="s">
        <v>504</v>
      </c>
      <c r="C180" s="18" t="s">
        <v>126</v>
      </c>
      <c r="D180" s="18" t="s">
        <v>653</v>
      </c>
      <c r="E180" s="18" t="s">
        <v>693</v>
      </c>
      <c r="F180" s="101">
        <v>46014.623611111114</v>
      </c>
      <c r="G180" s="101">
        <v>46020.862500000003</v>
      </c>
      <c r="H180" s="18" t="s">
        <v>507</v>
      </c>
      <c r="I180" s="18" t="s">
        <v>508</v>
      </c>
      <c r="J180" s="18"/>
      <c r="K180" s="21">
        <f t="shared" si="6"/>
        <v>149.73333333333721</v>
      </c>
      <c r="L180" s="19">
        <f t="shared" si="7"/>
        <v>40</v>
      </c>
      <c r="M180" s="18" t="str">
        <f>IF(I180&lt;&gt;"Sí","",IF(YEAR(F180)&lt;&gt;2026,"",INDEX({"Enero","Febrero","Marzo","Abril","Mayo","Junio","Julio","Agosto","Septiembre","Octubre","Noviembre","Diciembre"},MONTH(F180))))</f>
        <v/>
      </c>
      <c r="N180" s="18" t="str">
        <f t="shared" si="8"/>
        <v/>
      </c>
    </row>
    <row r="181" spans="1:14" ht="14.5" x14ac:dyDescent="0.25">
      <c r="A181" s="19">
        <v>26</v>
      </c>
      <c r="B181" s="18" t="s">
        <v>504</v>
      </c>
      <c r="C181" s="18" t="s">
        <v>126</v>
      </c>
      <c r="D181" s="18" t="s">
        <v>653</v>
      </c>
      <c r="E181" s="18" t="s">
        <v>694</v>
      </c>
      <c r="F181" s="101">
        <v>46014.623611111114</v>
      </c>
      <c r="G181" s="101">
        <v>46020.804166666669</v>
      </c>
      <c r="H181" s="18" t="s">
        <v>507</v>
      </c>
      <c r="I181" s="18" t="s">
        <v>508</v>
      </c>
      <c r="J181" s="18"/>
      <c r="K181" s="21">
        <f t="shared" si="6"/>
        <v>148.33333333331393</v>
      </c>
      <c r="L181" s="19">
        <f t="shared" si="7"/>
        <v>40</v>
      </c>
      <c r="M181" s="18" t="str">
        <f>IF(I181&lt;&gt;"Sí","",IF(YEAR(F181)&lt;&gt;2026,"",INDEX({"Enero","Febrero","Marzo","Abril","Mayo","Junio","Julio","Agosto","Septiembre","Octubre","Noviembre","Diciembre"},MONTH(F181))))</f>
        <v/>
      </c>
      <c r="N181" s="18" t="str">
        <f t="shared" si="8"/>
        <v/>
      </c>
    </row>
    <row r="182" spans="1:14" ht="14.5" x14ac:dyDescent="0.25">
      <c r="A182" s="19">
        <v>26</v>
      </c>
      <c r="B182" s="18" t="s">
        <v>504</v>
      </c>
      <c r="C182" s="18" t="s">
        <v>126</v>
      </c>
      <c r="D182" s="18" t="s">
        <v>653</v>
      </c>
      <c r="E182" s="18" t="s">
        <v>695</v>
      </c>
      <c r="F182" s="101">
        <v>46014.623611111114</v>
      </c>
      <c r="G182" s="101">
        <v>46020.862500000003</v>
      </c>
      <c r="H182" s="18" t="s">
        <v>507</v>
      </c>
      <c r="I182" s="18" t="s">
        <v>508</v>
      </c>
      <c r="J182" s="18"/>
      <c r="K182" s="21">
        <f t="shared" si="6"/>
        <v>149.73333333333721</v>
      </c>
      <c r="L182" s="19">
        <f t="shared" si="7"/>
        <v>40</v>
      </c>
      <c r="M182" s="18" t="str">
        <f>IF(I182&lt;&gt;"Sí","",IF(YEAR(F182)&lt;&gt;2026,"",INDEX({"Enero","Febrero","Marzo","Abril","Mayo","Junio","Julio","Agosto","Septiembre","Octubre","Noviembre","Diciembre"},MONTH(F182))))</f>
        <v/>
      </c>
      <c r="N182" s="18" t="str">
        <f t="shared" si="8"/>
        <v/>
      </c>
    </row>
    <row r="183" spans="1:14" ht="14.5" x14ac:dyDescent="0.25">
      <c r="A183" s="19">
        <v>26</v>
      </c>
      <c r="B183" s="18" t="s">
        <v>504</v>
      </c>
      <c r="C183" s="18" t="s">
        <v>97</v>
      </c>
      <c r="D183" s="18" t="s">
        <v>549</v>
      </c>
      <c r="E183" s="18" t="s">
        <v>696</v>
      </c>
      <c r="F183" s="101">
        <v>46014.626388888886</v>
      </c>
      <c r="G183" s="101">
        <v>46020.07916666667</v>
      </c>
      <c r="H183" s="18" t="s">
        <v>507</v>
      </c>
      <c r="I183" s="18" t="s">
        <v>508</v>
      </c>
      <c r="J183" s="18"/>
      <c r="K183" s="21">
        <f t="shared" si="6"/>
        <v>130.86666666681413</v>
      </c>
      <c r="L183" s="19">
        <f t="shared" si="7"/>
        <v>46</v>
      </c>
      <c r="M183" s="18" t="str">
        <f>IF(I183&lt;&gt;"Sí","",IF(YEAR(F183)&lt;&gt;2026,"",INDEX({"Enero","Febrero","Marzo","Abril","Mayo","Junio","Julio","Agosto","Septiembre","Octubre","Noviembre","Diciembre"},MONTH(F183))))</f>
        <v/>
      </c>
      <c r="N183" s="18" t="str">
        <f t="shared" si="8"/>
        <v/>
      </c>
    </row>
    <row r="184" spans="1:14" ht="14.5" x14ac:dyDescent="0.25">
      <c r="A184" s="19">
        <v>26</v>
      </c>
      <c r="B184" s="18" t="s">
        <v>504</v>
      </c>
      <c r="C184" s="18" t="s">
        <v>153</v>
      </c>
      <c r="D184" s="18" t="s">
        <v>560</v>
      </c>
      <c r="E184" s="18" t="s">
        <v>697</v>
      </c>
      <c r="F184" s="101">
        <v>46014.626388888886</v>
      </c>
      <c r="G184" s="101">
        <v>46020.075694444444</v>
      </c>
      <c r="H184" s="18" t="s">
        <v>507</v>
      </c>
      <c r="I184" s="18" t="s">
        <v>508</v>
      </c>
      <c r="J184" s="18"/>
      <c r="K184" s="21">
        <f t="shared" si="6"/>
        <v>130.78333333338378</v>
      </c>
      <c r="L184" s="19">
        <f t="shared" si="7"/>
        <v>46</v>
      </c>
      <c r="M184" s="18" t="str">
        <f>IF(I184&lt;&gt;"Sí","",IF(YEAR(F184)&lt;&gt;2026,"",INDEX({"Enero","Febrero","Marzo","Abril","Mayo","Junio","Julio","Agosto","Septiembre","Octubre","Noviembre","Diciembre"},MONTH(F184))))</f>
        <v/>
      </c>
      <c r="N184" s="18" t="str">
        <f t="shared" si="8"/>
        <v/>
      </c>
    </row>
    <row r="185" spans="1:14" ht="14.5" x14ac:dyDescent="0.25">
      <c r="A185" s="19">
        <v>26</v>
      </c>
      <c r="B185" s="18" t="s">
        <v>504</v>
      </c>
      <c r="C185" s="18" t="s">
        <v>153</v>
      </c>
      <c r="D185" s="18" t="s">
        <v>560</v>
      </c>
      <c r="E185" s="18" t="s">
        <v>698</v>
      </c>
      <c r="F185" s="101">
        <v>46014.626388888886</v>
      </c>
      <c r="G185" s="101">
        <v>46020.081944444442</v>
      </c>
      <c r="H185" s="18" t="s">
        <v>507</v>
      </c>
      <c r="I185" s="18" t="s">
        <v>508</v>
      </c>
      <c r="J185" s="18"/>
      <c r="K185" s="21">
        <f t="shared" si="6"/>
        <v>130.93333333334886</v>
      </c>
      <c r="L185" s="19">
        <f t="shared" si="7"/>
        <v>46</v>
      </c>
      <c r="M185" s="18" t="str">
        <f>IF(I185&lt;&gt;"Sí","",IF(YEAR(F185)&lt;&gt;2026,"",INDEX({"Enero","Febrero","Marzo","Abril","Mayo","Junio","Julio","Agosto","Septiembre","Octubre","Noviembre","Diciembre"},MONTH(F185))))</f>
        <v/>
      </c>
      <c r="N185" s="18" t="str">
        <f t="shared" si="8"/>
        <v/>
      </c>
    </row>
    <row r="186" spans="1:14" ht="14.5" x14ac:dyDescent="0.25">
      <c r="A186" s="19">
        <v>26</v>
      </c>
      <c r="B186" s="18" t="s">
        <v>504</v>
      </c>
      <c r="C186" s="18" t="s">
        <v>126</v>
      </c>
      <c r="D186" s="18" t="s">
        <v>653</v>
      </c>
      <c r="E186" s="18" t="s">
        <v>699</v>
      </c>
      <c r="F186" s="101">
        <v>46014.626388888886</v>
      </c>
      <c r="G186" s="101">
        <v>46020.07916666667</v>
      </c>
      <c r="H186" s="18" t="s">
        <v>507</v>
      </c>
      <c r="I186" s="18" t="s">
        <v>508</v>
      </c>
      <c r="J186" s="18"/>
      <c r="K186" s="21">
        <f t="shared" si="6"/>
        <v>130.86666666681413</v>
      </c>
      <c r="L186" s="19">
        <f t="shared" si="7"/>
        <v>46</v>
      </c>
      <c r="M186" s="18" t="str">
        <f>IF(I186&lt;&gt;"Sí","",IF(YEAR(F186)&lt;&gt;2026,"",INDEX({"Enero","Febrero","Marzo","Abril","Mayo","Junio","Julio","Agosto","Septiembre","Octubre","Noviembre","Diciembre"},MONTH(F186))))</f>
        <v/>
      </c>
      <c r="N186" s="18" t="str">
        <f t="shared" si="8"/>
        <v/>
      </c>
    </row>
    <row r="187" spans="1:14" ht="14.5" x14ac:dyDescent="0.25">
      <c r="A187" s="19">
        <v>26</v>
      </c>
      <c r="B187" s="18" t="s">
        <v>504</v>
      </c>
      <c r="C187" s="18" t="s">
        <v>126</v>
      </c>
      <c r="D187" s="18" t="s">
        <v>653</v>
      </c>
      <c r="E187" s="18" t="s">
        <v>700</v>
      </c>
      <c r="F187" s="101">
        <v>46014.626388888886</v>
      </c>
      <c r="G187" s="101">
        <v>46020.075694444444</v>
      </c>
      <c r="H187" s="18" t="s">
        <v>507</v>
      </c>
      <c r="I187" s="18" t="s">
        <v>508</v>
      </c>
      <c r="J187" s="18"/>
      <c r="K187" s="21">
        <f t="shared" si="6"/>
        <v>130.78333333338378</v>
      </c>
      <c r="L187" s="19">
        <f t="shared" si="7"/>
        <v>46</v>
      </c>
      <c r="M187" s="18" t="str">
        <f>IF(I187&lt;&gt;"Sí","",IF(YEAR(F187)&lt;&gt;2026,"",INDEX({"Enero","Febrero","Marzo","Abril","Mayo","Junio","Julio","Agosto","Septiembre","Octubre","Noviembre","Diciembre"},MONTH(F187))))</f>
        <v/>
      </c>
      <c r="N187" s="18" t="str">
        <f t="shared" si="8"/>
        <v/>
      </c>
    </row>
    <row r="188" spans="1:14" ht="14.5" x14ac:dyDescent="0.25">
      <c r="A188" s="19">
        <v>26</v>
      </c>
      <c r="B188" s="18" t="s">
        <v>504</v>
      </c>
      <c r="C188" s="18" t="s">
        <v>126</v>
      </c>
      <c r="D188" s="18" t="s">
        <v>653</v>
      </c>
      <c r="E188" s="18" t="s">
        <v>701</v>
      </c>
      <c r="F188" s="101">
        <v>46014.626388888886</v>
      </c>
      <c r="G188" s="101">
        <v>46020.081944444442</v>
      </c>
      <c r="H188" s="18" t="s">
        <v>507</v>
      </c>
      <c r="I188" s="18" t="s">
        <v>508</v>
      </c>
      <c r="J188" s="18"/>
      <c r="K188" s="21">
        <f t="shared" si="6"/>
        <v>130.93333333334886</v>
      </c>
      <c r="L188" s="19">
        <f t="shared" si="7"/>
        <v>46</v>
      </c>
      <c r="M188" s="18" t="str">
        <f>IF(I188&lt;&gt;"Sí","",IF(YEAR(F188)&lt;&gt;2026,"",INDEX({"Enero","Febrero","Marzo","Abril","Mayo","Junio","Julio","Agosto","Septiembre","Octubre","Noviembre","Diciembre"},MONTH(F188))))</f>
        <v/>
      </c>
      <c r="N188" s="18" t="str">
        <f t="shared" si="8"/>
        <v/>
      </c>
    </row>
    <row r="189" spans="1:14" ht="14.5" x14ac:dyDescent="0.25">
      <c r="A189" s="19">
        <v>26</v>
      </c>
      <c r="B189" s="18" t="s">
        <v>504</v>
      </c>
      <c r="C189" s="18" t="s">
        <v>97</v>
      </c>
      <c r="D189" s="18" t="s">
        <v>549</v>
      </c>
      <c r="E189" s="18" t="s">
        <v>702</v>
      </c>
      <c r="F189" s="101"/>
      <c r="G189" s="101">
        <v>46015.416666666664</v>
      </c>
      <c r="H189" s="18" t="s">
        <v>507</v>
      </c>
      <c r="I189" s="18" t="s">
        <v>555</v>
      </c>
      <c r="J189" s="18" t="s">
        <v>556</v>
      </c>
      <c r="K189" s="21" t="str">
        <f t="shared" si="6"/>
        <v/>
      </c>
      <c r="L189" s="19" t="str">
        <f t="shared" si="7"/>
        <v/>
      </c>
      <c r="M189" s="18" t="str">
        <f>IF(I189&lt;&gt;"Sí","",IF(YEAR(F189)&lt;&gt;2026,"",INDEX({"Enero","Febrero","Marzo","Abril","Mayo","Junio","Julio","Agosto","Septiembre","Octubre","Noviembre","Diciembre"},MONTH(F189))))</f>
        <v/>
      </c>
      <c r="N189" s="18" t="str">
        <f t="shared" si="8"/>
        <v/>
      </c>
    </row>
    <row r="190" spans="1:14" ht="14.5" x14ac:dyDescent="0.25">
      <c r="A190" s="19">
        <v>26</v>
      </c>
      <c r="B190" s="18" t="s">
        <v>504</v>
      </c>
      <c r="C190" s="18" t="s">
        <v>97</v>
      </c>
      <c r="D190" s="18" t="s">
        <v>549</v>
      </c>
      <c r="E190" s="18" t="s">
        <v>703</v>
      </c>
      <c r="F190" s="101"/>
      <c r="G190" s="101">
        <v>46015.416666666664</v>
      </c>
      <c r="H190" s="18" t="s">
        <v>507</v>
      </c>
      <c r="I190" s="18" t="s">
        <v>555</v>
      </c>
      <c r="J190" s="18" t="s">
        <v>556</v>
      </c>
      <c r="K190" s="21" t="str">
        <f t="shared" si="6"/>
        <v/>
      </c>
      <c r="L190" s="19" t="str">
        <f t="shared" si="7"/>
        <v/>
      </c>
      <c r="M190" s="18" t="str">
        <f>IF(I190&lt;&gt;"Sí","",IF(YEAR(F190)&lt;&gt;2026,"",INDEX({"Enero","Febrero","Marzo","Abril","Mayo","Junio","Julio","Agosto","Septiembre","Octubre","Noviembre","Diciembre"},MONTH(F190))))</f>
        <v/>
      </c>
      <c r="N190" s="18" t="str">
        <f t="shared" si="8"/>
        <v/>
      </c>
    </row>
    <row r="191" spans="1:14" ht="14.5" x14ac:dyDescent="0.25">
      <c r="A191" s="19">
        <v>26</v>
      </c>
      <c r="B191" s="18" t="s">
        <v>504</v>
      </c>
      <c r="C191" s="18" t="s">
        <v>97</v>
      </c>
      <c r="D191" s="18" t="s">
        <v>549</v>
      </c>
      <c r="E191" s="18" t="s">
        <v>704</v>
      </c>
      <c r="F191" s="101"/>
      <c r="G191" s="101">
        <v>46015.416666666664</v>
      </c>
      <c r="H191" s="18" t="s">
        <v>507</v>
      </c>
      <c r="I191" s="18" t="s">
        <v>555</v>
      </c>
      <c r="J191" s="18" t="s">
        <v>556</v>
      </c>
      <c r="K191" s="21" t="str">
        <f t="shared" si="6"/>
        <v/>
      </c>
      <c r="L191" s="19" t="str">
        <f t="shared" si="7"/>
        <v/>
      </c>
      <c r="M191" s="18" t="str">
        <f>IF(I191&lt;&gt;"Sí","",IF(YEAR(F191)&lt;&gt;2026,"",INDEX({"Enero","Febrero","Marzo","Abril","Mayo","Junio","Julio","Agosto","Septiembre","Octubre","Noviembre","Diciembre"},MONTH(F191))))</f>
        <v/>
      </c>
      <c r="N191" s="18" t="str">
        <f t="shared" si="8"/>
        <v/>
      </c>
    </row>
    <row r="192" spans="1:14" ht="14.5" x14ac:dyDescent="0.25">
      <c r="A192" s="19">
        <v>26</v>
      </c>
      <c r="B192" s="18" t="s">
        <v>504</v>
      </c>
      <c r="C192" s="18" t="s">
        <v>97</v>
      </c>
      <c r="D192" s="18" t="s">
        <v>549</v>
      </c>
      <c r="E192" s="18" t="s">
        <v>705</v>
      </c>
      <c r="F192" s="101"/>
      <c r="G192" s="101">
        <v>46015.416666666664</v>
      </c>
      <c r="H192" s="18" t="s">
        <v>507</v>
      </c>
      <c r="I192" s="18" t="s">
        <v>555</v>
      </c>
      <c r="J192" s="18" t="s">
        <v>556</v>
      </c>
      <c r="K192" s="21" t="str">
        <f t="shared" si="6"/>
        <v/>
      </c>
      <c r="L192" s="19" t="str">
        <f t="shared" si="7"/>
        <v/>
      </c>
      <c r="M192" s="18" t="str">
        <f>IF(I192&lt;&gt;"Sí","",IF(YEAR(F192)&lt;&gt;2026,"",INDEX({"Enero","Febrero","Marzo","Abril","Mayo","Junio","Julio","Agosto","Septiembre","Octubre","Noviembre","Diciembre"},MONTH(F192))))</f>
        <v/>
      </c>
      <c r="N192" s="18" t="str">
        <f t="shared" si="8"/>
        <v/>
      </c>
    </row>
    <row r="193" spans="1:14" ht="14.5" x14ac:dyDescent="0.25">
      <c r="A193" s="19">
        <v>26</v>
      </c>
      <c r="B193" s="18" t="s">
        <v>504</v>
      </c>
      <c r="C193" s="18" t="s">
        <v>106</v>
      </c>
      <c r="D193" s="18" t="s">
        <v>682</v>
      </c>
      <c r="E193" s="18" t="s">
        <v>706</v>
      </c>
      <c r="F193" s="101"/>
      <c r="G193" s="101">
        <v>46015.416666666664</v>
      </c>
      <c r="H193" s="18" t="s">
        <v>554</v>
      </c>
      <c r="I193" s="18" t="s">
        <v>555</v>
      </c>
      <c r="J193" s="18" t="s">
        <v>556</v>
      </c>
      <c r="K193" s="21" t="str">
        <f t="shared" si="6"/>
        <v/>
      </c>
      <c r="L193" s="19" t="str">
        <f t="shared" si="7"/>
        <v/>
      </c>
      <c r="M193" s="18" t="str">
        <f>IF(I193&lt;&gt;"Sí","",IF(YEAR(F193)&lt;&gt;2026,"",INDEX({"Enero","Febrero","Marzo","Abril","Mayo","Junio","Julio","Agosto","Septiembre","Octubre","Noviembre","Diciembre"},MONTH(F193))))</f>
        <v/>
      </c>
      <c r="N193" s="18" t="str">
        <f t="shared" si="8"/>
        <v/>
      </c>
    </row>
    <row r="194" spans="1:14" ht="14.5" x14ac:dyDescent="0.25">
      <c r="A194" s="19">
        <v>26</v>
      </c>
      <c r="B194" s="18" t="s">
        <v>504</v>
      </c>
      <c r="C194" s="18" t="s">
        <v>106</v>
      </c>
      <c r="D194" s="18" t="s">
        <v>682</v>
      </c>
      <c r="E194" s="18" t="s">
        <v>707</v>
      </c>
      <c r="F194" s="101"/>
      <c r="G194" s="101">
        <v>46015.416666666664</v>
      </c>
      <c r="H194" s="18" t="s">
        <v>554</v>
      </c>
      <c r="I194" s="18" t="s">
        <v>555</v>
      </c>
      <c r="J194" s="18" t="s">
        <v>556</v>
      </c>
      <c r="K194" s="21" t="str">
        <f t="shared" si="6"/>
        <v/>
      </c>
      <c r="L194" s="19" t="str">
        <f t="shared" si="7"/>
        <v/>
      </c>
      <c r="M194" s="18" t="str">
        <f>IF(I194&lt;&gt;"Sí","",IF(YEAR(F194)&lt;&gt;2026,"",INDEX({"Enero","Febrero","Marzo","Abril","Mayo","Junio","Julio","Agosto","Septiembre","Octubre","Noviembre","Diciembre"},MONTH(F194))))</f>
        <v/>
      </c>
      <c r="N194" s="18" t="str">
        <f t="shared" si="8"/>
        <v/>
      </c>
    </row>
    <row r="195" spans="1:14" ht="14.5" x14ac:dyDescent="0.25">
      <c r="A195" s="19">
        <v>26</v>
      </c>
      <c r="B195" s="18" t="s">
        <v>504</v>
      </c>
      <c r="C195" s="18" t="s">
        <v>106</v>
      </c>
      <c r="D195" s="18" t="s">
        <v>682</v>
      </c>
      <c r="E195" s="18" t="s">
        <v>708</v>
      </c>
      <c r="F195" s="101"/>
      <c r="G195" s="101">
        <v>46015.416666666664</v>
      </c>
      <c r="H195" s="18" t="s">
        <v>554</v>
      </c>
      <c r="I195" s="18" t="s">
        <v>555</v>
      </c>
      <c r="J195" s="18" t="s">
        <v>556</v>
      </c>
      <c r="K195" s="21" t="str">
        <f t="shared" si="6"/>
        <v/>
      </c>
      <c r="L195" s="19" t="str">
        <f t="shared" si="7"/>
        <v/>
      </c>
      <c r="M195" s="18" t="str">
        <f>IF(I195&lt;&gt;"Sí","",IF(YEAR(F195)&lt;&gt;2026,"",INDEX({"Enero","Febrero","Marzo","Abril","Mayo","Junio","Julio","Agosto","Septiembre","Octubre","Noviembre","Diciembre"},MONTH(F195))))</f>
        <v/>
      </c>
      <c r="N195" s="18" t="str">
        <f t="shared" si="8"/>
        <v/>
      </c>
    </row>
    <row r="196" spans="1:14" ht="14.5" x14ac:dyDescent="0.25">
      <c r="A196" s="19">
        <v>26</v>
      </c>
      <c r="B196" s="18" t="s">
        <v>504</v>
      </c>
      <c r="C196" s="18" t="s">
        <v>106</v>
      </c>
      <c r="D196" s="18" t="s">
        <v>682</v>
      </c>
      <c r="E196" s="18" t="s">
        <v>709</v>
      </c>
      <c r="F196" s="101"/>
      <c r="G196" s="101">
        <v>46015.416666666664</v>
      </c>
      <c r="H196" s="18" t="s">
        <v>523</v>
      </c>
      <c r="I196" s="18" t="s">
        <v>555</v>
      </c>
      <c r="J196" s="18" t="s">
        <v>556</v>
      </c>
      <c r="K196" s="21" t="str">
        <f t="shared" si="6"/>
        <v/>
      </c>
      <c r="L196" s="19" t="str">
        <f t="shared" si="7"/>
        <v/>
      </c>
      <c r="M196" s="18" t="str">
        <f>IF(I196&lt;&gt;"Sí","",IF(YEAR(F196)&lt;&gt;2026,"",INDEX({"Enero","Febrero","Marzo","Abril","Mayo","Junio","Julio","Agosto","Septiembre","Octubre","Noviembre","Diciembre"},MONTH(F196))))</f>
        <v/>
      </c>
      <c r="N196" s="18" t="str">
        <f t="shared" si="8"/>
        <v/>
      </c>
    </row>
    <row r="197" spans="1:14" ht="14.5" x14ac:dyDescent="0.25">
      <c r="A197" s="19">
        <v>26</v>
      </c>
      <c r="B197" s="18" t="s">
        <v>504</v>
      </c>
      <c r="C197" s="18" t="s">
        <v>106</v>
      </c>
      <c r="D197" s="18" t="s">
        <v>682</v>
      </c>
      <c r="E197" s="18" t="s">
        <v>708</v>
      </c>
      <c r="F197" s="101">
        <v>46015.452777777777</v>
      </c>
      <c r="G197" s="101">
        <v>46017.732638888891</v>
      </c>
      <c r="H197" s="18" t="s">
        <v>523</v>
      </c>
      <c r="I197" s="18" t="s">
        <v>508</v>
      </c>
      <c r="J197" s="18"/>
      <c r="K197" s="21">
        <f t="shared" si="6"/>
        <v>54.716666666732635</v>
      </c>
      <c r="L197" s="19">
        <f t="shared" si="7"/>
        <v>47</v>
      </c>
      <c r="M197" s="18" t="str">
        <f>IF(I197&lt;&gt;"Sí","",IF(YEAR(F197)&lt;&gt;2026,"",INDEX({"Enero","Febrero","Marzo","Abril","Mayo","Junio","Julio","Agosto","Septiembre","Octubre","Noviembre","Diciembre"},MONTH(F197))))</f>
        <v/>
      </c>
      <c r="N197" s="18" t="str">
        <f t="shared" si="8"/>
        <v/>
      </c>
    </row>
    <row r="198" spans="1:14" ht="14.5" x14ac:dyDescent="0.25">
      <c r="A198" s="19">
        <v>26</v>
      </c>
      <c r="B198" s="18" t="s">
        <v>504</v>
      </c>
      <c r="C198" s="18" t="s">
        <v>97</v>
      </c>
      <c r="D198" s="18" t="s">
        <v>549</v>
      </c>
      <c r="E198" s="18" t="s">
        <v>710</v>
      </c>
      <c r="F198" s="101">
        <v>46015.595833333333</v>
      </c>
      <c r="G198" s="101">
        <v>46017.86041666667</v>
      </c>
      <c r="H198" s="18" t="s">
        <v>507</v>
      </c>
      <c r="I198" s="18" t="s">
        <v>508</v>
      </c>
      <c r="J198" s="18"/>
      <c r="K198" s="21">
        <f t="shared" si="6"/>
        <v>54.350000000093132</v>
      </c>
      <c r="L198" s="19">
        <f t="shared" si="7"/>
        <v>49</v>
      </c>
      <c r="M198" s="18" t="str">
        <f>IF(I198&lt;&gt;"Sí","",IF(YEAR(F198)&lt;&gt;2026,"",INDEX({"Enero","Febrero","Marzo","Abril","Mayo","Junio","Julio","Agosto","Septiembre","Octubre","Noviembre","Diciembre"},MONTH(F198))))</f>
        <v/>
      </c>
      <c r="N198" s="18" t="str">
        <f t="shared" si="8"/>
        <v/>
      </c>
    </row>
    <row r="199" spans="1:14" ht="14.5" x14ac:dyDescent="0.25">
      <c r="A199" s="19">
        <v>26</v>
      </c>
      <c r="B199" s="18" t="s">
        <v>504</v>
      </c>
      <c r="C199" s="18" t="s">
        <v>99</v>
      </c>
      <c r="D199" s="18" t="s">
        <v>711</v>
      </c>
      <c r="E199" s="18" t="s">
        <v>712</v>
      </c>
      <c r="F199" s="101">
        <v>46015.595833333333</v>
      </c>
      <c r="G199" s="101">
        <v>46017.86041666667</v>
      </c>
      <c r="H199" s="18" t="s">
        <v>507</v>
      </c>
      <c r="I199" s="18" t="s">
        <v>508</v>
      </c>
      <c r="J199" s="18"/>
      <c r="K199" s="21">
        <f t="shared" ref="K199:K262" si="9">IF(I199="Sí",(G199-F199)*24,"")</f>
        <v>54.350000000093132</v>
      </c>
      <c r="L199" s="19">
        <f t="shared" ref="L199:L262" si="10">IF(I199="Sí",COUNTIFS($F$7:$F$4000,"&lt;="&amp;F199,$G$7:$G$4000,"&gt;"&amp;F199,$I$7:$I$4000,"Sí"),"")</f>
        <v>49</v>
      </c>
      <c r="M199" s="18" t="str">
        <f>IF(I199&lt;&gt;"Sí","",IF(YEAR(F199)&lt;&gt;2026,"",INDEX({"Enero","Febrero","Marzo","Abril","Mayo","Junio","Julio","Agosto","Septiembre","Octubre","Noviembre","Diciembre"},MONTH(F199))))</f>
        <v/>
      </c>
      <c r="N199" s="18" t="str">
        <f t="shared" ref="N199:N262" si="11">IF(M199="","",M199&amp;"|"&amp;L199)</f>
        <v/>
      </c>
    </row>
    <row r="200" spans="1:14" ht="14.5" x14ac:dyDescent="0.25">
      <c r="A200" s="19">
        <v>26</v>
      </c>
      <c r="B200" s="18" t="s">
        <v>504</v>
      </c>
      <c r="C200" s="18" t="s">
        <v>97</v>
      </c>
      <c r="D200" s="18" t="s">
        <v>549</v>
      </c>
      <c r="E200" s="18" t="s">
        <v>713</v>
      </c>
      <c r="F200" s="101">
        <v>46017.398611111108</v>
      </c>
      <c r="G200" s="101">
        <v>46017.769444444442</v>
      </c>
      <c r="H200" s="18" t="s">
        <v>507</v>
      </c>
      <c r="I200" s="18" t="s">
        <v>508</v>
      </c>
      <c r="J200" s="18"/>
      <c r="K200" s="21">
        <f t="shared" si="9"/>
        <v>8.9000000000232831</v>
      </c>
      <c r="L200" s="19">
        <f t="shared" si="10"/>
        <v>49</v>
      </c>
      <c r="M200" s="18" t="str">
        <f>IF(I200&lt;&gt;"Sí","",IF(YEAR(F200)&lt;&gt;2026,"",INDEX({"Enero","Febrero","Marzo","Abril","Mayo","Junio","Julio","Agosto","Septiembre","Octubre","Noviembre","Diciembre"},MONTH(F200))))</f>
        <v/>
      </c>
      <c r="N200" s="18" t="str">
        <f t="shared" si="11"/>
        <v/>
      </c>
    </row>
    <row r="201" spans="1:14" ht="14.5" x14ac:dyDescent="0.25">
      <c r="A201" s="19">
        <v>26</v>
      </c>
      <c r="B201" s="18" t="s">
        <v>504</v>
      </c>
      <c r="C201" s="18" t="s">
        <v>99</v>
      </c>
      <c r="D201" s="18" t="s">
        <v>711</v>
      </c>
      <c r="E201" s="18" t="s">
        <v>714</v>
      </c>
      <c r="F201" s="101">
        <v>46017.398611111108</v>
      </c>
      <c r="G201" s="101">
        <v>46017.769444444442</v>
      </c>
      <c r="H201" s="18" t="s">
        <v>507</v>
      </c>
      <c r="I201" s="18" t="s">
        <v>508</v>
      </c>
      <c r="J201" s="18"/>
      <c r="K201" s="21">
        <f t="shared" si="9"/>
        <v>8.9000000000232831</v>
      </c>
      <c r="L201" s="19">
        <f t="shared" si="10"/>
        <v>49</v>
      </c>
      <c r="M201" s="18" t="str">
        <f>IF(I201&lt;&gt;"Sí","",IF(YEAR(F201)&lt;&gt;2026,"",INDEX({"Enero","Febrero","Marzo","Abril","Mayo","Junio","Julio","Agosto","Septiembre","Octubre","Noviembre","Diciembre"},MONTH(F201))))</f>
        <v/>
      </c>
      <c r="N201" s="18" t="str">
        <f t="shared" si="11"/>
        <v/>
      </c>
    </row>
    <row r="202" spans="1:14" ht="14.5" x14ac:dyDescent="0.25">
      <c r="A202" s="19">
        <v>27</v>
      </c>
      <c r="B202" s="18" t="s">
        <v>34</v>
      </c>
      <c r="C202" s="18" t="s">
        <v>715</v>
      </c>
      <c r="D202" s="18" t="s">
        <v>716</v>
      </c>
      <c r="E202" s="18" t="s">
        <v>717</v>
      </c>
      <c r="F202" s="101">
        <v>46017.503472222219</v>
      </c>
      <c r="G202" s="101">
        <v>46026.224305555559</v>
      </c>
      <c r="H202" s="18" t="s">
        <v>718</v>
      </c>
      <c r="I202" s="18" t="s">
        <v>508</v>
      </c>
      <c r="J202" s="18"/>
      <c r="K202" s="21">
        <f t="shared" si="9"/>
        <v>209.30000000016298</v>
      </c>
      <c r="L202" s="19">
        <f t="shared" si="10"/>
        <v>50</v>
      </c>
      <c r="M202" s="18" t="str">
        <f>IF(I202&lt;&gt;"Sí","",IF(YEAR(F202)&lt;&gt;2026,"",INDEX({"Enero","Febrero","Marzo","Abril","Mayo","Junio","Julio","Agosto","Septiembre","Octubre","Noviembre","Diciembre"},MONTH(F202))))</f>
        <v/>
      </c>
      <c r="N202" s="18" t="str">
        <f t="shared" si="11"/>
        <v/>
      </c>
    </row>
    <row r="203" spans="1:14" ht="14.5" x14ac:dyDescent="0.25">
      <c r="A203" s="19">
        <v>26</v>
      </c>
      <c r="B203" s="18" t="s">
        <v>504</v>
      </c>
      <c r="C203" s="18" t="s">
        <v>97</v>
      </c>
      <c r="D203" s="18" t="s">
        <v>549</v>
      </c>
      <c r="E203" s="18" t="s">
        <v>719</v>
      </c>
      <c r="F203" s="101"/>
      <c r="G203" s="101">
        <v>46017.536805555559</v>
      </c>
      <c r="H203" s="18" t="s">
        <v>507</v>
      </c>
      <c r="I203" s="18" t="s">
        <v>555</v>
      </c>
      <c r="J203" s="18" t="s">
        <v>556</v>
      </c>
      <c r="K203" s="21" t="str">
        <f t="shared" si="9"/>
        <v/>
      </c>
      <c r="L203" s="19" t="str">
        <f t="shared" si="10"/>
        <v/>
      </c>
      <c r="M203" s="18" t="str">
        <f>IF(I203&lt;&gt;"Sí","",IF(YEAR(F203)&lt;&gt;2026,"",INDEX({"Enero","Febrero","Marzo","Abril","Mayo","Junio","Julio","Agosto","Septiembre","Octubre","Noviembre","Diciembre"},MONTH(F203))))</f>
        <v/>
      </c>
      <c r="N203" s="18" t="str">
        <f t="shared" si="11"/>
        <v/>
      </c>
    </row>
    <row r="204" spans="1:14" ht="14.5" x14ac:dyDescent="0.25">
      <c r="A204" s="19">
        <v>26</v>
      </c>
      <c r="B204" s="18" t="s">
        <v>504</v>
      </c>
      <c r="C204" s="18" t="s">
        <v>97</v>
      </c>
      <c r="D204" s="18" t="s">
        <v>549</v>
      </c>
      <c r="E204" s="18" t="s">
        <v>720</v>
      </c>
      <c r="F204" s="101"/>
      <c r="G204" s="101">
        <v>46017.536805555559</v>
      </c>
      <c r="H204" s="18" t="s">
        <v>507</v>
      </c>
      <c r="I204" s="18" t="s">
        <v>555</v>
      </c>
      <c r="J204" s="18" t="s">
        <v>556</v>
      </c>
      <c r="K204" s="21" t="str">
        <f t="shared" si="9"/>
        <v/>
      </c>
      <c r="L204" s="19" t="str">
        <f t="shared" si="10"/>
        <v/>
      </c>
      <c r="M204" s="18" t="str">
        <f>IF(I204&lt;&gt;"Sí","",IF(YEAR(F204)&lt;&gt;2026,"",INDEX({"Enero","Febrero","Marzo","Abril","Mayo","Junio","Julio","Agosto","Septiembre","Octubre","Noviembre","Diciembre"},MONTH(F204))))</f>
        <v/>
      </c>
      <c r="N204" s="18" t="str">
        <f t="shared" si="11"/>
        <v/>
      </c>
    </row>
    <row r="205" spans="1:14" ht="14.5" x14ac:dyDescent="0.25">
      <c r="A205" s="19">
        <v>26</v>
      </c>
      <c r="B205" s="18" t="s">
        <v>504</v>
      </c>
      <c r="C205" s="18" t="s">
        <v>99</v>
      </c>
      <c r="D205" s="18" t="s">
        <v>711</v>
      </c>
      <c r="E205" s="18" t="s">
        <v>721</v>
      </c>
      <c r="F205" s="101"/>
      <c r="G205" s="101">
        <v>46017.536805555559</v>
      </c>
      <c r="H205" s="18" t="s">
        <v>554</v>
      </c>
      <c r="I205" s="18" t="s">
        <v>555</v>
      </c>
      <c r="J205" s="18" t="s">
        <v>556</v>
      </c>
      <c r="K205" s="21" t="str">
        <f t="shared" si="9"/>
        <v/>
      </c>
      <c r="L205" s="19" t="str">
        <f t="shared" si="10"/>
        <v/>
      </c>
      <c r="M205" s="18" t="str">
        <f>IF(I205&lt;&gt;"Sí","",IF(YEAR(F205)&lt;&gt;2026,"",INDEX({"Enero","Febrero","Marzo","Abril","Mayo","Junio","Julio","Agosto","Septiembre","Octubre","Noviembre","Diciembre"},MONTH(F205))))</f>
        <v/>
      </c>
      <c r="N205" s="18" t="str">
        <f t="shared" si="11"/>
        <v/>
      </c>
    </row>
    <row r="206" spans="1:14" ht="14.5" x14ac:dyDescent="0.25">
      <c r="A206" s="19">
        <v>26</v>
      </c>
      <c r="B206" s="18" t="s">
        <v>504</v>
      </c>
      <c r="C206" s="18" t="s">
        <v>99</v>
      </c>
      <c r="D206" s="18" t="s">
        <v>711</v>
      </c>
      <c r="E206" s="18" t="s">
        <v>722</v>
      </c>
      <c r="F206" s="101"/>
      <c r="G206" s="101">
        <v>46017.536805555559</v>
      </c>
      <c r="H206" s="18" t="s">
        <v>523</v>
      </c>
      <c r="I206" s="18" t="s">
        <v>555</v>
      </c>
      <c r="J206" s="18" t="s">
        <v>556</v>
      </c>
      <c r="K206" s="21" t="str">
        <f t="shared" si="9"/>
        <v/>
      </c>
      <c r="L206" s="19" t="str">
        <f t="shared" si="10"/>
        <v/>
      </c>
      <c r="M206" s="18" t="str">
        <f>IF(I206&lt;&gt;"Sí","",IF(YEAR(F206)&lt;&gt;2026,"",INDEX({"Enero","Febrero","Marzo","Abril","Mayo","Junio","Julio","Agosto","Septiembre","Octubre","Noviembre","Diciembre"},MONTH(F206))))</f>
        <v/>
      </c>
      <c r="N206" s="18" t="str">
        <f t="shared" si="11"/>
        <v/>
      </c>
    </row>
    <row r="207" spans="1:14" ht="14.5" x14ac:dyDescent="0.25">
      <c r="A207" s="19">
        <v>27</v>
      </c>
      <c r="B207" s="18" t="s">
        <v>34</v>
      </c>
      <c r="C207" s="18" t="s">
        <v>715</v>
      </c>
      <c r="D207" s="18" t="s">
        <v>716</v>
      </c>
      <c r="E207" s="18" t="s">
        <v>723</v>
      </c>
      <c r="F207" s="101">
        <v>46017.611805555556</v>
      </c>
      <c r="G207" s="101">
        <v>46026.21597222222</v>
      </c>
      <c r="H207" s="18" t="s">
        <v>718</v>
      </c>
      <c r="I207" s="18" t="s">
        <v>508</v>
      </c>
      <c r="J207" s="18"/>
      <c r="K207" s="21">
        <f t="shared" si="9"/>
        <v>206.49999999994179</v>
      </c>
      <c r="L207" s="19">
        <f t="shared" si="10"/>
        <v>51</v>
      </c>
      <c r="M207" s="18" t="str">
        <f>IF(I207&lt;&gt;"Sí","",IF(YEAR(F207)&lt;&gt;2026,"",INDEX({"Enero","Febrero","Marzo","Abril","Mayo","Junio","Julio","Agosto","Septiembre","Octubre","Noviembre","Diciembre"},MONTH(F207))))</f>
        <v/>
      </c>
      <c r="N207" s="18" t="str">
        <f t="shared" si="11"/>
        <v/>
      </c>
    </row>
    <row r="208" spans="1:14" ht="14.5" x14ac:dyDescent="0.25">
      <c r="A208" s="19">
        <v>27</v>
      </c>
      <c r="B208" s="18" t="s">
        <v>34</v>
      </c>
      <c r="C208" s="18" t="s">
        <v>715</v>
      </c>
      <c r="D208" s="18" t="s">
        <v>716</v>
      </c>
      <c r="E208" s="18" t="s">
        <v>724</v>
      </c>
      <c r="F208" s="101">
        <v>46017.612500000003</v>
      </c>
      <c r="G208" s="101">
        <v>46026.22152777778</v>
      </c>
      <c r="H208" s="18" t="s">
        <v>718</v>
      </c>
      <c r="I208" s="18" t="s">
        <v>508</v>
      </c>
      <c r="J208" s="18"/>
      <c r="K208" s="21">
        <f t="shared" si="9"/>
        <v>206.6166666666395</v>
      </c>
      <c r="L208" s="19">
        <f t="shared" si="10"/>
        <v>54</v>
      </c>
      <c r="M208" s="18" t="str">
        <f>IF(I208&lt;&gt;"Sí","",IF(YEAR(F208)&lt;&gt;2026,"",INDEX({"Enero","Febrero","Marzo","Abril","Mayo","Junio","Julio","Agosto","Septiembre","Octubre","Noviembre","Diciembre"},MONTH(F208))))</f>
        <v/>
      </c>
      <c r="N208" s="18" t="str">
        <f t="shared" si="11"/>
        <v/>
      </c>
    </row>
    <row r="209" spans="1:14" ht="14.5" x14ac:dyDescent="0.25">
      <c r="A209" s="19">
        <v>27</v>
      </c>
      <c r="B209" s="18" t="s">
        <v>34</v>
      </c>
      <c r="C209" s="18" t="s">
        <v>715</v>
      </c>
      <c r="D209" s="18" t="s">
        <v>716</v>
      </c>
      <c r="E209" s="18" t="s">
        <v>725</v>
      </c>
      <c r="F209" s="101">
        <v>46017.612500000003</v>
      </c>
      <c r="G209" s="101">
        <v>46026.21875</v>
      </c>
      <c r="H209" s="18" t="s">
        <v>718</v>
      </c>
      <c r="I209" s="18" t="s">
        <v>508</v>
      </c>
      <c r="J209" s="18"/>
      <c r="K209" s="21">
        <f t="shared" si="9"/>
        <v>206.54999999993015</v>
      </c>
      <c r="L209" s="19">
        <f t="shared" si="10"/>
        <v>54</v>
      </c>
      <c r="M209" s="18" t="str">
        <f>IF(I209&lt;&gt;"Sí","",IF(YEAR(F209)&lt;&gt;2026,"",INDEX({"Enero","Febrero","Marzo","Abril","Mayo","Junio","Julio","Agosto","Septiembre","Octubre","Noviembre","Diciembre"},MONTH(F209))))</f>
        <v/>
      </c>
      <c r="N209" s="18" t="str">
        <f t="shared" si="11"/>
        <v/>
      </c>
    </row>
    <row r="210" spans="1:14" ht="14.5" x14ac:dyDescent="0.25">
      <c r="A210" s="19">
        <v>27</v>
      </c>
      <c r="B210" s="18" t="s">
        <v>34</v>
      </c>
      <c r="C210" s="18" t="s">
        <v>715</v>
      </c>
      <c r="D210" s="18" t="s">
        <v>716</v>
      </c>
      <c r="E210" s="18" t="s">
        <v>726</v>
      </c>
      <c r="F210" s="101">
        <v>46017.612500000003</v>
      </c>
      <c r="G210" s="101">
        <v>46026.203472222223</v>
      </c>
      <c r="H210" s="18" t="s">
        <v>718</v>
      </c>
      <c r="I210" s="18" t="s">
        <v>508</v>
      </c>
      <c r="J210" s="18"/>
      <c r="K210" s="21">
        <f t="shared" si="9"/>
        <v>206.18333333329065</v>
      </c>
      <c r="L210" s="19">
        <f t="shared" si="10"/>
        <v>54</v>
      </c>
      <c r="M210" s="18" t="str">
        <f>IF(I210&lt;&gt;"Sí","",IF(YEAR(F210)&lt;&gt;2026,"",INDEX({"Enero","Febrero","Marzo","Abril","Mayo","Junio","Julio","Agosto","Septiembre","Octubre","Noviembre","Diciembre"},MONTH(F210))))</f>
        <v/>
      </c>
      <c r="N210" s="18" t="str">
        <f t="shared" si="11"/>
        <v/>
      </c>
    </row>
    <row r="211" spans="1:14" ht="14.5" x14ac:dyDescent="0.25">
      <c r="A211" s="19">
        <v>27</v>
      </c>
      <c r="B211" s="18" t="s">
        <v>34</v>
      </c>
      <c r="C211" s="18" t="s">
        <v>715</v>
      </c>
      <c r="D211" s="18" t="s">
        <v>716</v>
      </c>
      <c r="E211" s="18" t="s">
        <v>727</v>
      </c>
      <c r="F211" s="101">
        <v>46017.629166666666</v>
      </c>
      <c r="G211" s="101">
        <v>46026.20208333333</v>
      </c>
      <c r="H211" s="18" t="s">
        <v>718</v>
      </c>
      <c r="I211" s="18" t="s">
        <v>508</v>
      </c>
      <c r="J211" s="18"/>
      <c r="K211" s="21">
        <f t="shared" si="9"/>
        <v>205.74999999994179</v>
      </c>
      <c r="L211" s="19">
        <f t="shared" si="10"/>
        <v>55</v>
      </c>
      <c r="M211" s="18" t="str">
        <f>IF(I211&lt;&gt;"Sí","",IF(YEAR(F211)&lt;&gt;2026,"",INDEX({"Enero","Febrero","Marzo","Abril","Mayo","Junio","Julio","Agosto","Septiembre","Octubre","Noviembre","Diciembre"},MONTH(F211))))</f>
        <v/>
      </c>
      <c r="N211" s="18" t="str">
        <f t="shared" si="11"/>
        <v/>
      </c>
    </row>
    <row r="212" spans="1:14" ht="14.5" x14ac:dyDescent="0.25">
      <c r="A212" s="19">
        <v>27</v>
      </c>
      <c r="B212" s="18" t="s">
        <v>34</v>
      </c>
      <c r="C212" s="18" t="s">
        <v>715</v>
      </c>
      <c r="D212" s="18" t="s">
        <v>716</v>
      </c>
      <c r="E212" s="18" t="s">
        <v>728</v>
      </c>
      <c r="F212" s="101">
        <v>46017.636805555558</v>
      </c>
      <c r="G212" s="101">
        <v>46026.200694444444</v>
      </c>
      <c r="H212" s="18" t="s">
        <v>718</v>
      </c>
      <c r="I212" s="18" t="s">
        <v>508</v>
      </c>
      <c r="J212" s="18"/>
      <c r="K212" s="21">
        <f t="shared" si="9"/>
        <v>205.53333333326736</v>
      </c>
      <c r="L212" s="19">
        <f t="shared" si="10"/>
        <v>56</v>
      </c>
      <c r="M212" s="18" t="str">
        <f>IF(I212&lt;&gt;"Sí","",IF(YEAR(F212)&lt;&gt;2026,"",INDEX({"Enero","Febrero","Marzo","Abril","Mayo","Junio","Julio","Agosto","Septiembre","Octubre","Noviembre","Diciembre"},MONTH(F212))))</f>
        <v/>
      </c>
      <c r="N212" s="18" t="str">
        <f t="shared" si="11"/>
        <v/>
      </c>
    </row>
    <row r="213" spans="1:14" ht="14.5" x14ac:dyDescent="0.25">
      <c r="A213" s="19">
        <v>27</v>
      </c>
      <c r="B213" s="18" t="s">
        <v>34</v>
      </c>
      <c r="C213" s="18" t="s">
        <v>715</v>
      </c>
      <c r="D213" s="18" t="s">
        <v>716</v>
      </c>
      <c r="E213" s="18" t="s">
        <v>729</v>
      </c>
      <c r="F213" s="101">
        <v>46020.661111111112</v>
      </c>
      <c r="G213" s="101">
        <v>46026.755555555559</v>
      </c>
      <c r="H213" s="18" t="s">
        <v>718</v>
      </c>
      <c r="I213" s="18" t="s">
        <v>508</v>
      </c>
      <c r="J213" s="18"/>
      <c r="K213" s="21">
        <f t="shared" si="9"/>
        <v>146.26666666672099</v>
      </c>
      <c r="L213" s="19">
        <f t="shared" si="10"/>
        <v>31</v>
      </c>
      <c r="M213" s="18" t="str">
        <f>IF(I213&lt;&gt;"Sí","",IF(YEAR(F213)&lt;&gt;2026,"",INDEX({"Enero","Febrero","Marzo","Abril","Mayo","Junio","Julio","Agosto","Septiembre","Octubre","Noviembre","Diciembre"},MONTH(F213))))</f>
        <v/>
      </c>
      <c r="N213" s="18" t="str">
        <f t="shared" si="11"/>
        <v/>
      </c>
    </row>
    <row r="214" spans="1:14" ht="14.5" x14ac:dyDescent="0.25">
      <c r="A214" s="19">
        <v>27</v>
      </c>
      <c r="B214" s="18" t="s">
        <v>34</v>
      </c>
      <c r="C214" s="18" t="s">
        <v>715</v>
      </c>
      <c r="D214" s="18" t="s">
        <v>716</v>
      </c>
      <c r="E214" s="18" t="s">
        <v>730</v>
      </c>
      <c r="F214" s="101">
        <v>46020.661111111112</v>
      </c>
      <c r="G214" s="101">
        <v>46026.754166666666</v>
      </c>
      <c r="H214" s="18" t="s">
        <v>718</v>
      </c>
      <c r="I214" s="18" t="s">
        <v>508</v>
      </c>
      <c r="J214" s="18"/>
      <c r="K214" s="21">
        <f t="shared" si="9"/>
        <v>146.23333333327901</v>
      </c>
      <c r="L214" s="19">
        <f t="shared" si="10"/>
        <v>31</v>
      </c>
      <c r="M214" s="18" t="str">
        <f>IF(I214&lt;&gt;"Sí","",IF(YEAR(F214)&lt;&gt;2026,"",INDEX({"Enero","Febrero","Marzo","Abril","Mayo","Junio","Julio","Agosto","Septiembre","Octubre","Noviembre","Diciembre"},MONTH(F214))))</f>
        <v/>
      </c>
      <c r="N214" s="18" t="str">
        <f t="shared" si="11"/>
        <v/>
      </c>
    </row>
    <row r="215" spans="1:14" ht="14.5" x14ac:dyDescent="0.25">
      <c r="A215" s="19">
        <v>27</v>
      </c>
      <c r="B215" s="18" t="s">
        <v>34</v>
      </c>
      <c r="C215" s="18" t="s">
        <v>715</v>
      </c>
      <c r="D215" s="18" t="s">
        <v>716</v>
      </c>
      <c r="E215" s="18" t="s">
        <v>731</v>
      </c>
      <c r="F215" s="101">
        <v>46020.661111111112</v>
      </c>
      <c r="G215" s="101">
        <v>46026.74722222222</v>
      </c>
      <c r="H215" s="18" t="s">
        <v>718</v>
      </c>
      <c r="I215" s="18" t="s">
        <v>508</v>
      </c>
      <c r="J215" s="18"/>
      <c r="K215" s="21">
        <f t="shared" si="9"/>
        <v>146.06666666659294</v>
      </c>
      <c r="L215" s="19">
        <f t="shared" si="10"/>
        <v>31</v>
      </c>
      <c r="M215" s="18" t="str">
        <f>IF(I215&lt;&gt;"Sí","",IF(YEAR(F215)&lt;&gt;2026,"",INDEX({"Enero","Febrero","Marzo","Abril","Mayo","Junio","Julio","Agosto","Septiembre","Octubre","Noviembre","Diciembre"},MONTH(F215))))</f>
        <v/>
      </c>
      <c r="N215" s="18" t="str">
        <f t="shared" si="11"/>
        <v/>
      </c>
    </row>
    <row r="216" spans="1:14" ht="14.5" x14ac:dyDescent="0.25">
      <c r="A216" s="19">
        <v>27</v>
      </c>
      <c r="B216" s="18" t="s">
        <v>34</v>
      </c>
      <c r="C216" s="18" t="s">
        <v>715</v>
      </c>
      <c r="D216" s="18" t="s">
        <v>716</v>
      </c>
      <c r="E216" s="18" t="s">
        <v>732</v>
      </c>
      <c r="F216" s="101">
        <v>46020.661111111112</v>
      </c>
      <c r="G216" s="101">
        <v>46026.245138888888</v>
      </c>
      <c r="H216" s="18" t="s">
        <v>718</v>
      </c>
      <c r="I216" s="18" t="s">
        <v>508</v>
      </c>
      <c r="J216" s="18"/>
      <c r="K216" s="21">
        <f t="shared" si="9"/>
        <v>134.01666666660458</v>
      </c>
      <c r="L216" s="19">
        <f t="shared" si="10"/>
        <v>31</v>
      </c>
      <c r="M216" s="18" t="str">
        <f>IF(I216&lt;&gt;"Sí","",IF(YEAR(F216)&lt;&gt;2026,"",INDEX({"Enero","Febrero","Marzo","Abril","Mayo","Junio","Julio","Agosto","Septiembre","Octubre","Noviembre","Diciembre"},MONTH(F216))))</f>
        <v/>
      </c>
      <c r="N216" s="18" t="str">
        <f t="shared" si="11"/>
        <v/>
      </c>
    </row>
    <row r="217" spans="1:14" ht="14.5" x14ac:dyDescent="0.25">
      <c r="A217" s="19">
        <v>27</v>
      </c>
      <c r="B217" s="18" t="s">
        <v>34</v>
      </c>
      <c r="C217" s="18" t="s">
        <v>715</v>
      </c>
      <c r="D217" s="18" t="s">
        <v>716</v>
      </c>
      <c r="E217" s="18" t="s">
        <v>733</v>
      </c>
      <c r="F217" s="101">
        <v>46020.677777777775</v>
      </c>
      <c r="G217" s="101">
        <v>46026.749305555553</v>
      </c>
      <c r="H217" s="18" t="s">
        <v>718</v>
      </c>
      <c r="I217" s="18" t="s">
        <v>508</v>
      </c>
      <c r="J217" s="18"/>
      <c r="K217" s="21">
        <f t="shared" si="9"/>
        <v>145.71666666667443</v>
      </c>
      <c r="L217" s="19">
        <f t="shared" si="10"/>
        <v>34</v>
      </c>
      <c r="M217" s="18" t="str">
        <f>IF(I217&lt;&gt;"Sí","",IF(YEAR(F217)&lt;&gt;2026,"",INDEX({"Enero","Febrero","Marzo","Abril","Mayo","Junio","Julio","Agosto","Septiembre","Octubre","Noviembre","Diciembre"},MONTH(F217))))</f>
        <v/>
      </c>
      <c r="N217" s="18" t="str">
        <f t="shared" si="11"/>
        <v/>
      </c>
    </row>
    <row r="218" spans="1:14" ht="14.5" x14ac:dyDescent="0.25">
      <c r="A218" s="19">
        <v>27</v>
      </c>
      <c r="B218" s="18" t="s">
        <v>34</v>
      </c>
      <c r="C218" s="18" t="s">
        <v>715</v>
      </c>
      <c r="D218" s="18" t="s">
        <v>716</v>
      </c>
      <c r="E218" s="18" t="s">
        <v>734</v>
      </c>
      <c r="F218" s="101">
        <v>46020.677777777775</v>
      </c>
      <c r="G218" s="101">
        <v>46026.752083333333</v>
      </c>
      <c r="H218" s="18" t="s">
        <v>718</v>
      </c>
      <c r="I218" s="18" t="s">
        <v>508</v>
      </c>
      <c r="J218" s="18"/>
      <c r="K218" s="21">
        <f t="shared" si="9"/>
        <v>145.78333333338378</v>
      </c>
      <c r="L218" s="19">
        <f t="shared" si="10"/>
        <v>34</v>
      </c>
      <c r="M218" s="18" t="str">
        <f>IF(I218&lt;&gt;"Sí","",IF(YEAR(F218)&lt;&gt;2026,"",INDEX({"Enero","Febrero","Marzo","Abril","Mayo","Junio","Julio","Agosto","Septiembre","Octubre","Noviembre","Diciembre"},MONTH(F218))))</f>
        <v/>
      </c>
      <c r="N218" s="18" t="str">
        <f t="shared" si="11"/>
        <v/>
      </c>
    </row>
    <row r="219" spans="1:14" ht="14.5" x14ac:dyDescent="0.25">
      <c r="A219" s="19">
        <v>27</v>
      </c>
      <c r="B219" s="18" t="s">
        <v>34</v>
      </c>
      <c r="C219" s="18" t="s">
        <v>715</v>
      </c>
      <c r="D219" s="18" t="s">
        <v>716</v>
      </c>
      <c r="E219" s="18" t="s">
        <v>735</v>
      </c>
      <c r="F219" s="101">
        <v>46020.677777777775</v>
      </c>
      <c r="G219" s="101">
        <v>46026.745833333334</v>
      </c>
      <c r="H219" s="18" t="s">
        <v>718</v>
      </c>
      <c r="I219" s="18" t="s">
        <v>508</v>
      </c>
      <c r="J219" s="18"/>
      <c r="K219" s="21">
        <f t="shared" si="9"/>
        <v>145.6333333334187</v>
      </c>
      <c r="L219" s="19">
        <f t="shared" si="10"/>
        <v>34</v>
      </c>
      <c r="M219" s="18" t="str">
        <f>IF(I219&lt;&gt;"Sí","",IF(YEAR(F219)&lt;&gt;2026,"",INDEX({"Enero","Febrero","Marzo","Abril","Mayo","Junio","Julio","Agosto","Septiembre","Octubre","Noviembre","Diciembre"},MONTH(F219))))</f>
        <v/>
      </c>
      <c r="N219" s="18" t="str">
        <f t="shared" si="11"/>
        <v/>
      </c>
    </row>
    <row r="220" spans="1:14" ht="14.5" x14ac:dyDescent="0.25">
      <c r="A220" s="19">
        <v>27</v>
      </c>
      <c r="B220" s="18" t="s">
        <v>34</v>
      </c>
      <c r="C220" s="18" t="s">
        <v>715</v>
      </c>
      <c r="D220" s="18" t="s">
        <v>716</v>
      </c>
      <c r="E220" s="18" t="s">
        <v>736</v>
      </c>
      <c r="F220" s="101">
        <v>46020.69027777778</v>
      </c>
      <c r="G220" s="101">
        <v>46026.226388888892</v>
      </c>
      <c r="H220" s="18" t="s">
        <v>718</v>
      </c>
      <c r="I220" s="18" t="s">
        <v>508</v>
      </c>
      <c r="J220" s="18"/>
      <c r="K220" s="21">
        <f t="shared" si="9"/>
        <v>132.86666666669771</v>
      </c>
      <c r="L220" s="19">
        <f t="shared" si="10"/>
        <v>35</v>
      </c>
      <c r="M220" s="18" t="str">
        <f>IF(I220&lt;&gt;"Sí","",IF(YEAR(F220)&lt;&gt;2026,"",INDEX({"Enero","Febrero","Marzo","Abril","Mayo","Junio","Julio","Agosto","Septiembre","Octubre","Noviembre","Diciembre"},MONTH(F220))))</f>
        <v/>
      </c>
      <c r="N220" s="18" t="str">
        <f t="shared" si="11"/>
        <v/>
      </c>
    </row>
    <row r="221" spans="1:14" ht="14.5" x14ac:dyDescent="0.25">
      <c r="A221" s="19">
        <v>27</v>
      </c>
      <c r="B221" s="18" t="s">
        <v>34</v>
      </c>
      <c r="C221" s="18" t="s">
        <v>715</v>
      </c>
      <c r="D221" s="18" t="s">
        <v>716</v>
      </c>
      <c r="E221" s="18" t="s">
        <v>737</v>
      </c>
      <c r="F221" s="101">
        <v>46020.700694444444</v>
      </c>
      <c r="G221" s="101">
        <v>46026.744444444441</v>
      </c>
      <c r="H221" s="18" t="s">
        <v>718</v>
      </c>
      <c r="I221" s="18" t="s">
        <v>508</v>
      </c>
      <c r="J221" s="18"/>
      <c r="K221" s="21">
        <f t="shared" si="9"/>
        <v>145.04999999993015</v>
      </c>
      <c r="L221" s="19">
        <f t="shared" si="10"/>
        <v>37</v>
      </c>
      <c r="M221" s="18" t="str">
        <f>IF(I221&lt;&gt;"Sí","",IF(YEAR(F221)&lt;&gt;2026,"",INDEX({"Enero","Febrero","Marzo","Abril","Mayo","Junio","Julio","Agosto","Septiembre","Octubre","Noviembre","Diciembre"},MONTH(F221))))</f>
        <v/>
      </c>
      <c r="N221" s="18" t="str">
        <f t="shared" si="11"/>
        <v/>
      </c>
    </row>
    <row r="222" spans="1:14" ht="14.5" x14ac:dyDescent="0.25">
      <c r="A222" s="19">
        <v>27</v>
      </c>
      <c r="B222" s="18" t="s">
        <v>34</v>
      </c>
      <c r="C222" s="18" t="s">
        <v>715</v>
      </c>
      <c r="D222" s="18" t="s">
        <v>716</v>
      </c>
      <c r="E222" s="18" t="s">
        <v>738</v>
      </c>
      <c r="F222" s="101">
        <v>46020.700694444444</v>
      </c>
      <c r="G222" s="101">
        <v>46026.242361111108</v>
      </c>
      <c r="H222" s="18" t="s">
        <v>718</v>
      </c>
      <c r="I222" s="18" t="s">
        <v>508</v>
      </c>
      <c r="J222" s="18"/>
      <c r="K222" s="21">
        <f t="shared" si="9"/>
        <v>132.99999999994179</v>
      </c>
      <c r="L222" s="19">
        <f t="shared" si="10"/>
        <v>37</v>
      </c>
      <c r="M222" s="18" t="str">
        <f>IF(I222&lt;&gt;"Sí","",IF(YEAR(F222)&lt;&gt;2026,"",INDEX({"Enero","Febrero","Marzo","Abril","Mayo","Junio","Julio","Agosto","Septiembre","Octubre","Noviembre","Diciembre"},MONTH(F222))))</f>
        <v/>
      </c>
      <c r="N222" s="18" t="str">
        <f t="shared" si="11"/>
        <v/>
      </c>
    </row>
    <row r="223" spans="1:14" ht="14.5" x14ac:dyDescent="0.25">
      <c r="A223" s="19">
        <v>27</v>
      </c>
      <c r="B223" s="18" t="s">
        <v>34</v>
      </c>
      <c r="C223" s="18" t="s">
        <v>715</v>
      </c>
      <c r="D223" s="18" t="s">
        <v>716</v>
      </c>
      <c r="E223" s="18" t="s">
        <v>739</v>
      </c>
      <c r="F223" s="101">
        <v>46020.707638888889</v>
      </c>
      <c r="G223" s="101">
        <v>46026.199305555558</v>
      </c>
      <c r="H223" s="18" t="s">
        <v>718</v>
      </c>
      <c r="I223" s="18" t="s">
        <v>508</v>
      </c>
      <c r="J223" s="18"/>
      <c r="K223" s="21">
        <f t="shared" si="9"/>
        <v>131.80000000004657</v>
      </c>
      <c r="L223" s="19">
        <f t="shared" si="10"/>
        <v>38</v>
      </c>
      <c r="M223" s="18" t="str">
        <f>IF(I223&lt;&gt;"Sí","",IF(YEAR(F223)&lt;&gt;2026,"",INDEX({"Enero","Febrero","Marzo","Abril","Mayo","Junio","Julio","Agosto","Septiembre","Octubre","Noviembre","Diciembre"},MONTH(F223))))</f>
        <v/>
      </c>
      <c r="N223" s="18" t="str">
        <f t="shared" si="11"/>
        <v/>
      </c>
    </row>
    <row r="224" spans="1:14" ht="14.5" x14ac:dyDescent="0.25">
      <c r="A224" s="19">
        <v>27</v>
      </c>
      <c r="B224" s="18" t="s">
        <v>34</v>
      </c>
      <c r="C224" s="18" t="s">
        <v>715</v>
      </c>
      <c r="D224" s="18" t="s">
        <v>716</v>
      </c>
      <c r="E224" s="18" t="s">
        <v>740</v>
      </c>
      <c r="F224" s="101">
        <v>46021.617361111108</v>
      </c>
      <c r="G224" s="101">
        <v>46026.240277777775</v>
      </c>
      <c r="H224" s="18" t="s">
        <v>718</v>
      </c>
      <c r="I224" s="18" t="s">
        <v>508</v>
      </c>
      <c r="J224" s="18"/>
      <c r="K224" s="21">
        <f t="shared" si="9"/>
        <v>110.95000000001164</v>
      </c>
      <c r="L224" s="19">
        <f t="shared" si="10"/>
        <v>19</v>
      </c>
      <c r="M224" s="18" t="str">
        <f>IF(I224&lt;&gt;"Sí","",IF(YEAR(F224)&lt;&gt;2026,"",INDEX({"Enero","Febrero","Marzo","Abril","Mayo","Junio","Julio","Agosto","Septiembre","Octubre","Noviembre","Diciembre"},MONTH(F224))))</f>
        <v/>
      </c>
      <c r="N224" s="18" t="str">
        <f t="shared" si="11"/>
        <v/>
      </c>
    </row>
    <row r="225" spans="1:14" ht="14.5" x14ac:dyDescent="0.25">
      <c r="A225" s="19">
        <v>27</v>
      </c>
      <c r="B225" s="18" t="s">
        <v>34</v>
      </c>
      <c r="C225" s="18" t="s">
        <v>715</v>
      </c>
      <c r="D225" s="18" t="s">
        <v>716</v>
      </c>
      <c r="E225" s="18" t="s">
        <v>741</v>
      </c>
      <c r="F225" s="101">
        <v>46021.640972222223</v>
      </c>
      <c r="G225" s="101">
        <v>46026.228472222225</v>
      </c>
      <c r="H225" s="18" t="s">
        <v>718</v>
      </c>
      <c r="I225" s="18" t="s">
        <v>508</v>
      </c>
      <c r="J225" s="18"/>
      <c r="K225" s="21">
        <f t="shared" si="9"/>
        <v>110.10000000003492</v>
      </c>
      <c r="L225" s="19">
        <f t="shared" si="10"/>
        <v>20</v>
      </c>
      <c r="M225" s="18" t="str">
        <f>IF(I225&lt;&gt;"Sí","",IF(YEAR(F225)&lt;&gt;2026,"",INDEX({"Enero","Febrero","Marzo","Abril","Mayo","Junio","Julio","Agosto","Septiembre","Octubre","Noviembre","Diciembre"},MONTH(F225))))</f>
        <v/>
      </c>
      <c r="N225" s="18" t="str">
        <f t="shared" si="11"/>
        <v/>
      </c>
    </row>
    <row r="226" spans="1:14" ht="14.5" x14ac:dyDescent="0.25">
      <c r="A226" s="19">
        <v>27</v>
      </c>
      <c r="B226" s="18" t="s">
        <v>34</v>
      </c>
      <c r="C226" s="18" t="s">
        <v>715</v>
      </c>
      <c r="D226" s="18" t="s">
        <v>716</v>
      </c>
      <c r="E226" s="18" t="s">
        <v>742</v>
      </c>
      <c r="F226" s="101">
        <v>46021.657638888886</v>
      </c>
      <c r="G226" s="101">
        <v>46026.25</v>
      </c>
      <c r="H226" s="18" t="s">
        <v>718</v>
      </c>
      <c r="I226" s="18" t="s">
        <v>508</v>
      </c>
      <c r="J226" s="18"/>
      <c r="K226" s="21">
        <f t="shared" si="9"/>
        <v>110.21666666673264</v>
      </c>
      <c r="L226" s="19">
        <f t="shared" si="10"/>
        <v>28</v>
      </c>
      <c r="M226" s="18" t="str">
        <f>IF(I226&lt;&gt;"Sí","",IF(YEAR(F226)&lt;&gt;2026,"",INDEX({"Enero","Febrero","Marzo","Abril","Mayo","Junio","Julio","Agosto","Septiembre","Octubre","Noviembre","Diciembre"},MONTH(F226))))</f>
        <v/>
      </c>
      <c r="N226" s="18" t="str">
        <f t="shared" si="11"/>
        <v/>
      </c>
    </row>
    <row r="227" spans="1:14" ht="14.5" x14ac:dyDescent="0.25">
      <c r="A227" s="19">
        <v>27</v>
      </c>
      <c r="B227" s="18" t="s">
        <v>34</v>
      </c>
      <c r="C227" s="18" t="s">
        <v>715</v>
      </c>
      <c r="D227" s="18" t="s">
        <v>716</v>
      </c>
      <c r="E227" s="18" t="s">
        <v>743</v>
      </c>
      <c r="F227" s="101">
        <v>46021.657638888886</v>
      </c>
      <c r="G227" s="101">
        <v>46026.757638888892</v>
      </c>
      <c r="H227" s="18" t="s">
        <v>718</v>
      </c>
      <c r="I227" s="18" t="s">
        <v>508</v>
      </c>
      <c r="J227" s="18"/>
      <c r="K227" s="21">
        <f t="shared" si="9"/>
        <v>122.4000000001397</v>
      </c>
      <c r="L227" s="19">
        <f t="shared" si="10"/>
        <v>28</v>
      </c>
      <c r="M227" s="18" t="str">
        <f>IF(I227&lt;&gt;"Sí","",IF(YEAR(F227)&lt;&gt;2026,"",INDEX({"Enero","Febrero","Marzo","Abril","Mayo","Junio","Julio","Agosto","Septiembre","Octubre","Noviembre","Diciembre"},MONTH(F227))))</f>
        <v/>
      </c>
      <c r="N227" s="18" t="str">
        <f t="shared" si="11"/>
        <v/>
      </c>
    </row>
    <row r="228" spans="1:14" ht="14.5" x14ac:dyDescent="0.25">
      <c r="A228" s="19">
        <v>27</v>
      </c>
      <c r="B228" s="18" t="s">
        <v>34</v>
      </c>
      <c r="C228" s="18" t="s">
        <v>715</v>
      </c>
      <c r="D228" s="18" t="s">
        <v>716</v>
      </c>
      <c r="E228" s="18" t="s">
        <v>744</v>
      </c>
      <c r="F228" s="101">
        <v>46021.657638888886</v>
      </c>
      <c r="G228" s="101">
        <v>46026.247916666667</v>
      </c>
      <c r="H228" s="18" t="s">
        <v>718</v>
      </c>
      <c r="I228" s="18" t="s">
        <v>508</v>
      </c>
      <c r="J228" s="18"/>
      <c r="K228" s="21">
        <f t="shared" si="9"/>
        <v>110.16666666674428</v>
      </c>
      <c r="L228" s="19">
        <f t="shared" si="10"/>
        <v>28</v>
      </c>
      <c r="M228" s="18" t="str">
        <f>IF(I228&lt;&gt;"Sí","",IF(YEAR(F228)&lt;&gt;2026,"",INDEX({"Enero","Febrero","Marzo","Abril","Mayo","Junio","Julio","Agosto","Septiembre","Octubre","Noviembre","Diciembre"},MONTH(F228))))</f>
        <v/>
      </c>
      <c r="N228" s="18" t="str">
        <f t="shared" si="11"/>
        <v/>
      </c>
    </row>
    <row r="229" spans="1:14" ht="14.5" x14ac:dyDescent="0.25">
      <c r="A229" s="19">
        <v>27</v>
      </c>
      <c r="B229" s="18" t="s">
        <v>34</v>
      </c>
      <c r="C229" s="18" t="s">
        <v>715</v>
      </c>
      <c r="D229" s="18" t="s">
        <v>716</v>
      </c>
      <c r="E229" s="18" t="s">
        <v>745</v>
      </c>
      <c r="F229" s="101">
        <v>46021.657638888886</v>
      </c>
      <c r="G229" s="101">
        <v>46026.252083333333</v>
      </c>
      <c r="H229" s="18" t="s">
        <v>718</v>
      </c>
      <c r="I229" s="18" t="s">
        <v>508</v>
      </c>
      <c r="J229" s="18"/>
      <c r="K229" s="21">
        <f t="shared" si="9"/>
        <v>110.26666666672099</v>
      </c>
      <c r="L229" s="19">
        <f t="shared" si="10"/>
        <v>28</v>
      </c>
      <c r="M229" s="18" t="str">
        <f>IF(I229&lt;&gt;"Sí","",IF(YEAR(F229)&lt;&gt;2026,"",INDEX({"Enero","Febrero","Marzo","Abril","Mayo","Junio","Julio","Agosto","Septiembre","Octubre","Noviembre","Diciembre"},MONTH(F229))))</f>
        <v/>
      </c>
      <c r="N229" s="18" t="str">
        <f t="shared" si="11"/>
        <v/>
      </c>
    </row>
    <row r="230" spans="1:14" ht="14.5" x14ac:dyDescent="0.25">
      <c r="A230" s="19">
        <v>27</v>
      </c>
      <c r="B230" s="18" t="s">
        <v>34</v>
      </c>
      <c r="C230" s="18" t="s">
        <v>715</v>
      </c>
      <c r="D230" s="18" t="s">
        <v>716</v>
      </c>
      <c r="E230" s="18" t="s">
        <v>746</v>
      </c>
      <c r="F230" s="101">
        <v>46021.657638888886</v>
      </c>
      <c r="G230" s="101">
        <v>46026.197916666664</v>
      </c>
      <c r="H230" s="18" t="s">
        <v>718</v>
      </c>
      <c r="I230" s="18" t="s">
        <v>508</v>
      </c>
      <c r="J230" s="18"/>
      <c r="K230" s="21">
        <f t="shared" si="9"/>
        <v>108.96666666667443</v>
      </c>
      <c r="L230" s="19">
        <f t="shared" si="10"/>
        <v>28</v>
      </c>
      <c r="M230" s="18" t="str">
        <f>IF(I230&lt;&gt;"Sí","",IF(YEAR(F230)&lt;&gt;2026,"",INDEX({"Enero","Febrero","Marzo","Abril","Mayo","Junio","Julio","Agosto","Septiembre","Octubre","Noviembre","Diciembre"},MONTH(F230))))</f>
        <v/>
      </c>
      <c r="N230" s="18" t="str">
        <f t="shared" si="11"/>
        <v/>
      </c>
    </row>
    <row r="231" spans="1:14" ht="14.5" x14ac:dyDescent="0.25">
      <c r="A231" s="19">
        <v>27</v>
      </c>
      <c r="B231" s="18" t="s">
        <v>34</v>
      </c>
      <c r="C231" s="18" t="s">
        <v>715</v>
      </c>
      <c r="D231" s="18" t="s">
        <v>716</v>
      </c>
      <c r="E231" s="18" t="s">
        <v>747</v>
      </c>
      <c r="F231" s="101">
        <v>46021.657638888886</v>
      </c>
      <c r="G231" s="101">
        <v>46026.195833333331</v>
      </c>
      <c r="H231" s="18" t="s">
        <v>718</v>
      </c>
      <c r="I231" s="18" t="s">
        <v>508</v>
      </c>
      <c r="J231" s="18"/>
      <c r="K231" s="21">
        <f t="shared" si="9"/>
        <v>108.91666666668607</v>
      </c>
      <c r="L231" s="19">
        <f t="shared" si="10"/>
        <v>28</v>
      </c>
      <c r="M231" s="18" t="str">
        <f>IF(I231&lt;&gt;"Sí","",IF(YEAR(F231)&lt;&gt;2026,"",INDEX({"Enero","Febrero","Marzo","Abril","Mayo","Junio","Julio","Agosto","Septiembre","Octubre","Noviembre","Diciembre"},MONTH(F231))))</f>
        <v/>
      </c>
      <c r="N231" s="18" t="str">
        <f t="shared" si="11"/>
        <v/>
      </c>
    </row>
    <row r="232" spans="1:14" ht="14.5" x14ac:dyDescent="0.25">
      <c r="A232" s="19">
        <v>27</v>
      </c>
      <c r="B232" s="18" t="s">
        <v>34</v>
      </c>
      <c r="C232" s="18" t="s">
        <v>715</v>
      </c>
      <c r="D232" s="18" t="s">
        <v>716</v>
      </c>
      <c r="E232" s="18" t="s">
        <v>748</v>
      </c>
      <c r="F232" s="101">
        <v>46021.657638888886</v>
      </c>
      <c r="G232" s="101">
        <v>46026.75</v>
      </c>
      <c r="H232" s="18" t="s">
        <v>718</v>
      </c>
      <c r="I232" s="18" t="s">
        <v>508</v>
      </c>
      <c r="J232" s="18"/>
      <c r="K232" s="21">
        <f t="shared" si="9"/>
        <v>122.21666666673264</v>
      </c>
      <c r="L232" s="19">
        <f t="shared" si="10"/>
        <v>28</v>
      </c>
      <c r="M232" s="18" t="str">
        <f>IF(I232&lt;&gt;"Sí","",IF(YEAR(F232)&lt;&gt;2026,"",INDEX({"Enero","Febrero","Marzo","Abril","Mayo","Junio","Julio","Agosto","Septiembre","Octubre","Noviembre","Diciembre"},MONTH(F232))))</f>
        <v/>
      </c>
      <c r="N232" s="18" t="str">
        <f t="shared" si="11"/>
        <v/>
      </c>
    </row>
    <row r="233" spans="1:14" ht="14.5" x14ac:dyDescent="0.25">
      <c r="A233" s="19">
        <v>27</v>
      </c>
      <c r="B233" s="18" t="s">
        <v>34</v>
      </c>
      <c r="C233" s="18" t="s">
        <v>715</v>
      </c>
      <c r="D233" s="18" t="s">
        <v>716</v>
      </c>
      <c r="E233" s="18" t="s">
        <v>749</v>
      </c>
      <c r="F233" s="101">
        <v>46021.657638888886</v>
      </c>
      <c r="G233" s="101">
        <v>46026.804861111108</v>
      </c>
      <c r="H233" s="18" t="s">
        <v>718</v>
      </c>
      <c r="I233" s="18" t="s">
        <v>508</v>
      </c>
      <c r="J233" s="18"/>
      <c r="K233" s="21">
        <f t="shared" si="9"/>
        <v>123.53333333332557</v>
      </c>
      <c r="L233" s="19">
        <f t="shared" si="10"/>
        <v>28</v>
      </c>
      <c r="M233" s="18" t="str">
        <f>IF(I233&lt;&gt;"Sí","",IF(YEAR(F233)&lt;&gt;2026,"",INDEX({"Enero","Febrero","Marzo","Abril","Mayo","Junio","Julio","Agosto","Septiembre","Octubre","Noviembre","Diciembre"},MONTH(F233))))</f>
        <v/>
      </c>
      <c r="N233" s="18" t="str">
        <f t="shared" si="11"/>
        <v/>
      </c>
    </row>
    <row r="234" spans="1:14" ht="14.5" x14ac:dyDescent="0.25">
      <c r="A234" s="19">
        <v>27</v>
      </c>
      <c r="B234" s="18" t="s">
        <v>34</v>
      </c>
      <c r="C234" s="18" t="s">
        <v>715</v>
      </c>
      <c r="D234" s="18" t="s">
        <v>716</v>
      </c>
      <c r="E234" s="18" t="s">
        <v>750</v>
      </c>
      <c r="F234" s="101">
        <v>46021.667361111111</v>
      </c>
      <c r="G234" s="101">
        <v>46026.193749999999</v>
      </c>
      <c r="H234" s="18" t="s">
        <v>718</v>
      </c>
      <c r="I234" s="18" t="s">
        <v>508</v>
      </c>
      <c r="J234" s="18"/>
      <c r="K234" s="21">
        <f t="shared" si="9"/>
        <v>108.63333333330229</v>
      </c>
      <c r="L234" s="19">
        <f t="shared" si="10"/>
        <v>29</v>
      </c>
      <c r="M234" s="18" t="str">
        <f>IF(I234&lt;&gt;"Sí","",IF(YEAR(F234)&lt;&gt;2026,"",INDEX({"Enero","Febrero","Marzo","Abril","Mayo","Junio","Julio","Agosto","Septiembre","Octubre","Noviembre","Diciembre"},MONTH(F234))))</f>
        <v/>
      </c>
      <c r="N234" s="18" t="str">
        <f t="shared" si="11"/>
        <v/>
      </c>
    </row>
    <row r="235" spans="1:14" ht="14.5" x14ac:dyDescent="0.25">
      <c r="A235" s="19">
        <v>27</v>
      </c>
      <c r="B235" s="18" t="s">
        <v>34</v>
      </c>
      <c r="C235" s="18" t="s">
        <v>751</v>
      </c>
      <c r="D235" s="18" t="s">
        <v>752</v>
      </c>
      <c r="E235" s="18" t="s">
        <v>753</v>
      </c>
      <c r="F235" s="101">
        <v>46024.02847222222</v>
      </c>
      <c r="G235" s="101">
        <v>46023.992361111108</v>
      </c>
      <c r="H235" s="18" t="s">
        <v>754</v>
      </c>
      <c r="I235" s="18" t="s">
        <v>555</v>
      </c>
      <c r="J235" s="18" t="s">
        <v>755</v>
      </c>
      <c r="K235" s="21" t="str">
        <f t="shared" si="9"/>
        <v/>
      </c>
      <c r="L235" s="19" t="str">
        <f t="shared" si="10"/>
        <v/>
      </c>
      <c r="M235" s="18" t="str">
        <f>IF(I235&lt;&gt;"Sí","",IF(YEAR(F235)&lt;&gt;2026,"",INDEX({"Enero","Febrero","Marzo","Abril","Mayo","Junio","Julio","Agosto","Septiembre","Octubre","Noviembre","Diciembre"},MONTH(F235))))</f>
        <v/>
      </c>
      <c r="N235" s="18" t="str">
        <f t="shared" si="11"/>
        <v/>
      </c>
    </row>
    <row r="236" spans="1:14" ht="14.5" x14ac:dyDescent="0.25">
      <c r="A236" s="19">
        <v>27</v>
      </c>
      <c r="B236" s="18" t="s">
        <v>34</v>
      </c>
      <c r="C236" s="18" t="s">
        <v>92</v>
      </c>
      <c r="D236" s="18" t="s">
        <v>756</v>
      </c>
      <c r="E236" s="18" t="s">
        <v>757</v>
      </c>
      <c r="F236" s="101"/>
      <c r="G236" s="101">
        <v>46024.98541666667</v>
      </c>
      <c r="H236" s="18" t="s">
        <v>554</v>
      </c>
      <c r="I236" s="18" t="s">
        <v>555</v>
      </c>
      <c r="J236" s="18" t="s">
        <v>556</v>
      </c>
      <c r="K236" s="21" t="str">
        <f t="shared" si="9"/>
        <v/>
      </c>
      <c r="L236" s="19" t="str">
        <f t="shared" si="10"/>
        <v/>
      </c>
      <c r="M236" s="18" t="str">
        <f>IF(I236&lt;&gt;"Sí","",IF(YEAR(F236)&lt;&gt;2026,"",INDEX({"Enero","Febrero","Marzo","Abril","Mayo","Junio","Julio","Agosto","Septiembre","Octubre","Noviembre","Diciembre"},MONTH(F236))))</f>
        <v/>
      </c>
      <c r="N236" s="18" t="str">
        <f t="shared" si="11"/>
        <v/>
      </c>
    </row>
    <row r="237" spans="1:14" ht="14.5" x14ac:dyDescent="0.25">
      <c r="A237" s="19">
        <v>27</v>
      </c>
      <c r="B237" s="18" t="s">
        <v>34</v>
      </c>
      <c r="C237" s="18" t="s">
        <v>85</v>
      </c>
      <c r="D237" s="18" t="s">
        <v>758</v>
      </c>
      <c r="E237" s="18" t="s">
        <v>759</v>
      </c>
      <c r="F237" s="101">
        <v>46027.589583333334</v>
      </c>
      <c r="G237" s="101">
        <v>46034.5</v>
      </c>
      <c r="H237" s="18" t="s">
        <v>507</v>
      </c>
      <c r="I237" s="18" t="s">
        <v>508</v>
      </c>
      <c r="J237" s="18"/>
      <c r="K237" s="21">
        <f t="shared" si="9"/>
        <v>165.84999999997672</v>
      </c>
      <c r="L237" s="19">
        <f t="shared" si="10"/>
        <v>1</v>
      </c>
      <c r="M237" s="18" t="str">
        <f>IF(I237&lt;&gt;"Sí","",IF(YEAR(F237)&lt;&gt;2026,"",INDEX({"Enero","Febrero","Marzo","Abril","Mayo","Junio","Julio","Agosto","Septiembre","Octubre","Noviembre","Diciembre"},MONTH(F237))))</f>
        <v>Enero</v>
      </c>
      <c r="N237" s="18" t="str">
        <f t="shared" si="11"/>
        <v>Enero|1</v>
      </c>
    </row>
    <row r="238" spans="1:14" ht="14.5" x14ac:dyDescent="0.25">
      <c r="A238" s="19">
        <v>27</v>
      </c>
      <c r="B238" s="18" t="s">
        <v>34</v>
      </c>
      <c r="C238" s="18" t="s">
        <v>85</v>
      </c>
      <c r="D238" s="18" t="s">
        <v>758</v>
      </c>
      <c r="E238" s="18" t="s">
        <v>760</v>
      </c>
      <c r="F238" s="101">
        <v>46027.617361111108</v>
      </c>
      <c r="G238" s="101">
        <v>46033.493055555555</v>
      </c>
      <c r="H238" s="18" t="s">
        <v>718</v>
      </c>
      <c r="I238" s="18" t="s">
        <v>508</v>
      </c>
      <c r="J238" s="18"/>
      <c r="K238" s="21">
        <f t="shared" si="9"/>
        <v>141.01666666672099</v>
      </c>
      <c r="L238" s="19">
        <f t="shared" si="10"/>
        <v>3</v>
      </c>
      <c r="M238" s="18" t="str">
        <f>IF(I238&lt;&gt;"Sí","",IF(YEAR(F238)&lt;&gt;2026,"",INDEX({"Enero","Febrero","Marzo","Abril","Mayo","Junio","Julio","Agosto","Septiembre","Octubre","Noviembre","Diciembre"},MONTH(F238))))</f>
        <v>Enero</v>
      </c>
      <c r="N238" s="18" t="str">
        <f t="shared" si="11"/>
        <v>Enero|3</v>
      </c>
    </row>
    <row r="239" spans="1:14" ht="14.5" x14ac:dyDescent="0.25">
      <c r="A239" s="19">
        <v>27</v>
      </c>
      <c r="B239" s="18" t="s">
        <v>34</v>
      </c>
      <c r="C239" s="18" t="s">
        <v>761</v>
      </c>
      <c r="D239" s="18" t="s">
        <v>762</v>
      </c>
      <c r="E239" s="18" t="s">
        <v>763</v>
      </c>
      <c r="F239" s="101">
        <v>46027.617361111108</v>
      </c>
      <c r="G239" s="101">
        <v>46041.576388888891</v>
      </c>
      <c r="H239" s="18" t="s">
        <v>718</v>
      </c>
      <c r="I239" s="18" t="s">
        <v>508</v>
      </c>
      <c r="J239" s="18"/>
      <c r="K239" s="21">
        <f t="shared" si="9"/>
        <v>335.0166666667792</v>
      </c>
      <c r="L239" s="19">
        <f t="shared" si="10"/>
        <v>3</v>
      </c>
      <c r="M239" s="18" t="str">
        <f>IF(I239&lt;&gt;"Sí","",IF(YEAR(F239)&lt;&gt;2026,"",INDEX({"Enero","Febrero","Marzo","Abril","Mayo","Junio","Julio","Agosto","Septiembre","Octubre","Noviembre","Diciembre"},MONTH(F239))))</f>
        <v>Enero</v>
      </c>
      <c r="N239" s="18" t="str">
        <f t="shared" si="11"/>
        <v>Enero|3</v>
      </c>
    </row>
    <row r="240" spans="1:14" ht="14.5" x14ac:dyDescent="0.25">
      <c r="A240" s="19">
        <v>27</v>
      </c>
      <c r="B240" s="18" t="s">
        <v>34</v>
      </c>
      <c r="C240" s="18" t="s">
        <v>85</v>
      </c>
      <c r="D240" s="18" t="s">
        <v>758</v>
      </c>
      <c r="E240" s="18" t="s">
        <v>764</v>
      </c>
      <c r="F240" s="101">
        <v>46027.642361111109</v>
      </c>
      <c r="G240" s="101">
        <v>46034.5</v>
      </c>
      <c r="H240" s="18" t="s">
        <v>718</v>
      </c>
      <c r="I240" s="18" t="s">
        <v>508</v>
      </c>
      <c r="J240" s="18"/>
      <c r="K240" s="21">
        <f t="shared" si="9"/>
        <v>164.58333333337214</v>
      </c>
      <c r="L240" s="19">
        <f t="shared" si="10"/>
        <v>7</v>
      </c>
      <c r="M240" s="18" t="str">
        <f>IF(I240&lt;&gt;"Sí","",IF(YEAR(F240)&lt;&gt;2026,"",INDEX({"Enero","Febrero","Marzo","Abril","Mayo","Junio","Julio","Agosto","Septiembre","Octubre","Noviembre","Diciembre"},MONTH(F240))))</f>
        <v>Enero</v>
      </c>
      <c r="N240" s="18" t="str">
        <f t="shared" si="11"/>
        <v>Enero|7</v>
      </c>
    </row>
    <row r="241" spans="1:14" ht="14.5" x14ac:dyDescent="0.25">
      <c r="A241" s="19">
        <v>27</v>
      </c>
      <c r="B241" s="18" t="s">
        <v>34</v>
      </c>
      <c r="C241" s="18" t="s">
        <v>85</v>
      </c>
      <c r="D241" s="18" t="s">
        <v>758</v>
      </c>
      <c r="E241" s="18" t="s">
        <v>765</v>
      </c>
      <c r="F241" s="101">
        <v>46027.642361111109</v>
      </c>
      <c r="G241" s="101">
        <v>46033.493055555555</v>
      </c>
      <c r="H241" s="18" t="s">
        <v>718</v>
      </c>
      <c r="I241" s="18" t="s">
        <v>508</v>
      </c>
      <c r="J241" s="18"/>
      <c r="K241" s="21">
        <f t="shared" si="9"/>
        <v>140.41666666668607</v>
      </c>
      <c r="L241" s="19">
        <f t="shared" si="10"/>
        <v>7</v>
      </c>
      <c r="M241" s="18" t="str">
        <f>IF(I241&lt;&gt;"Sí","",IF(YEAR(F241)&lt;&gt;2026,"",INDEX({"Enero","Febrero","Marzo","Abril","Mayo","Junio","Julio","Agosto","Septiembre","Octubre","Noviembre","Diciembre"},MONTH(F241))))</f>
        <v>Enero</v>
      </c>
      <c r="N241" s="18" t="str">
        <f t="shared" si="11"/>
        <v>Enero|7</v>
      </c>
    </row>
    <row r="242" spans="1:14" ht="14.5" x14ac:dyDescent="0.25">
      <c r="A242" s="19">
        <v>27</v>
      </c>
      <c r="B242" s="18" t="s">
        <v>34</v>
      </c>
      <c r="C242" s="18" t="s">
        <v>85</v>
      </c>
      <c r="D242" s="18" t="s">
        <v>758</v>
      </c>
      <c r="E242" s="18" t="s">
        <v>766</v>
      </c>
      <c r="F242" s="101">
        <v>46027.642361111109</v>
      </c>
      <c r="G242" s="101">
        <v>46034.5</v>
      </c>
      <c r="H242" s="18" t="s">
        <v>718</v>
      </c>
      <c r="I242" s="18" t="s">
        <v>508</v>
      </c>
      <c r="J242" s="18"/>
      <c r="K242" s="21">
        <f t="shared" si="9"/>
        <v>164.58333333337214</v>
      </c>
      <c r="L242" s="19">
        <f t="shared" si="10"/>
        <v>7</v>
      </c>
      <c r="M242" s="18" t="str">
        <f>IF(I242&lt;&gt;"Sí","",IF(YEAR(F242)&lt;&gt;2026,"",INDEX({"Enero","Febrero","Marzo","Abril","Mayo","Junio","Julio","Agosto","Septiembre","Octubre","Noviembre","Diciembre"},MONTH(F242))))</f>
        <v>Enero</v>
      </c>
      <c r="N242" s="18" t="str">
        <f t="shared" si="11"/>
        <v>Enero|7</v>
      </c>
    </row>
    <row r="243" spans="1:14" ht="14.5" x14ac:dyDescent="0.25">
      <c r="A243" s="19">
        <v>27</v>
      </c>
      <c r="B243" s="18" t="s">
        <v>34</v>
      </c>
      <c r="C243" s="18" t="s">
        <v>85</v>
      </c>
      <c r="D243" s="18" t="s">
        <v>758</v>
      </c>
      <c r="E243" s="18" t="s">
        <v>767</v>
      </c>
      <c r="F243" s="101">
        <v>46027.642361111109</v>
      </c>
      <c r="G243" s="101">
        <v>46034.088194444441</v>
      </c>
      <c r="H243" s="18" t="s">
        <v>718</v>
      </c>
      <c r="I243" s="18" t="s">
        <v>508</v>
      </c>
      <c r="J243" s="18"/>
      <c r="K243" s="21">
        <f t="shared" si="9"/>
        <v>154.69999999995343</v>
      </c>
      <c r="L243" s="19">
        <f t="shared" si="10"/>
        <v>7</v>
      </c>
      <c r="M243" s="18" t="str">
        <f>IF(I243&lt;&gt;"Sí","",IF(YEAR(F243)&lt;&gt;2026,"",INDEX({"Enero","Febrero","Marzo","Abril","Mayo","Junio","Julio","Agosto","Septiembre","Octubre","Noviembre","Diciembre"},MONTH(F243))))</f>
        <v>Enero</v>
      </c>
      <c r="N243" s="18" t="str">
        <f t="shared" si="11"/>
        <v>Enero|7</v>
      </c>
    </row>
    <row r="244" spans="1:14" ht="14.5" x14ac:dyDescent="0.25">
      <c r="A244" s="19">
        <v>27</v>
      </c>
      <c r="B244" s="18" t="s">
        <v>34</v>
      </c>
      <c r="C244" s="18" t="s">
        <v>85</v>
      </c>
      <c r="D244" s="18" t="s">
        <v>758</v>
      </c>
      <c r="E244" s="18" t="s">
        <v>768</v>
      </c>
      <c r="F244" s="101">
        <v>46027.645833333336</v>
      </c>
      <c r="G244" s="101">
        <v>46034.5</v>
      </c>
      <c r="H244" s="18" t="s">
        <v>718</v>
      </c>
      <c r="I244" s="18" t="s">
        <v>508</v>
      </c>
      <c r="J244" s="18"/>
      <c r="K244" s="21">
        <f t="shared" si="9"/>
        <v>164.49999999994179</v>
      </c>
      <c r="L244" s="19">
        <f t="shared" si="10"/>
        <v>11</v>
      </c>
      <c r="M244" s="18" t="str">
        <f>IF(I244&lt;&gt;"Sí","",IF(YEAR(F244)&lt;&gt;2026,"",INDEX({"Enero","Febrero","Marzo","Abril","Mayo","Junio","Julio","Agosto","Septiembre","Octubre","Noviembre","Diciembre"},MONTH(F244))))</f>
        <v>Enero</v>
      </c>
      <c r="N244" s="18" t="str">
        <f t="shared" si="11"/>
        <v>Enero|11</v>
      </c>
    </row>
    <row r="245" spans="1:14" ht="14.5" x14ac:dyDescent="0.25">
      <c r="A245" s="19">
        <v>27</v>
      </c>
      <c r="B245" s="18" t="s">
        <v>34</v>
      </c>
      <c r="C245" s="18" t="s">
        <v>85</v>
      </c>
      <c r="D245" s="18" t="s">
        <v>758</v>
      </c>
      <c r="E245" s="18" t="s">
        <v>769</v>
      </c>
      <c r="F245" s="101">
        <v>46027.645833333336</v>
      </c>
      <c r="G245" s="101">
        <v>46034.083333333336</v>
      </c>
      <c r="H245" s="18" t="s">
        <v>718</v>
      </c>
      <c r="I245" s="18" t="s">
        <v>508</v>
      </c>
      <c r="J245" s="18"/>
      <c r="K245" s="21">
        <f t="shared" si="9"/>
        <v>154.5</v>
      </c>
      <c r="L245" s="19">
        <f t="shared" si="10"/>
        <v>11</v>
      </c>
      <c r="M245" s="18" t="str">
        <f>IF(I245&lt;&gt;"Sí","",IF(YEAR(F245)&lt;&gt;2026,"",INDEX({"Enero","Febrero","Marzo","Abril","Mayo","Junio","Julio","Agosto","Septiembre","Octubre","Noviembre","Diciembre"},MONTH(F245))))</f>
        <v>Enero</v>
      </c>
      <c r="N245" s="18" t="str">
        <f t="shared" si="11"/>
        <v>Enero|11</v>
      </c>
    </row>
    <row r="246" spans="1:14" ht="14.5" x14ac:dyDescent="0.25">
      <c r="A246" s="19">
        <v>27</v>
      </c>
      <c r="B246" s="18" t="s">
        <v>34</v>
      </c>
      <c r="C246" s="18" t="s">
        <v>85</v>
      </c>
      <c r="D246" s="18" t="s">
        <v>758</v>
      </c>
      <c r="E246" s="18" t="s">
        <v>770</v>
      </c>
      <c r="F246" s="101">
        <v>46027.645833333336</v>
      </c>
      <c r="G246" s="101">
        <v>46034.5</v>
      </c>
      <c r="H246" s="18" t="s">
        <v>718</v>
      </c>
      <c r="I246" s="18" t="s">
        <v>508</v>
      </c>
      <c r="J246" s="18"/>
      <c r="K246" s="21">
        <f t="shared" si="9"/>
        <v>164.49999999994179</v>
      </c>
      <c r="L246" s="19">
        <f t="shared" si="10"/>
        <v>11</v>
      </c>
      <c r="M246" s="18" t="str">
        <f>IF(I246&lt;&gt;"Sí","",IF(YEAR(F246)&lt;&gt;2026,"",INDEX({"Enero","Febrero","Marzo","Abril","Mayo","Junio","Julio","Agosto","Septiembre","Octubre","Noviembre","Diciembre"},MONTH(F246))))</f>
        <v>Enero</v>
      </c>
      <c r="N246" s="18" t="str">
        <f t="shared" si="11"/>
        <v>Enero|11</v>
      </c>
    </row>
    <row r="247" spans="1:14" ht="14.5" x14ac:dyDescent="0.25">
      <c r="A247" s="19">
        <v>27</v>
      </c>
      <c r="B247" s="18" t="s">
        <v>34</v>
      </c>
      <c r="C247" s="18" t="s">
        <v>85</v>
      </c>
      <c r="D247" s="18" t="s">
        <v>758</v>
      </c>
      <c r="E247" s="18" t="s">
        <v>771</v>
      </c>
      <c r="F247" s="101">
        <v>46027.645833333336</v>
      </c>
      <c r="G247" s="101">
        <v>46033.493055555555</v>
      </c>
      <c r="H247" s="18" t="s">
        <v>718</v>
      </c>
      <c r="I247" s="18" t="s">
        <v>508</v>
      </c>
      <c r="J247" s="18"/>
      <c r="K247" s="21">
        <f t="shared" si="9"/>
        <v>140.33333333325572</v>
      </c>
      <c r="L247" s="19">
        <f t="shared" si="10"/>
        <v>11</v>
      </c>
      <c r="M247" s="18" t="str">
        <f>IF(I247&lt;&gt;"Sí","",IF(YEAR(F247)&lt;&gt;2026,"",INDEX({"Enero","Febrero","Marzo","Abril","Mayo","Junio","Julio","Agosto","Septiembre","Octubre","Noviembre","Diciembre"},MONTH(F247))))</f>
        <v>Enero</v>
      </c>
      <c r="N247" s="18" t="str">
        <f t="shared" si="11"/>
        <v>Enero|11</v>
      </c>
    </row>
    <row r="248" spans="1:14" ht="14.5" x14ac:dyDescent="0.25">
      <c r="A248" s="19">
        <v>27</v>
      </c>
      <c r="B248" s="18" t="s">
        <v>34</v>
      </c>
      <c r="C248" s="18" t="s">
        <v>85</v>
      </c>
      <c r="D248" s="18" t="s">
        <v>758</v>
      </c>
      <c r="E248" s="18" t="s">
        <v>772</v>
      </c>
      <c r="F248" s="101">
        <v>46027.696527777778</v>
      </c>
      <c r="G248" s="101">
        <v>46034.088194444441</v>
      </c>
      <c r="H248" s="18" t="s">
        <v>718</v>
      </c>
      <c r="I248" s="18" t="s">
        <v>508</v>
      </c>
      <c r="J248" s="18"/>
      <c r="K248" s="21">
        <f t="shared" si="9"/>
        <v>153.39999999990687</v>
      </c>
      <c r="L248" s="19">
        <f t="shared" si="10"/>
        <v>12</v>
      </c>
      <c r="M248" s="18" t="str">
        <f>IF(I248&lt;&gt;"Sí","",IF(YEAR(F248)&lt;&gt;2026,"",INDEX({"Enero","Febrero","Marzo","Abril","Mayo","Junio","Julio","Agosto","Septiembre","Octubre","Noviembre","Diciembre"},MONTH(F248))))</f>
        <v>Enero</v>
      </c>
      <c r="N248" s="18" t="str">
        <f t="shared" si="11"/>
        <v>Enero|12</v>
      </c>
    </row>
    <row r="249" spans="1:14" ht="14.5" x14ac:dyDescent="0.25">
      <c r="A249" s="19">
        <v>27</v>
      </c>
      <c r="B249" s="18" t="s">
        <v>34</v>
      </c>
      <c r="C249" s="18" t="s">
        <v>85</v>
      </c>
      <c r="D249" s="18" t="s">
        <v>758</v>
      </c>
      <c r="E249" s="18" t="s">
        <v>773</v>
      </c>
      <c r="F249" s="101">
        <v>46027.728472222225</v>
      </c>
      <c r="G249" s="101">
        <v>46034.083333333336</v>
      </c>
      <c r="H249" s="18" t="s">
        <v>718</v>
      </c>
      <c r="I249" s="18" t="s">
        <v>508</v>
      </c>
      <c r="J249" s="18"/>
      <c r="K249" s="21">
        <f t="shared" si="9"/>
        <v>152.51666666666279</v>
      </c>
      <c r="L249" s="19">
        <f t="shared" si="10"/>
        <v>13</v>
      </c>
      <c r="M249" s="18" t="str">
        <f>IF(I249&lt;&gt;"Sí","",IF(YEAR(F249)&lt;&gt;2026,"",INDEX({"Enero","Febrero","Marzo","Abril","Mayo","Junio","Julio","Agosto","Septiembre","Octubre","Noviembre","Diciembre"},MONTH(F249))))</f>
        <v>Enero</v>
      </c>
      <c r="N249" s="18" t="str">
        <f t="shared" si="11"/>
        <v>Enero|13</v>
      </c>
    </row>
    <row r="250" spans="1:14" ht="14.5" x14ac:dyDescent="0.25">
      <c r="A250" s="19">
        <v>27</v>
      </c>
      <c r="B250" s="18" t="s">
        <v>34</v>
      </c>
      <c r="C250" s="18" t="s">
        <v>85</v>
      </c>
      <c r="D250" s="18" t="s">
        <v>758</v>
      </c>
      <c r="E250" s="18" t="s">
        <v>774</v>
      </c>
      <c r="F250" s="101">
        <v>46028.481944444444</v>
      </c>
      <c r="G250" s="101">
        <v>46033.493055555555</v>
      </c>
      <c r="H250" s="18" t="s">
        <v>718</v>
      </c>
      <c r="I250" s="18" t="s">
        <v>508</v>
      </c>
      <c r="J250" s="18"/>
      <c r="K250" s="21">
        <f t="shared" si="9"/>
        <v>120.26666666666279</v>
      </c>
      <c r="L250" s="19">
        <f t="shared" si="10"/>
        <v>15</v>
      </c>
      <c r="M250" s="18" t="str">
        <f>IF(I250&lt;&gt;"Sí","",IF(YEAR(F250)&lt;&gt;2026,"",INDEX({"Enero","Febrero","Marzo","Abril","Mayo","Junio","Julio","Agosto","Septiembre","Octubre","Noviembre","Diciembre"},MONTH(F250))))</f>
        <v>Enero</v>
      </c>
      <c r="N250" s="18" t="str">
        <f t="shared" si="11"/>
        <v>Enero|15</v>
      </c>
    </row>
    <row r="251" spans="1:14" ht="14.5" x14ac:dyDescent="0.25">
      <c r="A251" s="19">
        <v>27</v>
      </c>
      <c r="B251" s="18" t="s">
        <v>34</v>
      </c>
      <c r="C251" s="18" t="s">
        <v>85</v>
      </c>
      <c r="D251" s="18" t="s">
        <v>758</v>
      </c>
      <c r="E251" s="18" t="s">
        <v>775</v>
      </c>
      <c r="F251" s="101">
        <v>46028.481944444444</v>
      </c>
      <c r="G251" s="101">
        <v>46033.565972222219</v>
      </c>
      <c r="H251" s="18" t="s">
        <v>718</v>
      </c>
      <c r="I251" s="18" t="s">
        <v>508</v>
      </c>
      <c r="J251" s="18"/>
      <c r="K251" s="21">
        <f t="shared" si="9"/>
        <v>122.01666666660458</v>
      </c>
      <c r="L251" s="19">
        <f t="shared" si="10"/>
        <v>15</v>
      </c>
      <c r="M251" s="18" t="str">
        <f>IF(I251&lt;&gt;"Sí","",IF(YEAR(F251)&lt;&gt;2026,"",INDEX({"Enero","Febrero","Marzo","Abril","Mayo","Junio","Julio","Agosto","Septiembre","Octubre","Noviembre","Diciembre"},MONTH(F251))))</f>
        <v>Enero</v>
      </c>
      <c r="N251" s="18" t="str">
        <f t="shared" si="11"/>
        <v>Enero|15</v>
      </c>
    </row>
    <row r="252" spans="1:14" ht="14.5" x14ac:dyDescent="0.25">
      <c r="A252" s="19">
        <v>27</v>
      </c>
      <c r="B252" s="18" t="s">
        <v>34</v>
      </c>
      <c r="C252" s="18" t="s">
        <v>85</v>
      </c>
      <c r="D252" s="18" t="s">
        <v>758</v>
      </c>
      <c r="E252" s="18" t="s">
        <v>776</v>
      </c>
      <c r="F252" s="101">
        <v>46028.734722222223</v>
      </c>
      <c r="G252" s="101">
        <v>46034.088194444441</v>
      </c>
      <c r="H252" s="18" t="s">
        <v>718</v>
      </c>
      <c r="I252" s="18" t="s">
        <v>508</v>
      </c>
      <c r="J252" s="18"/>
      <c r="K252" s="21">
        <f t="shared" si="9"/>
        <v>128.4833333332208</v>
      </c>
      <c r="L252" s="19">
        <f t="shared" si="10"/>
        <v>16</v>
      </c>
      <c r="M252" s="18" t="str">
        <f>IF(I252&lt;&gt;"Sí","",IF(YEAR(F252)&lt;&gt;2026,"",INDEX({"Enero","Febrero","Marzo","Abril","Mayo","Junio","Julio","Agosto","Septiembre","Octubre","Noviembre","Diciembre"},MONTH(F252))))</f>
        <v>Enero</v>
      </c>
      <c r="N252" s="18" t="str">
        <f t="shared" si="11"/>
        <v>Enero|16</v>
      </c>
    </row>
    <row r="253" spans="1:14" ht="14.5" x14ac:dyDescent="0.25">
      <c r="A253" s="19">
        <v>27</v>
      </c>
      <c r="B253" s="18" t="s">
        <v>34</v>
      </c>
      <c r="C253" s="18" t="s">
        <v>85</v>
      </c>
      <c r="D253" s="18" t="s">
        <v>758</v>
      </c>
      <c r="E253" s="18" t="s">
        <v>777</v>
      </c>
      <c r="F253" s="101">
        <v>46029.658333333333</v>
      </c>
      <c r="G253" s="101">
        <v>46034.5</v>
      </c>
      <c r="H253" s="18" t="s">
        <v>718</v>
      </c>
      <c r="I253" s="18" t="s">
        <v>508</v>
      </c>
      <c r="J253" s="18"/>
      <c r="K253" s="21">
        <f t="shared" si="9"/>
        <v>116.20000000001164</v>
      </c>
      <c r="L253" s="19">
        <f t="shared" si="10"/>
        <v>17</v>
      </c>
      <c r="M253" s="18" t="str">
        <f>IF(I253&lt;&gt;"Sí","",IF(YEAR(F253)&lt;&gt;2026,"",INDEX({"Enero","Febrero","Marzo","Abril","Mayo","Junio","Julio","Agosto","Septiembre","Octubre","Noviembre","Diciembre"},MONTH(F253))))</f>
        <v>Enero</v>
      </c>
      <c r="N253" s="18" t="str">
        <f t="shared" si="11"/>
        <v>Enero|17</v>
      </c>
    </row>
    <row r="254" spans="1:14" ht="14.5" x14ac:dyDescent="0.25">
      <c r="A254" s="19">
        <v>27</v>
      </c>
      <c r="B254" s="18" t="s">
        <v>34</v>
      </c>
      <c r="C254" s="18" t="s">
        <v>106</v>
      </c>
      <c r="D254" s="18" t="s">
        <v>778</v>
      </c>
      <c r="E254" s="18" t="s">
        <v>779</v>
      </c>
      <c r="F254" s="101"/>
      <c r="G254" s="101">
        <v>46029.683333333334</v>
      </c>
      <c r="H254" s="18" t="s">
        <v>554</v>
      </c>
      <c r="I254" s="18" t="s">
        <v>555</v>
      </c>
      <c r="J254" s="18" t="s">
        <v>556</v>
      </c>
      <c r="K254" s="21" t="str">
        <f t="shared" si="9"/>
        <v/>
      </c>
      <c r="L254" s="19" t="str">
        <f t="shared" si="10"/>
        <v/>
      </c>
      <c r="M254" s="18" t="str">
        <f>IF(I254&lt;&gt;"Sí","",IF(YEAR(F254)&lt;&gt;2026,"",INDEX({"Enero","Febrero","Marzo","Abril","Mayo","Junio","Julio","Agosto","Septiembre","Octubre","Noviembre","Diciembre"},MONTH(F254))))</f>
        <v/>
      </c>
      <c r="N254" s="18" t="str">
        <f t="shared" si="11"/>
        <v/>
      </c>
    </row>
    <row r="255" spans="1:14" ht="14.5" x14ac:dyDescent="0.25">
      <c r="A255" s="19">
        <v>27</v>
      </c>
      <c r="B255" s="18" t="s">
        <v>34</v>
      </c>
      <c r="C255" s="18" t="s">
        <v>106</v>
      </c>
      <c r="D255" s="18" t="s">
        <v>778</v>
      </c>
      <c r="E255" s="18" t="s">
        <v>779</v>
      </c>
      <c r="F255" s="101">
        <v>46029.706250000003</v>
      </c>
      <c r="G255" s="101">
        <v>46044.705555555556</v>
      </c>
      <c r="H255" s="18" t="s">
        <v>554</v>
      </c>
      <c r="I255" s="18" t="s">
        <v>508</v>
      </c>
      <c r="J255" s="18"/>
      <c r="K255" s="21">
        <f t="shared" si="9"/>
        <v>359.98333333327901</v>
      </c>
      <c r="L255" s="19">
        <f t="shared" si="10"/>
        <v>18</v>
      </c>
      <c r="M255" s="18" t="str">
        <f>IF(I255&lt;&gt;"Sí","",IF(YEAR(F255)&lt;&gt;2026,"",INDEX({"Enero","Febrero","Marzo","Abril","Mayo","Junio","Julio","Agosto","Septiembre","Octubre","Noviembre","Diciembre"},MONTH(F255))))</f>
        <v>Enero</v>
      </c>
      <c r="N255" s="18" t="str">
        <f t="shared" si="11"/>
        <v>Enero|18</v>
      </c>
    </row>
    <row r="256" spans="1:14" ht="14.5" x14ac:dyDescent="0.25">
      <c r="A256" s="19">
        <v>27</v>
      </c>
      <c r="B256" s="18" t="s">
        <v>34</v>
      </c>
      <c r="C256" s="18" t="s">
        <v>95</v>
      </c>
      <c r="D256" s="18" t="s">
        <v>780</v>
      </c>
      <c r="E256" s="18" t="s">
        <v>781</v>
      </c>
      <c r="F256" s="101"/>
      <c r="G256" s="101">
        <v>46031.576388888891</v>
      </c>
      <c r="H256" s="18" t="s">
        <v>554</v>
      </c>
      <c r="I256" s="18" t="s">
        <v>555</v>
      </c>
      <c r="J256" s="18" t="s">
        <v>556</v>
      </c>
      <c r="K256" s="21" t="str">
        <f t="shared" si="9"/>
        <v/>
      </c>
      <c r="L256" s="19" t="str">
        <f t="shared" si="10"/>
        <v/>
      </c>
      <c r="M256" s="18" t="str">
        <f>IF(I256&lt;&gt;"Sí","",IF(YEAR(F256)&lt;&gt;2026,"",INDEX({"Enero","Febrero","Marzo","Abril","Mayo","Junio","Julio","Agosto","Septiembre","Octubre","Noviembre","Diciembre"},MONTH(F256))))</f>
        <v/>
      </c>
      <c r="N256" s="18" t="str">
        <f t="shared" si="11"/>
        <v/>
      </c>
    </row>
    <row r="257" spans="1:14" ht="14.5" x14ac:dyDescent="0.25">
      <c r="A257" s="19">
        <v>27</v>
      </c>
      <c r="B257" s="18" t="s">
        <v>34</v>
      </c>
      <c r="C257" s="18" t="s">
        <v>761</v>
      </c>
      <c r="D257" s="18" t="s">
        <v>762</v>
      </c>
      <c r="E257" s="18" t="s">
        <v>782</v>
      </c>
      <c r="F257" s="101">
        <v>46031.591666666667</v>
      </c>
      <c r="G257" s="101">
        <v>46040.55</v>
      </c>
      <c r="H257" s="18" t="s">
        <v>718</v>
      </c>
      <c r="I257" s="18" t="s">
        <v>508</v>
      </c>
      <c r="J257" s="18"/>
      <c r="K257" s="21">
        <f t="shared" si="9"/>
        <v>215.00000000005821</v>
      </c>
      <c r="L257" s="19">
        <f t="shared" si="10"/>
        <v>19</v>
      </c>
      <c r="M257" s="18" t="str">
        <f>IF(I257&lt;&gt;"Sí","",IF(YEAR(F257)&lt;&gt;2026,"",INDEX({"Enero","Febrero","Marzo","Abril","Mayo","Junio","Julio","Agosto","Septiembre","Octubre","Noviembre","Diciembre"},MONTH(F257))))</f>
        <v>Enero</v>
      </c>
      <c r="N257" s="18" t="str">
        <f t="shared" si="11"/>
        <v>Enero|19</v>
      </c>
    </row>
    <row r="258" spans="1:14" ht="14.5" x14ac:dyDescent="0.25">
      <c r="A258" s="19">
        <v>27</v>
      </c>
      <c r="B258" s="18" t="s">
        <v>34</v>
      </c>
      <c r="C258" s="18" t="s">
        <v>95</v>
      </c>
      <c r="D258" s="18" t="s">
        <v>780</v>
      </c>
      <c r="E258" s="18" t="s">
        <v>781</v>
      </c>
      <c r="F258" s="101">
        <v>46031.599305555559</v>
      </c>
      <c r="G258" s="101">
        <v>46034.740972222222</v>
      </c>
      <c r="H258" s="18" t="s">
        <v>554</v>
      </c>
      <c r="I258" s="18" t="s">
        <v>508</v>
      </c>
      <c r="J258" s="18"/>
      <c r="K258" s="21">
        <f t="shared" si="9"/>
        <v>75.399999999906868</v>
      </c>
      <c r="L258" s="19">
        <f t="shared" si="10"/>
        <v>20</v>
      </c>
      <c r="M258" s="18" t="str">
        <f>IF(I258&lt;&gt;"Sí","",IF(YEAR(F258)&lt;&gt;2026,"",INDEX({"Enero","Febrero","Marzo","Abril","Mayo","Junio","Julio","Agosto","Septiembre","Octubre","Noviembre","Diciembre"},MONTH(F258))))</f>
        <v>Enero</v>
      </c>
      <c r="N258" s="18" t="str">
        <f t="shared" si="11"/>
        <v>Enero|20</v>
      </c>
    </row>
    <row r="259" spans="1:14" ht="14.5" x14ac:dyDescent="0.25">
      <c r="A259" s="19">
        <v>27</v>
      </c>
      <c r="B259" s="18" t="s">
        <v>34</v>
      </c>
      <c r="C259" s="18" t="s">
        <v>761</v>
      </c>
      <c r="D259" s="18" t="s">
        <v>762</v>
      </c>
      <c r="E259" s="18" t="s">
        <v>783</v>
      </c>
      <c r="F259" s="101">
        <v>46034.488888888889</v>
      </c>
      <c r="G259" s="101">
        <v>46040.551388888889</v>
      </c>
      <c r="H259" s="18" t="s">
        <v>718</v>
      </c>
      <c r="I259" s="18" t="s">
        <v>508</v>
      </c>
      <c r="J259" s="18"/>
      <c r="K259" s="21">
        <f t="shared" si="9"/>
        <v>145.5</v>
      </c>
      <c r="L259" s="19">
        <f t="shared" si="10"/>
        <v>11</v>
      </c>
      <c r="M259" s="18" t="str">
        <f>IF(I259&lt;&gt;"Sí","",IF(YEAR(F259)&lt;&gt;2026,"",INDEX({"Enero","Febrero","Marzo","Abril","Mayo","Junio","Julio","Agosto","Septiembre","Octubre","Noviembre","Diciembre"},MONTH(F259))))</f>
        <v>Enero</v>
      </c>
      <c r="N259" s="18" t="str">
        <f t="shared" si="11"/>
        <v>Enero|11</v>
      </c>
    </row>
    <row r="260" spans="1:14" ht="14.5" x14ac:dyDescent="0.25">
      <c r="A260" s="19">
        <v>27</v>
      </c>
      <c r="B260" s="18" t="s">
        <v>34</v>
      </c>
      <c r="C260" s="18" t="s">
        <v>761</v>
      </c>
      <c r="D260" s="18" t="s">
        <v>762</v>
      </c>
      <c r="E260" s="18" t="s">
        <v>784</v>
      </c>
      <c r="F260" s="101">
        <v>46034.628472222219</v>
      </c>
      <c r="G260" s="101">
        <v>46041.781944444447</v>
      </c>
      <c r="H260" s="18" t="s">
        <v>718</v>
      </c>
      <c r="I260" s="18" t="s">
        <v>508</v>
      </c>
      <c r="J260" s="18"/>
      <c r="K260" s="21">
        <f t="shared" si="9"/>
        <v>171.68333333346527</v>
      </c>
      <c r="L260" s="19">
        <f t="shared" si="10"/>
        <v>6</v>
      </c>
      <c r="M260" s="18" t="str">
        <f>IF(I260&lt;&gt;"Sí","",IF(YEAR(F260)&lt;&gt;2026,"",INDEX({"Enero","Febrero","Marzo","Abril","Mayo","Junio","Julio","Agosto","Septiembre","Octubre","Noviembre","Diciembre"},MONTH(F260))))</f>
        <v>Enero</v>
      </c>
      <c r="N260" s="18" t="str">
        <f t="shared" si="11"/>
        <v>Enero|6</v>
      </c>
    </row>
    <row r="261" spans="1:14" ht="14.5" x14ac:dyDescent="0.25">
      <c r="A261" s="19">
        <v>27</v>
      </c>
      <c r="B261" s="18" t="s">
        <v>34</v>
      </c>
      <c r="C261" s="18" t="s">
        <v>761</v>
      </c>
      <c r="D261" s="18" t="s">
        <v>762</v>
      </c>
      <c r="E261" s="18" t="s">
        <v>785</v>
      </c>
      <c r="F261" s="101">
        <v>46035.474305555559</v>
      </c>
      <c r="G261" s="101">
        <v>46041.779166666667</v>
      </c>
      <c r="H261" s="18" t="s">
        <v>718</v>
      </c>
      <c r="I261" s="18" t="s">
        <v>508</v>
      </c>
      <c r="J261" s="18"/>
      <c r="K261" s="21">
        <f t="shared" si="9"/>
        <v>151.31666666659294</v>
      </c>
      <c r="L261" s="19">
        <f t="shared" si="10"/>
        <v>6</v>
      </c>
      <c r="M261" s="18" t="str">
        <f>IF(I261&lt;&gt;"Sí","",IF(YEAR(F261)&lt;&gt;2026,"",INDEX({"Enero","Febrero","Marzo","Abril","Mayo","Junio","Julio","Agosto","Septiembre","Octubre","Noviembre","Diciembre"},MONTH(F261))))</f>
        <v>Enero</v>
      </c>
      <c r="N261" s="18" t="str">
        <f t="shared" si="11"/>
        <v>Enero|6</v>
      </c>
    </row>
    <row r="262" spans="1:14" ht="14.5" x14ac:dyDescent="0.25">
      <c r="A262" s="19">
        <v>27</v>
      </c>
      <c r="B262" s="18" t="s">
        <v>34</v>
      </c>
      <c r="C262" s="18" t="s">
        <v>761</v>
      </c>
      <c r="D262" s="18" t="s">
        <v>762</v>
      </c>
      <c r="E262" s="18" t="s">
        <v>786</v>
      </c>
      <c r="F262" s="101">
        <v>46035.598611111112</v>
      </c>
      <c r="G262" s="101">
        <v>46041.776388888888</v>
      </c>
      <c r="H262" s="18" t="s">
        <v>718</v>
      </c>
      <c r="I262" s="18" t="s">
        <v>508</v>
      </c>
      <c r="J262" s="18"/>
      <c r="K262" s="21">
        <f t="shared" si="9"/>
        <v>148.26666666660458</v>
      </c>
      <c r="L262" s="19">
        <f t="shared" si="10"/>
        <v>7</v>
      </c>
      <c r="M262" s="18" t="str">
        <f>IF(I262&lt;&gt;"Sí","",IF(YEAR(F262)&lt;&gt;2026,"",INDEX({"Enero","Febrero","Marzo","Abril","Mayo","Junio","Julio","Agosto","Septiembre","Octubre","Noviembre","Diciembre"},MONTH(F262))))</f>
        <v>Enero</v>
      </c>
      <c r="N262" s="18" t="str">
        <f t="shared" si="11"/>
        <v>Enero|7</v>
      </c>
    </row>
    <row r="263" spans="1:14" ht="14.5" x14ac:dyDescent="0.25">
      <c r="A263" s="19">
        <v>27</v>
      </c>
      <c r="B263" s="18" t="s">
        <v>34</v>
      </c>
      <c r="C263" s="18" t="s">
        <v>761</v>
      </c>
      <c r="D263" s="18" t="s">
        <v>762</v>
      </c>
      <c r="E263" s="18" t="s">
        <v>787</v>
      </c>
      <c r="F263" s="101">
        <v>46036.543055555558</v>
      </c>
      <c r="G263" s="101">
        <v>46041.772916666669</v>
      </c>
      <c r="H263" s="18" t="s">
        <v>718</v>
      </c>
      <c r="I263" s="18" t="s">
        <v>508</v>
      </c>
      <c r="J263" s="18"/>
      <c r="K263" s="21">
        <f t="shared" ref="K263:K326" si="12">IF(I263="Sí",(G263-F263)*24,"")</f>
        <v>125.51666666666279</v>
      </c>
      <c r="L263" s="19">
        <f t="shared" ref="L263:L326" si="13">IF(I263="Sí",COUNTIFS($F$7:$F$4000,"&lt;="&amp;F263,$G$7:$G$4000,"&gt;"&amp;F263,$I$7:$I$4000,"Sí"),"")</f>
        <v>8</v>
      </c>
      <c r="M263" s="18" t="str">
        <f>IF(I263&lt;&gt;"Sí","",IF(YEAR(F263)&lt;&gt;2026,"",INDEX({"Enero","Febrero","Marzo","Abril","Mayo","Junio","Julio","Agosto","Septiembre","Octubre","Noviembre","Diciembre"},MONTH(F263))))</f>
        <v>Enero</v>
      </c>
      <c r="N263" s="18" t="str">
        <f t="shared" ref="N263:N326" si="14">IF(M263="","",M263&amp;"|"&amp;L263)</f>
        <v>Enero|8</v>
      </c>
    </row>
    <row r="264" spans="1:14" ht="14.5" x14ac:dyDescent="0.25">
      <c r="A264" s="19">
        <v>27</v>
      </c>
      <c r="B264" s="18" t="s">
        <v>34</v>
      </c>
      <c r="C264" s="18" t="s">
        <v>97</v>
      </c>
      <c r="D264" s="18" t="s">
        <v>788</v>
      </c>
      <c r="E264" s="18" t="s">
        <v>789</v>
      </c>
      <c r="F264" s="101">
        <v>46037.601388888892</v>
      </c>
      <c r="G264" s="101">
        <v>46038.915972222225</v>
      </c>
      <c r="H264" s="18" t="s">
        <v>718</v>
      </c>
      <c r="I264" s="18" t="s">
        <v>508</v>
      </c>
      <c r="J264" s="18"/>
      <c r="K264" s="21">
        <f t="shared" si="12"/>
        <v>31.549999999988358</v>
      </c>
      <c r="L264" s="19">
        <f t="shared" si="13"/>
        <v>9</v>
      </c>
      <c r="M264" s="18" t="str">
        <f>IF(I264&lt;&gt;"Sí","",IF(YEAR(F264)&lt;&gt;2026,"",INDEX({"Enero","Febrero","Marzo","Abril","Mayo","Junio","Julio","Agosto","Septiembre","Octubre","Noviembre","Diciembre"},MONTH(F264))))</f>
        <v>Enero</v>
      </c>
      <c r="N264" s="18" t="str">
        <f t="shared" si="14"/>
        <v>Enero|9</v>
      </c>
    </row>
    <row r="265" spans="1:14" ht="14.5" x14ac:dyDescent="0.25">
      <c r="A265" s="19">
        <v>27</v>
      </c>
      <c r="B265" s="18" t="s">
        <v>34</v>
      </c>
      <c r="C265" s="18" t="s">
        <v>89</v>
      </c>
      <c r="D265" s="18" t="s">
        <v>790</v>
      </c>
      <c r="E265" s="18" t="s">
        <v>791</v>
      </c>
      <c r="F265" s="101">
        <v>46038.489583333336</v>
      </c>
      <c r="G265" s="101">
        <v>46047.871527777781</v>
      </c>
      <c r="H265" s="18" t="s">
        <v>718</v>
      </c>
      <c r="I265" s="18" t="s">
        <v>508</v>
      </c>
      <c r="J265" s="18"/>
      <c r="K265" s="21">
        <f t="shared" si="12"/>
        <v>225.16666666668607</v>
      </c>
      <c r="L265" s="19">
        <f t="shared" si="13"/>
        <v>10</v>
      </c>
      <c r="M265" s="18" t="str">
        <f>IF(I265&lt;&gt;"Sí","",IF(YEAR(F265)&lt;&gt;2026,"",INDEX({"Enero","Febrero","Marzo","Abril","Mayo","Junio","Julio","Agosto","Septiembre","Octubre","Noviembre","Diciembre"},MONTH(F265))))</f>
        <v>Enero</v>
      </c>
      <c r="N265" s="18" t="str">
        <f t="shared" si="14"/>
        <v>Enero|10</v>
      </c>
    </row>
    <row r="266" spans="1:14" ht="14.5" x14ac:dyDescent="0.25">
      <c r="A266" s="19">
        <v>27</v>
      </c>
      <c r="B266" s="18" t="s">
        <v>34</v>
      </c>
      <c r="C266" s="18" t="s">
        <v>761</v>
      </c>
      <c r="D266" s="18" t="s">
        <v>762</v>
      </c>
      <c r="E266" s="18" t="s">
        <v>792</v>
      </c>
      <c r="F266" s="101"/>
      <c r="G266" s="101">
        <v>46039.36041666667</v>
      </c>
      <c r="H266" s="18" t="s">
        <v>554</v>
      </c>
      <c r="I266" s="18" t="s">
        <v>555</v>
      </c>
      <c r="J266" s="18" t="s">
        <v>556</v>
      </c>
      <c r="K266" s="21" t="str">
        <f t="shared" si="12"/>
        <v/>
      </c>
      <c r="L266" s="19" t="str">
        <f t="shared" si="13"/>
        <v/>
      </c>
      <c r="M266" s="18" t="str">
        <f>IF(I266&lt;&gt;"Sí","",IF(YEAR(F266)&lt;&gt;2026,"",INDEX({"Enero","Febrero","Marzo","Abril","Mayo","Junio","Julio","Agosto","Septiembre","Octubre","Noviembre","Diciembre"},MONTH(F266))))</f>
        <v/>
      </c>
      <c r="N266" s="18" t="str">
        <f t="shared" si="14"/>
        <v/>
      </c>
    </row>
    <row r="267" spans="1:14" ht="14.5" x14ac:dyDescent="0.25">
      <c r="A267" s="19">
        <v>27</v>
      </c>
      <c r="B267" s="18" t="s">
        <v>34</v>
      </c>
      <c r="C267" s="18" t="s">
        <v>89</v>
      </c>
      <c r="D267" s="18" t="s">
        <v>790</v>
      </c>
      <c r="E267" s="18" t="s">
        <v>793</v>
      </c>
      <c r="F267" s="101">
        <v>46039.530555555553</v>
      </c>
      <c r="G267" s="101">
        <v>46048.013194444444</v>
      </c>
      <c r="H267" s="18" t="s">
        <v>718</v>
      </c>
      <c r="I267" s="18" t="s">
        <v>508</v>
      </c>
      <c r="J267" s="18"/>
      <c r="K267" s="21">
        <f t="shared" si="12"/>
        <v>203.58333333337214</v>
      </c>
      <c r="L267" s="19">
        <f t="shared" si="13"/>
        <v>16</v>
      </c>
      <c r="M267" s="18" t="str">
        <f>IF(I267&lt;&gt;"Sí","",IF(YEAR(F267)&lt;&gt;2026,"",INDEX({"Enero","Febrero","Marzo","Abril","Mayo","Junio","Julio","Agosto","Septiembre","Octubre","Noviembre","Diciembre"},MONTH(F267))))</f>
        <v>Enero</v>
      </c>
      <c r="N267" s="18" t="str">
        <f t="shared" si="14"/>
        <v>Enero|16</v>
      </c>
    </row>
    <row r="268" spans="1:14" ht="14.5" x14ac:dyDescent="0.25">
      <c r="A268" s="19">
        <v>27</v>
      </c>
      <c r="B268" s="18" t="s">
        <v>34</v>
      </c>
      <c r="C268" s="18" t="s">
        <v>89</v>
      </c>
      <c r="D268" s="18" t="s">
        <v>790</v>
      </c>
      <c r="E268" s="18" t="s">
        <v>794</v>
      </c>
      <c r="F268" s="101">
        <v>46039.530555555553</v>
      </c>
      <c r="G268" s="101">
        <v>46048.013194444444</v>
      </c>
      <c r="H268" s="18" t="s">
        <v>718</v>
      </c>
      <c r="I268" s="18" t="s">
        <v>508</v>
      </c>
      <c r="J268" s="18"/>
      <c r="K268" s="21">
        <f t="shared" si="12"/>
        <v>203.58333333337214</v>
      </c>
      <c r="L268" s="19">
        <f t="shared" si="13"/>
        <v>16</v>
      </c>
      <c r="M268" s="18" t="str">
        <f>IF(I268&lt;&gt;"Sí","",IF(YEAR(F268)&lt;&gt;2026,"",INDEX({"Enero","Febrero","Marzo","Abril","Mayo","Junio","Julio","Agosto","Septiembre","Octubre","Noviembre","Diciembre"},MONTH(F268))))</f>
        <v>Enero</v>
      </c>
      <c r="N268" s="18" t="str">
        <f t="shared" si="14"/>
        <v>Enero|16</v>
      </c>
    </row>
    <row r="269" spans="1:14" ht="14.5" x14ac:dyDescent="0.25">
      <c r="A269" s="19">
        <v>27</v>
      </c>
      <c r="B269" s="18" t="s">
        <v>34</v>
      </c>
      <c r="C269" s="18" t="s">
        <v>89</v>
      </c>
      <c r="D269" s="18" t="s">
        <v>790</v>
      </c>
      <c r="E269" s="18" t="s">
        <v>795</v>
      </c>
      <c r="F269" s="101">
        <v>46039.530555555553</v>
      </c>
      <c r="G269" s="101">
        <v>46048.013194444444</v>
      </c>
      <c r="H269" s="18" t="s">
        <v>718</v>
      </c>
      <c r="I269" s="18" t="s">
        <v>508</v>
      </c>
      <c r="J269" s="18"/>
      <c r="K269" s="21">
        <f t="shared" si="12"/>
        <v>203.58333333337214</v>
      </c>
      <c r="L269" s="19">
        <f t="shared" si="13"/>
        <v>16</v>
      </c>
      <c r="M269" s="18" t="str">
        <f>IF(I269&lt;&gt;"Sí","",IF(YEAR(F269)&lt;&gt;2026,"",INDEX({"Enero","Febrero","Marzo","Abril","Mayo","Junio","Julio","Agosto","Septiembre","Octubre","Noviembre","Diciembre"},MONTH(F269))))</f>
        <v>Enero</v>
      </c>
      <c r="N269" s="18" t="str">
        <f t="shared" si="14"/>
        <v>Enero|16</v>
      </c>
    </row>
    <row r="270" spans="1:14" ht="14.5" x14ac:dyDescent="0.25">
      <c r="A270" s="19">
        <v>27</v>
      </c>
      <c r="B270" s="18" t="s">
        <v>34</v>
      </c>
      <c r="C270" s="18" t="s">
        <v>89</v>
      </c>
      <c r="D270" s="18" t="s">
        <v>790</v>
      </c>
      <c r="E270" s="18" t="s">
        <v>796</v>
      </c>
      <c r="F270" s="101">
        <v>46039.530555555553</v>
      </c>
      <c r="G270" s="101">
        <v>46047.871527777781</v>
      </c>
      <c r="H270" s="18" t="s">
        <v>718</v>
      </c>
      <c r="I270" s="18" t="s">
        <v>508</v>
      </c>
      <c r="J270" s="18"/>
      <c r="K270" s="21">
        <f t="shared" si="12"/>
        <v>200.18333333346527</v>
      </c>
      <c r="L270" s="19">
        <f t="shared" si="13"/>
        <v>16</v>
      </c>
      <c r="M270" s="18" t="str">
        <f>IF(I270&lt;&gt;"Sí","",IF(YEAR(F270)&lt;&gt;2026,"",INDEX({"Enero","Febrero","Marzo","Abril","Mayo","Junio","Julio","Agosto","Septiembre","Octubre","Noviembre","Diciembre"},MONTH(F270))))</f>
        <v>Enero</v>
      </c>
      <c r="N270" s="18" t="str">
        <f t="shared" si="14"/>
        <v>Enero|16</v>
      </c>
    </row>
    <row r="271" spans="1:14" ht="14.5" x14ac:dyDescent="0.25">
      <c r="A271" s="19">
        <v>27</v>
      </c>
      <c r="B271" s="18" t="s">
        <v>34</v>
      </c>
      <c r="C271" s="18" t="s">
        <v>89</v>
      </c>
      <c r="D271" s="18" t="s">
        <v>790</v>
      </c>
      <c r="E271" s="18" t="s">
        <v>797</v>
      </c>
      <c r="F271" s="101">
        <v>46039.530555555553</v>
      </c>
      <c r="G271" s="101">
        <v>46047.871527777781</v>
      </c>
      <c r="H271" s="18" t="s">
        <v>718</v>
      </c>
      <c r="I271" s="18" t="s">
        <v>508</v>
      </c>
      <c r="J271" s="18"/>
      <c r="K271" s="21">
        <f t="shared" si="12"/>
        <v>200.18333333346527</v>
      </c>
      <c r="L271" s="19">
        <f t="shared" si="13"/>
        <v>16</v>
      </c>
      <c r="M271" s="18" t="str">
        <f>IF(I271&lt;&gt;"Sí","",IF(YEAR(F271)&lt;&gt;2026,"",INDEX({"Enero","Febrero","Marzo","Abril","Mayo","Junio","Julio","Agosto","Septiembre","Octubre","Noviembre","Diciembre"},MONTH(F271))))</f>
        <v>Enero</v>
      </c>
      <c r="N271" s="18" t="str">
        <f t="shared" si="14"/>
        <v>Enero|16</v>
      </c>
    </row>
    <row r="272" spans="1:14" ht="14.5" x14ac:dyDescent="0.25">
      <c r="A272" s="19">
        <v>27</v>
      </c>
      <c r="B272" s="18" t="s">
        <v>34</v>
      </c>
      <c r="C272" s="18" t="s">
        <v>89</v>
      </c>
      <c r="D272" s="18" t="s">
        <v>790</v>
      </c>
      <c r="E272" s="18" t="s">
        <v>798</v>
      </c>
      <c r="F272" s="101">
        <v>46039.530555555553</v>
      </c>
      <c r="G272" s="101">
        <v>46047.871527777781</v>
      </c>
      <c r="H272" s="18" t="s">
        <v>718</v>
      </c>
      <c r="I272" s="18" t="s">
        <v>508</v>
      </c>
      <c r="J272" s="18"/>
      <c r="K272" s="21">
        <f t="shared" si="12"/>
        <v>200.18333333346527</v>
      </c>
      <c r="L272" s="19">
        <f t="shared" si="13"/>
        <v>16</v>
      </c>
      <c r="M272" s="18" t="str">
        <f>IF(I272&lt;&gt;"Sí","",IF(YEAR(F272)&lt;&gt;2026,"",INDEX({"Enero","Febrero","Marzo","Abril","Mayo","Junio","Julio","Agosto","Septiembre","Octubre","Noviembre","Diciembre"},MONTH(F272))))</f>
        <v>Enero</v>
      </c>
      <c r="N272" s="18" t="str">
        <f t="shared" si="14"/>
        <v>Enero|16</v>
      </c>
    </row>
    <row r="273" spans="1:14" ht="14.5" x14ac:dyDescent="0.25">
      <c r="A273" s="19">
        <v>27</v>
      </c>
      <c r="B273" s="18" t="s">
        <v>34</v>
      </c>
      <c r="C273" s="18" t="s">
        <v>89</v>
      </c>
      <c r="D273" s="18" t="s">
        <v>790</v>
      </c>
      <c r="E273" s="18" t="s">
        <v>799</v>
      </c>
      <c r="F273" s="101">
        <v>46039.530555555553</v>
      </c>
      <c r="G273" s="101">
        <v>46047.871527777781</v>
      </c>
      <c r="H273" s="18" t="s">
        <v>718</v>
      </c>
      <c r="I273" s="18" t="s">
        <v>508</v>
      </c>
      <c r="J273" s="18"/>
      <c r="K273" s="21">
        <f t="shared" si="12"/>
        <v>200.18333333346527</v>
      </c>
      <c r="L273" s="19">
        <f t="shared" si="13"/>
        <v>16</v>
      </c>
      <c r="M273" s="18" t="str">
        <f>IF(I273&lt;&gt;"Sí","",IF(YEAR(F273)&lt;&gt;2026,"",INDEX({"Enero","Febrero","Marzo","Abril","Mayo","Junio","Julio","Agosto","Septiembre","Octubre","Noviembre","Diciembre"},MONTH(F273))))</f>
        <v>Enero</v>
      </c>
      <c r="N273" s="18" t="str">
        <f t="shared" si="14"/>
        <v>Enero|16</v>
      </c>
    </row>
    <row r="274" spans="1:14" ht="14.5" x14ac:dyDescent="0.25">
      <c r="A274" s="19">
        <v>27</v>
      </c>
      <c r="B274" s="18" t="s">
        <v>34</v>
      </c>
      <c r="C274" s="18" t="s">
        <v>89</v>
      </c>
      <c r="D274" s="18" t="s">
        <v>790</v>
      </c>
      <c r="E274" s="18" t="s">
        <v>800</v>
      </c>
      <c r="F274" s="101">
        <v>46041.55972222222</v>
      </c>
      <c r="G274" s="101">
        <v>46048.125694444447</v>
      </c>
      <c r="H274" s="18" t="s">
        <v>718</v>
      </c>
      <c r="I274" s="18" t="s">
        <v>508</v>
      </c>
      <c r="J274" s="18"/>
      <c r="K274" s="21">
        <f t="shared" si="12"/>
        <v>157.58333333343035</v>
      </c>
      <c r="L274" s="19">
        <f t="shared" si="13"/>
        <v>15</v>
      </c>
      <c r="M274" s="18" t="str">
        <f>IF(I274&lt;&gt;"Sí","",IF(YEAR(F274)&lt;&gt;2026,"",INDEX({"Enero","Febrero","Marzo","Abril","Mayo","Junio","Julio","Agosto","Septiembre","Octubre","Noviembre","Diciembre"},MONTH(F274))))</f>
        <v>Enero</v>
      </c>
      <c r="N274" s="18" t="str">
        <f t="shared" si="14"/>
        <v>Enero|15</v>
      </c>
    </row>
    <row r="275" spans="1:14" ht="14.5" x14ac:dyDescent="0.25">
      <c r="A275" s="19">
        <v>27</v>
      </c>
      <c r="B275" s="18" t="s">
        <v>34</v>
      </c>
      <c r="C275" s="18" t="s">
        <v>89</v>
      </c>
      <c r="D275" s="18" t="s">
        <v>790</v>
      </c>
      <c r="E275" s="18" t="s">
        <v>801</v>
      </c>
      <c r="F275" s="101">
        <v>46041.647222222222</v>
      </c>
      <c r="G275" s="101">
        <v>46047.871527777781</v>
      </c>
      <c r="H275" s="18" t="s">
        <v>718</v>
      </c>
      <c r="I275" s="18" t="s">
        <v>508</v>
      </c>
      <c r="J275" s="18"/>
      <c r="K275" s="21">
        <f t="shared" si="12"/>
        <v>149.3833333334187</v>
      </c>
      <c r="L275" s="19">
        <f t="shared" si="13"/>
        <v>16</v>
      </c>
      <c r="M275" s="18" t="str">
        <f>IF(I275&lt;&gt;"Sí","",IF(YEAR(F275)&lt;&gt;2026,"",INDEX({"Enero","Febrero","Marzo","Abril","Mayo","Junio","Julio","Agosto","Septiembre","Octubre","Noviembre","Diciembre"},MONTH(F275))))</f>
        <v>Enero</v>
      </c>
      <c r="N275" s="18" t="str">
        <f t="shared" si="14"/>
        <v>Enero|16</v>
      </c>
    </row>
    <row r="276" spans="1:14" ht="14.5" x14ac:dyDescent="0.25">
      <c r="A276" s="19">
        <v>27</v>
      </c>
      <c r="B276" s="18" t="s">
        <v>34</v>
      </c>
      <c r="C276" s="18" t="s">
        <v>89</v>
      </c>
      <c r="D276" s="18" t="s">
        <v>790</v>
      </c>
      <c r="E276" s="18" t="s">
        <v>802</v>
      </c>
      <c r="F276" s="101">
        <v>46041.647222222222</v>
      </c>
      <c r="G276" s="101">
        <v>46047.871527777781</v>
      </c>
      <c r="H276" s="18" t="s">
        <v>718</v>
      </c>
      <c r="I276" s="18" t="s">
        <v>508</v>
      </c>
      <c r="J276" s="18"/>
      <c r="K276" s="21">
        <f t="shared" si="12"/>
        <v>149.3833333334187</v>
      </c>
      <c r="L276" s="19">
        <f t="shared" si="13"/>
        <v>16</v>
      </c>
      <c r="M276" s="18" t="str">
        <f>IF(I276&lt;&gt;"Sí","",IF(YEAR(F276)&lt;&gt;2026,"",INDEX({"Enero","Febrero","Marzo","Abril","Mayo","Junio","Julio","Agosto","Septiembre","Octubre","Noviembre","Diciembre"},MONTH(F276))))</f>
        <v>Enero</v>
      </c>
      <c r="N276" s="18" t="str">
        <f t="shared" si="14"/>
        <v>Enero|16</v>
      </c>
    </row>
    <row r="277" spans="1:14" ht="14.5" x14ac:dyDescent="0.25">
      <c r="A277" s="19">
        <v>27</v>
      </c>
      <c r="B277" s="18" t="s">
        <v>34</v>
      </c>
      <c r="C277" s="18" t="s">
        <v>89</v>
      </c>
      <c r="D277" s="18" t="s">
        <v>790</v>
      </c>
      <c r="E277" s="18" t="s">
        <v>803</v>
      </c>
      <c r="F277" s="101">
        <v>46042.469444444447</v>
      </c>
      <c r="G277" s="101">
        <v>46047.255555555559</v>
      </c>
      <c r="H277" s="18" t="s">
        <v>718</v>
      </c>
      <c r="I277" s="18" t="s">
        <v>508</v>
      </c>
      <c r="J277" s="18"/>
      <c r="K277" s="21">
        <f t="shared" si="12"/>
        <v>114.86666666669771</v>
      </c>
      <c r="L277" s="19">
        <f t="shared" si="13"/>
        <v>14</v>
      </c>
      <c r="M277" s="18" t="str">
        <f>IF(I277&lt;&gt;"Sí","",IF(YEAR(F277)&lt;&gt;2026,"",INDEX({"Enero","Febrero","Marzo","Abril","Mayo","Junio","Julio","Agosto","Septiembre","Octubre","Noviembre","Diciembre"},MONTH(F277))))</f>
        <v>Enero</v>
      </c>
      <c r="N277" s="18" t="str">
        <f t="shared" si="14"/>
        <v>Enero|14</v>
      </c>
    </row>
    <row r="278" spans="1:14" ht="14.5" x14ac:dyDescent="0.25">
      <c r="A278" s="19">
        <v>27</v>
      </c>
      <c r="B278" s="18" t="s">
        <v>34</v>
      </c>
      <c r="C278" s="18" t="s">
        <v>89</v>
      </c>
      <c r="D278" s="18" t="s">
        <v>790</v>
      </c>
      <c r="E278" s="18" t="s">
        <v>804</v>
      </c>
      <c r="F278" s="101">
        <v>46042.469444444447</v>
      </c>
      <c r="G278" s="101">
        <v>46047.255555555559</v>
      </c>
      <c r="H278" s="18" t="s">
        <v>718</v>
      </c>
      <c r="I278" s="18" t="s">
        <v>508</v>
      </c>
      <c r="J278" s="18"/>
      <c r="K278" s="21">
        <f t="shared" si="12"/>
        <v>114.86666666669771</v>
      </c>
      <c r="L278" s="19">
        <f t="shared" si="13"/>
        <v>14</v>
      </c>
      <c r="M278" s="18" t="str">
        <f>IF(I278&lt;&gt;"Sí","",IF(YEAR(F278)&lt;&gt;2026,"",INDEX({"Enero","Febrero","Marzo","Abril","Mayo","Junio","Julio","Agosto","Septiembre","Octubre","Noviembre","Diciembre"},MONTH(F278))))</f>
        <v>Enero</v>
      </c>
      <c r="N278" s="18" t="str">
        <f t="shared" si="14"/>
        <v>Enero|14</v>
      </c>
    </row>
    <row r="279" spans="1:14" ht="14.5" x14ac:dyDescent="0.25">
      <c r="A279" s="19">
        <v>27</v>
      </c>
      <c r="B279" s="18" t="s">
        <v>34</v>
      </c>
      <c r="C279" s="18" t="s">
        <v>89</v>
      </c>
      <c r="D279" s="18" t="s">
        <v>790</v>
      </c>
      <c r="E279" s="18" t="s">
        <v>805</v>
      </c>
      <c r="F279" s="101">
        <v>46042.540277777778</v>
      </c>
      <c r="G279" s="101">
        <v>46047.255555555559</v>
      </c>
      <c r="H279" s="18" t="s">
        <v>718</v>
      </c>
      <c r="I279" s="18" t="s">
        <v>508</v>
      </c>
      <c r="J279" s="18"/>
      <c r="K279" s="21">
        <f t="shared" si="12"/>
        <v>113.16666666674428</v>
      </c>
      <c r="L279" s="19">
        <f t="shared" si="13"/>
        <v>16</v>
      </c>
      <c r="M279" s="18" t="str">
        <f>IF(I279&lt;&gt;"Sí","",IF(YEAR(F279)&lt;&gt;2026,"",INDEX({"Enero","Febrero","Marzo","Abril","Mayo","Junio","Julio","Agosto","Septiembre","Octubre","Noviembre","Diciembre"},MONTH(F279))))</f>
        <v>Enero</v>
      </c>
      <c r="N279" s="18" t="str">
        <f t="shared" si="14"/>
        <v>Enero|16</v>
      </c>
    </row>
    <row r="280" spans="1:14" ht="14.5" x14ac:dyDescent="0.25">
      <c r="A280" s="19">
        <v>27</v>
      </c>
      <c r="B280" s="18" t="s">
        <v>34</v>
      </c>
      <c r="C280" s="18" t="s">
        <v>89</v>
      </c>
      <c r="D280" s="18" t="s">
        <v>790</v>
      </c>
      <c r="E280" s="18" t="s">
        <v>806</v>
      </c>
      <c r="F280" s="101">
        <v>46042.540277777778</v>
      </c>
      <c r="G280" s="101">
        <v>46047.255555555559</v>
      </c>
      <c r="H280" s="18" t="s">
        <v>718</v>
      </c>
      <c r="I280" s="18" t="s">
        <v>508</v>
      </c>
      <c r="J280" s="18"/>
      <c r="K280" s="21">
        <f t="shared" si="12"/>
        <v>113.16666666674428</v>
      </c>
      <c r="L280" s="19">
        <f t="shared" si="13"/>
        <v>16</v>
      </c>
      <c r="M280" s="18" t="str">
        <f>IF(I280&lt;&gt;"Sí","",IF(YEAR(F280)&lt;&gt;2026,"",INDEX({"Enero","Febrero","Marzo","Abril","Mayo","Junio","Julio","Agosto","Septiembre","Octubre","Noviembre","Diciembre"},MONTH(F280))))</f>
        <v>Enero</v>
      </c>
      <c r="N280" s="18" t="str">
        <f t="shared" si="14"/>
        <v>Enero|16</v>
      </c>
    </row>
    <row r="281" spans="1:14" ht="14.5" x14ac:dyDescent="0.25">
      <c r="A281" s="19">
        <v>27</v>
      </c>
      <c r="B281" s="18" t="s">
        <v>34</v>
      </c>
      <c r="C281" s="18" t="s">
        <v>89</v>
      </c>
      <c r="D281" s="18" t="s">
        <v>790</v>
      </c>
      <c r="E281" s="18" t="s">
        <v>807</v>
      </c>
      <c r="F281" s="101">
        <v>46043.569444444445</v>
      </c>
      <c r="G281" s="101">
        <v>46047.622916666667</v>
      </c>
      <c r="H281" s="18" t="s">
        <v>718</v>
      </c>
      <c r="I281" s="18" t="s">
        <v>508</v>
      </c>
      <c r="J281" s="18"/>
      <c r="K281" s="21">
        <f t="shared" si="12"/>
        <v>97.283333333325572</v>
      </c>
      <c r="L281" s="19">
        <f t="shared" si="13"/>
        <v>17</v>
      </c>
      <c r="M281" s="18" t="str">
        <f>IF(I281&lt;&gt;"Sí","",IF(YEAR(F281)&lt;&gt;2026,"",INDEX({"Enero","Febrero","Marzo","Abril","Mayo","Junio","Julio","Agosto","Septiembre","Octubre","Noviembre","Diciembre"},MONTH(F281))))</f>
        <v>Enero</v>
      </c>
      <c r="N281" s="18" t="str">
        <f t="shared" si="14"/>
        <v>Enero|17</v>
      </c>
    </row>
    <row r="282" spans="1:14" ht="14.5" x14ac:dyDescent="0.25">
      <c r="A282" s="19">
        <v>27</v>
      </c>
      <c r="B282" s="18" t="s">
        <v>34</v>
      </c>
      <c r="C282" s="18" t="s">
        <v>89</v>
      </c>
      <c r="D282" s="18" t="s">
        <v>790</v>
      </c>
      <c r="E282" s="18" t="s">
        <v>808</v>
      </c>
      <c r="F282" s="101">
        <v>46043.586805555555</v>
      </c>
      <c r="G282" s="101">
        <v>46047.243055555555</v>
      </c>
      <c r="H282" s="18" t="s">
        <v>718</v>
      </c>
      <c r="I282" s="18" t="s">
        <v>508</v>
      </c>
      <c r="J282" s="18"/>
      <c r="K282" s="21">
        <f t="shared" si="12"/>
        <v>87.75</v>
      </c>
      <c r="L282" s="19">
        <f t="shared" si="13"/>
        <v>18</v>
      </c>
      <c r="M282" s="18" t="str">
        <f>IF(I282&lt;&gt;"Sí","",IF(YEAR(F282)&lt;&gt;2026,"",INDEX({"Enero","Febrero","Marzo","Abril","Mayo","Junio","Julio","Agosto","Septiembre","Octubre","Noviembre","Diciembre"},MONTH(F282))))</f>
        <v>Enero</v>
      </c>
      <c r="N282" s="18" t="str">
        <f t="shared" si="14"/>
        <v>Enero|18</v>
      </c>
    </row>
    <row r="283" spans="1:14" ht="14.5" x14ac:dyDescent="0.25">
      <c r="A283" s="19">
        <v>27</v>
      </c>
      <c r="B283" s="18" t="s">
        <v>34</v>
      </c>
      <c r="C283" s="18" t="s">
        <v>89</v>
      </c>
      <c r="D283" s="18" t="s">
        <v>790</v>
      </c>
      <c r="E283" s="18" t="s">
        <v>809</v>
      </c>
      <c r="F283" s="101">
        <v>46043.600694444445</v>
      </c>
      <c r="G283" s="101">
        <v>46047.255555555559</v>
      </c>
      <c r="H283" s="18" t="s">
        <v>718</v>
      </c>
      <c r="I283" s="18" t="s">
        <v>508</v>
      </c>
      <c r="J283" s="18"/>
      <c r="K283" s="21">
        <f t="shared" si="12"/>
        <v>87.716666666732635</v>
      </c>
      <c r="L283" s="19">
        <f t="shared" si="13"/>
        <v>19</v>
      </c>
      <c r="M283" s="18" t="str">
        <f>IF(I283&lt;&gt;"Sí","",IF(YEAR(F283)&lt;&gt;2026,"",INDEX({"Enero","Febrero","Marzo","Abril","Mayo","Junio","Julio","Agosto","Septiembre","Octubre","Noviembre","Diciembre"},MONTH(F283))))</f>
        <v>Enero</v>
      </c>
      <c r="N283" s="18" t="str">
        <f t="shared" si="14"/>
        <v>Enero|19</v>
      </c>
    </row>
    <row r="284" spans="1:14" ht="14.5" x14ac:dyDescent="0.25">
      <c r="A284" s="19">
        <v>27</v>
      </c>
      <c r="B284" s="18" t="s">
        <v>34</v>
      </c>
      <c r="C284" s="18" t="s">
        <v>89</v>
      </c>
      <c r="D284" s="18" t="s">
        <v>790</v>
      </c>
      <c r="E284" s="18" t="s">
        <v>810</v>
      </c>
      <c r="F284" s="101">
        <v>46043.617361111108</v>
      </c>
      <c r="G284" s="101">
        <v>46047.243055555555</v>
      </c>
      <c r="H284" s="18" t="s">
        <v>718</v>
      </c>
      <c r="I284" s="18" t="s">
        <v>508</v>
      </c>
      <c r="J284" s="18"/>
      <c r="K284" s="21">
        <f t="shared" si="12"/>
        <v>87.016666666720994</v>
      </c>
      <c r="L284" s="19">
        <f t="shared" si="13"/>
        <v>21</v>
      </c>
      <c r="M284" s="18" t="str">
        <f>IF(I284&lt;&gt;"Sí","",IF(YEAR(F284)&lt;&gt;2026,"",INDEX({"Enero","Febrero","Marzo","Abril","Mayo","Junio","Julio","Agosto","Septiembre","Octubre","Noviembre","Diciembre"},MONTH(F284))))</f>
        <v>Enero</v>
      </c>
      <c r="N284" s="18" t="str">
        <f t="shared" si="14"/>
        <v>Enero|21</v>
      </c>
    </row>
    <row r="285" spans="1:14" ht="14.5" x14ac:dyDescent="0.25">
      <c r="A285" s="19">
        <v>27</v>
      </c>
      <c r="B285" s="18" t="s">
        <v>34</v>
      </c>
      <c r="C285" s="18" t="s">
        <v>89</v>
      </c>
      <c r="D285" s="18" t="s">
        <v>790</v>
      </c>
      <c r="E285" s="18" t="s">
        <v>811</v>
      </c>
      <c r="F285" s="101">
        <v>46043.617361111108</v>
      </c>
      <c r="G285" s="101">
        <v>46047.243055555555</v>
      </c>
      <c r="H285" s="18" t="s">
        <v>718</v>
      </c>
      <c r="I285" s="18" t="s">
        <v>508</v>
      </c>
      <c r="J285" s="18"/>
      <c r="K285" s="21">
        <f t="shared" si="12"/>
        <v>87.016666666720994</v>
      </c>
      <c r="L285" s="19">
        <f t="shared" si="13"/>
        <v>21</v>
      </c>
      <c r="M285" s="18" t="str">
        <f>IF(I285&lt;&gt;"Sí","",IF(YEAR(F285)&lt;&gt;2026,"",INDEX({"Enero","Febrero","Marzo","Abril","Mayo","Junio","Julio","Agosto","Septiembre","Octubre","Noviembre","Diciembre"},MONTH(F285))))</f>
        <v>Enero</v>
      </c>
      <c r="N285" s="18" t="str">
        <f t="shared" si="14"/>
        <v>Enero|21</v>
      </c>
    </row>
    <row r="286" spans="1:14" ht="14.5" x14ac:dyDescent="0.25">
      <c r="A286" s="19">
        <v>27</v>
      </c>
      <c r="B286" s="18" t="s">
        <v>34</v>
      </c>
      <c r="C286" s="18" t="s">
        <v>89</v>
      </c>
      <c r="D286" s="18" t="s">
        <v>790</v>
      </c>
      <c r="E286" s="18" t="s">
        <v>812</v>
      </c>
      <c r="F286" s="101">
        <v>46043.618750000001</v>
      </c>
      <c r="G286" s="101">
        <v>46048.125694444447</v>
      </c>
      <c r="H286" s="18" t="s">
        <v>718</v>
      </c>
      <c r="I286" s="18" t="s">
        <v>508</v>
      </c>
      <c r="J286" s="18"/>
      <c r="K286" s="21">
        <f t="shared" si="12"/>
        <v>108.16666666668607</v>
      </c>
      <c r="L286" s="19">
        <f t="shared" si="13"/>
        <v>22</v>
      </c>
      <c r="M286" s="18" t="str">
        <f>IF(I286&lt;&gt;"Sí","",IF(YEAR(F286)&lt;&gt;2026,"",INDEX({"Enero","Febrero","Marzo","Abril","Mayo","Junio","Julio","Agosto","Septiembre","Octubre","Noviembre","Diciembre"},MONTH(F286))))</f>
        <v>Enero</v>
      </c>
      <c r="N286" s="18" t="str">
        <f t="shared" si="14"/>
        <v>Enero|22</v>
      </c>
    </row>
    <row r="287" spans="1:14" ht="14.5" x14ac:dyDescent="0.25">
      <c r="A287" s="19">
        <v>27</v>
      </c>
      <c r="B287" s="18" t="s">
        <v>34</v>
      </c>
      <c r="C287" s="18" t="s">
        <v>89</v>
      </c>
      <c r="D287" s="18" t="s">
        <v>790</v>
      </c>
      <c r="E287" s="18" t="s">
        <v>813</v>
      </c>
      <c r="F287" s="101">
        <v>46043.76458333333</v>
      </c>
      <c r="G287" s="101">
        <v>46048.013194444444</v>
      </c>
      <c r="H287" s="18" t="s">
        <v>718</v>
      </c>
      <c r="I287" s="18" t="s">
        <v>508</v>
      </c>
      <c r="J287" s="18"/>
      <c r="K287" s="21">
        <f t="shared" si="12"/>
        <v>101.96666666673264</v>
      </c>
      <c r="L287" s="19">
        <f t="shared" si="13"/>
        <v>23</v>
      </c>
      <c r="M287" s="18" t="str">
        <f>IF(I287&lt;&gt;"Sí","",IF(YEAR(F287)&lt;&gt;2026,"",INDEX({"Enero","Febrero","Marzo","Abril","Mayo","Junio","Julio","Agosto","Septiembre","Octubre","Noviembre","Diciembre"},MONTH(F287))))</f>
        <v>Enero</v>
      </c>
      <c r="N287" s="18" t="str">
        <f t="shared" si="14"/>
        <v>Enero|23</v>
      </c>
    </row>
    <row r="288" spans="1:14" ht="14.5" x14ac:dyDescent="0.25">
      <c r="A288" s="19">
        <v>27</v>
      </c>
      <c r="B288" s="18" t="s">
        <v>34</v>
      </c>
      <c r="C288" s="18" t="s">
        <v>106</v>
      </c>
      <c r="D288" s="18" t="s">
        <v>814</v>
      </c>
      <c r="E288" s="18" t="s">
        <v>815</v>
      </c>
      <c r="F288" s="101"/>
      <c r="G288" s="101">
        <v>46043.85833333333</v>
      </c>
      <c r="H288" s="18" t="s">
        <v>554</v>
      </c>
      <c r="I288" s="18" t="s">
        <v>555</v>
      </c>
      <c r="J288" s="18" t="s">
        <v>556</v>
      </c>
      <c r="K288" s="21" t="str">
        <f t="shared" si="12"/>
        <v/>
      </c>
      <c r="L288" s="19" t="str">
        <f t="shared" si="13"/>
        <v/>
      </c>
      <c r="M288" s="18" t="str">
        <f>IF(I288&lt;&gt;"Sí","",IF(YEAR(F288)&lt;&gt;2026,"",INDEX({"Enero","Febrero","Marzo","Abril","Mayo","Junio","Julio","Agosto","Septiembre","Octubre","Noviembre","Diciembre"},MONTH(F288))))</f>
        <v/>
      </c>
      <c r="N288" s="18" t="str">
        <f t="shared" si="14"/>
        <v/>
      </c>
    </row>
    <row r="289" spans="1:14" ht="14.5" x14ac:dyDescent="0.25">
      <c r="A289" s="19">
        <v>27</v>
      </c>
      <c r="B289" s="18" t="s">
        <v>34</v>
      </c>
      <c r="C289" s="18" t="s">
        <v>106</v>
      </c>
      <c r="D289" s="18" t="s">
        <v>814</v>
      </c>
      <c r="E289" s="18" t="s">
        <v>816</v>
      </c>
      <c r="F289" s="101"/>
      <c r="G289" s="101">
        <v>46043.85833333333</v>
      </c>
      <c r="H289" s="18" t="s">
        <v>554</v>
      </c>
      <c r="I289" s="18" t="s">
        <v>555</v>
      </c>
      <c r="J289" s="18" t="s">
        <v>556</v>
      </c>
      <c r="K289" s="21" t="str">
        <f t="shared" si="12"/>
        <v/>
      </c>
      <c r="L289" s="19" t="str">
        <f t="shared" si="13"/>
        <v/>
      </c>
      <c r="M289" s="18" t="str">
        <f>IF(I289&lt;&gt;"Sí","",IF(YEAR(F289)&lt;&gt;2026,"",INDEX({"Enero","Febrero","Marzo","Abril","Mayo","Junio","Julio","Agosto","Septiembre","Octubre","Noviembre","Diciembre"},MONTH(F289))))</f>
        <v/>
      </c>
      <c r="N289" s="18" t="str">
        <f t="shared" si="14"/>
        <v/>
      </c>
    </row>
    <row r="290" spans="1:14" ht="14.5" x14ac:dyDescent="0.25">
      <c r="A290" s="19">
        <v>27</v>
      </c>
      <c r="B290" s="18" t="s">
        <v>34</v>
      </c>
      <c r="C290" s="18" t="s">
        <v>106</v>
      </c>
      <c r="D290" s="18" t="s">
        <v>814</v>
      </c>
      <c r="E290" s="18" t="s">
        <v>817</v>
      </c>
      <c r="F290" s="101"/>
      <c r="G290" s="101">
        <v>46043.85833333333</v>
      </c>
      <c r="H290" s="18" t="s">
        <v>554</v>
      </c>
      <c r="I290" s="18" t="s">
        <v>555</v>
      </c>
      <c r="J290" s="18" t="s">
        <v>556</v>
      </c>
      <c r="K290" s="21" t="str">
        <f t="shared" si="12"/>
        <v/>
      </c>
      <c r="L290" s="19" t="str">
        <f t="shared" si="13"/>
        <v/>
      </c>
      <c r="M290" s="18" t="str">
        <f>IF(I290&lt;&gt;"Sí","",IF(YEAR(F290)&lt;&gt;2026,"",INDEX({"Enero","Febrero","Marzo","Abril","Mayo","Junio","Julio","Agosto","Septiembre","Octubre","Noviembre","Diciembre"},MONTH(F290))))</f>
        <v/>
      </c>
      <c r="N290" s="18" t="str">
        <f t="shared" si="14"/>
        <v/>
      </c>
    </row>
    <row r="291" spans="1:14" ht="14.5" x14ac:dyDescent="0.25">
      <c r="A291" s="19">
        <v>27</v>
      </c>
      <c r="B291" s="18" t="s">
        <v>34</v>
      </c>
      <c r="C291" s="18" t="s">
        <v>106</v>
      </c>
      <c r="D291" s="18" t="s">
        <v>814</v>
      </c>
      <c r="E291" s="18" t="s">
        <v>815</v>
      </c>
      <c r="F291" s="101">
        <v>46043.90625</v>
      </c>
      <c r="G291" s="101">
        <v>46045.399305555555</v>
      </c>
      <c r="H291" s="18" t="s">
        <v>554</v>
      </c>
      <c r="I291" s="18" t="s">
        <v>508</v>
      </c>
      <c r="J291" s="18"/>
      <c r="K291" s="21">
        <f t="shared" si="12"/>
        <v>35.833333333313931</v>
      </c>
      <c r="L291" s="19">
        <f t="shared" si="13"/>
        <v>25</v>
      </c>
      <c r="M291" s="18" t="str">
        <f>IF(I291&lt;&gt;"Sí","",IF(YEAR(F291)&lt;&gt;2026,"",INDEX({"Enero","Febrero","Marzo","Abril","Mayo","Junio","Julio","Agosto","Septiembre","Octubre","Noviembre","Diciembre"},MONTH(F291))))</f>
        <v>Enero</v>
      </c>
      <c r="N291" s="18" t="str">
        <f t="shared" si="14"/>
        <v>Enero|25</v>
      </c>
    </row>
    <row r="292" spans="1:14" ht="14.5" x14ac:dyDescent="0.25">
      <c r="A292" s="19">
        <v>27</v>
      </c>
      <c r="B292" s="18" t="s">
        <v>34</v>
      </c>
      <c r="C292" s="18" t="s">
        <v>106</v>
      </c>
      <c r="D292" s="18" t="s">
        <v>814</v>
      </c>
      <c r="E292" s="18" t="s">
        <v>816</v>
      </c>
      <c r="F292" s="101">
        <v>46043.90625</v>
      </c>
      <c r="G292" s="101">
        <v>46045.399305555555</v>
      </c>
      <c r="H292" s="18" t="s">
        <v>554</v>
      </c>
      <c r="I292" s="18" t="s">
        <v>508</v>
      </c>
      <c r="J292" s="18"/>
      <c r="K292" s="21">
        <f t="shared" si="12"/>
        <v>35.833333333313931</v>
      </c>
      <c r="L292" s="19">
        <f t="shared" si="13"/>
        <v>25</v>
      </c>
      <c r="M292" s="18" t="str">
        <f>IF(I292&lt;&gt;"Sí","",IF(YEAR(F292)&lt;&gt;2026,"",INDEX({"Enero","Febrero","Marzo","Abril","Mayo","Junio","Julio","Agosto","Septiembre","Octubre","Noviembre","Diciembre"},MONTH(F292))))</f>
        <v>Enero</v>
      </c>
      <c r="N292" s="18" t="str">
        <f t="shared" si="14"/>
        <v>Enero|25</v>
      </c>
    </row>
    <row r="293" spans="1:14" ht="14.5" x14ac:dyDescent="0.25">
      <c r="A293" s="19">
        <v>27</v>
      </c>
      <c r="B293" s="18" t="s">
        <v>34</v>
      </c>
      <c r="C293" s="18" t="s">
        <v>99</v>
      </c>
      <c r="D293" s="18" t="s">
        <v>818</v>
      </c>
      <c r="E293" s="18" t="s">
        <v>819</v>
      </c>
      <c r="F293" s="101"/>
      <c r="G293" s="101">
        <v>46045.356249999997</v>
      </c>
      <c r="H293" s="18" t="s">
        <v>554</v>
      </c>
      <c r="I293" s="18" t="s">
        <v>555</v>
      </c>
      <c r="J293" s="18" t="s">
        <v>556</v>
      </c>
      <c r="K293" s="21" t="str">
        <f t="shared" si="12"/>
        <v/>
      </c>
      <c r="L293" s="19" t="str">
        <f t="shared" si="13"/>
        <v/>
      </c>
      <c r="M293" s="18" t="str">
        <f>IF(I293&lt;&gt;"Sí","",IF(YEAR(F293)&lt;&gt;2026,"",INDEX({"Enero","Febrero","Marzo","Abril","Mayo","Junio","Julio","Agosto","Septiembre","Octubre","Noviembre","Diciembre"},MONTH(F293))))</f>
        <v/>
      </c>
      <c r="N293" s="18" t="str">
        <f t="shared" si="14"/>
        <v/>
      </c>
    </row>
    <row r="294" spans="1:14" ht="14.5" x14ac:dyDescent="0.25">
      <c r="A294" s="19">
        <v>27</v>
      </c>
      <c r="B294" s="18" t="s">
        <v>34</v>
      </c>
      <c r="C294" s="18" t="s">
        <v>99</v>
      </c>
      <c r="D294" s="18" t="s">
        <v>818</v>
      </c>
      <c r="E294" s="18" t="s">
        <v>819</v>
      </c>
      <c r="F294" s="101">
        <v>46045.368055555555</v>
      </c>
      <c r="G294" s="101">
        <v>46048.420138888891</v>
      </c>
      <c r="H294" s="18" t="s">
        <v>554</v>
      </c>
      <c r="I294" s="18" t="s">
        <v>508</v>
      </c>
      <c r="J294" s="18"/>
      <c r="K294" s="21">
        <f t="shared" si="12"/>
        <v>73.250000000058208</v>
      </c>
      <c r="L294" s="19">
        <f t="shared" si="13"/>
        <v>25</v>
      </c>
      <c r="M294" s="18" t="str">
        <f>IF(I294&lt;&gt;"Sí","",IF(YEAR(F294)&lt;&gt;2026,"",INDEX({"Enero","Febrero","Marzo","Abril","Mayo","Junio","Julio","Agosto","Septiembre","Octubre","Noviembre","Diciembre"},MONTH(F294))))</f>
        <v>Enero</v>
      </c>
      <c r="N294" s="18" t="str">
        <f t="shared" si="14"/>
        <v>Enero|25</v>
      </c>
    </row>
    <row r="295" spans="1:14" ht="14.5" x14ac:dyDescent="0.25">
      <c r="A295" s="19">
        <v>28</v>
      </c>
      <c r="B295" s="18" t="s">
        <v>35</v>
      </c>
      <c r="C295" s="18" t="s">
        <v>110</v>
      </c>
      <c r="D295" s="18" t="s">
        <v>820</v>
      </c>
      <c r="E295" s="18" t="s">
        <v>821</v>
      </c>
      <c r="F295" s="101">
        <v>46045.556944444441</v>
      </c>
      <c r="G295" s="101">
        <v>46056.113888888889</v>
      </c>
      <c r="H295" s="18" t="s">
        <v>507</v>
      </c>
      <c r="I295" s="18" t="s">
        <v>508</v>
      </c>
      <c r="J295" s="18" t="s">
        <v>822</v>
      </c>
      <c r="K295" s="21">
        <f t="shared" si="12"/>
        <v>253.36666666675592</v>
      </c>
      <c r="L295" s="19">
        <f t="shared" si="13"/>
        <v>24</v>
      </c>
      <c r="M295" s="18" t="str">
        <f>IF(I295&lt;&gt;"Sí","",IF(YEAR(F295)&lt;&gt;2026,"",INDEX({"Enero","Febrero","Marzo","Abril","Mayo","Junio","Julio","Agosto","Septiembre","Octubre","Noviembre","Diciembre"},MONTH(F295))))</f>
        <v>Enero</v>
      </c>
      <c r="N295" s="18" t="str">
        <f t="shared" si="14"/>
        <v>Enero|24</v>
      </c>
    </row>
    <row r="296" spans="1:14" ht="14.5" x14ac:dyDescent="0.25">
      <c r="A296" s="19">
        <v>28</v>
      </c>
      <c r="B296" s="18" t="s">
        <v>35</v>
      </c>
      <c r="C296" s="18" t="s">
        <v>110</v>
      </c>
      <c r="D296" s="18" t="s">
        <v>820</v>
      </c>
      <c r="E296" s="18" t="s">
        <v>823</v>
      </c>
      <c r="F296" s="101">
        <v>46045.626388888886</v>
      </c>
      <c r="G296" s="101">
        <v>46056.113888888889</v>
      </c>
      <c r="H296" s="18" t="s">
        <v>507</v>
      </c>
      <c r="I296" s="18" t="s">
        <v>508</v>
      </c>
      <c r="J296" s="18"/>
      <c r="K296" s="21">
        <f t="shared" si="12"/>
        <v>251.70000000006985</v>
      </c>
      <c r="L296" s="19">
        <f t="shared" si="13"/>
        <v>25</v>
      </c>
      <c r="M296" s="18" t="str">
        <f>IF(I296&lt;&gt;"Sí","",IF(YEAR(F296)&lt;&gt;2026,"",INDEX({"Enero","Febrero","Marzo","Abril","Mayo","Junio","Julio","Agosto","Septiembre","Octubre","Noviembre","Diciembre"},MONTH(F296))))</f>
        <v>Enero</v>
      </c>
      <c r="N296" s="18" t="str">
        <f t="shared" si="14"/>
        <v>Enero|25</v>
      </c>
    </row>
    <row r="297" spans="1:14" ht="14.5" x14ac:dyDescent="0.25">
      <c r="A297" s="19">
        <v>28</v>
      </c>
      <c r="B297" s="18" t="s">
        <v>35</v>
      </c>
      <c r="C297" s="18" t="s">
        <v>110</v>
      </c>
      <c r="D297" s="18" t="s">
        <v>820</v>
      </c>
      <c r="E297" s="18" t="s">
        <v>824</v>
      </c>
      <c r="F297" s="101">
        <v>46046.49722222222</v>
      </c>
      <c r="G297" s="101">
        <v>46056.113888888889</v>
      </c>
      <c r="H297" s="18" t="s">
        <v>507</v>
      </c>
      <c r="I297" s="18" t="s">
        <v>508</v>
      </c>
      <c r="J297" s="18"/>
      <c r="K297" s="21">
        <f t="shared" si="12"/>
        <v>230.80000000004657</v>
      </c>
      <c r="L297" s="19">
        <f t="shared" si="13"/>
        <v>26</v>
      </c>
      <c r="M297" s="18" t="str">
        <f>IF(I297&lt;&gt;"Sí","",IF(YEAR(F297)&lt;&gt;2026,"",INDEX({"Enero","Febrero","Marzo","Abril","Mayo","Junio","Julio","Agosto","Septiembre","Octubre","Noviembre","Diciembre"},MONTH(F297))))</f>
        <v>Enero</v>
      </c>
      <c r="N297" s="18" t="str">
        <f t="shared" si="14"/>
        <v>Enero|26</v>
      </c>
    </row>
    <row r="298" spans="1:14" ht="14.5" x14ac:dyDescent="0.25">
      <c r="A298" s="19">
        <v>28</v>
      </c>
      <c r="B298" s="18" t="s">
        <v>35</v>
      </c>
      <c r="C298" s="18" t="s">
        <v>110</v>
      </c>
      <c r="D298" s="18" t="s">
        <v>820</v>
      </c>
      <c r="E298" s="18" t="s">
        <v>825</v>
      </c>
      <c r="F298" s="101">
        <v>46046.535416666666</v>
      </c>
      <c r="G298" s="101">
        <v>46056.113888888889</v>
      </c>
      <c r="H298" s="18" t="s">
        <v>507</v>
      </c>
      <c r="I298" s="18" t="s">
        <v>508</v>
      </c>
      <c r="J298" s="18"/>
      <c r="K298" s="21">
        <f t="shared" si="12"/>
        <v>229.8833333333605</v>
      </c>
      <c r="L298" s="19">
        <f t="shared" si="13"/>
        <v>28</v>
      </c>
      <c r="M298" s="18" t="str">
        <f>IF(I298&lt;&gt;"Sí","",IF(YEAR(F298)&lt;&gt;2026,"",INDEX({"Enero","Febrero","Marzo","Abril","Mayo","Junio","Julio","Agosto","Septiembre","Octubre","Noviembre","Diciembre"},MONTH(F298))))</f>
        <v>Enero</v>
      </c>
      <c r="N298" s="18" t="str">
        <f t="shared" si="14"/>
        <v>Enero|28</v>
      </c>
    </row>
    <row r="299" spans="1:14" ht="14.5" x14ac:dyDescent="0.25">
      <c r="A299" s="19">
        <v>28</v>
      </c>
      <c r="B299" s="18" t="s">
        <v>35</v>
      </c>
      <c r="C299" s="18" t="s">
        <v>110</v>
      </c>
      <c r="D299" s="18" t="s">
        <v>820</v>
      </c>
      <c r="E299" s="18" t="s">
        <v>826</v>
      </c>
      <c r="F299" s="101">
        <v>46046.535416666666</v>
      </c>
      <c r="G299" s="101">
        <v>46055.561111111114</v>
      </c>
      <c r="H299" s="18" t="s">
        <v>507</v>
      </c>
      <c r="I299" s="18" t="s">
        <v>508</v>
      </c>
      <c r="J299" s="18"/>
      <c r="K299" s="21">
        <f t="shared" si="12"/>
        <v>216.61666666675592</v>
      </c>
      <c r="L299" s="19">
        <f t="shared" si="13"/>
        <v>28</v>
      </c>
      <c r="M299" s="18" t="str">
        <f>IF(I299&lt;&gt;"Sí","",IF(YEAR(F299)&lt;&gt;2026,"",INDEX({"Enero","Febrero","Marzo","Abril","Mayo","Junio","Julio","Agosto","Septiembre","Octubre","Noviembre","Diciembre"},MONTH(F299))))</f>
        <v>Enero</v>
      </c>
      <c r="N299" s="18" t="str">
        <f t="shared" si="14"/>
        <v>Enero|28</v>
      </c>
    </row>
    <row r="300" spans="1:14" ht="14.5" x14ac:dyDescent="0.25">
      <c r="A300" s="19">
        <v>27</v>
      </c>
      <c r="B300" s="18" t="s">
        <v>34</v>
      </c>
      <c r="C300" s="18" t="s">
        <v>89</v>
      </c>
      <c r="D300" s="18" t="s">
        <v>790</v>
      </c>
      <c r="E300" s="18" t="s">
        <v>827</v>
      </c>
      <c r="F300" s="101"/>
      <c r="G300" s="101">
        <v>46046.702777777777</v>
      </c>
      <c r="H300" s="18" t="s">
        <v>554</v>
      </c>
      <c r="I300" s="18" t="s">
        <v>555</v>
      </c>
      <c r="J300" s="18" t="s">
        <v>556</v>
      </c>
      <c r="K300" s="21" t="str">
        <f t="shared" si="12"/>
        <v/>
      </c>
      <c r="L300" s="19" t="str">
        <f t="shared" si="13"/>
        <v/>
      </c>
      <c r="M300" s="18" t="str">
        <f>IF(I300&lt;&gt;"Sí","",IF(YEAR(F300)&lt;&gt;2026,"",INDEX({"Enero","Febrero","Marzo","Abril","Mayo","Junio","Julio","Agosto","Septiembre","Octubre","Noviembre","Diciembre"},MONTH(F300))))</f>
        <v/>
      </c>
      <c r="N300" s="18" t="str">
        <f t="shared" si="14"/>
        <v/>
      </c>
    </row>
    <row r="301" spans="1:14" ht="14.5" x14ac:dyDescent="0.25">
      <c r="A301" s="19">
        <v>27</v>
      </c>
      <c r="B301" s="18" t="s">
        <v>34</v>
      </c>
      <c r="C301" s="18" t="s">
        <v>89</v>
      </c>
      <c r="D301" s="18" t="s">
        <v>790</v>
      </c>
      <c r="E301" s="18" t="s">
        <v>827</v>
      </c>
      <c r="F301" s="101">
        <v>46046.743055555555</v>
      </c>
      <c r="G301" s="101">
        <v>46051.439583333333</v>
      </c>
      <c r="H301" s="18" t="s">
        <v>554</v>
      </c>
      <c r="I301" s="18" t="s">
        <v>508</v>
      </c>
      <c r="J301" s="18"/>
      <c r="K301" s="21">
        <f t="shared" si="12"/>
        <v>112.71666666667443</v>
      </c>
      <c r="L301" s="19">
        <f t="shared" si="13"/>
        <v>29</v>
      </c>
      <c r="M301" s="18" t="str">
        <f>IF(I301&lt;&gt;"Sí","",IF(YEAR(F301)&lt;&gt;2026,"",INDEX({"Enero","Febrero","Marzo","Abril","Mayo","Junio","Julio","Agosto","Septiembre","Octubre","Noviembre","Diciembre"},MONTH(F301))))</f>
        <v>Enero</v>
      </c>
      <c r="N301" s="18" t="str">
        <f t="shared" si="14"/>
        <v>Enero|29</v>
      </c>
    </row>
    <row r="302" spans="1:14" ht="14.5" x14ac:dyDescent="0.25">
      <c r="A302" s="19">
        <v>28</v>
      </c>
      <c r="B302" s="18" t="s">
        <v>35</v>
      </c>
      <c r="C302" s="18" t="s">
        <v>110</v>
      </c>
      <c r="D302" s="18" t="s">
        <v>820</v>
      </c>
      <c r="E302" s="18" t="s">
        <v>828</v>
      </c>
      <c r="F302" s="101">
        <v>46048.477083333331</v>
      </c>
      <c r="G302" s="101">
        <v>46056.113888888889</v>
      </c>
      <c r="H302" s="18" t="s">
        <v>507</v>
      </c>
      <c r="I302" s="18" t="s">
        <v>508</v>
      </c>
      <c r="J302" s="18"/>
      <c r="K302" s="21">
        <f t="shared" si="12"/>
        <v>183.28333333338378</v>
      </c>
      <c r="L302" s="19">
        <f t="shared" si="13"/>
        <v>7</v>
      </c>
      <c r="M302" s="18" t="str">
        <f>IF(I302&lt;&gt;"Sí","",IF(YEAR(F302)&lt;&gt;2026,"",INDEX({"Enero","Febrero","Marzo","Abril","Mayo","Junio","Julio","Agosto","Septiembre","Octubre","Noviembre","Diciembre"},MONTH(F302))))</f>
        <v>Enero</v>
      </c>
      <c r="N302" s="18" t="str">
        <f t="shared" si="14"/>
        <v>Enero|7</v>
      </c>
    </row>
    <row r="303" spans="1:14" ht="14.5" x14ac:dyDescent="0.25">
      <c r="A303" s="19">
        <v>28</v>
      </c>
      <c r="B303" s="18" t="s">
        <v>35</v>
      </c>
      <c r="C303" s="18" t="s">
        <v>110</v>
      </c>
      <c r="D303" s="18" t="s">
        <v>820</v>
      </c>
      <c r="E303" s="18" t="s">
        <v>829</v>
      </c>
      <c r="F303" s="101">
        <v>46048.643055555556</v>
      </c>
      <c r="G303" s="101">
        <v>46054.998611111114</v>
      </c>
      <c r="H303" s="18" t="s">
        <v>507</v>
      </c>
      <c r="I303" s="18" t="s">
        <v>508</v>
      </c>
      <c r="J303" s="18"/>
      <c r="K303" s="21">
        <f t="shared" si="12"/>
        <v>152.53333333338378</v>
      </c>
      <c r="L303" s="19">
        <f t="shared" si="13"/>
        <v>10</v>
      </c>
      <c r="M303" s="18" t="str">
        <f>IF(I303&lt;&gt;"Sí","",IF(YEAR(F303)&lt;&gt;2026,"",INDEX({"Enero","Febrero","Marzo","Abril","Mayo","Junio","Julio","Agosto","Septiembre","Octubre","Noviembre","Diciembre"},MONTH(F303))))</f>
        <v>Enero</v>
      </c>
      <c r="N303" s="18" t="str">
        <f t="shared" si="14"/>
        <v>Enero|10</v>
      </c>
    </row>
    <row r="304" spans="1:14" ht="14.5" x14ac:dyDescent="0.25">
      <c r="A304" s="19">
        <v>28</v>
      </c>
      <c r="B304" s="18" t="s">
        <v>35</v>
      </c>
      <c r="C304" s="18" t="s">
        <v>110</v>
      </c>
      <c r="D304" s="18" t="s">
        <v>820</v>
      </c>
      <c r="E304" s="18" t="s">
        <v>830</v>
      </c>
      <c r="F304" s="101">
        <v>46048.643055555556</v>
      </c>
      <c r="G304" s="101">
        <v>46054.998611111114</v>
      </c>
      <c r="H304" s="18" t="s">
        <v>507</v>
      </c>
      <c r="I304" s="18" t="s">
        <v>508</v>
      </c>
      <c r="J304" s="18"/>
      <c r="K304" s="21">
        <f t="shared" si="12"/>
        <v>152.53333333338378</v>
      </c>
      <c r="L304" s="19">
        <f t="shared" si="13"/>
        <v>10</v>
      </c>
      <c r="M304" s="18" t="str">
        <f>IF(I304&lt;&gt;"Sí","",IF(YEAR(F304)&lt;&gt;2026,"",INDEX({"Enero","Febrero","Marzo","Abril","Mayo","Junio","Julio","Agosto","Septiembre","Octubre","Noviembre","Diciembre"},MONTH(F304))))</f>
        <v>Enero</v>
      </c>
      <c r="N304" s="18" t="str">
        <f t="shared" si="14"/>
        <v>Enero|10</v>
      </c>
    </row>
    <row r="305" spans="1:14" ht="14.5" x14ac:dyDescent="0.25">
      <c r="A305" s="19">
        <v>28</v>
      </c>
      <c r="B305" s="18" t="s">
        <v>35</v>
      </c>
      <c r="C305" s="18" t="s">
        <v>110</v>
      </c>
      <c r="D305" s="18" t="s">
        <v>820</v>
      </c>
      <c r="E305" s="18" t="s">
        <v>831</v>
      </c>
      <c r="F305" s="101">
        <v>46048.643055555556</v>
      </c>
      <c r="G305" s="101">
        <v>46055.051388888889</v>
      </c>
      <c r="H305" s="18" t="s">
        <v>507</v>
      </c>
      <c r="I305" s="18" t="s">
        <v>508</v>
      </c>
      <c r="J305" s="18"/>
      <c r="K305" s="21">
        <f t="shared" si="12"/>
        <v>153.79999999998836</v>
      </c>
      <c r="L305" s="19">
        <f t="shared" si="13"/>
        <v>10</v>
      </c>
      <c r="M305" s="18" t="str">
        <f>IF(I305&lt;&gt;"Sí","",IF(YEAR(F305)&lt;&gt;2026,"",INDEX({"Enero","Febrero","Marzo","Abril","Mayo","Junio","Julio","Agosto","Septiembre","Octubre","Noviembre","Diciembre"},MONTH(F305))))</f>
        <v>Enero</v>
      </c>
      <c r="N305" s="18" t="str">
        <f t="shared" si="14"/>
        <v>Enero|10</v>
      </c>
    </row>
    <row r="306" spans="1:14" ht="14.5" x14ac:dyDescent="0.25">
      <c r="A306" s="19">
        <v>28</v>
      </c>
      <c r="B306" s="18" t="s">
        <v>35</v>
      </c>
      <c r="C306" s="18" t="s">
        <v>110</v>
      </c>
      <c r="D306" s="18" t="s">
        <v>820</v>
      </c>
      <c r="E306" s="18" t="s">
        <v>832</v>
      </c>
      <c r="F306" s="101">
        <v>46048.678472222222</v>
      </c>
      <c r="G306" s="101">
        <v>46054.998611111114</v>
      </c>
      <c r="H306" s="18" t="s">
        <v>507</v>
      </c>
      <c r="I306" s="18" t="s">
        <v>508</v>
      </c>
      <c r="J306" s="18"/>
      <c r="K306" s="21">
        <f t="shared" si="12"/>
        <v>151.68333333340706</v>
      </c>
      <c r="L306" s="19">
        <f t="shared" si="13"/>
        <v>11</v>
      </c>
      <c r="M306" s="18" t="str">
        <f>IF(I306&lt;&gt;"Sí","",IF(YEAR(F306)&lt;&gt;2026,"",INDEX({"Enero","Febrero","Marzo","Abril","Mayo","Junio","Julio","Agosto","Septiembre","Octubre","Noviembre","Diciembre"},MONTH(F306))))</f>
        <v>Enero</v>
      </c>
      <c r="N306" s="18" t="str">
        <f t="shared" si="14"/>
        <v>Enero|11</v>
      </c>
    </row>
    <row r="307" spans="1:14" ht="14.5" x14ac:dyDescent="0.25">
      <c r="A307" s="19">
        <v>28</v>
      </c>
      <c r="B307" s="18" t="s">
        <v>35</v>
      </c>
      <c r="C307" s="18" t="s">
        <v>110</v>
      </c>
      <c r="D307" s="18" t="s">
        <v>820</v>
      </c>
      <c r="E307" s="18" t="s">
        <v>833</v>
      </c>
      <c r="F307" s="101">
        <v>46049.580555555556</v>
      </c>
      <c r="G307" s="101">
        <v>46056.240972222222</v>
      </c>
      <c r="H307" s="18" t="s">
        <v>507</v>
      </c>
      <c r="I307" s="18" t="s">
        <v>508</v>
      </c>
      <c r="J307" s="18"/>
      <c r="K307" s="21">
        <f t="shared" si="12"/>
        <v>159.84999999997672</v>
      </c>
      <c r="L307" s="19">
        <f t="shared" si="13"/>
        <v>12</v>
      </c>
      <c r="M307" s="18" t="str">
        <f>IF(I307&lt;&gt;"Sí","",IF(YEAR(F307)&lt;&gt;2026,"",INDEX({"Enero","Febrero","Marzo","Abril","Mayo","Junio","Julio","Agosto","Septiembre","Octubre","Noviembre","Diciembre"},MONTH(F307))))</f>
        <v>Enero</v>
      </c>
      <c r="N307" s="18" t="str">
        <f t="shared" si="14"/>
        <v>Enero|12</v>
      </c>
    </row>
    <row r="308" spans="1:14" ht="14.5" x14ac:dyDescent="0.25">
      <c r="A308" s="19">
        <v>28</v>
      </c>
      <c r="B308" s="18" t="s">
        <v>35</v>
      </c>
      <c r="C308" s="18" t="s">
        <v>110</v>
      </c>
      <c r="D308" s="18" t="s">
        <v>820</v>
      </c>
      <c r="E308" s="18" t="s">
        <v>834</v>
      </c>
      <c r="F308" s="101">
        <v>46051.54583333333</v>
      </c>
      <c r="G308" s="101">
        <v>46054.9375</v>
      </c>
      <c r="H308" s="18" t="s">
        <v>507</v>
      </c>
      <c r="I308" s="18" t="s">
        <v>508</v>
      </c>
      <c r="J308" s="18"/>
      <c r="K308" s="21">
        <f t="shared" si="12"/>
        <v>81.400000000081491</v>
      </c>
      <c r="L308" s="19">
        <f t="shared" si="13"/>
        <v>13</v>
      </c>
      <c r="M308" s="18" t="str">
        <f>IF(I308&lt;&gt;"Sí","",IF(YEAR(F308)&lt;&gt;2026,"",INDEX({"Enero","Febrero","Marzo","Abril","Mayo","Junio","Julio","Agosto","Septiembre","Octubre","Noviembre","Diciembre"},MONTH(F308))))</f>
        <v>Enero</v>
      </c>
      <c r="N308" s="18" t="str">
        <f t="shared" si="14"/>
        <v>Enero|13</v>
      </c>
    </row>
    <row r="309" spans="1:14" ht="14.5" x14ac:dyDescent="0.25">
      <c r="A309" s="19">
        <v>28</v>
      </c>
      <c r="B309" s="18" t="s">
        <v>35</v>
      </c>
      <c r="C309" s="18" t="s">
        <v>110</v>
      </c>
      <c r="D309" s="18" t="s">
        <v>820</v>
      </c>
      <c r="E309" s="18" t="s">
        <v>835</v>
      </c>
      <c r="F309" s="101">
        <v>46051.54583333333</v>
      </c>
      <c r="G309" s="101">
        <v>46054.9375</v>
      </c>
      <c r="H309" s="18" t="s">
        <v>507</v>
      </c>
      <c r="I309" s="18" t="s">
        <v>508</v>
      </c>
      <c r="J309" s="18"/>
      <c r="K309" s="21">
        <f t="shared" si="12"/>
        <v>81.400000000081491</v>
      </c>
      <c r="L309" s="19">
        <f t="shared" si="13"/>
        <v>13</v>
      </c>
      <c r="M309" s="18" t="str">
        <f>IF(I309&lt;&gt;"Sí","",IF(YEAR(F309)&lt;&gt;2026,"",INDEX({"Enero","Febrero","Marzo","Abril","Mayo","Junio","Julio","Agosto","Septiembre","Octubre","Noviembre","Diciembre"},MONTH(F309))))</f>
        <v>Enero</v>
      </c>
      <c r="N309" s="18" t="str">
        <f t="shared" si="14"/>
        <v>Enero|13</v>
      </c>
    </row>
    <row r="310" spans="1:14" ht="14.5" x14ac:dyDescent="0.25">
      <c r="A310" s="19">
        <v>27</v>
      </c>
      <c r="B310" s="18" t="s">
        <v>34</v>
      </c>
      <c r="C310" s="18" t="s">
        <v>92</v>
      </c>
      <c r="D310" s="18" t="s">
        <v>836</v>
      </c>
      <c r="E310" s="18" t="s">
        <v>837</v>
      </c>
      <c r="F310" s="101"/>
      <c r="G310" s="101">
        <v>46053.004861111112</v>
      </c>
      <c r="H310" s="18" t="s">
        <v>554</v>
      </c>
      <c r="I310" s="18" t="s">
        <v>555</v>
      </c>
      <c r="J310" s="18" t="s">
        <v>556</v>
      </c>
      <c r="K310" s="21" t="str">
        <f t="shared" si="12"/>
        <v/>
      </c>
      <c r="L310" s="19" t="str">
        <f t="shared" si="13"/>
        <v/>
      </c>
      <c r="M310" s="18" t="str">
        <f>IF(I310&lt;&gt;"Sí","",IF(YEAR(F310)&lt;&gt;2026,"",INDEX({"Enero","Febrero","Marzo","Abril","Mayo","Junio","Julio","Agosto","Septiembre","Octubre","Noviembre","Diciembre"},MONTH(F310))))</f>
        <v/>
      </c>
      <c r="N310" s="18" t="str">
        <f t="shared" si="14"/>
        <v/>
      </c>
    </row>
    <row r="311" spans="1:14" ht="14.5" x14ac:dyDescent="0.25">
      <c r="A311" s="19">
        <v>27</v>
      </c>
      <c r="B311" s="18" t="s">
        <v>34</v>
      </c>
      <c r="C311" s="18" t="s">
        <v>92</v>
      </c>
      <c r="D311" s="18" t="s">
        <v>836</v>
      </c>
      <c r="E311" s="18" t="s">
        <v>838</v>
      </c>
      <c r="F311" s="101"/>
      <c r="G311" s="101">
        <v>46053.004861111112</v>
      </c>
      <c r="H311" s="18" t="s">
        <v>554</v>
      </c>
      <c r="I311" s="18" t="s">
        <v>555</v>
      </c>
      <c r="J311" s="18" t="s">
        <v>556</v>
      </c>
      <c r="K311" s="21" t="str">
        <f t="shared" si="12"/>
        <v/>
      </c>
      <c r="L311" s="19" t="str">
        <f t="shared" si="13"/>
        <v/>
      </c>
      <c r="M311" s="18" t="str">
        <f>IF(I311&lt;&gt;"Sí","",IF(YEAR(F311)&lt;&gt;2026,"",INDEX({"Enero","Febrero","Marzo","Abril","Mayo","Junio","Julio","Agosto","Septiembre","Octubre","Noviembre","Diciembre"},MONTH(F311))))</f>
        <v/>
      </c>
      <c r="N311" s="18" t="str">
        <f t="shared" si="14"/>
        <v/>
      </c>
    </row>
    <row r="312" spans="1:14" ht="14.5" x14ac:dyDescent="0.25">
      <c r="A312" s="19">
        <v>28</v>
      </c>
      <c r="B312" s="18" t="s">
        <v>35</v>
      </c>
      <c r="C312" s="18" t="s">
        <v>106</v>
      </c>
      <c r="D312" s="18" t="s">
        <v>839</v>
      </c>
      <c r="E312" s="18" t="s">
        <v>840</v>
      </c>
      <c r="F312" s="101">
        <v>46055</v>
      </c>
      <c r="G312" s="101">
        <v>46057.789583333331</v>
      </c>
      <c r="H312" s="18" t="s">
        <v>507</v>
      </c>
      <c r="I312" s="18" t="s">
        <v>508</v>
      </c>
      <c r="J312" s="18"/>
      <c r="K312" s="21">
        <f t="shared" si="12"/>
        <v>66.949999999953434</v>
      </c>
      <c r="L312" s="19">
        <f t="shared" si="13"/>
        <v>9</v>
      </c>
      <c r="M312" s="18" t="str">
        <f>IF(I312&lt;&gt;"Sí","",IF(YEAR(F312)&lt;&gt;2026,"",INDEX({"Enero","Febrero","Marzo","Abril","Mayo","Junio","Julio","Agosto","Septiembre","Octubre","Noviembre","Diciembre"},MONTH(F312))))</f>
        <v>Febrero</v>
      </c>
      <c r="N312" s="18" t="str">
        <f t="shared" si="14"/>
        <v>Febrero|9</v>
      </c>
    </row>
    <row r="313" spans="1:14" ht="14.5" x14ac:dyDescent="0.25">
      <c r="A313" s="19">
        <v>28</v>
      </c>
      <c r="B313" s="18" t="s">
        <v>35</v>
      </c>
      <c r="C313" s="18" t="s">
        <v>112</v>
      </c>
      <c r="D313" s="18" t="s">
        <v>841</v>
      </c>
      <c r="E313" s="18" t="s">
        <v>842</v>
      </c>
      <c r="F313" s="101">
        <v>46055.513194444444</v>
      </c>
      <c r="G313" s="101">
        <v>46062.770833333336</v>
      </c>
      <c r="H313" s="18" t="s">
        <v>507</v>
      </c>
      <c r="I313" s="18" t="s">
        <v>508</v>
      </c>
      <c r="J313" s="18"/>
      <c r="K313" s="21">
        <f t="shared" si="12"/>
        <v>174.18333333340706</v>
      </c>
      <c r="L313" s="19">
        <f t="shared" si="13"/>
        <v>13</v>
      </c>
      <c r="M313" s="18" t="str">
        <f>IF(I313&lt;&gt;"Sí","",IF(YEAR(F313)&lt;&gt;2026,"",INDEX({"Enero","Febrero","Marzo","Abril","Mayo","Junio","Julio","Agosto","Septiembre","Octubre","Noviembre","Diciembre"},MONTH(F313))))</f>
        <v>Febrero</v>
      </c>
      <c r="N313" s="18" t="str">
        <f t="shared" si="14"/>
        <v>Febrero|13</v>
      </c>
    </row>
    <row r="314" spans="1:14" ht="14.5" x14ac:dyDescent="0.25">
      <c r="A314" s="19">
        <v>28</v>
      </c>
      <c r="B314" s="18" t="s">
        <v>35</v>
      </c>
      <c r="C314" s="18" t="s">
        <v>112</v>
      </c>
      <c r="D314" s="18" t="s">
        <v>841</v>
      </c>
      <c r="E314" s="18" t="s">
        <v>843</v>
      </c>
      <c r="F314" s="101">
        <v>46055.513194444444</v>
      </c>
      <c r="G314" s="101">
        <v>46062.770833333336</v>
      </c>
      <c r="H314" s="18" t="s">
        <v>507</v>
      </c>
      <c r="I314" s="18" t="s">
        <v>508</v>
      </c>
      <c r="J314" s="18"/>
      <c r="K314" s="21">
        <f t="shared" si="12"/>
        <v>174.18333333340706</v>
      </c>
      <c r="L314" s="19">
        <f t="shared" si="13"/>
        <v>13</v>
      </c>
      <c r="M314" s="18" t="str">
        <f>IF(I314&lt;&gt;"Sí","",IF(YEAR(F314)&lt;&gt;2026,"",INDEX({"Enero","Febrero","Marzo","Abril","Mayo","Junio","Julio","Agosto","Septiembre","Octubre","Noviembre","Diciembre"},MONTH(F314))))</f>
        <v>Febrero</v>
      </c>
      <c r="N314" s="18" t="str">
        <f t="shared" si="14"/>
        <v>Febrero|13</v>
      </c>
    </row>
    <row r="315" spans="1:14" ht="14.5" x14ac:dyDescent="0.25">
      <c r="A315" s="19">
        <v>28</v>
      </c>
      <c r="B315" s="18" t="s">
        <v>35</v>
      </c>
      <c r="C315" s="18" t="s">
        <v>112</v>
      </c>
      <c r="D315" s="18" t="s">
        <v>841</v>
      </c>
      <c r="E315" s="18" t="s">
        <v>844</v>
      </c>
      <c r="F315" s="101">
        <v>46055.513194444444</v>
      </c>
      <c r="G315" s="101">
        <v>46062.770833333336</v>
      </c>
      <c r="H315" s="18" t="s">
        <v>507</v>
      </c>
      <c r="I315" s="18" t="s">
        <v>508</v>
      </c>
      <c r="J315" s="18"/>
      <c r="K315" s="21">
        <f t="shared" si="12"/>
        <v>174.18333333340706</v>
      </c>
      <c r="L315" s="19">
        <f t="shared" si="13"/>
        <v>13</v>
      </c>
      <c r="M315" s="18" t="str">
        <f>IF(I315&lt;&gt;"Sí","",IF(YEAR(F315)&lt;&gt;2026,"",INDEX({"Enero","Febrero","Marzo","Abril","Mayo","Junio","Julio","Agosto","Septiembre","Octubre","Noviembre","Diciembre"},MONTH(F315))))</f>
        <v>Febrero</v>
      </c>
      <c r="N315" s="18" t="str">
        <f t="shared" si="14"/>
        <v>Febrero|13</v>
      </c>
    </row>
    <row r="316" spans="1:14" ht="14.5" x14ac:dyDescent="0.25">
      <c r="A316" s="19">
        <v>28</v>
      </c>
      <c r="B316" s="18" t="s">
        <v>35</v>
      </c>
      <c r="C316" s="18" t="s">
        <v>112</v>
      </c>
      <c r="D316" s="18" t="s">
        <v>841</v>
      </c>
      <c r="E316" s="18" t="s">
        <v>845</v>
      </c>
      <c r="F316" s="101">
        <v>46055.513194444444</v>
      </c>
      <c r="G316" s="101">
        <v>46062.770833333336</v>
      </c>
      <c r="H316" s="18" t="s">
        <v>507</v>
      </c>
      <c r="I316" s="18" t="s">
        <v>508</v>
      </c>
      <c r="J316" s="18"/>
      <c r="K316" s="21">
        <f t="shared" si="12"/>
        <v>174.18333333340706</v>
      </c>
      <c r="L316" s="19">
        <f t="shared" si="13"/>
        <v>13</v>
      </c>
      <c r="M316" s="18" t="str">
        <f>IF(I316&lt;&gt;"Sí","",IF(YEAR(F316)&lt;&gt;2026,"",INDEX({"Enero","Febrero","Marzo","Abril","Mayo","Junio","Julio","Agosto","Septiembre","Octubre","Noviembre","Diciembre"},MONTH(F316))))</f>
        <v>Febrero</v>
      </c>
      <c r="N316" s="18" t="str">
        <f t="shared" si="14"/>
        <v>Febrero|13</v>
      </c>
    </row>
    <row r="317" spans="1:14" ht="14.5" x14ac:dyDescent="0.25">
      <c r="A317" s="19">
        <v>28</v>
      </c>
      <c r="B317" s="18" t="s">
        <v>35</v>
      </c>
      <c r="C317" s="18" t="s">
        <v>112</v>
      </c>
      <c r="D317" s="18" t="s">
        <v>841</v>
      </c>
      <c r="E317" s="18" t="s">
        <v>846</v>
      </c>
      <c r="F317" s="101">
        <v>46055.513194444444</v>
      </c>
      <c r="G317" s="101">
        <v>46062.754861111112</v>
      </c>
      <c r="H317" s="18" t="s">
        <v>507</v>
      </c>
      <c r="I317" s="18" t="s">
        <v>508</v>
      </c>
      <c r="J317" s="18"/>
      <c r="K317" s="21">
        <f t="shared" si="12"/>
        <v>173.80000000004657</v>
      </c>
      <c r="L317" s="19">
        <f t="shared" si="13"/>
        <v>13</v>
      </c>
      <c r="M317" s="18" t="str">
        <f>IF(I317&lt;&gt;"Sí","",IF(YEAR(F317)&lt;&gt;2026,"",INDEX({"Enero","Febrero","Marzo","Abril","Mayo","Junio","Julio","Agosto","Septiembre","Octubre","Noviembre","Diciembre"},MONTH(F317))))</f>
        <v>Febrero</v>
      </c>
      <c r="N317" s="18" t="str">
        <f t="shared" si="14"/>
        <v>Febrero|13</v>
      </c>
    </row>
    <row r="318" spans="1:14" ht="14.5" x14ac:dyDescent="0.25">
      <c r="A318" s="19">
        <v>28</v>
      </c>
      <c r="B318" s="18" t="s">
        <v>35</v>
      </c>
      <c r="C318" s="18" t="s">
        <v>106</v>
      </c>
      <c r="D318" s="18" t="s">
        <v>839</v>
      </c>
      <c r="E318" s="18" t="s">
        <v>847</v>
      </c>
      <c r="F318" s="101">
        <v>46055.655555555553</v>
      </c>
      <c r="G318" s="101">
        <v>46057.789583333331</v>
      </c>
      <c r="H318" s="18" t="s">
        <v>507</v>
      </c>
      <c r="I318" s="18" t="s">
        <v>508</v>
      </c>
      <c r="J318" s="18"/>
      <c r="K318" s="21">
        <f t="shared" si="12"/>
        <v>51.216666666674428</v>
      </c>
      <c r="L318" s="19">
        <f t="shared" si="13"/>
        <v>13</v>
      </c>
      <c r="M318" s="18" t="str">
        <f>IF(I318&lt;&gt;"Sí","",IF(YEAR(F318)&lt;&gt;2026,"",INDEX({"Enero","Febrero","Marzo","Abril","Mayo","Junio","Julio","Agosto","Septiembre","Octubre","Noviembre","Diciembre"},MONTH(F318))))</f>
        <v>Febrero</v>
      </c>
      <c r="N318" s="18" t="str">
        <f t="shared" si="14"/>
        <v>Febrero|13</v>
      </c>
    </row>
    <row r="319" spans="1:14" ht="14.5" x14ac:dyDescent="0.25">
      <c r="A319" s="19">
        <v>28</v>
      </c>
      <c r="B319" s="18" t="s">
        <v>35</v>
      </c>
      <c r="C319" s="18" t="s">
        <v>112</v>
      </c>
      <c r="D319" s="18" t="s">
        <v>841</v>
      </c>
      <c r="E319" s="18" t="s">
        <v>848</v>
      </c>
      <c r="F319" s="101">
        <v>46056.518055555556</v>
      </c>
      <c r="G319" s="101">
        <v>46062.754861111112</v>
      </c>
      <c r="H319" s="18" t="s">
        <v>507</v>
      </c>
      <c r="I319" s="18" t="s">
        <v>508</v>
      </c>
      <c r="J319" s="18"/>
      <c r="K319" s="21">
        <f t="shared" si="12"/>
        <v>149.68333333334886</v>
      </c>
      <c r="L319" s="19">
        <f t="shared" si="13"/>
        <v>8</v>
      </c>
      <c r="M319" s="18" t="str">
        <f>IF(I319&lt;&gt;"Sí","",IF(YEAR(F319)&lt;&gt;2026,"",INDEX({"Enero","Febrero","Marzo","Abril","Mayo","Junio","Julio","Agosto","Septiembre","Octubre","Noviembre","Diciembre"},MONTH(F319))))</f>
        <v>Febrero</v>
      </c>
      <c r="N319" s="18" t="str">
        <f t="shared" si="14"/>
        <v>Febrero|8</v>
      </c>
    </row>
    <row r="320" spans="1:14" ht="14.5" x14ac:dyDescent="0.25">
      <c r="A320" s="19">
        <v>28</v>
      </c>
      <c r="B320" s="18" t="s">
        <v>35</v>
      </c>
      <c r="C320" s="18" t="s">
        <v>849</v>
      </c>
      <c r="D320" s="18" t="s">
        <v>850</v>
      </c>
      <c r="E320" s="18" t="s">
        <v>851</v>
      </c>
      <c r="F320" s="101"/>
      <c r="G320" s="101">
        <v>46056.53402777778</v>
      </c>
      <c r="H320" s="18" t="s">
        <v>523</v>
      </c>
      <c r="I320" s="18" t="s">
        <v>555</v>
      </c>
      <c r="J320" s="18" t="s">
        <v>556</v>
      </c>
      <c r="K320" s="21" t="str">
        <f t="shared" si="12"/>
        <v/>
      </c>
      <c r="L320" s="19" t="str">
        <f t="shared" si="13"/>
        <v/>
      </c>
      <c r="M320" s="18" t="str">
        <f>IF(I320&lt;&gt;"Sí","",IF(YEAR(F320)&lt;&gt;2026,"",INDEX({"Enero","Febrero","Marzo","Abril","Mayo","Junio","Julio","Agosto","Septiembre","Octubre","Noviembre","Diciembre"},MONTH(F320))))</f>
        <v/>
      </c>
      <c r="N320" s="18" t="str">
        <f t="shared" si="14"/>
        <v/>
      </c>
    </row>
    <row r="321" spans="1:14" ht="14.5" x14ac:dyDescent="0.25">
      <c r="A321" s="19">
        <v>28</v>
      </c>
      <c r="B321" s="18" t="s">
        <v>35</v>
      </c>
      <c r="C321" s="18" t="s">
        <v>112</v>
      </c>
      <c r="D321" s="18" t="s">
        <v>841</v>
      </c>
      <c r="E321" s="18" t="s">
        <v>852</v>
      </c>
      <c r="F321" s="101">
        <v>46057.746527777781</v>
      </c>
      <c r="G321" s="101">
        <v>46062.770833333336</v>
      </c>
      <c r="H321" s="18" t="s">
        <v>507</v>
      </c>
      <c r="I321" s="18" t="s">
        <v>508</v>
      </c>
      <c r="J321" s="18"/>
      <c r="K321" s="21">
        <f t="shared" si="12"/>
        <v>120.58333333331393</v>
      </c>
      <c r="L321" s="19">
        <f t="shared" si="13"/>
        <v>9</v>
      </c>
      <c r="M321" s="18" t="str">
        <f>IF(I321&lt;&gt;"Sí","",IF(YEAR(F321)&lt;&gt;2026,"",INDEX({"Enero","Febrero","Marzo","Abril","Mayo","Junio","Julio","Agosto","Septiembre","Octubre","Noviembre","Diciembre"},MONTH(F321))))</f>
        <v>Febrero</v>
      </c>
      <c r="N321" s="18" t="str">
        <f t="shared" si="14"/>
        <v>Febrero|9</v>
      </c>
    </row>
    <row r="322" spans="1:14" ht="14.5" x14ac:dyDescent="0.25">
      <c r="A322" s="19">
        <v>28</v>
      </c>
      <c r="B322" s="18" t="s">
        <v>35</v>
      </c>
      <c r="C322" s="18" t="s">
        <v>112</v>
      </c>
      <c r="D322" s="18" t="s">
        <v>841</v>
      </c>
      <c r="E322" s="18" t="s">
        <v>853</v>
      </c>
      <c r="F322" s="101">
        <v>46058.540972222225</v>
      </c>
      <c r="G322" s="101">
        <v>46062.754861111112</v>
      </c>
      <c r="H322" s="18" t="s">
        <v>507</v>
      </c>
      <c r="I322" s="18" t="s">
        <v>508</v>
      </c>
      <c r="J322" s="18"/>
      <c r="K322" s="21">
        <f t="shared" si="12"/>
        <v>101.13333333330229</v>
      </c>
      <c r="L322" s="19">
        <f t="shared" si="13"/>
        <v>8</v>
      </c>
      <c r="M322" s="18" t="str">
        <f>IF(I322&lt;&gt;"Sí","",IF(YEAR(F322)&lt;&gt;2026,"",INDEX({"Enero","Febrero","Marzo","Abril","Mayo","Junio","Julio","Agosto","Septiembre","Octubre","Noviembre","Diciembre"},MONTH(F322))))</f>
        <v>Febrero</v>
      </c>
      <c r="N322" s="18" t="str">
        <f t="shared" si="14"/>
        <v>Febrero|8</v>
      </c>
    </row>
    <row r="323" spans="1:14" ht="14.5" x14ac:dyDescent="0.25">
      <c r="A323" s="19">
        <v>28</v>
      </c>
      <c r="B323" s="18" t="s">
        <v>35</v>
      </c>
      <c r="C323" s="18" t="s">
        <v>114</v>
      </c>
      <c r="D323" s="18" t="s">
        <v>854</v>
      </c>
      <c r="E323" s="18" t="s">
        <v>855</v>
      </c>
      <c r="F323" s="101">
        <v>46059.520833333336</v>
      </c>
      <c r="G323" s="101">
        <v>46069.988888888889</v>
      </c>
      <c r="H323" s="18" t="s">
        <v>507</v>
      </c>
      <c r="I323" s="18" t="s">
        <v>508</v>
      </c>
      <c r="J323" s="18"/>
      <c r="K323" s="21">
        <f t="shared" si="12"/>
        <v>251.23333333327901</v>
      </c>
      <c r="L323" s="19">
        <f t="shared" si="13"/>
        <v>9</v>
      </c>
      <c r="M323" s="18" t="str">
        <f>IF(I323&lt;&gt;"Sí","",IF(YEAR(F323)&lt;&gt;2026,"",INDEX({"Enero","Febrero","Marzo","Abril","Mayo","Junio","Julio","Agosto","Septiembre","Octubre","Noviembre","Diciembre"},MONTH(F323))))</f>
        <v>Febrero</v>
      </c>
      <c r="N323" s="18" t="str">
        <f t="shared" si="14"/>
        <v>Febrero|9</v>
      </c>
    </row>
    <row r="324" spans="1:14" ht="14.5" x14ac:dyDescent="0.25">
      <c r="A324" s="19">
        <v>28</v>
      </c>
      <c r="B324" s="18" t="s">
        <v>35</v>
      </c>
      <c r="C324" s="18" t="s">
        <v>114</v>
      </c>
      <c r="D324" s="18" t="s">
        <v>854</v>
      </c>
      <c r="E324" s="18" t="s">
        <v>856</v>
      </c>
      <c r="F324" s="101">
        <v>46059.584027777775</v>
      </c>
      <c r="G324" s="101">
        <v>46069.988888888889</v>
      </c>
      <c r="H324" s="18" t="s">
        <v>507</v>
      </c>
      <c r="I324" s="18" t="s">
        <v>508</v>
      </c>
      <c r="J324" s="18"/>
      <c r="K324" s="21">
        <f t="shared" si="12"/>
        <v>249.71666666673264</v>
      </c>
      <c r="L324" s="19">
        <f t="shared" si="13"/>
        <v>10</v>
      </c>
      <c r="M324" s="18" t="str">
        <f>IF(I324&lt;&gt;"Sí","",IF(YEAR(F324)&lt;&gt;2026,"",INDEX({"Enero","Febrero","Marzo","Abril","Mayo","Junio","Julio","Agosto","Septiembre","Octubre","Noviembre","Diciembre"},MONTH(F324))))</f>
        <v>Febrero</v>
      </c>
      <c r="N324" s="18" t="str">
        <f t="shared" si="14"/>
        <v>Febrero|10</v>
      </c>
    </row>
    <row r="325" spans="1:14" ht="14.5" x14ac:dyDescent="0.25">
      <c r="A325" s="19">
        <v>28</v>
      </c>
      <c r="B325" s="18" t="s">
        <v>35</v>
      </c>
      <c r="C325" s="18" t="s">
        <v>114</v>
      </c>
      <c r="D325" s="18" t="s">
        <v>854</v>
      </c>
      <c r="E325" s="18" t="s">
        <v>857</v>
      </c>
      <c r="F325" s="101">
        <v>46059.616666666669</v>
      </c>
      <c r="G325" s="101">
        <v>46069.988888888889</v>
      </c>
      <c r="H325" s="18" t="s">
        <v>507</v>
      </c>
      <c r="I325" s="18" t="s">
        <v>508</v>
      </c>
      <c r="J325" s="18"/>
      <c r="K325" s="21">
        <f t="shared" si="12"/>
        <v>248.93333333329065</v>
      </c>
      <c r="L325" s="19">
        <f t="shared" si="13"/>
        <v>13</v>
      </c>
      <c r="M325" s="18" t="str">
        <f>IF(I325&lt;&gt;"Sí","",IF(YEAR(F325)&lt;&gt;2026,"",INDEX({"Enero","Febrero","Marzo","Abril","Mayo","Junio","Julio","Agosto","Septiembre","Octubre","Noviembre","Diciembre"},MONTH(F325))))</f>
        <v>Febrero</v>
      </c>
      <c r="N325" s="18" t="str">
        <f t="shared" si="14"/>
        <v>Febrero|13</v>
      </c>
    </row>
    <row r="326" spans="1:14" ht="14.5" x14ac:dyDescent="0.25">
      <c r="A326" s="19">
        <v>28</v>
      </c>
      <c r="B326" s="18" t="s">
        <v>35</v>
      </c>
      <c r="C326" s="18" t="s">
        <v>114</v>
      </c>
      <c r="D326" s="18" t="s">
        <v>854</v>
      </c>
      <c r="E326" s="18" t="s">
        <v>858</v>
      </c>
      <c r="F326" s="101">
        <v>46059.616666666669</v>
      </c>
      <c r="G326" s="101">
        <v>46069.93472222222</v>
      </c>
      <c r="H326" s="18" t="s">
        <v>507</v>
      </c>
      <c r="I326" s="18" t="s">
        <v>508</v>
      </c>
      <c r="J326" s="18"/>
      <c r="K326" s="21">
        <f t="shared" si="12"/>
        <v>247.63333333324408</v>
      </c>
      <c r="L326" s="19">
        <f t="shared" si="13"/>
        <v>13</v>
      </c>
      <c r="M326" s="18" t="str">
        <f>IF(I326&lt;&gt;"Sí","",IF(YEAR(F326)&lt;&gt;2026,"",INDEX({"Enero","Febrero","Marzo","Abril","Mayo","Junio","Julio","Agosto","Septiembre","Octubre","Noviembre","Diciembre"},MONTH(F326))))</f>
        <v>Febrero</v>
      </c>
      <c r="N326" s="18" t="str">
        <f t="shared" si="14"/>
        <v>Febrero|13</v>
      </c>
    </row>
    <row r="327" spans="1:14" ht="14.5" x14ac:dyDescent="0.25">
      <c r="A327" s="19">
        <v>28</v>
      </c>
      <c r="B327" s="18" t="s">
        <v>35</v>
      </c>
      <c r="C327" s="18" t="s">
        <v>114</v>
      </c>
      <c r="D327" s="18" t="s">
        <v>854</v>
      </c>
      <c r="E327" s="18" t="s">
        <v>859</v>
      </c>
      <c r="F327" s="101">
        <v>46059.616666666669</v>
      </c>
      <c r="G327" s="101">
        <v>46069.936805555553</v>
      </c>
      <c r="H327" s="18" t="s">
        <v>507</v>
      </c>
      <c r="I327" s="18" t="s">
        <v>508</v>
      </c>
      <c r="J327" s="18"/>
      <c r="K327" s="21">
        <f t="shared" ref="K327:K390" si="15">IF(I327="Sí",(G327-F327)*24,"")</f>
        <v>247.68333333323244</v>
      </c>
      <c r="L327" s="19">
        <f t="shared" ref="L327:L390" si="16">IF(I327="Sí",COUNTIFS($F$7:$F$4000,"&lt;="&amp;F327,$G$7:$G$4000,"&gt;"&amp;F327,$I$7:$I$4000,"Sí"),"")</f>
        <v>13</v>
      </c>
      <c r="M327" s="18" t="str">
        <f>IF(I327&lt;&gt;"Sí","",IF(YEAR(F327)&lt;&gt;2026,"",INDEX({"Enero","Febrero","Marzo","Abril","Mayo","Junio","Julio","Agosto","Septiembre","Octubre","Noviembre","Diciembre"},MONTH(F327))))</f>
        <v>Febrero</v>
      </c>
      <c r="N327" s="18" t="str">
        <f t="shared" ref="N327:N390" si="17">IF(M327="","",M327&amp;"|"&amp;L327)</f>
        <v>Febrero|13</v>
      </c>
    </row>
    <row r="328" spans="1:14" ht="14.5" x14ac:dyDescent="0.25">
      <c r="A328" s="19">
        <v>28</v>
      </c>
      <c r="B328" s="18" t="s">
        <v>35</v>
      </c>
      <c r="C328" s="18" t="s">
        <v>114</v>
      </c>
      <c r="D328" s="18" t="s">
        <v>854</v>
      </c>
      <c r="E328" s="18" t="s">
        <v>860</v>
      </c>
      <c r="F328" s="101">
        <v>46060.497916666667</v>
      </c>
      <c r="G328" s="101">
        <v>46069.629166666666</v>
      </c>
      <c r="H328" s="18" t="s">
        <v>507</v>
      </c>
      <c r="I328" s="18" t="s">
        <v>508</v>
      </c>
      <c r="J328" s="18"/>
      <c r="K328" s="21">
        <f t="shared" si="15"/>
        <v>219.14999999996508</v>
      </c>
      <c r="L328" s="19">
        <f t="shared" si="16"/>
        <v>16</v>
      </c>
      <c r="M328" s="18" t="str">
        <f>IF(I328&lt;&gt;"Sí","",IF(YEAR(F328)&lt;&gt;2026,"",INDEX({"Enero","Febrero","Marzo","Abril","Mayo","Junio","Julio","Agosto","Septiembre","Octubre","Noviembre","Diciembre"},MONTH(F328))))</f>
        <v>Febrero</v>
      </c>
      <c r="N328" s="18" t="str">
        <f t="shared" si="17"/>
        <v>Febrero|16</v>
      </c>
    </row>
    <row r="329" spans="1:14" ht="14.5" x14ac:dyDescent="0.25">
      <c r="A329" s="19">
        <v>28</v>
      </c>
      <c r="B329" s="18" t="s">
        <v>35</v>
      </c>
      <c r="C329" s="18" t="s">
        <v>114</v>
      </c>
      <c r="D329" s="18" t="s">
        <v>854</v>
      </c>
      <c r="E329" s="18" t="s">
        <v>861</v>
      </c>
      <c r="F329" s="101">
        <v>46060.497916666667</v>
      </c>
      <c r="G329" s="101">
        <v>46069.615277777775</v>
      </c>
      <c r="H329" s="18" t="s">
        <v>507</v>
      </c>
      <c r="I329" s="18" t="s">
        <v>508</v>
      </c>
      <c r="J329" s="18"/>
      <c r="K329" s="21">
        <f t="shared" si="15"/>
        <v>218.81666666659294</v>
      </c>
      <c r="L329" s="19">
        <f t="shared" si="16"/>
        <v>16</v>
      </c>
      <c r="M329" s="18" t="str">
        <f>IF(I329&lt;&gt;"Sí","",IF(YEAR(F329)&lt;&gt;2026,"",INDEX({"Enero","Febrero","Marzo","Abril","Mayo","Junio","Julio","Agosto","Septiembre","Octubre","Noviembre","Diciembre"},MONTH(F329))))</f>
        <v>Febrero</v>
      </c>
      <c r="N329" s="18" t="str">
        <f t="shared" si="17"/>
        <v>Febrero|16</v>
      </c>
    </row>
    <row r="330" spans="1:14" ht="14.5" x14ac:dyDescent="0.25">
      <c r="A330" s="19">
        <v>28</v>
      </c>
      <c r="B330" s="18" t="s">
        <v>35</v>
      </c>
      <c r="C330" s="18" t="s">
        <v>114</v>
      </c>
      <c r="D330" s="18" t="s">
        <v>854</v>
      </c>
      <c r="E330" s="18" t="s">
        <v>862</v>
      </c>
      <c r="F330" s="101">
        <v>46060.497916666667</v>
      </c>
      <c r="G330" s="101">
        <v>46069.795138888891</v>
      </c>
      <c r="H330" s="18" t="s">
        <v>507</v>
      </c>
      <c r="I330" s="18" t="s">
        <v>508</v>
      </c>
      <c r="J330" s="18"/>
      <c r="K330" s="21">
        <f t="shared" si="15"/>
        <v>223.1333333333605</v>
      </c>
      <c r="L330" s="19">
        <f t="shared" si="16"/>
        <v>16</v>
      </c>
      <c r="M330" s="18" t="str">
        <f>IF(I330&lt;&gt;"Sí","",IF(YEAR(F330)&lt;&gt;2026,"",INDEX({"Enero","Febrero","Marzo","Abril","Mayo","Junio","Julio","Agosto","Septiembre","Octubre","Noviembre","Diciembre"},MONTH(F330))))</f>
        <v>Febrero</v>
      </c>
      <c r="N330" s="18" t="str">
        <f t="shared" si="17"/>
        <v>Febrero|16</v>
      </c>
    </row>
    <row r="331" spans="1:14" ht="14.5" x14ac:dyDescent="0.25">
      <c r="A331" s="19">
        <v>28</v>
      </c>
      <c r="B331" s="18" t="s">
        <v>35</v>
      </c>
      <c r="C331" s="18" t="s">
        <v>114</v>
      </c>
      <c r="D331" s="18" t="s">
        <v>854</v>
      </c>
      <c r="E331" s="18" t="s">
        <v>863</v>
      </c>
      <c r="F331" s="101">
        <v>46062.506944444445</v>
      </c>
      <c r="G331" s="101">
        <v>46069.615277777775</v>
      </c>
      <c r="H331" s="18" t="s">
        <v>507</v>
      </c>
      <c r="I331" s="18" t="s">
        <v>508</v>
      </c>
      <c r="J331" s="18"/>
      <c r="K331" s="21">
        <f t="shared" si="15"/>
        <v>170.59999999991851</v>
      </c>
      <c r="L331" s="19">
        <f t="shared" si="16"/>
        <v>18</v>
      </c>
      <c r="M331" s="18" t="str">
        <f>IF(I331&lt;&gt;"Sí","",IF(YEAR(F331)&lt;&gt;2026,"",INDEX({"Enero","Febrero","Marzo","Abril","Mayo","Junio","Julio","Agosto","Septiembre","Octubre","Noviembre","Diciembre"},MONTH(F331))))</f>
        <v>Febrero</v>
      </c>
      <c r="N331" s="18" t="str">
        <f t="shared" si="17"/>
        <v>Febrero|18</v>
      </c>
    </row>
    <row r="332" spans="1:14" ht="14.5" x14ac:dyDescent="0.25">
      <c r="A332" s="19">
        <v>28</v>
      </c>
      <c r="B332" s="18" t="s">
        <v>35</v>
      </c>
      <c r="C332" s="18" t="s">
        <v>114</v>
      </c>
      <c r="D332" s="18" t="s">
        <v>854</v>
      </c>
      <c r="E332" s="18" t="s">
        <v>864</v>
      </c>
      <c r="F332" s="101">
        <v>46062.506944444445</v>
      </c>
      <c r="G332" s="101">
        <v>46069.629166666666</v>
      </c>
      <c r="H332" s="18" t="s">
        <v>507</v>
      </c>
      <c r="I332" s="18" t="s">
        <v>508</v>
      </c>
      <c r="J332" s="18"/>
      <c r="K332" s="21">
        <f t="shared" si="15"/>
        <v>170.93333333329065</v>
      </c>
      <c r="L332" s="19">
        <f t="shared" si="16"/>
        <v>18</v>
      </c>
      <c r="M332" s="18" t="str">
        <f>IF(I332&lt;&gt;"Sí","",IF(YEAR(F332)&lt;&gt;2026,"",INDEX({"Enero","Febrero","Marzo","Abril","Mayo","Junio","Julio","Agosto","Septiembre","Octubre","Noviembre","Diciembre"},MONTH(F332))))</f>
        <v>Febrero</v>
      </c>
      <c r="N332" s="18" t="str">
        <f t="shared" si="17"/>
        <v>Febrero|18</v>
      </c>
    </row>
    <row r="333" spans="1:14" ht="14.5" x14ac:dyDescent="0.25">
      <c r="A333" s="19">
        <v>28</v>
      </c>
      <c r="B333" s="18" t="s">
        <v>35</v>
      </c>
      <c r="C333" s="18" t="s">
        <v>114</v>
      </c>
      <c r="D333" s="18" t="s">
        <v>854</v>
      </c>
      <c r="E333" s="18" t="s">
        <v>865</v>
      </c>
      <c r="F333" s="101">
        <v>46062.532638888886</v>
      </c>
      <c r="G333" s="101">
        <v>46069.797222222223</v>
      </c>
      <c r="H333" s="18" t="s">
        <v>507</v>
      </c>
      <c r="I333" s="18" t="s">
        <v>508</v>
      </c>
      <c r="J333" s="18"/>
      <c r="K333" s="21">
        <f t="shared" si="15"/>
        <v>174.35000000009313</v>
      </c>
      <c r="L333" s="19">
        <f t="shared" si="16"/>
        <v>19</v>
      </c>
      <c r="M333" s="18" t="str">
        <f>IF(I333&lt;&gt;"Sí","",IF(YEAR(F333)&lt;&gt;2026,"",INDEX({"Enero","Febrero","Marzo","Abril","Mayo","Junio","Julio","Agosto","Septiembre","Octubre","Noviembre","Diciembre"},MONTH(F333))))</f>
        <v>Febrero</v>
      </c>
      <c r="N333" s="18" t="str">
        <f t="shared" si="17"/>
        <v>Febrero|19</v>
      </c>
    </row>
    <row r="334" spans="1:14" ht="14.5" x14ac:dyDescent="0.25">
      <c r="A334" s="19">
        <v>28</v>
      </c>
      <c r="B334" s="18" t="s">
        <v>35</v>
      </c>
      <c r="C334" s="18" t="s">
        <v>114</v>
      </c>
      <c r="D334" s="18" t="s">
        <v>854</v>
      </c>
      <c r="E334" s="18" t="s">
        <v>866</v>
      </c>
      <c r="F334" s="101">
        <v>46063.627083333333</v>
      </c>
      <c r="G334" s="101">
        <v>46069.8</v>
      </c>
      <c r="H334" s="18" t="s">
        <v>507</v>
      </c>
      <c r="I334" s="18" t="s">
        <v>508</v>
      </c>
      <c r="J334" s="18"/>
      <c r="K334" s="21">
        <f t="shared" si="15"/>
        <v>148.15000000008149</v>
      </c>
      <c r="L334" s="19">
        <f t="shared" si="16"/>
        <v>12</v>
      </c>
      <c r="M334" s="18" t="str">
        <f>IF(I334&lt;&gt;"Sí","",IF(YEAR(F334)&lt;&gt;2026,"",INDEX({"Enero","Febrero","Marzo","Abril","Mayo","Junio","Julio","Agosto","Septiembre","Octubre","Noviembre","Diciembre"},MONTH(F334))))</f>
        <v>Febrero</v>
      </c>
      <c r="N334" s="18" t="str">
        <f t="shared" si="17"/>
        <v>Febrero|12</v>
      </c>
    </row>
    <row r="335" spans="1:14" ht="14.5" x14ac:dyDescent="0.25">
      <c r="A335" s="19">
        <v>28</v>
      </c>
      <c r="B335" s="18" t="s">
        <v>35</v>
      </c>
      <c r="C335" s="18" t="s">
        <v>116</v>
      </c>
      <c r="D335" s="18" t="s">
        <v>867</v>
      </c>
      <c r="E335" s="18" t="s">
        <v>868</v>
      </c>
      <c r="F335" s="101">
        <v>46064.604166666664</v>
      </c>
      <c r="G335" s="101">
        <v>46076.470138888886</v>
      </c>
      <c r="H335" s="18" t="s">
        <v>507</v>
      </c>
      <c r="I335" s="18" t="s">
        <v>508</v>
      </c>
      <c r="J335" s="18"/>
      <c r="K335" s="21">
        <f t="shared" si="15"/>
        <v>284.78333333332557</v>
      </c>
      <c r="L335" s="19">
        <f t="shared" si="16"/>
        <v>13</v>
      </c>
      <c r="M335" s="18" t="str">
        <f>IF(I335&lt;&gt;"Sí","",IF(YEAR(F335)&lt;&gt;2026,"",INDEX({"Enero","Febrero","Marzo","Abril","Mayo","Junio","Julio","Agosto","Septiembre","Octubre","Noviembre","Diciembre"},MONTH(F335))))</f>
        <v>Febrero</v>
      </c>
      <c r="N335" s="18" t="str">
        <f t="shared" si="17"/>
        <v>Febrero|13</v>
      </c>
    </row>
    <row r="336" spans="1:14" ht="14.5" x14ac:dyDescent="0.25">
      <c r="A336" s="19">
        <v>28</v>
      </c>
      <c r="B336" s="18" t="s">
        <v>35</v>
      </c>
      <c r="C336" s="18" t="s">
        <v>116</v>
      </c>
      <c r="D336" s="18" t="s">
        <v>867</v>
      </c>
      <c r="E336" s="18" t="s">
        <v>869</v>
      </c>
      <c r="F336" s="101">
        <v>46064.638194444444</v>
      </c>
      <c r="G336" s="101">
        <v>46076.470138888886</v>
      </c>
      <c r="H336" s="18" t="s">
        <v>507</v>
      </c>
      <c r="I336" s="18" t="s">
        <v>508</v>
      </c>
      <c r="J336" s="18"/>
      <c r="K336" s="21">
        <f t="shared" si="15"/>
        <v>283.96666666661622</v>
      </c>
      <c r="L336" s="19">
        <f t="shared" si="16"/>
        <v>14</v>
      </c>
      <c r="M336" s="18" t="str">
        <f>IF(I336&lt;&gt;"Sí","",IF(YEAR(F336)&lt;&gt;2026,"",INDEX({"Enero","Febrero","Marzo","Abril","Mayo","Junio","Julio","Agosto","Septiembre","Octubre","Noviembre","Diciembre"},MONTH(F336))))</f>
        <v>Febrero</v>
      </c>
      <c r="N336" s="18" t="str">
        <f t="shared" si="17"/>
        <v>Febrero|14</v>
      </c>
    </row>
    <row r="337" spans="1:14" ht="14.5" x14ac:dyDescent="0.25">
      <c r="A337" s="19">
        <v>28</v>
      </c>
      <c r="B337" s="18" t="s">
        <v>35</v>
      </c>
      <c r="C337" s="18" t="s">
        <v>116</v>
      </c>
      <c r="D337" s="18" t="s">
        <v>867</v>
      </c>
      <c r="E337" s="18" t="s">
        <v>870</v>
      </c>
      <c r="F337" s="101">
        <v>46065.489583333336</v>
      </c>
      <c r="G337" s="101">
        <v>46076.470138888886</v>
      </c>
      <c r="H337" s="18" t="s">
        <v>507</v>
      </c>
      <c r="I337" s="18" t="s">
        <v>508</v>
      </c>
      <c r="J337" s="18"/>
      <c r="K337" s="21">
        <f t="shared" si="15"/>
        <v>263.53333333320916</v>
      </c>
      <c r="L337" s="19">
        <f t="shared" si="16"/>
        <v>15</v>
      </c>
      <c r="M337" s="18" t="str">
        <f>IF(I337&lt;&gt;"Sí","",IF(YEAR(F337)&lt;&gt;2026,"",INDEX({"Enero","Febrero","Marzo","Abril","Mayo","Junio","Julio","Agosto","Septiembre","Octubre","Noviembre","Diciembre"},MONTH(F337))))</f>
        <v>Febrero</v>
      </c>
      <c r="N337" s="18" t="str">
        <f t="shared" si="17"/>
        <v>Febrero|15</v>
      </c>
    </row>
    <row r="338" spans="1:14" ht="14.5" x14ac:dyDescent="0.25">
      <c r="A338" s="19">
        <v>28</v>
      </c>
      <c r="B338" s="18" t="s">
        <v>35</v>
      </c>
      <c r="C338" s="18" t="s">
        <v>116</v>
      </c>
      <c r="D338" s="18" t="s">
        <v>867</v>
      </c>
      <c r="E338" s="18" t="s">
        <v>871</v>
      </c>
      <c r="F338" s="101">
        <v>46065.505555555559</v>
      </c>
      <c r="G338" s="101">
        <v>46076.470138888886</v>
      </c>
      <c r="H338" s="18" t="s">
        <v>507</v>
      </c>
      <c r="I338" s="18" t="s">
        <v>508</v>
      </c>
      <c r="J338" s="18"/>
      <c r="K338" s="21">
        <f t="shared" si="15"/>
        <v>263.14999999984866</v>
      </c>
      <c r="L338" s="19">
        <f t="shared" si="16"/>
        <v>17</v>
      </c>
      <c r="M338" s="18" t="str">
        <f>IF(I338&lt;&gt;"Sí","",IF(YEAR(F338)&lt;&gt;2026,"",INDEX({"Enero","Febrero","Marzo","Abril","Mayo","Junio","Julio","Agosto","Septiembre","Octubre","Noviembre","Diciembre"},MONTH(F338))))</f>
        <v>Febrero</v>
      </c>
      <c r="N338" s="18" t="str">
        <f t="shared" si="17"/>
        <v>Febrero|17</v>
      </c>
    </row>
    <row r="339" spans="1:14" ht="14.5" x14ac:dyDescent="0.25">
      <c r="A339" s="19">
        <v>28</v>
      </c>
      <c r="B339" s="18" t="s">
        <v>35</v>
      </c>
      <c r="C339" s="18" t="s">
        <v>116</v>
      </c>
      <c r="D339" s="18" t="s">
        <v>867</v>
      </c>
      <c r="E339" s="18" t="s">
        <v>872</v>
      </c>
      <c r="F339" s="101">
        <v>46065.505555555559</v>
      </c>
      <c r="G339" s="101">
        <v>46076.470138888886</v>
      </c>
      <c r="H339" s="18" t="s">
        <v>507</v>
      </c>
      <c r="I339" s="18" t="s">
        <v>508</v>
      </c>
      <c r="J339" s="18"/>
      <c r="K339" s="21">
        <f t="shared" si="15"/>
        <v>263.14999999984866</v>
      </c>
      <c r="L339" s="19">
        <f t="shared" si="16"/>
        <v>17</v>
      </c>
      <c r="M339" s="18" t="str">
        <f>IF(I339&lt;&gt;"Sí","",IF(YEAR(F339)&lt;&gt;2026,"",INDEX({"Enero","Febrero","Marzo","Abril","Mayo","Junio","Julio","Agosto","Septiembre","Octubre","Noviembre","Diciembre"},MONTH(F339))))</f>
        <v>Febrero</v>
      </c>
      <c r="N339" s="18" t="str">
        <f t="shared" si="17"/>
        <v>Febrero|17</v>
      </c>
    </row>
    <row r="340" spans="1:14" ht="14.5" x14ac:dyDescent="0.25">
      <c r="A340" s="19">
        <v>28</v>
      </c>
      <c r="B340" s="18" t="s">
        <v>35</v>
      </c>
      <c r="C340" s="18" t="s">
        <v>114</v>
      </c>
      <c r="D340" s="18" t="s">
        <v>854</v>
      </c>
      <c r="E340" s="18" t="s">
        <v>873</v>
      </c>
      <c r="F340" s="101">
        <v>46065.509027777778</v>
      </c>
      <c r="G340" s="101">
        <v>46069.629166666666</v>
      </c>
      <c r="H340" s="18" t="s">
        <v>507</v>
      </c>
      <c r="I340" s="18" t="s">
        <v>508</v>
      </c>
      <c r="J340" s="18"/>
      <c r="K340" s="21">
        <f t="shared" si="15"/>
        <v>98.883333333302289</v>
      </c>
      <c r="L340" s="19">
        <f t="shared" si="16"/>
        <v>18</v>
      </c>
      <c r="M340" s="18" t="str">
        <f>IF(I340&lt;&gt;"Sí","",IF(YEAR(F340)&lt;&gt;2026,"",INDEX({"Enero","Febrero","Marzo","Abril","Mayo","Junio","Julio","Agosto","Septiembre","Octubre","Noviembre","Diciembre"},MONTH(F340))))</f>
        <v>Febrero</v>
      </c>
      <c r="N340" s="18" t="str">
        <f t="shared" si="17"/>
        <v>Febrero|18</v>
      </c>
    </row>
    <row r="341" spans="1:14" ht="14.5" x14ac:dyDescent="0.25">
      <c r="A341" s="19">
        <v>28</v>
      </c>
      <c r="B341" s="18" t="s">
        <v>35</v>
      </c>
      <c r="C341" s="18" t="s">
        <v>97</v>
      </c>
      <c r="D341" s="18" t="s">
        <v>874</v>
      </c>
      <c r="E341" s="18" t="s">
        <v>875</v>
      </c>
      <c r="F341" s="101">
        <v>46065.529166666667</v>
      </c>
      <c r="G341" s="101">
        <v>46067.706250000003</v>
      </c>
      <c r="H341" s="18" t="s">
        <v>507</v>
      </c>
      <c r="I341" s="18" t="s">
        <v>508</v>
      </c>
      <c r="J341" s="18"/>
      <c r="K341" s="21">
        <f t="shared" si="15"/>
        <v>52.250000000058208</v>
      </c>
      <c r="L341" s="19">
        <f t="shared" si="16"/>
        <v>19</v>
      </c>
      <c r="M341" s="18" t="str">
        <f>IF(I341&lt;&gt;"Sí","",IF(YEAR(F341)&lt;&gt;2026,"",INDEX({"Enero","Febrero","Marzo","Abril","Mayo","Junio","Julio","Agosto","Septiembre","Octubre","Noviembre","Diciembre"},MONTH(F341))))</f>
        <v>Febrero</v>
      </c>
      <c r="N341" s="18" t="str">
        <f t="shared" si="17"/>
        <v>Febrero|19</v>
      </c>
    </row>
    <row r="342" spans="1:14" ht="14.5" x14ac:dyDescent="0.25">
      <c r="A342" s="19">
        <v>28</v>
      </c>
      <c r="B342" s="18" t="s">
        <v>35</v>
      </c>
      <c r="C342" s="18" t="s">
        <v>97</v>
      </c>
      <c r="D342" s="18" t="s">
        <v>874</v>
      </c>
      <c r="E342" s="18" t="s">
        <v>876</v>
      </c>
      <c r="F342" s="101">
        <v>46065.549305555556</v>
      </c>
      <c r="G342" s="101">
        <v>46067.706250000003</v>
      </c>
      <c r="H342" s="18" t="s">
        <v>507</v>
      </c>
      <c r="I342" s="18" t="s">
        <v>508</v>
      </c>
      <c r="J342" s="18"/>
      <c r="K342" s="21">
        <f t="shared" si="15"/>
        <v>51.766666666720994</v>
      </c>
      <c r="L342" s="19">
        <f t="shared" si="16"/>
        <v>21</v>
      </c>
      <c r="M342" s="18" t="str">
        <f>IF(I342&lt;&gt;"Sí","",IF(YEAR(F342)&lt;&gt;2026,"",INDEX({"Enero","Febrero","Marzo","Abril","Mayo","Junio","Julio","Agosto","Septiembre","Octubre","Noviembre","Diciembre"},MONTH(F342))))</f>
        <v>Febrero</v>
      </c>
      <c r="N342" s="18" t="str">
        <f t="shared" si="17"/>
        <v>Febrero|21</v>
      </c>
    </row>
    <row r="343" spans="1:14" ht="14.5" x14ac:dyDescent="0.25">
      <c r="A343" s="19">
        <v>28</v>
      </c>
      <c r="B343" s="18" t="s">
        <v>35</v>
      </c>
      <c r="C343" s="18" t="s">
        <v>116</v>
      </c>
      <c r="D343" s="18" t="s">
        <v>867</v>
      </c>
      <c r="E343" s="18" t="s">
        <v>877</v>
      </c>
      <c r="F343" s="101">
        <v>46065.549305555556</v>
      </c>
      <c r="G343" s="101">
        <v>46076.470138888886</v>
      </c>
      <c r="H343" s="18" t="s">
        <v>507</v>
      </c>
      <c r="I343" s="18" t="s">
        <v>508</v>
      </c>
      <c r="J343" s="18"/>
      <c r="K343" s="21">
        <f t="shared" si="15"/>
        <v>262.09999999991851</v>
      </c>
      <c r="L343" s="19">
        <f t="shared" si="16"/>
        <v>21</v>
      </c>
      <c r="M343" s="18" t="str">
        <f>IF(I343&lt;&gt;"Sí","",IF(YEAR(F343)&lt;&gt;2026,"",INDEX({"Enero","Febrero","Marzo","Abril","Mayo","Junio","Julio","Agosto","Septiembre","Octubre","Noviembre","Diciembre"},MONTH(F343))))</f>
        <v>Febrero</v>
      </c>
      <c r="N343" s="18" t="str">
        <f t="shared" si="17"/>
        <v>Febrero|21</v>
      </c>
    </row>
    <row r="344" spans="1:14" ht="14.5" x14ac:dyDescent="0.25">
      <c r="A344" s="19">
        <v>28</v>
      </c>
      <c r="B344" s="18" t="s">
        <v>35</v>
      </c>
      <c r="C344" s="18" t="s">
        <v>97</v>
      </c>
      <c r="D344" s="18" t="s">
        <v>874</v>
      </c>
      <c r="E344" s="18" t="s">
        <v>878</v>
      </c>
      <c r="F344" s="101"/>
      <c r="G344" s="101">
        <v>46067.184027777781</v>
      </c>
      <c r="H344" s="18" t="s">
        <v>554</v>
      </c>
      <c r="I344" s="18" t="s">
        <v>555</v>
      </c>
      <c r="J344" s="18" t="s">
        <v>556</v>
      </c>
      <c r="K344" s="21" t="str">
        <f t="shared" si="15"/>
        <v/>
      </c>
      <c r="L344" s="19" t="str">
        <f t="shared" si="16"/>
        <v/>
      </c>
      <c r="M344" s="18" t="str">
        <f>IF(I344&lt;&gt;"Sí","",IF(YEAR(F344)&lt;&gt;2026,"",INDEX({"Enero","Febrero","Marzo","Abril","Mayo","Junio","Julio","Agosto","Septiembre","Octubre","Noviembre","Diciembre"},MONTH(F344))))</f>
        <v/>
      </c>
      <c r="N344" s="18" t="str">
        <f t="shared" si="17"/>
        <v/>
      </c>
    </row>
    <row r="345" spans="1:14" ht="14.5" x14ac:dyDescent="0.25">
      <c r="A345" s="19">
        <v>28</v>
      </c>
      <c r="B345" s="18" t="s">
        <v>35</v>
      </c>
      <c r="C345" s="18" t="s">
        <v>97</v>
      </c>
      <c r="D345" s="18" t="s">
        <v>874</v>
      </c>
      <c r="E345" s="18" t="s">
        <v>879</v>
      </c>
      <c r="F345" s="101"/>
      <c r="G345" s="101">
        <v>46067.184027777781</v>
      </c>
      <c r="H345" s="18" t="s">
        <v>554</v>
      </c>
      <c r="I345" s="18" t="s">
        <v>555</v>
      </c>
      <c r="J345" s="18" t="s">
        <v>556</v>
      </c>
      <c r="K345" s="21" t="str">
        <f t="shared" si="15"/>
        <v/>
      </c>
      <c r="L345" s="19" t="str">
        <f t="shared" si="16"/>
        <v/>
      </c>
      <c r="M345" s="18" t="str">
        <f>IF(I345&lt;&gt;"Sí","",IF(YEAR(F345)&lt;&gt;2026,"",INDEX({"Enero","Febrero","Marzo","Abril","Mayo","Junio","Julio","Agosto","Septiembre","Octubre","Noviembre","Diciembre"},MONTH(F345))))</f>
        <v/>
      </c>
      <c r="N345" s="18" t="str">
        <f t="shared" si="17"/>
        <v/>
      </c>
    </row>
    <row r="346" spans="1:14" ht="14.5" x14ac:dyDescent="0.25">
      <c r="A346" s="19">
        <v>28</v>
      </c>
      <c r="B346" s="18" t="s">
        <v>35</v>
      </c>
      <c r="C346" s="18" t="s">
        <v>97</v>
      </c>
      <c r="D346" s="18" t="s">
        <v>874</v>
      </c>
      <c r="E346" s="18" t="s">
        <v>880</v>
      </c>
      <c r="F346" s="101"/>
      <c r="G346" s="101">
        <v>46067.184027777781</v>
      </c>
      <c r="H346" s="18" t="s">
        <v>554</v>
      </c>
      <c r="I346" s="18" t="s">
        <v>555</v>
      </c>
      <c r="J346" s="18" t="s">
        <v>556</v>
      </c>
      <c r="K346" s="21" t="str">
        <f t="shared" si="15"/>
        <v/>
      </c>
      <c r="L346" s="19" t="str">
        <f t="shared" si="16"/>
        <v/>
      </c>
      <c r="M346" s="18" t="str">
        <f>IF(I346&lt;&gt;"Sí","",IF(YEAR(F346)&lt;&gt;2026,"",INDEX({"Enero","Febrero","Marzo","Abril","Mayo","Junio","Julio","Agosto","Septiembre","Octubre","Noviembre","Diciembre"},MONTH(F346))))</f>
        <v/>
      </c>
      <c r="N346" s="18" t="str">
        <f t="shared" si="17"/>
        <v/>
      </c>
    </row>
    <row r="347" spans="1:14" ht="14.5" x14ac:dyDescent="0.25">
      <c r="A347" s="19">
        <v>28</v>
      </c>
      <c r="B347" s="18" t="s">
        <v>35</v>
      </c>
      <c r="C347" s="18" t="s">
        <v>116</v>
      </c>
      <c r="D347" s="18" t="s">
        <v>867</v>
      </c>
      <c r="E347" s="18" t="s">
        <v>881</v>
      </c>
      <c r="F347" s="101">
        <v>46067.47152777778</v>
      </c>
      <c r="G347" s="101">
        <v>46076.470138888886</v>
      </c>
      <c r="H347" s="18" t="s">
        <v>507</v>
      </c>
      <c r="I347" s="18" t="s">
        <v>508</v>
      </c>
      <c r="J347" s="18"/>
      <c r="K347" s="21">
        <f t="shared" si="15"/>
        <v>215.96666666655801</v>
      </c>
      <c r="L347" s="19">
        <f t="shared" si="16"/>
        <v>22</v>
      </c>
      <c r="M347" s="18" t="str">
        <f>IF(I347&lt;&gt;"Sí","",IF(YEAR(F347)&lt;&gt;2026,"",INDEX({"Enero","Febrero","Marzo","Abril","Mayo","Junio","Julio","Agosto","Septiembre","Octubre","Noviembre","Diciembre"},MONTH(F347))))</f>
        <v>Febrero</v>
      </c>
      <c r="N347" s="18" t="str">
        <f t="shared" si="17"/>
        <v>Febrero|22</v>
      </c>
    </row>
    <row r="348" spans="1:14" ht="14.5" x14ac:dyDescent="0.25">
      <c r="A348" s="19">
        <v>28</v>
      </c>
      <c r="B348" s="18" t="s">
        <v>35</v>
      </c>
      <c r="C348" s="18" t="s">
        <v>116</v>
      </c>
      <c r="D348" s="18" t="s">
        <v>867</v>
      </c>
      <c r="E348" s="18" t="s">
        <v>882</v>
      </c>
      <c r="F348" s="101">
        <v>46067.500694444447</v>
      </c>
      <c r="G348" s="101">
        <v>46076.470138888886</v>
      </c>
      <c r="H348" s="18" t="s">
        <v>507</v>
      </c>
      <c r="I348" s="18" t="s">
        <v>508</v>
      </c>
      <c r="J348" s="18"/>
      <c r="K348" s="21">
        <f t="shared" si="15"/>
        <v>215.26666666654637</v>
      </c>
      <c r="L348" s="19">
        <f t="shared" si="16"/>
        <v>23</v>
      </c>
      <c r="M348" s="18" t="str">
        <f>IF(I348&lt;&gt;"Sí","",IF(YEAR(F348)&lt;&gt;2026,"",INDEX({"Enero","Febrero","Marzo","Abril","Mayo","Junio","Julio","Agosto","Septiembre","Octubre","Noviembre","Diciembre"},MONTH(F348))))</f>
        <v>Febrero</v>
      </c>
      <c r="N348" s="18" t="str">
        <f t="shared" si="17"/>
        <v>Febrero|23</v>
      </c>
    </row>
    <row r="349" spans="1:14" ht="14.5" x14ac:dyDescent="0.25">
      <c r="A349" s="19">
        <v>28</v>
      </c>
      <c r="B349" s="18" t="s">
        <v>35</v>
      </c>
      <c r="C349" s="18" t="s">
        <v>114</v>
      </c>
      <c r="D349" s="18" t="s">
        <v>854</v>
      </c>
      <c r="E349" s="18" t="s">
        <v>883</v>
      </c>
      <c r="F349" s="101"/>
      <c r="G349" s="101">
        <v>46068.431944444441</v>
      </c>
      <c r="H349" s="18" t="s">
        <v>554</v>
      </c>
      <c r="I349" s="18" t="s">
        <v>555</v>
      </c>
      <c r="J349" s="18" t="s">
        <v>556</v>
      </c>
      <c r="K349" s="21" t="str">
        <f t="shared" si="15"/>
        <v/>
      </c>
      <c r="L349" s="19" t="str">
        <f t="shared" si="16"/>
        <v/>
      </c>
      <c r="M349" s="18" t="str">
        <f>IF(I349&lt;&gt;"Sí","",IF(YEAR(F349)&lt;&gt;2026,"",INDEX({"Enero","Febrero","Marzo","Abril","Mayo","Junio","Julio","Agosto","Septiembre","Octubre","Noviembre","Diciembre"},MONTH(F349))))</f>
        <v/>
      </c>
      <c r="N349" s="18" t="str">
        <f t="shared" si="17"/>
        <v/>
      </c>
    </row>
    <row r="350" spans="1:14" ht="14.5" x14ac:dyDescent="0.25">
      <c r="A350" s="19">
        <v>28</v>
      </c>
      <c r="B350" s="18" t="s">
        <v>35</v>
      </c>
      <c r="C350" s="18" t="s">
        <v>116</v>
      </c>
      <c r="D350" s="18" t="s">
        <v>867</v>
      </c>
      <c r="E350" s="18" t="s">
        <v>884</v>
      </c>
      <c r="F350" s="101">
        <v>46069</v>
      </c>
      <c r="G350" s="101">
        <v>46076.442361111112</v>
      </c>
      <c r="H350" s="18" t="s">
        <v>507</v>
      </c>
      <c r="I350" s="18" t="s">
        <v>508</v>
      </c>
      <c r="J350" s="18"/>
      <c r="K350" s="21">
        <f t="shared" si="15"/>
        <v>178.61666666669771</v>
      </c>
      <c r="L350" s="19">
        <f t="shared" si="16"/>
        <v>25</v>
      </c>
      <c r="M350" s="18" t="str">
        <f>IF(I350&lt;&gt;"Sí","",IF(YEAR(F350)&lt;&gt;2026,"",INDEX({"Enero","Febrero","Marzo","Abril","Mayo","Junio","Julio","Agosto","Septiembre","Octubre","Noviembre","Diciembre"},MONTH(F350))))</f>
        <v>Febrero</v>
      </c>
      <c r="N350" s="18" t="str">
        <f t="shared" si="17"/>
        <v>Febrero|25</v>
      </c>
    </row>
    <row r="351" spans="1:14" ht="14.5" x14ac:dyDescent="0.25">
      <c r="A351" s="19">
        <v>28</v>
      </c>
      <c r="B351" s="18" t="s">
        <v>35</v>
      </c>
      <c r="C351" s="18" t="s">
        <v>116</v>
      </c>
      <c r="D351" s="18" t="s">
        <v>867</v>
      </c>
      <c r="E351" s="18" t="s">
        <v>885</v>
      </c>
      <c r="F351" s="101">
        <v>46069</v>
      </c>
      <c r="G351" s="101">
        <v>46076.442361111112</v>
      </c>
      <c r="H351" s="18" t="s">
        <v>507</v>
      </c>
      <c r="I351" s="18" t="s">
        <v>508</v>
      </c>
      <c r="J351" s="18"/>
      <c r="K351" s="21">
        <f t="shared" si="15"/>
        <v>178.61666666669771</v>
      </c>
      <c r="L351" s="19">
        <f t="shared" si="16"/>
        <v>25</v>
      </c>
      <c r="M351" s="18" t="str">
        <f>IF(I351&lt;&gt;"Sí","",IF(YEAR(F351)&lt;&gt;2026,"",INDEX({"Enero","Febrero","Marzo","Abril","Mayo","Junio","Julio","Agosto","Septiembre","Octubre","Noviembre","Diciembre"},MONTH(F351))))</f>
        <v>Febrero</v>
      </c>
      <c r="N351" s="18" t="str">
        <f t="shared" si="17"/>
        <v>Febrero|25</v>
      </c>
    </row>
    <row r="352" spans="1:14" ht="14.5" x14ac:dyDescent="0.25">
      <c r="A352" s="19">
        <v>28</v>
      </c>
      <c r="B352" s="18" t="s">
        <v>35</v>
      </c>
      <c r="C352" s="18" t="s">
        <v>116</v>
      </c>
      <c r="D352" s="18" t="s">
        <v>867</v>
      </c>
      <c r="E352" s="18" t="s">
        <v>886</v>
      </c>
      <c r="F352" s="101">
        <v>46069</v>
      </c>
      <c r="G352" s="101">
        <v>46076.470138888886</v>
      </c>
      <c r="H352" s="18" t="s">
        <v>507</v>
      </c>
      <c r="I352" s="18" t="s">
        <v>508</v>
      </c>
      <c r="J352" s="18"/>
      <c r="K352" s="21">
        <f t="shared" si="15"/>
        <v>179.28333333326736</v>
      </c>
      <c r="L352" s="19">
        <f t="shared" si="16"/>
        <v>25</v>
      </c>
      <c r="M352" s="18" t="str">
        <f>IF(I352&lt;&gt;"Sí","",IF(YEAR(F352)&lt;&gt;2026,"",INDEX({"Enero","Febrero","Marzo","Abril","Mayo","Junio","Julio","Agosto","Septiembre","Octubre","Noviembre","Diciembre"},MONTH(F352))))</f>
        <v>Febrero</v>
      </c>
      <c r="N352" s="18" t="str">
        <f t="shared" si="17"/>
        <v>Febrero|25</v>
      </c>
    </row>
    <row r="353" spans="1:14" ht="14.5" x14ac:dyDescent="0.25">
      <c r="A353" s="19">
        <v>28</v>
      </c>
      <c r="B353" s="18" t="s">
        <v>35</v>
      </c>
      <c r="C353" s="18" t="s">
        <v>116</v>
      </c>
      <c r="D353" s="18" t="s">
        <v>867</v>
      </c>
      <c r="E353" s="18" t="s">
        <v>887</v>
      </c>
      <c r="F353" s="101">
        <v>46069</v>
      </c>
      <c r="G353" s="101">
        <v>46076.470138888886</v>
      </c>
      <c r="H353" s="18" t="s">
        <v>507</v>
      </c>
      <c r="I353" s="18" t="s">
        <v>508</v>
      </c>
      <c r="J353" s="18"/>
      <c r="K353" s="21">
        <f t="shared" si="15"/>
        <v>179.28333333326736</v>
      </c>
      <c r="L353" s="19">
        <f t="shared" si="16"/>
        <v>25</v>
      </c>
      <c r="M353" s="18" t="str">
        <f>IF(I353&lt;&gt;"Sí","",IF(YEAR(F353)&lt;&gt;2026,"",INDEX({"Enero","Febrero","Marzo","Abril","Mayo","Junio","Julio","Agosto","Septiembre","Octubre","Noviembre","Diciembre"},MONTH(F353))))</f>
        <v>Febrero</v>
      </c>
      <c r="N353" s="18" t="str">
        <f t="shared" si="17"/>
        <v>Febrero|25</v>
      </c>
    </row>
    <row r="354" spans="1:14" ht="14.5" x14ac:dyDescent="0.25">
      <c r="A354" s="19">
        <v>28</v>
      </c>
      <c r="B354" s="18" t="s">
        <v>35</v>
      </c>
      <c r="C354" s="18" t="s">
        <v>114</v>
      </c>
      <c r="D354" s="18" t="s">
        <v>854</v>
      </c>
      <c r="E354" s="18" t="s">
        <v>888</v>
      </c>
      <c r="F354" s="101"/>
      <c r="G354" s="101">
        <v>46069.463888888888</v>
      </c>
      <c r="H354" s="18" t="s">
        <v>554</v>
      </c>
      <c r="I354" s="18" t="s">
        <v>555</v>
      </c>
      <c r="J354" s="18" t="s">
        <v>556</v>
      </c>
      <c r="K354" s="21" t="str">
        <f t="shared" si="15"/>
        <v/>
      </c>
      <c r="L354" s="19" t="str">
        <f t="shared" si="16"/>
        <v/>
      </c>
      <c r="M354" s="18" t="str">
        <f>IF(I354&lt;&gt;"Sí","",IF(YEAR(F354)&lt;&gt;2026,"",INDEX({"Enero","Febrero","Marzo","Abril","Mayo","Junio","Julio","Agosto","Septiembre","Octubre","Noviembre","Diciembre"},MONTH(F354))))</f>
        <v/>
      </c>
      <c r="N354" s="18" t="str">
        <f t="shared" si="17"/>
        <v/>
      </c>
    </row>
    <row r="355" spans="1:14" ht="14.5" x14ac:dyDescent="0.25">
      <c r="A355" s="19">
        <v>28</v>
      </c>
      <c r="B355" s="18" t="s">
        <v>35</v>
      </c>
      <c r="C355" s="18" t="s">
        <v>116</v>
      </c>
      <c r="D355" s="18" t="s">
        <v>867</v>
      </c>
      <c r="E355" s="18" t="s">
        <v>889</v>
      </c>
      <c r="F355" s="101">
        <v>46069.720138888886</v>
      </c>
      <c r="G355" s="101">
        <v>46076.470138888886</v>
      </c>
      <c r="H355" s="18" t="s">
        <v>507</v>
      </c>
      <c r="I355" s="18" t="s">
        <v>508</v>
      </c>
      <c r="J355" s="18"/>
      <c r="K355" s="21">
        <f t="shared" si="15"/>
        <v>162</v>
      </c>
      <c r="L355" s="19">
        <f t="shared" si="16"/>
        <v>22</v>
      </c>
      <c r="M355" s="18" t="str">
        <f>IF(I355&lt;&gt;"Sí","",IF(YEAR(F355)&lt;&gt;2026,"",INDEX({"Enero","Febrero","Marzo","Abril","Mayo","Junio","Julio","Agosto","Septiembre","Octubre","Noviembre","Diciembre"},MONTH(F355))))</f>
        <v>Febrero</v>
      </c>
      <c r="N355" s="18" t="str">
        <f t="shared" si="17"/>
        <v>Febrero|22</v>
      </c>
    </row>
    <row r="356" spans="1:14" ht="14.5" x14ac:dyDescent="0.25">
      <c r="A356" s="19">
        <v>28</v>
      </c>
      <c r="B356" s="18" t="s">
        <v>35</v>
      </c>
      <c r="C356" s="18" t="s">
        <v>116</v>
      </c>
      <c r="D356" s="18" t="s">
        <v>867</v>
      </c>
      <c r="E356" s="18" t="s">
        <v>890</v>
      </c>
      <c r="F356" s="101">
        <v>46069.720138888886</v>
      </c>
      <c r="G356" s="101">
        <v>46076.442361111112</v>
      </c>
      <c r="H356" s="18" t="s">
        <v>507</v>
      </c>
      <c r="I356" s="18" t="s">
        <v>508</v>
      </c>
      <c r="J356" s="18"/>
      <c r="K356" s="21">
        <f t="shared" si="15"/>
        <v>161.33333333343035</v>
      </c>
      <c r="L356" s="19">
        <f t="shared" si="16"/>
        <v>22</v>
      </c>
      <c r="M356" s="18" t="str">
        <f>IF(I356&lt;&gt;"Sí","",IF(YEAR(F356)&lt;&gt;2026,"",INDEX({"Enero","Febrero","Marzo","Abril","Mayo","Junio","Julio","Agosto","Septiembre","Octubre","Noviembre","Diciembre"},MONTH(F356))))</f>
        <v>Febrero</v>
      </c>
      <c r="N356" s="18" t="str">
        <f t="shared" si="17"/>
        <v>Febrero|22</v>
      </c>
    </row>
    <row r="357" spans="1:14" ht="14.5" x14ac:dyDescent="0.25">
      <c r="A357" s="19">
        <v>28</v>
      </c>
      <c r="B357" s="18" t="s">
        <v>35</v>
      </c>
      <c r="C357" s="18" t="s">
        <v>116</v>
      </c>
      <c r="D357" s="18" t="s">
        <v>867</v>
      </c>
      <c r="E357" s="18" t="s">
        <v>891</v>
      </c>
      <c r="F357" s="101">
        <v>46070.627083333333</v>
      </c>
      <c r="G357" s="101">
        <v>46076.442361111112</v>
      </c>
      <c r="H357" s="18" t="s">
        <v>507</v>
      </c>
      <c r="I357" s="18" t="s">
        <v>508</v>
      </c>
      <c r="J357" s="18"/>
      <c r="K357" s="21">
        <f t="shared" si="15"/>
        <v>139.56666666670935</v>
      </c>
      <c r="L357" s="19">
        <f t="shared" si="16"/>
        <v>15</v>
      </c>
      <c r="M357" s="18" t="str">
        <f>IF(I357&lt;&gt;"Sí","",IF(YEAR(F357)&lt;&gt;2026,"",INDEX({"Enero","Febrero","Marzo","Abril","Mayo","Junio","Julio","Agosto","Septiembre","Octubre","Noviembre","Diciembre"},MONTH(F357))))</f>
        <v>Febrero</v>
      </c>
      <c r="N357" s="18" t="str">
        <f t="shared" si="17"/>
        <v>Febrero|15</v>
      </c>
    </row>
    <row r="358" spans="1:14" ht="14.5" x14ac:dyDescent="0.25">
      <c r="A358" s="19">
        <v>28</v>
      </c>
      <c r="B358" s="18" t="s">
        <v>35</v>
      </c>
      <c r="C358" s="18" t="s">
        <v>106</v>
      </c>
      <c r="D358" s="18" t="s">
        <v>892</v>
      </c>
      <c r="E358" s="18" t="s">
        <v>893</v>
      </c>
      <c r="F358" s="101"/>
      <c r="G358" s="101">
        <v>46070.972916666666</v>
      </c>
      <c r="H358" s="18" t="s">
        <v>554</v>
      </c>
      <c r="I358" s="18" t="s">
        <v>555</v>
      </c>
      <c r="J358" s="18" t="s">
        <v>556</v>
      </c>
      <c r="K358" s="21" t="str">
        <f t="shared" si="15"/>
        <v/>
      </c>
      <c r="L358" s="19" t="str">
        <f t="shared" si="16"/>
        <v/>
      </c>
      <c r="M358" s="18" t="str">
        <f>IF(I358&lt;&gt;"Sí","",IF(YEAR(F358)&lt;&gt;2026,"",INDEX({"Enero","Febrero","Marzo","Abril","Mayo","Junio","Julio","Agosto","Septiembre","Octubre","Noviembre","Diciembre"},MONTH(F358))))</f>
        <v/>
      </c>
      <c r="N358" s="18" t="str">
        <f t="shared" si="17"/>
        <v/>
      </c>
    </row>
    <row r="359" spans="1:14" ht="14.5" x14ac:dyDescent="0.25">
      <c r="A359" s="19">
        <v>28</v>
      </c>
      <c r="B359" s="18" t="s">
        <v>35</v>
      </c>
      <c r="C359" s="18" t="s">
        <v>106</v>
      </c>
      <c r="D359" s="18" t="s">
        <v>892</v>
      </c>
      <c r="E359" s="18" t="s">
        <v>894</v>
      </c>
      <c r="F359" s="101"/>
      <c r="G359" s="101">
        <v>46070.972916666666</v>
      </c>
      <c r="H359" s="18" t="s">
        <v>554</v>
      </c>
      <c r="I359" s="18" t="s">
        <v>555</v>
      </c>
      <c r="J359" s="18" t="s">
        <v>556</v>
      </c>
      <c r="K359" s="21" t="str">
        <f t="shared" si="15"/>
        <v/>
      </c>
      <c r="L359" s="19" t="str">
        <f t="shared" si="16"/>
        <v/>
      </c>
      <c r="M359" s="18" t="str">
        <f>IF(I359&lt;&gt;"Sí","",IF(YEAR(F359)&lt;&gt;2026,"",INDEX({"Enero","Febrero","Marzo","Abril","Mayo","Junio","Julio","Agosto","Septiembre","Octubre","Noviembre","Diciembre"},MONTH(F359))))</f>
        <v/>
      </c>
      <c r="N359" s="18" t="str">
        <f t="shared" si="17"/>
        <v/>
      </c>
    </row>
    <row r="360" spans="1:14" ht="14.5" x14ac:dyDescent="0.25">
      <c r="A360" s="19">
        <v>28</v>
      </c>
      <c r="B360" s="18" t="s">
        <v>35</v>
      </c>
      <c r="C360" s="18" t="s">
        <v>106</v>
      </c>
      <c r="D360" s="18" t="s">
        <v>892</v>
      </c>
      <c r="E360" s="18" t="s">
        <v>893</v>
      </c>
      <c r="F360" s="101">
        <v>46071.023611111108</v>
      </c>
      <c r="G360" s="101">
        <v>46073.402083333334</v>
      </c>
      <c r="H360" s="18" t="s">
        <v>554</v>
      </c>
      <c r="I360" s="18" t="s">
        <v>508</v>
      </c>
      <c r="J360" s="18"/>
      <c r="K360" s="21">
        <f t="shared" si="15"/>
        <v>57.083333333430346</v>
      </c>
      <c r="L360" s="19">
        <f t="shared" si="16"/>
        <v>17</v>
      </c>
      <c r="M360" s="18" t="str">
        <f>IF(I360&lt;&gt;"Sí","",IF(YEAR(F360)&lt;&gt;2026,"",INDEX({"Enero","Febrero","Marzo","Abril","Mayo","Junio","Julio","Agosto","Septiembre","Octubre","Noviembre","Diciembre"},MONTH(F360))))</f>
        <v>Febrero</v>
      </c>
      <c r="N360" s="18" t="str">
        <f t="shared" si="17"/>
        <v>Febrero|17</v>
      </c>
    </row>
    <row r="361" spans="1:14" ht="14.5" x14ac:dyDescent="0.25">
      <c r="A361" s="19">
        <v>28</v>
      </c>
      <c r="B361" s="18" t="s">
        <v>35</v>
      </c>
      <c r="C361" s="18" t="s">
        <v>106</v>
      </c>
      <c r="D361" s="18" t="s">
        <v>892</v>
      </c>
      <c r="E361" s="18" t="s">
        <v>894</v>
      </c>
      <c r="F361" s="101">
        <v>46071.023611111108</v>
      </c>
      <c r="G361" s="101">
        <v>46072.493055555555</v>
      </c>
      <c r="H361" s="18" t="s">
        <v>554</v>
      </c>
      <c r="I361" s="18" t="s">
        <v>508</v>
      </c>
      <c r="J361" s="18"/>
      <c r="K361" s="21">
        <f t="shared" si="15"/>
        <v>35.266666666720994</v>
      </c>
      <c r="L361" s="19">
        <f t="shared" si="16"/>
        <v>17</v>
      </c>
      <c r="M361" s="18" t="str">
        <f>IF(I361&lt;&gt;"Sí","",IF(YEAR(F361)&lt;&gt;2026,"",INDEX({"Enero","Febrero","Marzo","Abril","Mayo","Junio","Julio","Agosto","Septiembre","Octubre","Noviembre","Diciembre"},MONTH(F361))))</f>
        <v>Febrero</v>
      </c>
      <c r="N361" s="18" t="str">
        <f t="shared" si="17"/>
        <v>Febrero|17</v>
      </c>
    </row>
    <row r="362" spans="1:14" ht="14.5" x14ac:dyDescent="0.25">
      <c r="A362" s="19">
        <v>28</v>
      </c>
      <c r="B362" s="18" t="s">
        <v>35</v>
      </c>
      <c r="C362" s="18" t="s">
        <v>116</v>
      </c>
      <c r="D362" s="18" t="s">
        <v>867</v>
      </c>
      <c r="E362" s="18" t="s">
        <v>895</v>
      </c>
      <c r="F362" s="101">
        <v>46071.612500000003</v>
      </c>
      <c r="G362" s="101">
        <v>46076.470138888886</v>
      </c>
      <c r="H362" s="18" t="s">
        <v>507</v>
      </c>
      <c r="I362" s="18" t="s">
        <v>508</v>
      </c>
      <c r="J362" s="18"/>
      <c r="K362" s="21">
        <f t="shared" si="15"/>
        <v>116.58333333319752</v>
      </c>
      <c r="L362" s="19">
        <f t="shared" si="16"/>
        <v>18</v>
      </c>
      <c r="M362" s="18" t="str">
        <f>IF(I362&lt;&gt;"Sí","",IF(YEAR(F362)&lt;&gt;2026,"",INDEX({"Enero","Febrero","Marzo","Abril","Mayo","Junio","Julio","Agosto","Septiembre","Octubre","Noviembre","Diciembre"},MONTH(F362))))</f>
        <v>Febrero</v>
      </c>
      <c r="N362" s="18" t="str">
        <f t="shared" si="17"/>
        <v>Febrero|18</v>
      </c>
    </row>
    <row r="363" spans="1:14" ht="14.5" x14ac:dyDescent="0.25">
      <c r="A363" s="19">
        <v>29</v>
      </c>
      <c r="B363" s="18" t="s">
        <v>36</v>
      </c>
      <c r="C363" s="18" t="s">
        <v>122</v>
      </c>
      <c r="D363" s="18" t="s">
        <v>896</v>
      </c>
      <c r="E363" s="18" t="s">
        <v>897</v>
      </c>
      <c r="F363" s="101">
        <v>46072.684027777781</v>
      </c>
      <c r="G363" s="101">
        <v>46083.464583333334</v>
      </c>
      <c r="H363" s="18" t="s">
        <v>507</v>
      </c>
      <c r="I363" s="18" t="s">
        <v>508</v>
      </c>
      <c r="J363" s="18"/>
      <c r="K363" s="21">
        <f t="shared" si="15"/>
        <v>258.73333333327901</v>
      </c>
      <c r="L363" s="19">
        <f t="shared" si="16"/>
        <v>19</v>
      </c>
      <c r="M363" s="18" t="str">
        <f>IF(I363&lt;&gt;"Sí","",IF(YEAR(F363)&lt;&gt;2026,"",INDEX({"Enero","Febrero","Marzo","Abril","Mayo","Junio","Julio","Agosto","Septiembre","Octubre","Noviembre","Diciembre"},MONTH(F363))))</f>
        <v>Febrero</v>
      </c>
      <c r="N363" s="18" t="str">
        <f t="shared" si="17"/>
        <v>Febrero|19</v>
      </c>
    </row>
    <row r="364" spans="1:14" ht="14.5" x14ac:dyDescent="0.25">
      <c r="A364" s="19">
        <v>29</v>
      </c>
      <c r="B364" s="18" t="s">
        <v>36</v>
      </c>
      <c r="C364" s="18" t="s">
        <v>122</v>
      </c>
      <c r="D364" s="18" t="s">
        <v>896</v>
      </c>
      <c r="E364" s="18" t="s">
        <v>898</v>
      </c>
      <c r="F364" s="101">
        <v>46072.684027777781</v>
      </c>
      <c r="G364" s="101">
        <v>46083.464583333334</v>
      </c>
      <c r="H364" s="18" t="s">
        <v>507</v>
      </c>
      <c r="I364" s="18" t="s">
        <v>508</v>
      </c>
      <c r="J364" s="18"/>
      <c r="K364" s="21">
        <f t="shared" si="15"/>
        <v>258.73333333327901</v>
      </c>
      <c r="L364" s="19">
        <f t="shared" si="16"/>
        <v>19</v>
      </c>
      <c r="M364" s="18" t="str">
        <f>IF(I364&lt;&gt;"Sí","",IF(YEAR(F364)&lt;&gt;2026,"",INDEX({"Enero","Febrero","Marzo","Abril","Mayo","Junio","Julio","Agosto","Septiembre","Octubre","Noviembre","Diciembre"},MONTH(F364))))</f>
        <v>Febrero</v>
      </c>
      <c r="N364" s="18" t="str">
        <f t="shared" si="17"/>
        <v>Febrero|19</v>
      </c>
    </row>
    <row r="365" spans="1:14" ht="14.5" x14ac:dyDescent="0.25">
      <c r="A365" s="19">
        <v>28</v>
      </c>
      <c r="B365" s="18" t="s">
        <v>35</v>
      </c>
      <c r="C365" s="18" t="s">
        <v>99</v>
      </c>
      <c r="D365" s="18" t="s">
        <v>899</v>
      </c>
      <c r="E365" s="18" t="s">
        <v>900</v>
      </c>
      <c r="F365" s="101"/>
      <c r="G365" s="101">
        <v>46073.366666666669</v>
      </c>
      <c r="H365" s="18" t="s">
        <v>554</v>
      </c>
      <c r="I365" s="18" t="s">
        <v>555</v>
      </c>
      <c r="J365" s="18" t="s">
        <v>556</v>
      </c>
      <c r="K365" s="21" t="str">
        <f t="shared" si="15"/>
        <v/>
      </c>
      <c r="L365" s="19" t="str">
        <f t="shared" si="16"/>
        <v/>
      </c>
      <c r="M365" s="18" t="str">
        <f>IF(I365&lt;&gt;"Sí","",IF(YEAR(F365)&lt;&gt;2026,"",INDEX({"Enero","Febrero","Marzo","Abril","Mayo","Junio","Julio","Agosto","Septiembre","Octubre","Noviembre","Diciembre"},MONTH(F365))))</f>
        <v/>
      </c>
      <c r="N365" s="18" t="str">
        <f t="shared" si="17"/>
        <v/>
      </c>
    </row>
    <row r="366" spans="1:14" ht="14.5" x14ac:dyDescent="0.25">
      <c r="A366" s="19">
        <v>28</v>
      </c>
      <c r="B366" s="18" t="s">
        <v>35</v>
      </c>
      <c r="C366" s="18" t="s">
        <v>92</v>
      </c>
      <c r="D366" s="18" t="s">
        <v>901</v>
      </c>
      <c r="E366" s="18" t="s">
        <v>902</v>
      </c>
      <c r="F366" s="101">
        <v>46073.676388888889</v>
      </c>
      <c r="G366" s="101">
        <v>46080.540277777778</v>
      </c>
      <c r="H366" s="18" t="s">
        <v>507</v>
      </c>
      <c r="I366" s="18" t="s">
        <v>508</v>
      </c>
      <c r="J366" s="18"/>
      <c r="K366" s="21">
        <f t="shared" si="15"/>
        <v>164.73333333333721</v>
      </c>
      <c r="L366" s="19">
        <f t="shared" si="16"/>
        <v>19</v>
      </c>
      <c r="M366" s="18" t="str">
        <f>IF(I366&lt;&gt;"Sí","",IF(YEAR(F366)&lt;&gt;2026,"",INDEX({"Enero","Febrero","Marzo","Abril","Mayo","Junio","Julio","Agosto","Septiembre","Octubre","Noviembre","Diciembre"},MONTH(F366))))</f>
        <v>Febrero</v>
      </c>
      <c r="N366" s="18" t="str">
        <f t="shared" si="17"/>
        <v>Febrero|19</v>
      </c>
    </row>
    <row r="367" spans="1:14" ht="14.5" x14ac:dyDescent="0.25">
      <c r="A367" s="19">
        <v>29</v>
      </c>
      <c r="B367" s="18" t="s">
        <v>36</v>
      </c>
      <c r="C367" s="18" t="s">
        <v>122</v>
      </c>
      <c r="D367" s="18" t="s">
        <v>896</v>
      </c>
      <c r="E367" s="18" t="s">
        <v>903</v>
      </c>
      <c r="F367" s="101">
        <v>46076.54791666667</v>
      </c>
      <c r="G367" s="101">
        <v>46082.772916666669</v>
      </c>
      <c r="H367" s="18" t="s">
        <v>507</v>
      </c>
      <c r="I367" s="18" t="s">
        <v>508</v>
      </c>
      <c r="J367" s="18"/>
      <c r="K367" s="21">
        <f t="shared" si="15"/>
        <v>149.39999999996508</v>
      </c>
      <c r="L367" s="19">
        <f t="shared" si="16"/>
        <v>12</v>
      </c>
      <c r="M367" s="18" t="str">
        <f>IF(I367&lt;&gt;"Sí","",IF(YEAR(F367)&lt;&gt;2026,"",INDEX({"Enero","Febrero","Marzo","Abril","Mayo","Junio","Julio","Agosto","Septiembre","Octubre","Noviembre","Diciembre"},MONTH(F367))))</f>
        <v>Febrero</v>
      </c>
      <c r="N367" s="18" t="str">
        <f t="shared" si="17"/>
        <v>Febrero|12</v>
      </c>
    </row>
    <row r="368" spans="1:14" ht="14.5" x14ac:dyDescent="0.25">
      <c r="A368" s="19">
        <v>29</v>
      </c>
      <c r="B368" s="18" t="s">
        <v>36</v>
      </c>
      <c r="C368" s="18" t="s">
        <v>122</v>
      </c>
      <c r="D368" s="18" t="s">
        <v>896</v>
      </c>
      <c r="E368" s="18" t="s">
        <v>904</v>
      </c>
      <c r="F368" s="101">
        <v>46076.54791666667</v>
      </c>
      <c r="G368" s="101">
        <v>46083.453472222223</v>
      </c>
      <c r="H368" s="18" t="s">
        <v>507</v>
      </c>
      <c r="I368" s="18" t="s">
        <v>508</v>
      </c>
      <c r="J368" s="18"/>
      <c r="K368" s="21">
        <f t="shared" si="15"/>
        <v>165.73333333327901</v>
      </c>
      <c r="L368" s="19">
        <f t="shared" si="16"/>
        <v>12</v>
      </c>
      <c r="M368" s="18" t="str">
        <f>IF(I368&lt;&gt;"Sí","",IF(YEAR(F368)&lt;&gt;2026,"",INDEX({"Enero","Febrero","Marzo","Abril","Mayo","Junio","Julio","Agosto","Septiembre","Octubre","Noviembre","Diciembre"},MONTH(F368))))</f>
        <v>Febrero</v>
      </c>
      <c r="N368" s="18" t="str">
        <f t="shared" si="17"/>
        <v>Febrero|12</v>
      </c>
    </row>
    <row r="369" spans="1:14" ht="14.5" x14ac:dyDescent="0.25">
      <c r="A369" s="19">
        <v>29</v>
      </c>
      <c r="B369" s="18" t="s">
        <v>36</v>
      </c>
      <c r="C369" s="18" t="s">
        <v>122</v>
      </c>
      <c r="D369" s="18" t="s">
        <v>896</v>
      </c>
      <c r="E369" s="18" t="s">
        <v>905</v>
      </c>
      <c r="F369" s="101">
        <v>46076.54791666667</v>
      </c>
      <c r="G369" s="101">
        <v>46083.464583333334</v>
      </c>
      <c r="H369" s="18" t="s">
        <v>507</v>
      </c>
      <c r="I369" s="18" t="s">
        <v>508</v>
      </c>
      <c r="J369" s="18"/>
      <c r="K369" s="21">
        <f t="shared" si="15"/>
        <v>165.99999999994179</v>
      </c>
      <c r="L369" s="19">
        <f t="shared" si="16"/>
        <v>12</v>
      </c>
      <c r="M369" s="18" t="str">
        <f>IF(I369&lt;&gt;"Sí","",IF(YEAR(F369)&lt;&gt;2026,"",INDEX({"Enero","Febrero","Marzo","Abril","Mayo","Junio","Julio","Agosto","Septiembre","Octubre","Noviembre","Diciembre"},MONTH(F369))))</f>
        <v>Febrero</v>
      </c>
      <c r="N369" s="18" t="str">
        <f t="shared" si="17"/>
        <v>Febrero|12</v>
      </c>
    </row>
    <row r="370" spans="1:14" ht="14.5" x14ac:dyDescent="0.25">
      <c r="A370" s="19">
        <v>29</v>
      </c>
      <c r="B370" s="18" t="s">
        <v>36</v>
      </c>
      <c r="C370" s="18" t="s">
        <v>122</v>
      </c>
      <c r="D370" s="18" t="s">
        <v>896</v>
      </c>
      <c r="E370" s="18" t="s">
        <v>906</v>
      </c>
      <c r="F370" s="101">
        <v>46076.54791666667</v>
      </c>
      <c r="G370" s="101">
        <v>46083.453472222223</v>
      </c>
      <c r="H370" s="18" t="s">
        <v>507</v>
      </c>
      <c r="I370" s="18" t="s">
        <v>508</v>
      </c>
      <c r="J370" s="18"/>
      <c r="K370" s="21">
        <f t="shared" si="15"/>
        <v>165.73333333327901</v>
      </c>
      <c r="L370" s="19">
        <f t="shared" si="16"/>
        <v>12</v>
      </c>
      <c r="M370" s="18" t="str">
        <f>IF(I370&lt;&gt;"Sí","",IF(YEAR(F370)&lt;&gt;2026,"",INDEX({"Enero","Febrero","Marzo","Abril","Mayo","Junio","Julio","Agosto","Septiembre","Octubre","Noviembre","Diciembre"},MONTH(F370))))</f>
        <v>Febrero</v>
      </c>
      <c r="N370" s="18" t="str">
        <f t="shared" si="17"/>
        <v>Febrero|12</v>
      </c>
    </row>
    <row r="371" spans="1:14" ht="14.5" x14ac:dyDescent="0.25">
      <c r="A371" s="19">
        <v>29</v>
      </c>
      <c r="B371" s="18" t="s">
        <v>36</v>
      </c>
      <c r="C371" s="18" t="s">
        <v>122</v>
      </c>
      <c r="D371" s="18" t="s">
        <v>896</v>
      </c>
      <c r="E371" s="18" t="s">
        <v>907</v>
      </c>
      <c r="F371" s="101">
        <v>46076.54791666667</v>
      </c>
      <c r="G371" s="101">
        <v>46082.772916666669</v>
      </c>
      <c r="H371" s="18" t="s">
        <v>507</v>
      </c>
      <c r="I371" s="18" t="s">
        <v>508</v>
      </c>
      <c r="J371" s="18"/>
      <c r="K371" s="21">
        <f t="shared" si="15"/>
        <v>149.39999999996508</v>
      </c>
      <c r="L371" s="19">
        <f t="shared" si="16"/>
        <v>12</v>
      </c>
      <c r="M371" s="18" t="str">
        <f>IF(I371&lt;&gt;"Sí","",IF(YEAR(F371)&lt;&gt;2026,"",INDEX({"Enero","Febrero","Marzo","Abril","Mayo","Junio","Julio","Agosto","Septiembre","Octubre","Noviembre","Diciembre"},MONTH(F371))))</f>
        <v>Febrero</v>
      </c>
      <c r="N371" s="18" t="str">
        <f t="shared" si="17"/>
        <v>Febrero|12</v>
      </c>
    </row>
    <row r="372" spans="1:14" ht="14.5" x14ac:dyDescent="0.25">
      <c r="A372" s="19">
        <v>29</v>
      </c>
      <c r="B372" s="18" t="s">
        <v>36</v>
      </c>
      <c r="C372" s="18" t="s">
        <v>122</v>
      </c>
      <c r="D372" s="18" t="s">
        <v>896</v>
      </c>
      <c r="E372" s="18" t="s">
        <v>908</v>
      </c>
      <c r="F372" s="101">
        <v>46076.54791666667</v>
      </c>
      <c r="G372" s="101">
        <v>46083.453472222223</v>
      </c>
      <c r="H372" s="18" t="s">
        <v>507</v>
      </c>
      <c r="I372" s="18" t="s">
        <v>508</v>
      </c>
      <c r="J372" s="18"/>
      <c r="K372" s="21">
        <f t="shared" si="15"/>
        <v>165.73333333327901</v>
      </c>
      <c r="L372" s="19">
        <f t="shared" si="16"/>
        <v>12</v>
      </c>
      <c r="M372" s="18" t="str">
        <f>IF(I372&lt;&gt;"Sí","",IF(YEAR(F372)&lt;&gt;2026,"",INDEX({"Enero","Febrero","Marzo","Abril","Mayo","Junio","Julio","Agosto","Septiembre","Octubre","Noviembre","Diciembre"},MONTH(F372))))</f>
        <v>Febrero</v>
      </c>
      <c r="N372" s="18" t="str">
        <f t="shared" si="17"/>
        <v>Febrero|12</v>
      </c>
    </row>
    <row r="373" spans="1:14" ht="14.5" x14ac:dyDescent="0.25">
      <c r="A373" s="19">
        <v>29</v>
      </c>
      <c r="B373" s="18" t="s">
        <v>36</v>
      </c>
      <c r="C373" s="18" t="s">
        <v>122</v>
      </c>
      <c r="D373" s="18" t="s">
        <v>896</v>
      </c>
      <c r="E373" s="18" t="s">
        <v>909</v>
      </c>
      <c r="F373" s="101">
        <v>46076.54791666667</v>
      </c>
      <c r="G373" s="101">
        <v>46083.453472222223</v>
      </c>
      <c r="H373" s="18" t="s">
        <v>507</v>
      </c>
      <c r="I373" s="18" t="s">
        <v>508</v>
      </c>
      <c r="J373" s="18"/>
      <c r="K373" s="21">
        <f t="shared" si="15"/>
        <v>165.73333333327901</v>
      </c>
      <c r="L373" s="19">
        <f t="shared" si="16"/>
        <v>12</v>
      </c>
      <c r="M373" s="18" t="str">
        <f>IF(I373&lt;&gt;"Sí","",IF(YEAR(F373)&lt;&gt;2026,"",INDEX({"Enero","Febrero","Marzo","Abril","Mayo","Junio","Julio","Agosto","Septiembre","Octubre","Noviembre","Diciembre"},MONTH(F373))))</f>
        <v>Febrero</v>
      </c>
      <c r="N373" s="18" t="str">
        <f t="shared" si="17"/>
        <v>Febrero|12</v>
      </c>
    </row>
    <row r="374" spans="1:14" ht="14.5" x14ac:dyDescent="0.25">
      <c r="A374" s="19">
        <v>29</v>
      </c>
      <c r="B374" s="18" t="s">
        <v>36</v>
      </c>
      <c r="C374" s="18" t="s">
        <v>122</v>
      </c>
      <c r="D374" s="18" t="s">
        <v>896</v>
      </c>
      <c r="E374" s="18" t="s">
        <v>910</v>
      </c>
      <c r="F374" s="101">
        <v>46076.54791666667</v>
      </c>
      <c r="G374" s="101">
        <v>46083.453472222223</v>
      </c>
      <c r="H374" s="18" t="s">
        <v>507</v>
      </c>
      <c r="I374" s="18" t="s">
        <v>508</v>
      </c>
      <c r="J374" s="18"/>
      <c r="K374" s="21">
        <f t="shared" si="15"/>
        <v>165.73333333327901</v>
      </c>
      <c r="L374" s="19">
        <f t="shared" si="16"/>
        <v>12</v>
      </c>
      <c r="M374" s="18" t="str">
        <f>IF(I374&lt;&gt;"Sí","",IF(YEAR(F374)&lt;&gt;2026,"",INDEX({"Enero","Febrero","Marzo","Abril","Mayo","Junio","Julio","Agosto","Septiembre","Octubre","Noviembre","Diciembre"},MONTH(F374))))</f>
        <v>Febrero</v>
      </c>
      <c r="N374" s="18" t="str">
        <f t="shared" si="17"/>
        <v>Febrero|12</v>
      </c>
    </row>
    <row r="375" spans="1:14" ht="14.5" x14ac:dyDescent="0.25">
      <c r="A375" s="19">
        <v>29</v>
      </c>
      <c r="B375" s="18" t="s">
        <v>36</v>
      </c>
      <c r="C375" s="18" t="s">
        <v>122</v>
      </c>
      <c r="D375" s="18" t="s">
        <v>896</v>
      </c>
      <c r="E375" s="18" t="s">
        <v>911</v>
      </c>
      <c r="F375" s="101">
        <v>46076.54791666667</v>
      </c>
      <c r="G375" s="101">
        <v>46083.453472222223</v>
      </c>
      <c r="H375" s="18" t="s">
        <v>507</v>
      </c>
      <c r="I375" s="18" t="s">
        <v>508</v>
      </c>
      <c r="J375" s="18"/>
      <c r="K375" s="21">
        <f t="shared" si="15"/>
        <v>165.73333333327901</v>
      </c>
      <c r="L375" s="19">
        <f t="shared" si="16"/>
        <v>12</v>
      </c>
      <c r="M375" s="18" t="str">
        <f>IF(I375&lt;&gt;"Sí","",IF(YEAR(F375)&lt;&gt;2026,"",INDEX({"Enero","Febrero","Marzo","Abril","Mayo","Junio","Julio","Agosto","Septiembre","Octubre","Noviembre","Diciembre"},MONTH(F375))))</f>
        <v>Febrero</v>
      </c>
      <c r="N375" s="18" t="str">
        <f t="shared" si="17"/>
        <v>Febrero|12</v>
      </c>
    </row>
    <row r="376" spans="1:14" ht="14.5" x14ac:dyDescent="0.25">
      <c r="A376" s="19">
        <v>29</v>
      </c>
      <c r="B376" s="18" t="s">
        <v>36</v>
      </c>
      <c r="C376" s="18" t="s">
        <v>122</v>
      </c>
      <c r="D376" s="18" t="s">
        <v>896</v>
      </c>
      <c r="E376" s="18" t="s">
        <v>912</v>
      </c>
      <c r="F376" s="101">
        <v>46076.673611111109</v>
      </c>
      <c r="G376" s="101">
        <v>46082.40625</v>
      </c>
      <c r="H376" s="18" t="s">
        <v>507</v>
      </c>
      <c r="I376" s="18" t="s">
        <v>508</v>
      </c>
      <c r="J376" s="18"/>
      <c r="K376" s="21">
        <f t="shared" si="15"/>
        <v>137.58333333337214</v>
      </c>
      <c r="L376" s="19">
        <f t="shared" si="16"/>
        <v>13</v>
      </c>
      <c r="M376" s="18" t="str">
        <f>IF(I376&lt;&gt;"Sí","",IF(YEAR(F376)&lt;&gt;2026,"",INDEX({"Enero","Febrero","Marzo","Abril","Mayo","Junio","Julio","Agosto","Septiembre","Octubre","Noviembre","Diciembre"},MONTH(F376))))</f>
        <v>Febrero</v>
      </c>
      <c r="N376" s="18" t="str">
        <f t="shared" si="17"/>
        <v>Febrero|13</v>
      </c>
    </row>
    <row r="377" spans="1:14" ht="14.5" x14ac:dyDescent="0.25">
      <c r="A377" s="19">
        <v>29</v>
      </c>
      <c r="B377" s="18" t="s">
        <v>36</v>
      </c>
      <c r="C377" s="18" t="s">
        <v>122</v>
      </c>
      <c r="D377" s="18" t="s">
        <v>896</v>
      </c>
      <c r="E377" s="18" t="s">
        <v>913</v>
      </c>
      <c r="F377" s="101">
        <v>46077.520138888889</v>
      </c>
      <c r="G377" s="101">
        <v>46082.40625</v>
      </c>
      <c r="H377" s="18" t="s">
        <v>507</v>
      </c>
      <c r="I377" s="18" t="s">
        <v>508</v>
      </c>
      <c r="J377" s="18"/>
      <c r="K377" s="21">
        <f t="shared" si="15"/>
        <v>117.26666666666279</v>
      </c>
      <c r="L377" s="19">
        <f t="shared" si="16"/>
        <v>14</v>
      </c>
      <c r="M377" s="18" t="str">
        <f>IF(I377&lt;&gt;"Sí","",IF(YEAR(F377)&lt;&gt;2026,"",INDEX({"Enero","Febrero","Marzo","Abril","Mayo","Junio","Julio","Agosto","Septiembre","Octubre","Noviembre","Diciembre"},MONTH(F377))))</f>
        <v>Febrero</v>
      </c>
      <c r="N377" s="18" t="str">
        <f t="shared" si="17"/>
        <v>Febrero|14</v>
      </c>
    </row>
    <row r="378" spans="1:14" ht="14.5" x14ac:dyDescent="0.25">
      <c r="A378" s="19">
        <v>29</v>
      </c>
      <c r="B378" s="18" t="s">
        <v>36</v>
      </c>
      <c r="C378" s="18" t="s">
        <v>122</v>
      </c>
      <c r="D378" s="18" t="s">
        <v>896</v>
      </c>
      <c r="E378" s="18" t="s">
        <v>914</v>
      </c>
      <c r="F378" s="101">
        <v>46078.530555555553</v>
      </c>
      <c r="G378" s="101">
        <v>46082.772916666669</v>
      </c>
      <c r="H378" s="18" t="s">
        <v>507</v>
      </c>
      <c r="I378" s="18" t="s">
        <v>508</v>
      </c>
      <c r="J378" s="18"/>
      <c r="K378" s="21">
        <f t="shared" si="15"/>
        <v>101.81666666676756</v>
      </c>
      <c r="L378" s="19">
        <f t="shared" si="16"/>
        <v>15</v>
      </c>
      <c r="M378" s="18" t="str">
        <f>IF(I378&lt;&gt;"Sí","",IF(YEAR(F378)&lt;&gt;2026,"",INDEX({"Enero","Febrero","Marzo","Abril","Mayo","Junio","Julio","Agosto","Septiembre","Octubre","Noviembre","Diciembre"},MONTH(F378))))</f>
        <v>Febrero</v>
      </c>
      <c r="N378" s="18" t="str">
        <f t="shared" si="17"/>
        <v>Febrero|15</v>
      </c>
    </row>
    <row r="379" spans="1:14" ht="14.5" x14ac:dyDescent="0.25">
      <c r="A379" s="19">
        <v>29</v>
      </c>
      <c r="B379" s="18" t="s">
        <v>36</v>
      </c>
      <c r="C379" s="18" t="s">
        <v>122</v>
      </c>
      <c r="D379" s="18" t="s">
        <v>896</v>
      </c>
      <c r="E379" s="18" t="s">
        <v>915</v>
      </c>
      <c r="F379" s="101">
        <v>46078.676388888889</v>
      </c>
      <c r="G379" s="101">
        <v>46082.40625</v>
      </c>
      <c r="H379" s="18" t="s">
        <v>507</v>
      </c>
      <c r="I379" s="18" t="s">
        <v>508</v>
      </c>
      <c r="J379" s="18"/>
      <c r="K379" s="21">
        <f t="shared" si="15"/>
        <v>89.516666666662786</v>
      </c>
      <c r="L379" s="19">
        <f t="shared" si="16"/>
        <v>16</v>
      </c>
      <c r="M379" s="18" t="str">
        <f>IF(I379&lt;&gt;"Sí","",IF(YEAR(F379)&lt;&gt;2026,"",INDEX({"Enero","Febrero","Marzo","Abril","Mayo","Junio","Julio","Agosto","Septiembre","Octubre","Noviembre","Diciembre"},MONTH(F379))))</f>
        <v>Febrero</v>
      </c>
      <c r="N379" s="18" t="str">
        <f t="shared" si="17"/>
        <v>Febrero|16</v>
      </c>
    </row>
    <row r="380" spans="1:14" ht="14.5" x14ac:dyDescent="0.25">
      <c r="A380" s="19">
        <v>28</v>
      </c>
      <c r="B380" s="18" t="s">
        <v>35</v>
      </c>
      <c r="C380" s="18" t="s">
        <v>751</v>
      </c>
      <c r="D380" s="18" t="s">
        <v>916</v>
      </c>
      <c r="E380" s="18" t="s">
        <v>917</v>
      </c>
      <c r="F380" s="101"/>
      <c r="G380" s="101">
        <v>46079.361805555556</v>
      </c>
      <c r="H380" s="18" t="s">
        <v>554</v>
      </c>
      <c r="I380" s="18" t="s">
        <v>555</v>
      </c>
      <c r="J380" s="18" t="s">
        <v>556</v>
      </c>
      <c r="K380" s="21" t="str">
        <f t="shared" si="15"/>
        <v/>
      </c>
      <c r="L380" s="19" t="str">
        <f t="shared" si="16"/>
        <v/>
      </c>
      <c r="M380" s="18" t="str">
        <f>IF(I380&lt;&gt;"Sí","",IF(YEAR(F380)&lt;&gt;2026,"",INDEX({"Enero","Febrero","Marzo","Abril","Mayo","Junio","Julio","Agosto","Septiembre","Octubre","Noviembre","Diciembre"},MONTH(F380))))</f>
        <v/>
      </c>
      <c r="N380" s="18" t="str">
        <f t="shared" si="17"/>
        <v/>
      </c>
    </row>
    <row r="381" spans="1:14" ht="14.5" x14ac:dyDescent="0.25">
      <c r="A381" s="19">
        <v>29</v>
      </c>
      <c r="B381" s="18" t="s">
        <v>36</v>
      </c>
      <c r="C381" s="18" t="s">
        <v>122</v>
      </c>
      <c r="D381" s="18" t="s">
        <v>896</v>
      </c>
      <c r="E381" s="18" t="s">
        <v>918</v>
      </c>
      <c r="F381" s="101">
        <v>46079.493055555555</v>
      </c>
      <c r="G381" s="101">
        <v>46082.40625</v>
      </c>
      <c r="H381" s="18" t="s">
        <v>507</v>
      </c>
      <c r="I381" s="18" t="s">
        <v>508</v>
      </c>
      <c r="J381" s="18"/>
      <c r="K381" s="21">
        <f t="shared" si="15"/>
        <v>69.916666666686069</v>
      </c>
      <c r="L381" s="19">
        <f t="shared" si="16"/>
        <v>17</v>
      </c>
      <c r="M381" s="18" t="str">
        <f>IF(I381&lt;&gt;"Sí","",IF(YEAR(F381)&lt;&gt;2026,"",INDEX({"Enero","Febrero","Marzo","Abril","Mayo","Junio","Julio","Agosto","Septiembre","Octubre","Noviembre","Diciembre"},MONTH(F381))))</f>
        <v>Febrero</v>
      </c>
      <c r="N381" s="18" t="str">
        <f t="shared" si="17"/>
        <v>Febrero|17</v>
      </c>
    </row>
    <row r="382" spans="1:14" ht="14.5" x14ac:dyDescent="0.25">
      <c r="A382" s="19">
        <v>29</v>
      </c>
      <c r="B382" s="18" t="s">
        <v>36</v>
      </c>
      <c r="C382" s="18" t="s">
        <v>122</v>
      </c>
      <c r="D382" s="18" t="s">
        <v>896</v>
      </c>
      <c r="E382" s="18" t="s">
        <v>919</v>
      </c>
      <c r="F382" s="101">
        <v>46079.554861111108</v>
      </c>
      <c r="G382" s="101">
        <v>46082.40625</v>
      </c>
      <c r="H382" s="18" t="s">
        <v>507</v>
      </c>
      <c r="I382" s="18" t="s">
        <v>508</v>
      </c>
      <c r="J382" s="18"/>
      <c r="K382" s="21">
        <f t="shared" si="15"/>
        <v>68.433333333407063</v>
      </c>
      <c r="L382" s="19">
        <f t="shared" si="16"/>
        <v>21</v>
      </c>
      <c r="M382" s="18" t="str">
        <f>IF(I382&lt;&gt;"Sí","",IF(YEAR(F382)&lt;&gt;2026,"",INDEX({"Enero","Febrero","Marzo","Abril","Mayo","Junio","Julio","Agosto","Septiembre","Octubre","Noviembre","Diciembre"},MONTH(F382))))</f>
        <v>Febrero</v>
      </c>
      <c r="N382" s="18" t="str">
        <f t="shared" si="17"/>
        <v>Febrero|21</v>
      </c>
    </row>
    <row r="383" spans="1:14" ht="14.5" x14ac:dyDescent="0.25">
      <c r="A383" s="19">
        <v>29</v>
      </c>
      <c r="B383" s="18" t="s">
        <v>36</v>
      </c>
      <c r="C383" s="18" t="s">
        <v>122</v>
      </c>
      <c r="D383" s="18" t="s">
        <v>896</v>
      </c>
      <c r="E383" s="18" t="s">
        <v>920</v>
      </c>
      <c r="F383" s="101">
        <v>46079.554861111108</v>
      </c>
      <c r="G383" s="101">
        <v>46082.40625</v>
      </c>
      <c r="H383" s="18" t="s">
        <v>507</v>
      </c>
      <c r="I383" s="18" t="s">
        <v>508</v>
      </c>
      <c r="J383" s="18"/>
      <c r="K383" s="21">
        <f t="shared" si="15"/>
        <v>68.433333333407063</v>
      </c>
      <c r="L383" s="19">
        <f t="shared" si="16"/>
        <v>21</v>
      </c>
      <c r="M383" s="18" t="str">
        <f>IF(I383&lt;&gt;"Sí","",IF(YEAR(F383)&lt;&gt;2026,"",INDEX({"Enero","Febrero","Marzo","Abril","Mayo","Junio","Julio","Agosto","Septiembre","Octubre","Noviembre","Diciembre"},MONTH(F383))))</f>
        <v>Febrero</v>
      </c>
      <c r="N383" s="18" t="str">
        <f t="shared" si="17"/>
        <v>Febrero|21</v>
      </c>
    </row>
    <row r="384" spans="1:14" ht="14.5" x14ac:dyDescent="0.25">
      <c r="A384" s="19">
        <v>29</v>
      </c>
      <c r="B384" s="18" t="s">
        <v>36</v>
      </c>
      <c r="C384" s="18" t="s">
        <v>122</v>
      </c>
      <c r="D384" s="18" t="s">
        <v>896</v>
      </c>
      <c r="E384" s="18" t="s">
        <v>921</v>
      </c>
      <c r="F384" s="101">
        <v>46079.554861111108</v>
      </c>
      <c r="G384" s="101">
        <v>46082.252083333333</v>
      </c>
      <c r="H384" s="18" t="s">
        <v>507</v>
      </c>
      <c r="I384" s="18" t="s">
        <v>508</v>
      </c>
      <c r="J384" s="18"/>
      <c r="K384" s="21">
        <f t="shared" si="15"/>
        <v>64.733333333395422</v>
      </c>
      <c r="L384" s="19">
        <f t="shared" si="16"/>
        <v>21</v>
      </c>
      <c r="M384" s="18" t="str">
        <f>IF(I384&lt;&gt;"Sí","",IF(YEAR(F384)&lt;&gt;2026,"",INDEX({"Enero","Febrero","Marzo","Abril","Mayo","Junio","Julio","Agosto","Septiembre","Octubre","Noviembre","Diciembre"},MONTH(F384))))</f>
        <v>Febrero</v>
      </c>
      <c r="N384" s="18" t="str">
        <f t="shared" si="17"/>
        <v>Febrero|21</v>
      </c>
    </row>
    <row r="385" spans="1:14" ht="14.5" x14ac:dyDescent="0.25">
      <c r="A385" s="19">
        <v>29</v>
      </c>
      <c r="B385" s="18" t="s">
        <v>36</v>
      </c>
      <c r="C385" s="18" t="s">
        <v>122</v>
      </c>
      <c r="D385" s="18" t="s">
        <v>896</v>
      </c>
      <c r="E385" s="18" t="s">
        <v>922</v>
      </c>
      <c r="F385" s="101">
        <v>46079.554861111108</v>
      </c>
      <c r="G385" s="101">
        <v>46082.40625</v>
      </c>
      <c r="H385" s="18" t="s">
        <v>507</v>
      </c>
      <c r="I385" s="18" t="s">
        <v>508</v>
      </c>
      <c r="J385" s="18"/>
      <c r="K385" s="21">
        <f t="shared" si="15"/>
        <v>68.433333333407063</v>
      </c>
      <c r="L385" s="19">
        <f t="shared" si="16"/>
        <v>21</v>
      </c>
      <c r="M385" s="18" t="str">
        <f>IF(I385&lt;&gt;"Sí","",IF(YEAR(F385)&lt;&gt;2026,"",INDEX({"Enero","Febrero","Marzo","Abril","Mayo","Junio","Julio","Agosto","Septiembre","Octubre","Noviembre","Diciembre"},MONTH(F385))))</f>
        <v>Febrero</v>
      </c>
      <c r="N385" s="18" t="str">
        <f t="shared" si="17"/>
        <v>Febrero|21</v>
      </c>
    </row>
    <row r="386" spans="1:14" ht="14.5" x14ac:dyDescent="0.25">
      <c r="A386" s="19">
        <v>28</v>
      </c>
      <c r="B386" s="18" t="s">
        <v>35</v>
      </c>
      <c r="C386" s="18" t="s">
        <v>92</v>
      </c>
      <c r="D386" s="18" t="s">
        <v>901</v>
      </c>
      <c r="E386" s="18" t="s">
        <v>923</v>
      </c>
      <c r="F386" s="101"/>
      <c r="G386" s="101">
        <v>46080.594444444447</v>
      </c>
      <c r="H386" s="18" t="s">
        <v>554</v>
      </c>
      <c r="I386" s="18" t="s">
        <v>555</v>
      </c>
      <c r="J386" s="18" t="s">
        <v>556</v>
      </c>
      <c r="K386" s="21" t="str">
        <f t="shared" si="15"/>
        <v/>
      </c>
      <c r="L386" s="19" t="str">
        <f t="shared" si="16"/>
        <v/>
      </c>
      <c r="M386" s="18" t="str">
        <f>IF(I386&lt;&gt;"Sí","",IF(YEAR(F386)&lt;&gt;2026,"",INDEX({"Enero","Febrero","Marzo","Abril","Mayo","Junio","Julio","Agosto","Septiembre","Octubre","Noviembre","Diciembre"},MONTH(F386))))</f>
        <v/>
      </c>
      <c r="N386" s="18" t="str">
        <f t="shared" si="17"/>
        <v/>
      </c>
    </row>
    <row r="387" spans="1:14" ht="14.5" x14ac:dyDescent="0.25">
      <c r="A387" s="19">
        <v>28</v>
      </c>
      <c r="B387" s="18" t="s">
        <v>35</v>
      </c>
      <c r="C387" s="18" t="s">
        <v>92</v>
      </c>
      <c r="D387" s="18" t="s">
        <v>901</v>
      </c>
      <c r="E387" s="18" t="s">
        <v>924</v>
      </c>
      <c r="F387" s="101"/>
      <c r="G387" s="101">
        <v>46080.595833333333</v>
      </c>
      <c r="H387" s="18" t="s">
        <v>554</v>
      </c>
      <c r="I387" s="18" t="s">
        <v>555</v>
      </c>
      <c r="J387" s="18" t="s">
        <v>556</v>
      </c>
      <c r="K387" s="21" t="str">
        <f t="shared" si="15"/>
        <v/>
      </c>
      <c r="L387" s="19" t="str">
        <f t="shared" si="16"/>
        <v/>
      </c>
      <c r="M387" s="18" t="str">
        <f>IF(I387&lt;&gt;"Sí","",IF(YEAR(F387)&lt;&gt;2026,"",INDEX({"Enero","Febrero","Marzo","Abril","Mayo","Junio","Julio","Agosto","Septiembre","Octubre","Noviembre","Diciembre"},MONTH(F387))))</f>
        <v/>
      </c>
      <c r="N387" s="18" t="str">
        <f t="shared" si="17"/>
        <v/>
      </c>
    </row>
    <row r="388" spans="1:14" ht="14.5" x14ac:dyDescent="0.25">
      <c r="A388" s="19">
        <v>28</v>
      </c>
      <c r="B388" s="18" t="s">
        <v>35</v>
      </c>
      <c r="C388" s="18" t="s">
        <v>92</v>
      </c>
      <c r="D388" s="18" t="s">
        <v>901</v>
      </c>
      <c r="E388" s="18" t="s">
        <v>923</v>
      </c>
      <c r="F388" s="101">
        <v>46080.617361111108</v>
      </c>
      <c r="G388" s="101">
        <v>46081.638888888891</v>
      </c>
      <c r="H388" s="18" t="s">
        <v>554</v>
      </c>
      <c r="I388" s="18" t="s">
        <v>508</v>
      </c>
      <c r="J388" s="18"/>
      <c r="K388" s="21">
        <f t="shared" si="15"/>
        <v>24.516666666779201</v>
      </c>
      <c r="L388" s="19">
        <f t="shared" si="16"/>
        <v>21</v>
      </c>
      <c r="M388" s="18" t="str">
        <f>IF(I388&lt;&gt;"Sí","",IF(YEAR(F388)&lt;&gt;2026,"",INDEX({"Enero","Febrero","Marzo","Abril","Mayo","Junio","Julio","Agosto","Septiembre","Octubre","Noviembre","Diciembre"},MONTH(F388))))</f>
        <v>Febrero</v>
      </c>
      <c r="N388" s="18" t="str">
        <f t="shared" si="17"/>
        <v>Febrero|21</v>
      </c>
    </row>
    <row r="389" spans="1:14" ht="14.5" x14ac:dyDescent="0.25">
      <c r="A389" s="19">
        <v>29</v>
      </c>
      <c r="B389" s="18" t="s">
        <v>36</v>
      </c>
      <c r="C389" s="18" t="s">
        <v>131</v>
      </c>
      <c r="D389" s="18" t="s">
        <v>925</v>
      </c>
      <c r="E389" s="18" t="s">
        <v>926</v>
      </c>
      <c r="F389" s="101">
        <v>46081.515972222223</v>
      </c>
      <c r="G389" s="101">
        <v>46093.23541666667</v>
      </c>
      <c r="H389" s="18" t="s">
        <v>507</v>
      </c>
      <c r="I389" s="18" t="s">
        <v>508</v>
      </c>
      <c r="J389" s="18"/>
      <c r="K389" s="21">
        <f t="shared" si="15"/>
        <v>281.26666666672099</v>
      </c>
      <c r="L389" s="19">
        <f t="shared" si="16"/>
        <v>22</v>
      </c>
      <c r="M389" s="18" t="str">
        <f>IF(I389&lt;&gt;"Sí","",IF(YEAR(F389)&lt;&gt;2026,"",INDEX({"Enero","Febrero","Marzo","Abril","Mayo","Junio","Julio","Agosto","Septiembre","Octubre","Noviembre","Diciembre"},MONTH(F389))))</f>
        <v>Febrero</v>
      </c>
      <c r="N389" s="18" t="str">
        <f t="shared" si="17"/>
        <v>Febrero|22</v>
      </c>
    </row>
    <row r="390" spans="1:14" ht="14.5" x14ac:dyDescent="0.25">
      <c r="A390" s="19">
        <v>29</v>
      </c>
      <c r="B390" s="18" t="s">
        <v>36</v>
      </c>
      <c r="C390" s="18" t="s">
        <v>126</v>
      </c>
      <c r="D390" s="18" t="s">
        <v>927</v>
      </c>
      <c r="E390" s="18" t="s">
        <v>928</v>
      </c>
      <c r="F390" s="101">
        <v>46081.531944444447</v>
      </c>
      <c r="G390" s="101">
        <v>46104.490277777775</v>
      </c>
      <c r="H390" s="18" t="s">
        <v>507</v>
      </c>
      <c r="I390" s="18" t="s">
        <v>508</v>
      </c>
      <c r="J390" s="18"/>
      <c r="K390" s="21">
        <f t="shared" si="15"/>
        <v>550.99999999988358</v>
      </c>
      <c r="L390" s="19">
        <f t="shared" si="16"/>
        <v>23</v>
      </c>
      <c r="M390" s="18" t="str">
        <f>IF(I390&lt;&gt;"Sí","",IF(YEAR(F390)&lt;&gt;2026,"",INDEX({"Enero","Febrero","Marzo","Abril","Mayo","Junio","Julio","Agosto","Septiembre","Octubre","Noviembre","Diciembre"},MONTH(F390))))</f>
        <v>Febrero</v>
      </c>
      <c r="N390" s="18" t="str">
        <f t="shared" si="17"/>
        <v>Febrero|23</v>
      </c>
    </row>
    <row r="391" spans="1:14" ht="14.5" x14ac:dyDescent="0.25">
      <c r="A391" s="19">
        <v>29</v>
      </c>
      <c r="B391" s="18" t="s">
        <v>36</v>
      </c>
      <c r="C391" s="18" t="s">
        <v>131</v>
      </c>
      <c r="D391" s="18" t="s">
        <v>925</v>
      </c>
      <c r="E391" s="18" t="s">
        <v>929</v>
      </c>
      <c r="F391" s="101">
        <v>46083.711805555555</v>
      </c>
      <c r="G391" s="101">
        <v>46093.23541666667</v>
      </c>
      <c r="H391" s="18" t="s">
        <v>507</v>
      </c>
      <c r="I391" s="18" t="s">
        <v>508</v>
      </c>
      <c r="J391" s="18"/>
      <c r="K391" s="21">
        <f t="shared" ref="K391:K454" si="18">IF(I391="Sí",(G391-F391)*24,"")</f>
        <v>228.56666666676756</v>
      </c>
      <c r="L391" s="19">
        <f t="shared" ref="L391:L454" si="19">IF(I391="Sí",COUNTIFS($F$7:$F$4000,"&lt;="&amp;F391,$G$7:$G$4000,"&gt;"&amp;F391,$I$7:$I$4000,"Sí"),"")</f>
        <v>3</v>
      </c>
      <c r="M391" s="18" t="str">
        <f>IF(I391&lt;&gt;"Sí","",IF(YEAR(F391)&lt;&gt;2026,"",INDEX({"Enero","Febrero","Marzo","Abril","Mayo","Junio","Julio","Agosto","Septiembre","Octubre","Noviembre","Diciembre"},MONTH(F391))))</f>
        <v>Marzo</v>
      </c>
      <c r="N391" s="18" t="str">
        <f t="shared" ref="N391:N454" si="20">IF(M391="","",M391&amp;"|"&amp;L391)</f>
        <v>Marzo|3</v>
      </c>
    </row>
    <row r="392" spans="1:14" ht="14.5" x14ac:dyDescent="0.25">
      <c r="A392" s="19">
        <v>29</v>
      </c>
      <c r="B392" s="18" t="s">
        <v>36</v>
      </c>
      <c r="C392" s="18" t="s">
        <v>126</v>
      </c>
      <c r="D392" s="18" t="s">
        <v>927</v>
      </c>
      <c r="E392" s="18" t="s">
        <v>930</v>
      </c>
      <c r="F392" s="101">
        <v>46084.543055555558</v>
      </c>
      <c r="G392" s="101">
        <v>46104.479166666664</v>
      </c>
      <c r="H392" s="18" t="s">
        <v>507</v>
      </c>
      <c r="I392" s="18" t="s">
        <v>508</v>
      </c>
      <c r="J392" s="18"/>
      <c r="K392" s="21">
        <f t="shared" si="18"/>
        <v>478.46666666655801</v>
      </c>
      <c r="L392" s="19">
        <f t="shared" si="19"/>
        <v>4</v>
      </c>
      <c r="M392" s="18" t="str">
        <f>IF(I392&lt;&gt;"Sí","",IF(YEAR(F392)&lt;&gt;2026,"",INDEX({"Enero","Febrero","Marzo","Abril","Mayo","Junio","Julio","Agosto","Septiembre","Octubre","Noviembre","Diciembre"},MONTH(F392))))</f>
        <v>Marzo</v>
      </c>
      <c r="N392" s="18" t="str">
        <f t="shared" si="20"/>
        <v>Marzo|4</v>
      </c>
    </row>
    <row r="393" spans="1:14" ht="14.5" x14ac:dyDescent="0.25">
      <c r="A393" s="19">
        <v>29</v>
      </c>
      <c r="B393" s="18" t="s">
        <v>36</v>
      </c>
      <c r="C393" s="18" t="s">
        <v>106</v>
      </c>
      <c r="D393" s="18" t="s">
        <v>916</v>
      </c>
      <c r="E393" s="18" t="s">
        <v>931</v>
      </c>
      <c r="F393" s="101"/>
      <c r="G393" s="101">
        <v>46084.986111111109</v>
      </c>
      <c r="H393" s="18" t="s">
        <v>554</v>
      </c>
      <c r="I393" s="18" t="s">
        <v>555</v>
      </c>
      <c r="J393" s="18" t="s">
        <v>556</v>
      </c>
      <c r="K393" s="21" t="str">
        <f t="shared" si="18"/>
        <v/>
      </c>
      <c r="L393" s="19" t="str">
        <f t="shared" si="19"/>
        <v/>
      </c>
      <c r="M393" s="18" t="str">
        <f>IF(I393&lt;&gt;"Sí","",IF(YEAR(F393)&lt;&gt;2026,"",INDEX({"Enero","Febrero","Marzo","Abril","Mayo","Junio","Julio","Agosto","Septiembre","Octubre","Noviembre","Diciembre"},MONTH(F393))))</f>
        <v/>
      </c>
      <c r="N393" s="18" t="str">
        <f t="shared" si="20"/>
        <v/>
      </c>
    </row>
    <row r="394" spans="1:14" ht="14.5" x14ac:dyDescent="0.25">
      <c r="A394" s="19">
        <v>29</v>
      </c>
      <c r="B394" s="18" t="s">
        <v>36</v>
      </c>
      <c r="C394" s="18" t="s">
        <v>106</v>
      </c>
      <c r="D394" s="18" t="s">
        <v>916</v>
      </c>
      <c r="E394" s="18" t="s">
        <v>932</v>
      </c>
      <c r="F394" s="101"/>
      <c r="G394" s="101">
        <v>46084.986111111109</v>
      </c>
      <c r="H394" s="18" t="s">
        <v>554</v>
      </c>
      <c r="I394" s="18" t="s">
        <v>555</v>
      </c>
      <c r="J394" s="18" t="s">
        <v>556</v>
      </c>
      <c r="K394" s="21" t="str">
        <f t="shared" si="18"/>
        <v/>
      </c>
      <c r="L394" s="19" t="str">
        <f t="shared" si="19"/>
        <v/>
      </c>
      <c r="M394" s="18" t="str">
        <f>IF(I394&lt;&gt;"Sí","",IF(YEAR(F394)&lt;&gt;2026,"",INDEX({"Enero","Febrero","Marzo","Abril","Mayo","Junio","Julio","Agosto","Septiembre","Octubre","Noviembre","Diciembre"},MONTH(F394))))</f>
        <v/>
      </c>
      <c r="N394" s="18" t="str">
        <f t="shared" si="20"/>
        <v/>
      </c>
    </row>
    <row r="395" spans="1:14" ht="14.5" x14ac:dyDescent="0.25">
      <c r="A395" s="19">
        <v>29</v>
      </c>
      <c r="B395" s="18" t="s">
        <v>36</v>
      </c>
      <c r="C395" s="18" t="s">
        <v>106</v>
      </c>
      <c r="D395" s="18" t="s">
        <v>916</v>
      </c>
      <c r="E395" s="18" t="s">
        <v>932</v>
      </c>
      <c r="F395" s="101">
        <v>46085.023611111108</v>
      </c>
      <c r="G395" s="101">
        <v>46090.56527777778</v>
      </c>
      <c r="H395" s="18" t="s">
        <v>523</v>
      </c>
      <c r="I395" s="18" t="s">
        <v>508</v>
      </c>
      <c r="J395" s="18"/>
      <c r="K395" s="21">
        <f t="shared" si="18"/>
        <v>133.00000000011642</v>
      </c>
      <c r="L395" s="19">
        <f t="shared" si="19"/>
        <v>5</v>
      </c>
      <c r="M395" s="18" t="str">
        <f>IF(I395&lt;&gt;"Sí","",IF(YEAR(F395)&lt;&gt;2026,"",INDEX({"Enero","Febrero","Marzo","Abril","Mayo","Junio","Julio","Agosto","Septiembre","Octubre","Noviembre","Diciembre"},MONTH(F395))))</f>
        <v>Marzo</v>
      </c>
      <c r="N395" s="18" t="str">
        <f t="shared" si="20"/>
        <v>Marzo|5</v>
      </c>
    </row>
    <row r="396" spans="1:14" ht="14.5" x14ac:dyDescent="0.25">
      <c r="A396" s="19">
        <v>29</v>
      </c>
      <c r="B396" s="18" t="s">
        <v>36</v>
      </c>
      <c r="C396" s="18" t="s">
        <v>97</v>
      </c>
      <c r="D396" s="18" t="s">
        <v>933</v>
      </c>
      <c r="E396" s="18" t="s">
        <v>819</v>
      </c>
      <c r="F396" s="101">
        <v>46085.554166666669</v>
      </c>
      <c r="G396" s="101">
        <v>46097.081250000003</v>
      </c>
      <c r="H396" s="18" t="s">
        <v>507</v>
      </c>
      <c r="I396" s="18" t="s">
        <v>508</v>
      </c>
      <c r="J396" s="18"/>
      <c r="K396" s="21">
        <f t="shared" si="18"/>
        <v>276.65000000002328</v>
      </c>
      <c r="L396" s="19">
        <f t="shared" si="19"/>
        <v>7</v>
      </c>
      <c r="M396" s="18" t="str">
        <f>IF(I396&lt;&gt;"Sí","",IF(YEAR(F396)&lt;&gt;2026,"",INDEX({"Enero","Febrero","Marzo","Abril","Mayo","Junio","Julio","Agosto","Septiembre","Octubre","Noviembre","Diciembre"},MONTH(F396))))</f>
        <v>Marzo</v>
      </c>
      <c r="N396" s="18" t="str">
        <f t="shared" si="20"/>
        <v>Marzo|7</v>
      </c>
    </row>
    <row r="397" spans="1:14" ht="14.5" x14ac:dyDescent="0.25">
      <c r="A397" s="19">
        <v>29</v>
      </c>
      <c r="B397" s="18" t="s">
        <v>36</v>
      </c>
      <c r="C397" s="18" t="s">
        <v>934</v>
      </c>
      <c r="D397" s="18" t="s">
        <v>935</v>
      </c>
      <c r="E397" s="18" t="s">
        <v>936</v>
      </c>
      <c r="F397" s="101">
        <v>46085.554166666669</v>
      </c>
      <c r="G397" s="101">
        <v>46097.867361111108</v>
      </c>
      <c r="H397" s="18" t="s">
        <v>507</v>
      </c>
      <c r="I397" s="18" t="s">
        <v>508</v>
      </c>
      <c r="J397" s="18"/>
      <c r="K397" s="21">
        <f t="shared" si="18"/>
        <v>295.51666666654637</v>
      </c>
      <c r="L397" s="19">
        <f t="shared" si="19"/>
        <v>7</v>
      </c>
      <c r="M397" s="18" t="str">
        <f>IF(I397&lt;&gt;"Sí","",IF(YEAR(F397)&lt;&gt;2026,"",INDEX({"Enero","Febrero","Marzo","Abril","Mayo","Junio","Julio","Agosto","Septiembre","Octubre","Noviembre","Diciembre"},MONTH(F397))))</f>
        <v>Marzo</v>
      </c>
      <c r="N397" s="18" t="str">
        <f t="shared" si="20"/>
        <v>Marzo|7</v>
      </c>
    </row>
    <row r="398" spans="1:14" ht="14.5" x14ac:dyDescent="0.25">
      <c r="A398" s="19">
        <v>29</v>
      </c>
      <c r="B398" s="18" t="s">
        <v>36</v>
      </c>
      <c r="C398" s="18" t="s">
        <v>131</v>
      </c>
      <c r="D398" s="18" t="s">
        <v>925</v>
      </c>
      <c r="E398" s="18" t="s">
        <v>937</v>
      </c>
      <c r="F398" s="101">
        <v>46087.604861111111</v>
      </c>
      <c r="G398" s="101">
        <v>46093.23541666667</v>
      </c>
      <c r="H398" s="18" t="s">
        <v>507</v>
      </c>
      <c r="I398" s="18" t="s">
        <v>508</v>
      </c>
      <c r="J398" s="18"/>
      <c r="K398" s="21">
        <f t="shared" si="18"/>
        <v>135.1333333334187</v>
      </c>
      <c r="L398" s="19">
        <f t="shared" si="19"/>
        <v>9</v>
      </c>
      <c r="M398" s="18" t="str">
        <f>IF(I398&lt;&gt;"Sí","",IF(YEAR(F398)&lt;&gt;2026,"",INDEX({"Enero","Febrero","Marzo","Abril","Mayo","Junio","Julio","Agosto","Septiembre","Octubre","Noviembre","Diciembre"},MONTH(F398))))</f>
        <v>Marzo</v>
      </c>
      <c r="N398" s="18" t="str">
        <f t="shared" si="20"/>
        <v>Marzo|9</v>
      </c>
    </row>
    <row r="399" spans="1:14" ht="14.5" x14ac:dyDescent="0.25">
      <c r="A399" s="19">
        <v>29</v>
      </c>
      <c r="B399" s="18" t="s">
        <v>36</v>
      </c>
      <c r="C399" s="18" t="s">
        <v>934</v>
      </c>
      <c r="D399" s="18" t="s">
        <v>935</v>
      </c>
      <c r="E399" s="18" t="s">
        <v>938</v>
      </c>
      <c r="F399" s="101">
        <v>46087.604861111111</v>
      </c>
      <c r="G399" s="101">
        <v>46097.867361111108</v>
      </c>
      <c r="H399" s="18" t="s">
        <v>507</v>
      </c>
      <c r="I399" s="18" t="s">
        <v>508</v>
      </c>
      <c r="J399" s="18"/>
      <c r="K399" s="21">
        <f t="shared" si="18"/>
        <v>246.29999999993015</v>
      </c>
      <c r="L399" s="19">
        <f t="shared" si="19"/>
        <v>9</v>
      </c>
      <c r="M399" s="18" t="str">
        <f>IF(I399&lt;&gt;"Sí","",IF(YEAR(F399)&lt;&gt;2026,"",INDEX({"Enero","Febrero","Marzo","Abril","Mayo","Junio","Julio","Agosto","Septiembre","Octubre","Noviembre","Diciembre"},MONTH(F399))))</f>
        <v>Marzo</v>
      </c>
      <c r="N399" s="18" t="str">
        <f t="shared" si="20"/>
        <v>Marzo|9</v>
      </c>
    </row>
    <row r="400" spans="1:14" ht="14.5" x14ac:dyDescent="0.25">
      <c r="A400" s="19">
        <v>29</v>
      </c>
      <c r="B400" s="18" t="s">
        <v>36</v>
      </c>
      <c r="C400" s="18" t="s">
        <v>934</v>
      </c>
      <c r="D400" s="18" t="s">
        <v>935</v>
      </c>
      <c r="E400" s="18" t="s">
        <v>939</v>
      </c>
      <c r="F400" s="101">
        <v>46087.609722222223</v>
      </c>
      <c r="G400" s="101">
        <v>46097.867361111108</v>
      </c>
      <c r="H400" s="18" t="s">
        <v>507</v>
      </c>
      <c r="I400" s="18" t="s">
        <v>508</v>
      </c>
      <c r="J400" s="18"/>
      <c r="K400" s="21">
        <f t="shared" si="18"/>
        <v>246.18333333323244</v>
      </c>
      <c r="L400" s="19">
        <f t="shared" si="19"/>
        <v>10</v>
      </c>
      <c r="M400" s="18" t="str">
        <f>IF(I400&lt;&gt;"Sí","",IF(YEAR(F400)&lt;&gt;2026,"",INDEX({"Enero","Febrero","Marzo","Abril","Mayo","Junio","Julio","Agosto","Septiembre","Octubre","Noviembre","Diciembre"},MONTH(F400))))</f>
        <v>Marzo</v>
      </c>
      <c r="N400" s="18" t="str">
        <f t="shared" si="20"/>
        <v>Marzo|10</v>
      </c>
    </row>
    <row r="401" spans="1:14" ht="14.5" x14ac:dyDescent="0.25">
      <c r="A401" s="19">
        <v>29</v>
      </c>
      <c r="B401" s="18" t="s">
        <v>36</v>
      </c>
      <c r="C401" s="18" t="s">
        <v>934</v>
      </c>
      <c r="D401" s="18" t="s">
        <v>935</v>
      </c>
      <c r="E401" s="18" t="s">
        <v>940</v>
      </c>
      <c r="F401" s="101">
        <v>46087.626388888886</v>
      </c>
      <c r="G401" s="101">
        <v>46097.867361111108</v>
      </c>
      <c r="H401" s="18" t="s">
        <v>507</v>
      </c>
      <c r="I401" s="18" t="s">
        <v>508</v>
      </c>
      <c r="J401" s="18"/>
      <c r="K401" s="21">
        <f t="shared" si="18"/>
        <v>245.78333333332557</v>
      </c>
      <c r="L401" s="19">
        <f t="shared" si="19"/>
        <v>11</v>
      </c>
      <c r="M401" s="18" t="str">
        <f>IF(I401&lt;&gt;"Sí","",IF(YEAR(F401)&lt;&gt;2026,"",INDEX({"Enero","Febrero","Marzo","Abril","Mayo","Junio","Julio","Agosto","Septiembre","Octubre","Noviembre","Diciembre"},MONTH(F401))))</f>
        <v>Marzo</v>
      </c>
      <c r="N401" s="18" t="str">
        <f t="shared" si="20"/>
        <v>Marzo|11</v>
      </c>
    </row>
    <row r="402" spans="1:14" ht="14.5" x14ac:dyDescent="0.25">
      <c r="A402" s="19">
        <v>29</v>
      </c>
      <c r="B402" s="18" t="s">
        <v>36</v>
      </c>
      <c r="C402" s="18" t="s">
        <v>934</v>
      </c>
      <c r="D402" s="18" t="s">
        <v>935</v>
      </c>
      <c r="E402" s="18" t="s">
        <v>941</v>
      </c>
      <c r="F402" s="101">
        <v>46088.478472222225</v>
      </c>
      <c r="G402" s="101">
        <v>46097.817361111112</v>
      </c>
      <c r="H402" s="18" t="s">
        <v>507</v>
      </c>
      <c r="I402" s="18" t="s">
        <v>508</v>
      </c>
      <c r="J402" s="18"/>
      <c r="K402" s="21">
        <f t="shared" si="18"/>
        <v>224.13333333330229</v>
      </c>
      <c r="L402" s="19">
        <f t="shared" si="19"/>
        <v>16</v>
      </c>
      <c r="M402" s="18" t="str">
        <f>IF(I402&lt;&gt;"Sí","",IF(YEAR(F402)&lt;&gt;2026,"",INDEX({"Enero","Febrero","Marzo","Abril","Mayo","Junio","Julio","Agosto","Septiembre","Octubre","Noviembre","Diciembre"},MONTH(F402))))</f>
        <v>Marzo</v>
      </c>
      <c r="N402" s="18" t="str">
        <f t="shared" si="20"/>
        <v>Marzo|16</v>
      </c>
    </row>
    <row r="403" spans="1:14" ht="14.5" x14ac:dyDescent="0.25">
      <c r="A403" s="19">
        <v>29</v>
      </c>
      <c r="B403" s="18" t="s">
        <v>36</v>
      </c>
      <c r="C403" s="18" t="s">
        <v>934</v>
      </c>
      <c r="D403" s="18" t="s">
        <v>935</v>
      </c>
      <c r="E403" s="18" t="s">
        <v>942</v>
      </c>
      <c r="F403" s="101">
        <v>46088.478472222225</v>
      </c>
      <c r="G403" s="101">
        <v>46097.817361111112</v>
      </c>
      <c r="H403" s="18" t="s">
        <v>507</v>
      </c>
      <c r="I403" s="18" t="s">
        <v>508</v>
      </c>
      <c r="J403" s="18"/>
      <c r="K403" s="21">
        <f t="shared" si="18"/>
        <v>224.13333333330229</v>
      </c>
      <c r="L403" s="19">
        <f t="shared" si="19"/>
        <v>16</v>
      </c>
      <c r="M403" s="18" t="str">
        <f>IF(I403&lt;&gt;"Sí","",IF(YEAR(F403)&lt;&gt;2026,"",INDEX({"Enero","Febrero","Marzo","Abril","Mayo","Junio","Julio","Agosto","Septiembre","Octubre","Noviembre","Diciembre"},MONTH(F403))))</f>
        <v>Marzo</v>
      </c>
      <c r="N403" s="18" t="str">
        <f t="shared" si="20"/>
        <v>Marzo|16</v>
      </c>
    </row>
    <row r="404" spans="1:14" ht="14.5" x14ac:dyDescent="0.25">
      <c r="A404" s="19">
        <v>29</v>
      </c>
      <c r="B404" s="18" t="s">
        <v>36</v>
      </c>
      <c r="C404" s="18" t="s">
        <v>934</v>
      </c>
      <c r="D404" s="18" t="s">
        <v>935</v>
      </c>
      <c r="E404" s="18" t="s">
        <v>943</v>
      </c>
      <c r="F404" s="101">
        <v>46088.478472222225</v>
      </c>
      <c r="G404" s="101">
        <v>46097.817361111112</v>
      </c>
      <c r="H404" s="18" t="s">
        <v>507</v>
      </c>
      <c r="I404" s="18" t="s">
        <v>508</v>
      </c>
      <c r="J404" s="18"/>
      <c r="K404" s="21">
        <f t="shared" si="18"/>
        <v>224.13333333330229</v>
      </c>
      <c r="L404" s="19">
        <f t="shared" si="19"/>
        <v>16</v>
      </c>
      <c r="M404" s="18" t="str">
        <f>IF(I404&lt;&gt;"Sí","",IF(YEAR(F404)&lt;&gt;2026,"",INDEX({"Enero","Febrero","Marzo","Abril","Mayo","Junio","Julio","Agosto","Septiembre","Octubre","Noviembre","Diciembre"},MONTH(F404))))</f>
        <v>Marzo</v>
      </c>
      <c r="N404" s="18" t="str">
        <f t="shared" si="20"/>
        <v>Marzo|16</v>
      </c>
    </row>
    <row r="405" spans="1:14" ht="14.5" x14ac:dyDescent="0.25">
      <c r="A405" s="19">
        <v>29</v>
      </c>
      <c r="B405" s="18" t="s">
        <v>36</v>
      </c>
      <c r="C405" s="18" t="s">
        <v>934</v>
      </c>
      <c r="D405" s="18" t="s">
        <v>935</v>
      </c>
      <c r="E405" s="18" t="s">
        <v>944</v>
      </c>
      <c r="F405" s="101">
        <v>46088.478472222225</v>
      </c>
      <c r="G405" s="101">
        <v>46097.817361111112</v>
      </c>
      <c r="H405" s="18" t="s">
        <v>507</v>
      </c>
      <c r="I405" s="18" t="s">
        <v>508</v>
      </c>
      <c r="J405" s="18"/>
      <c r="K405" s="21">
        <f t="shared" si="18"/>
        <v>224.13333333330229</v>
      </c>
      <c r="L405" s="19">
        <f t="shared" si="19"/>
        <v>16</v>
      </c>
      <c r="M405" s="18" t="str">
        <f>IF(I405&lt;&gt;"Sí","",IF(YEAR(F405)&lt;&gt;2026,"",INDEX({"Enero","Febrero","Marzo","Abril","Mayo","Junio","Julio","Agosto","Septiembre","Octubre","Noviembre","Diciembre"},MONTH(F405))))</f>
        <v>Marzo</v>
      </c>
      <c r="N405" s="18" t="str">
        <f t="shared" si="20"/>
        <v>Marzo|16</v>
      </c>
    </row>
    <row r="406" spans="1:14" ht="14.5" x14ac:dyDescent="0.25">
      <c r="A406" s="19">
        <v>29</v>
      </c>
      <c r="B406" s="18" t="s">
        <v>36</v>
      </c>
      <c r="C406" s="18" t="s">
        <v>934</v>
      </c>
      <c r="D406" s="18" t="s">
        <v>935</v>
      </c>
      <c r="E406" s="18" t="s">
        <v>945</v>
      </c>
      <c r="F406" s="101">
        <v>46088.478472222225</v>
      </c>
      <c r="G406" s="101">
        <v>46097.817361111112</v>
      </c>
      <c r="H406" s="18" t="s">
        <v>507</v>
      </c>
      <c r="I406" s="18" t="s">
        <v>508</v>
      </c>
      <c r="J406" s="18"/>
      <c r="K406" s="21">
        <f t="shared" si="18"/>
        <v>224.13333333330229</v>
      </c>
      <c r="L406" s="19">
        <f t="shared" si="19"/>
        <v>16</v>
      </c>
      <c r="M406" s="18" t="str">
        <f>IF(I406&lt;&gt;"Sí","",IF(YEAR(F406)&lt;&gt;2026,"",INDEX({"Enero","Febrero","Marzo","Abril","Mayo","Junio","Julio","Agosto","Septiembre","Octubre","Noviembre","Diciembre"},MONTH(F406))))</f>
        <v>Marzo</v>
      </c>
      <c r="N406" s="18" t="str">
        <f t="shared" si="20"/>
        <v>Marzo|16</v>
      </c>
    </row>
    <row r="407" spans="1:14" ht="14.5" x14ac:dyDescent="0.25">
      <c r="A407" s="19">
        <v>29</v>
      </c>
      <c r="B407" s="18" t="s">
        <v>36</v>
      </c>
      <c r="C407" s="18" t="s">
        <v>934</v>
      </c>
      <c r="D407" s="18" t="s">
        <v>935</v>
      </c>
      <c r="E407" s="18" t="s">
        <v>946</v>
      </c>
      <c r="F407" s="101">
        <v>46090.586111111108</v>
      </c>
      <c r="G407" s="101">
        <v>46097.762499999997</v>
      </c>
      <c r="H407" s="18" t="s">
        <v>507</v>
      </c>
      <c r="I407" s="18" t="s">
        <v>508</v>
      </c>
      <c r="J407" s="18"/>
      <c r="K407" s="21">
        <f t="shared" si="18"/>
        <v>172.23333333333721</v>
      </c>
      <c r="L407" s="19">
        <f t="shared" si="19"/>
        <v>25</v>
      </c>
      <c r="M407" s="18" t="str">
        <f>IF(I407&lt;&gt;"Sí","",IF(YEAR(F407)&lt;&gt;2026,"",INDEX({"Enero","Febrero","Marzo","Abril","Mayo","Junio","Julio","Agosto","Septiembre","Octubre","Noviembre","Diciembre"},MONTH(F407))))</f>
        <v>Marzo</v>
      </c>
      <c r="N407" s="18" t="str">
        <f t="shared" si="20"/>
        <v>Marzo|25</v>
      </c>
    </row>
    <row r="408" spans="1:14" ht="14.5" x14ac:dyDescent="0.25">
      <c r="A408" s="19">
        <v>29</v>
      </c>
      <c r="B408" s="18" t="s">
        <v>36</v>
      </c>
      <c r="C408" s="18" t="s">
        <v>934</v>
      </c>
      <c r="D408" s="18" t="s">
        <v>935</v>
      </c>
      <c r="E408" s="18" t="s">
        <v>947</v>
      </c>
      <c r="F408" s="101">
        <v>46090.586111111108</v>
      </c>
      <c r="G408" s="101">
        <v>46097.762499999997</v>
      </c>
      <c r="H408" s="18" t="s">
        <v>507</v>
      </c>
      <c r="I408" s="18" t="s">
        <v>508</v>
      </c>
      <c r="J408" s="18"/>
      <c r="K408" s="21">
        <f t="shared" si="18"/>
        <v>172.23333333333721</v>
      </c>
      <c r="L408" s="19">
        <f t="shared" si="19"/>
        <v>25</v>
      </c>
      <c r="M408" s="18" t="str">
        <f>IF(I408&lt;&gt;"Sí","",IF(YEAR(F408)&lt;&gt;2026,"",INDEX({"Enero","Febrero","Marzo","Abril","Mayo","Junio","Julio","Agosto","Septiembre","Octubre","Noviembre","Diciembre"},MONTH(F408))))</f>
        <v>Marzo</v>
      </c>
      <c r="N408" s="18" t="str">
        <f t="shared" si="20"/>
        <v>Marzo|25</v>
      </c>
    </row>
    <row r="409" spans="1:14" ht="14.5" x14ac:dyDescent="0.25">
      <c r="A409" s="19">
        <v>29</v>
      </c>
      <c r="B409" s="18" t="s">
        <v>36</v>
      </c>
      <c r="C409" s="18" t="s">
        <v>934</v>
      </c>
      <c r="D409" s="18" t="s">
        <v>935</v>
      </c>
      <c r="E409" s="18" t="s">
        <v>948</v>
      </c>
      <c r="F409" s="101">
        <v>46090.586111111108</v>
      </c>
      <c r="G409" s="101">
        <v>46097.762499999997</v>
      </c>
      <c r="H409" s="18" t="s">
        <v>507</v>
      </c>
      <c r="I409" s="18" t="s">
        <v>508</v>
      </c>
      <c r="J409" s="18"/>
      <c r="K409" s="21">
        <f t="shared" si="18"/>
        <v>172.23333333333721</v>
      </c>
      <c r="L409" s="19">
        <f t="shared" si="19"/>
        <v>25</v>
      </c>
      <c r="M409" s="18" t="str">
        <f>IF(I409&lt;&gt;"Sí","",IF(YEAR(F409)&lt;&gt;2026,"",INDEX({"Enero","Febrero","Marzo","Abril","Mayo","Junio","Julio","Agosto","Septiembre","Octubre","Noviembre","Diciembre"},MONTH(F409))))</f>
        <v>Marzo</v>
      </c>
      <c r="N409" s="18" t="str">
        <f t="shared" si="20"/>
        <v>Marzo|25</v>
      </c>
    </row>
    <row r="410" spans="1:14" ht="14.5" x14ac:dyDescent="0.25">
      <c r="A410" s="19">
        <v>29</v>
      </c>
      <c r="B410" s="18" t="s">
        <v>36</v>
      </c>
      <c r="C410" s="18" t="s">
        <v>934</v>
      </c>
      <c r="D410" s="18" t="s">
        <v>935</v>
      </c>
      <c r="E410" s="18" t="s">
        <v>949</v>
      </c>
      <c r="F410" s="101">
        <v>46090.586111111108</v>
      </c>
      <c r="G410" s="101">
        <v>46097.88958333333</v>
      </c>
      <c r="H410" s="18" t="s">
        <v>507</v>
      </c>
      <c r="I410" s="18" t="s">
        <v>508</v>
      </c>
      <c r="J410" s="18"/>
      <c r="K410" s="21">
        <f t="shared" si="18"/>
        <v>175.28333333332557</v>
      </c>
      <c r="L410" s="19">
        <f t="shared" si="19"/>
        <v>25</v>
      </c>
      <c r="M410" s="18" t="str">
        <f>IF(I410&lt;&gt;"Sí","",IF(YEAR(F410)&lt;&gt;2026,"",INDEX({"Enero","Febrero","Marzo","Abril","Mayo","Junio","Julio","Agosto","Septiembre","Octubre","Noviembre","Diciembre"},MONTH(F410))))</f>
        <v>Marzo</v>
      </c>
      <c r="N410" s="18" t="str">
        <f t="shared" si="20"/>
        <v>Marzo|25</v>
      </c>
    </row>
    <row r="411" spans="1:14" ht="14.5" x14ac:dyDescent="0.25">
      <c r="A411" s="19">
        <v>29</v>
      </c>
      <c r="B411" s="18" t="s">
        <v>36</v>
      </c>
      <c r="C411" s="18" t="s">
        <v>934</v>
      </c>
      <c r="D411" s="18" t="s">
        <v>935</v>
      </c>
      <c r="E411" s="18" t="s">
        <v>950</v>
      </c>
      <c r="F411" s="101">
        <v>46090.586111111108</v>
      </c>
      <c r="G411" s="101">
        <v>46097.88958333333</v>
      </c>
      <c r="H411" s="18" t="s">
        <v>507</v>
      </c>
      <c r="I411" s="18" t="s">
        <v>508</v>
      </c>
      <c r="J411" s="18"/>
      <c r="K411" s="21">
        <f t="shared" si="18"/>
        <v>175.28333333332557</v>
      </c>
      <c r="L411" s="19">
        <f t="shared" si="19"/>
        <v>25</v>
      </c>
      <c r="M411" s="18" t="str">
        <f>IF(I411&lt;&gt;"Sí","",IF(YEAR(F411)&lt;&gt;2026,"",INDEX({"Enero","Febrero","Marzo","Abril","Mayo","Junio","Julio","Agosto","Septiembre","Octubre","Noviembre","Diciembre"},MONTH(F411))))</f>
        <v>Marzo</v>
      </c>
      <c r="N411" s="18" t="str">
        <f t="shared" si="20"/>
        <v>Marzo|25</v>
      </c>
    </row>
    <row r="412" spans="1:14" ht="14.5" x14ac:dyDescent="0.25">
      <c r="A412" s="19">
        <v>29</v>
      </c>
      <c r="B412" s="18" t="s">
        <v>36</v>
      </c>
      <c r="C412" s="18" t="s">
        <v>934</v>
      </c>
      <c r="D412" s="18" t="s">
        <v>935</v>
      </c>
      <c r="E412" s="18" t="s">
        <v>951</v>
      </c>
      <c r="F412" s="101">
        <v>46090.586111111108</v>
      </c>
      <c r="G412" s="101">
        <v>46097.88958333333</v>
      </c>
      <c r="H412" s="18" t="s">
        <v>507</v>
      </c>
      <c r="I412" s="18" t="s">
        <v>508</v>
      </c>
      <c r="J412" s="18"/>
      <c r="K412" s="21">
        <f t="shared" si="18"/>
        <v>175.28333333332557</v>
      </c>
      <c r="L412" s="19">
        <f t="shared" si="19"/>
        <v>25</v>
      </c>
      <c r="M412" s="18" t="str">
        <f>IF(I412&lt;&gt;"Sí","",IF(YEAR(F412)&lt;&gt;2026,"",INDEX({"Enero","Febrero","Marzo","Abril","Mayo","Junio","Julio","Agosto","Septiembre","Octubre","Noviembre","Diciembre"},MONTH(F412))))</f>
        <v>Marzo</v>
      </c>
      <c r="N412" s="18" t="str">
        <f t="shared" si="20"/>
        <v>Marzo|25</v>
      </c>
    </row>
    <row r="413" spans="1:14" ht="14.5" x14ac:dyDescent="0.25">
      <c r="A413" s="19">
        <v>29</v>
      </c>
      <c r="B413" s="18" t="s">
        <v>36</v>
      </c>
      <c r="C413" s="18" t="s">
        <v>934</v>
      </c>
      <c r="D413" s="18" t="s">
        <v>935</v>
      </c>
      <c r="E413" s="18" t="s">
        <v>952</v>
      </c>
      <c r="F413" s="101">
        <v>46090.586111111108</v>
      </c>
      <c r="G413" s="101">
        <v>46097.88958333333</v>
      </c>
      <c r="H413" s="18" t="s">
        <v>507</v>
      </c>
      <c r="I413" s="18" t="s">
        <v>508</v>
      </c>
      <c r="J413" s="18"/>
      <c r="K413" s="21">
        <f t="shared" si="18"/>
        <v>175.28333333332557</v>
      </c>
      <c r="L413" s="19">
        <f t="shared" si="19"/>
        <v>25</v>
      </c>
      <c r="M413" s="18" t="str">
        <f>IF(I413&lt;&gt;"Sí","",IF(YEAR(F413)&lt;&gt;2026,"",INDEX({"Enero","Febrero","Marzo","Abril","Mayo","Junio","Julio","Agosto","Septiembre","Octubre","Noviembre","Diciembre"},MONTH(F413))))</f>
        <v>Marzo</v>
      </c>
      <c r="N413" s="18" t="str">
        <f t="shared" si="20"/>
        <v>Marzo|25</v>
      </c>
    </row>
    <row r="414" spans="1:14" ht="14.5" x14ac:dyDescent="0.25">
      <c r="A414" s="19">
        <v>29</v>
      </c>
      <c r="B414" s="18" t="s">
        <v>36</v>
      </c>
      <c r="C414" s="18" t="s">
        <v>126</v>
      </c>
      <c r="D414" s="18" t="s">
        <v>927</v>
      </c>
      <c r="E414" s="18" t="s">
        <v>953</v>
      </c>
      <c r="F414" s="101">
        <v>46090.586111111108</v>
      </c>
      <c r="G414" s="101">
        <v>46104.486111111109</v>
      </c>
      <c r="H414" s="18" t="s">
        <v>507</v>
      </c>
      <c r="I414" s="18" t="s">
        <v>508</v>
      </c>
      <c r="J414" s="18"/>
      <c r="K414" s="21">
        <f t="shared" si="18"/>
        <v>333.60000000003492</v>
      </c>
      <c r="L414" s="19">
        <f t="shared" si="19"/>
        <v>25</v>
      </c>
      <c r="M414" s="18" t="str">
        <f>IF(I414&lt;&gt;"Sí","",IF(YEAR(F414)&lt;&gt;2026,"",INDEX({"Enero","Febrero","Marzo","Abril","Mayo","Junio","Julio","Agosto","Septiembre","Octubre","Noviembre","Diciembre"},MONTH(F414))))</f>
        <v>Marzo</v>
      </c>
      <c r="N414" s="18" t="str">
        <f t="shared" si="20"/>
        <v>Marzo|25</v>
      </c>
    </row>
    <row r="415" spans="1:14" ht="14.5" x14ac:dyDescent="0.25">
      <c r="A415" s="19">
        <v>29</v>
      </c>
      <c r="B415" s="18" t="s">
        <v>36</v>
      </c>
      <c r="C415" s="18" t="s">
        <v>126</v>
      </c>
      <c r="D415" s="18" t="s">
        <v>927</v>
      </c>
      <c r="E415" s="18" t="s">
        <v>954</v>
      </c>
      <c r="F415" s="101">
        <v>46090.586111111108</v>
      </c>
      <c r="G415" s="101">
        <v>46104.490277777775</v>
      </c>
      <c r="H415" s="18" t="s">
        <v>507</v>
      </c>
      <c r="I415" s="18" t="s">
        <v>508</v>
      </c>
      <c r="J415" s="18"/>
      <c r="K415" s="21">
        <f t="shared" si="18"/>
        <v>333.70000000001164</v>
      </c>
      <c r="L415" s="19">
        <f t="shared" si="19"/>
        <v>25</v>
      </c>
      <c r="M415" s="18" t="str">
        <f>IF(I415&lt;&gt;"Sí","",IF(YEAR(F415)&lt;&gt;2026,"",INDEX({"Enero","Febrero","Marzo","Abril","Mayo","Junio","Julio","Agosto","Septiembre","Octubre","Noviembre","Diciembre"},MONTH(F415))))</f>
        <v>Marzo</v>
      </c>
      <c r="N415" s="18" t="str">
        <f t="shared" si="20"/>
        <v>Marzo|25</v>
      </c>
    </row>
    <row r="416" spans="1:14" ht="14.5" x14ac:dyDescent="0.25">
      <c r="A416" s="19">
        <v>29</v>
      </c>
      <c r="B416" s="18" t="s">
        <v>36</v>
      </c>
      <c r="C416" s="18" t="s">
        <v>126</v>
      </c>
      <c r="D416" s="18" t="s">
        <v>927</v>
      </c>
      <c r="E416" s="18" t="s">
        <v>955</v>
      </c>
      <c r="F416" s="101">
        <v>46090.586111111108</v>
      </c>
      <c r="G416" s="101">
        <v>46104.486111111109</v>
      </c>
      <c r="H416" s="18" t="s">
        <v>507</v>
      </c>
      <c r="I416" s="18" t="s">
        <v>508</v>
      </c>
      <c r="J416" s="18"/>
      <c r="K416" s="21">
        <f t="shared" si="18"/>
        <v>333.60000000003492</v>
      </c>
      <c r="L416" s="19">
        <f t="shared" si="19"/>
        <v>25</v>
      </c>
      <c r="M416" s="18" t="str">
        <f>IF(I416&lt;&gt;"Sí","",IF(YEAR(F416)&lt;&gt;2026,"",INDEX({"Enero","Febrero","Marzo","Abril","Mayo","Junio","Julio","Agosto","Septiembre","Octubre","Noviembre","Diciembre"},MONTH(F416))))</f>
        <v>Marzo</v>
      </c>
      <c r="N416" s="18" t="str">
        <f t="shared" si="20"/>
        <v>Marzo|25</v>
      </c>
    </row>
    <row r="417" spans="1:14" ht="14.5" x14ac:dyDescent="0.25">
      <c r="A417" s="19">
        <v>29</v>
      </c>
      <c r="B417" s="18" t="s">
        <v>36</v>
      </c>
      <c r="C417" s="18" t="s">
        <v>934</v>
      </c>
      <c r="D417" s="18" t="s">
        <v>935</v>
      </c>
      <c r="E417" s="18" t="s">
        <v>956</v>
      </c>
      <c r="F417" s="101">
        <v>46090.643055555556</v>
      </c>
      <c r="G417" s="101">
        <v>46097.88958333333</v>
      </c>
      <c r="H417" s="18" t="s">
        <v>507</v>
      </c>
      <c r="I417" s="18" t="s">
        <v>508</v>
      </c>
      <c r="J417" s="18"/>
      <c r="K417" s="21">
        <f t="shared" si="18"/>
        <v>173.91666666656965</v>
      </c>
      <c r="L417" s="19">
        <f t="shared" si="19"/>
        <v>26</v>
      </c>
      <c r="M417" s="18" t="str">
        <f>IF(I417&lt;&gt;"Sí","",IF(YEAR(F417)&lt;&gt;2026,"",INDEX({"Enero","Febrero","Marzo","Abril","Mayo","Junio","Julio","Agosto","Septiembre","Octubre","Noviembre","Diciembre"},MONTH(F417))))</f>
        <v>Marzo</v>
      </c>
      <c r="N417" s="18" t="str">
        <f t="shared" si="20"/>
        <v>Marzo|26</v>
      </c>
    </row>
    <row r="418" spans="1:14" ht="14.5" x14ac:dyDescent="0.25">
      <c r="A418" s="19">
        <v>29</v>
      </c>
      <c r="B418" s="18" t="s">
        <v>36</v>
      </c>
      <c r="C418" s="18" t="s">
        <v>934</v>
      </c>
      <c r="D418" s="18" t="s">
        <v>935</v>
      </c>
      <c r="E418" s="18" t="s">
        <v>957</v>
      </c>
      <c r="F418" s="101">
        <v>46092.477083333331</v>
      </c>
      <c r="G418" s="101">
        <v>46097.88958333333</v>
      </c>
      <c r="H418" s="18" t="s">
        <v>507</v>
      </c>
      <c r="I418" s="18" t="s">
        <v>508</v>
      </c>
      <c r="J418" s="18"/>
      <c r="K418" s="21">
        <f t="shared" si="18"/>
        <v>129.89999999996508</v>
      </c>
      <c r="L418" s="19">
        <f t="shared" si="19"/>
        <v>27</v>
      </c>
      <c r="M418" s="18" t="str">
        <f>IF(I418&lt;&gt;"Sí","",IF(YEAR(F418)&lt;&gt;2026,"",INDEX({"Enero","Febrero","Marzo","Abril","Mayo","Junio","Julio","Agosto","Septiembre","Octubre","Noviembre","Diciembre"},MONTH(F418))))</f>
        <v>Marzo</v>
      </c>
      <c r="N418" s="18" t="str">
        <f t="shared" si="20"/>
        <v>Marzo|27</v>
      </c>
    </row>
    <row r="419" spans="1:14" ht="14.5" x14ac:dyDescent="0.25">
      <c r="A419" s="19">
        <v>29</v>
      </c>
      <c r="B419" s="18" t="s">
        <v>36</v>
      </c>
      <c r="C419" s="18" t="s">
        <v>934</v>
      </c>
      <c r="D419" s="18" t="s">
        <v>935</v>
      </c>
      <c r="E419" s="18" t="s">
        <v>958</v>
      </c>
      <c r="F419" s="101">
        <v>46092.589583333334</v>
      </c>
      <c r="G419" s="101">
        <v>46097.88958333333</v>
      </c>
      <c r="H419" s="18" t="s">
        <v>507</v>
      </c>
      <c r="I419" s="18" t="s">
        <v>508</v>
      </c>
      <c r="J419" s="18"/>
      <c r="K419" s="21">
        <f t="shared" si="18"/>
        <v>127.19999999989523</v>
      </c>
      <c r="L419" s="19">
        <f t="shared" si="19"/>
        <v>30</v>
      </c>
      <c r="M419" s="18" t="str">
        <f>IF(I419&lt;&gt;"Sí","",IF(YEAR(F419)&lt;&gt;2026,"",INDEX({"Enero","Febrero","Marzo","Abril","Mayo","Junio","Julio","Agosto","Septiembre","Octubre","Noviembre","Diciembre"},MONTH(F419))))</f>
        <v>Marzo</v>
      </c>
      <c r="N419" s="18" t="str">
        <f t="shared" si="20"/>
        <v>Marzo|30</v>
      </c>
    </row>
    <row r="420" spans="1:14" ht="14.5" x14ac:dyDescent="0.25">
      <c r="A420" s="19">
        <v>29</v>
      </c>
      <c r="B420" s="18" t="s">
        <v>36</v>
      </c>
      <c r="C420" s="18" t="s">
        <v>934</v>
      </c>
      <c r="D420" s="18" t="s">
        <v>935</v>
      </c>
      <c r="E420" s="18" t="s">
        <v>959</v>
      </c>
      <c r="F420" s="101">
        <v>46092.589583333334</v>
      </c>
      <c r="G420" s="101">
        <v>46097.88958333333</v>
      </c>
      <c r="H420" s="18" t="s">
        <v>507</v>
      </c>
      <c r="I420" s="18" t="s">
        <v>508</v>
      </c>
      <c r="J420" s="18"/>
      <c r="K420" s="21">
        <f t="shared" si="18"/>
        <v>127.19999999989523</v>
      </c>
      <c r="L420" s="19">
        <f t="shared" si="19"/>
        <v>30</v>
      </c>
      <c r="M420" s="18" t="str">
        <f>IF(I420&lt;&gt;"Sí","",IF(YEAR(F420)&lt;&gt;2026,"",INDEX({"Enero","Febrero","Marzo","Abril","Mayo","Junio","Julio","Agosto","Septiembre","Octubre","Noviembre","Diciembre"},MONTH(F420))))</f>
        <v>Marzo</v>
      </c>
      <c r="N420" s="18" t="str">
        <f t="shared" si="20"/>
        <v>Marzo|30</v>
      </c>
    </row>
    <row r="421" spans="1:14" ht="14.5" x14ac:dyDescent="0.25">
      <c r="A421" s="19">
        <v>29</v>
      </c>
      <c r="B421" s="18" t="s">
        <v>36</v>
      </c>
      <c r="C421" s="18" t="s">
        <v>934</v>
      </c>
      <c r="D421" s="18" t="s">
        <v>935</v>
      </c>
      <c r="E421" s="18" t="s">
        <v>960</v>
      </c>
      <c r="F421" s="101">
        <v>46092.589583333334</v>
      </c>
      <c r="G421" s="101">
        <v>46097.88958333333</v>
      </c>
      <c r="H421" s="18" t="s">
        <v>507</v>
      </c>
      <c r="I421" s="18" t="s">
        <v>508</v>
      </c>
      <c r="J421" s="18"/>
      <c r="K421" s="21">
        <f t="shared" si="18"/>
        <v>127.19999999989523</v>
      </c>
      <c r="L421" s="19">
        <f t="shared" si="19"/>
        <v>30</v>
      </c>
      <c r="M421" s="18" t="str">
        <f>IF(I421&lt;&gt;"Sí","",IF(YEAR(F421)&lt;&gt;2026,"",INDEX({"Enero","Febrero","Marzo","Abril","Mayo","Junio","Julio","Agosto","Septiembre","Octubre","Noviembre","Diciembre"},MONTH(F421))))</f>
        <v>Marzo</v>
      </c>
      <c r="N421" s="18" t="str">
        <f t="shared" si="20"/>
        <v>Marzo|30</v>
      </c>
    </row>
    <row r="422" spans="1:14" ht="14.5" x14ac:dyDescent="0.25">
      <c r="A422" s="19">
        <v>29</v>
      </c>
      <c r="B422" s="18" t="s">
        <v>36</v>
      </c>
      <c r="C422" s="18" t="s">
        <v>126</v>
      </c>
      <c r="D422" s="18" t="s">
        <v>927</v>
      </c>
      <c r="E422" s="18" t="s">
        <v>961</v>
      </c>
      <c r="F422" s="101">
        <v>46094.509027777778</v>
      </c>
      <c r="G422" s="101">
        <v>46104.447222222225</v>
      </c>
      <c r="H422" s="18" t="s">
        <v>507</v>
      </c>
      <c r="I422" s="18" t="s">
        <v>508</v>
      </c>
      <c r="J422" s="18"/>
      <c r="K422" s="21">
        <f t="shared" si="18"/>
        <v>238.51666666672099</v>
      </c>
      <c r="L422" s="19">
        <f t="shared" si="19"/>
        <v>29</v>
      </c>
      <c r="M422" s="18" t="str">
        <f>IF(I422&lt;&gt;"Sí","",IF(YEAR(F422)&lt;&gt;2026,"",INDEX({"Enero","Febrero","Marzo","Abril","Mayo","Junio","Julio","Agosto","Septiembre","Octubre","Noviembre","Diciembre"},MONTH(F422))))</f>
        <v>Marzo</v>
      </c>
      <c r="N422" s="18" t="str">
        <f t="shared" si="20"/>
        <v>Marzo|29</v>
      </c>
    </row>
    <row r="423" spans="1:14" ht="14.5" x14ac:dyDescent="0.25">
      <c r="A423" s="19">
        <v>29</v>
      </c>
      <c r="B423" s="18" t="s">
        <v>36</v>
      </c>
      <c r="C423" s="18" t="s">
        <v>126</v>
      </c>
      <c r="D423" s="18" t="s">
        <v>927</v>
      </c>
      <c r="E423" s="18" t="s">
        <v>962</v>
      </c>
      <c r="F423" s="101">
        <v>46094.509027777778</v>
      </c>
      <c r="G423" s="101">
        <v>46104.440972222219</v>
      </c>
      <c r="H423" s="18" t="s">
        <v>507</v>
      </c>
      <c r="I423" s="18" t="s">
        <v>508</v>
      </c>
      <c r="J423" s="18"/>
      <c r="K423" s="21">
        <f t="shared" si="18"/>
        <v>238.3666666665813</v>
      </c>
      <c r="L423" s="19">
        <f t="shared" si="19"/>
        <v>29</v>
      </c>
      <c r="M423" s="18" t="str">
        <f>IF(I423&lt;&gt;"Sí","",IF(YEAR(F423)&lt;&gt;2026,"",INDEX({"Enero","Febrero","Marzo","Abril","Mayo","Junio","Julio","Agosto","Septiembre","Octubre","Noviembre","Diciembre"},MONTH(F423))))</f>
        <v>Marzo</v>
      </c>
      <c r="N423" s="18" t="str">
        <f t="shared" si="20"/>
        <v>Marzo|29</v>
      </c>
    </row>
    <row r="424" spans="1:14" ht="14.5" x14ac:dyDescent="0.25">
      <c r="A424" s="19">
        <v>29</v>
      </c>
      <c r="B424" s="18" t="s">
        <v>36</v>
      </c>
      <c r="C424" s="18" t="s">
        <v>126</v>
      </c>
      <c r="D424" s="18" t="s">
        <v>927</v>
      </c>
      <c r="E424" s="18" t="s">
        <v>963</v>
      </c>
      <c r="F424" s="101">
        <v>46095.560416666667</v>
      </c>
      <c r="G424" s="101">
        <v>46104.479166666664</v>
      </c>
      <c r="H424" s="18" t="s">
        <v>507</v>
      </c>
      <c r="I424" s="18" t="s">
        <v>508</v>
      </c>
      <c r="J424" s="18"/>
      <c r="K424" s="21">
        <f t="shared" si="18"/>
        <v>214.04999999993015</v>
      </c>
      <c r="L424" s="19">
        <f t="shared" si="19"/>
        <v>30</v>
      </c>
      <c r="M424" s="18" t="str">
        <f>IF(I424&lt;&gt;"Sí","",IF(YEAR(F424)&lt;&gt;2026,"",INDEX({"Enero","Febrero","Marzo","Abril","Mayo","Junio","Julio","Agosto","Septiembre","Octubre","Noviembre","Diciembre"},MONTH(F424))))</f>
        <v>Marzo</v>
      </c>
      <c r="N424" s="18" t="str">
        <f t="shared" si="20"/>
        <v>Marzo|30</v>
      </c>
    </row>
    <row r="425" spans="1:14" ht="14.5" x14ac:dyDescent="0.25">
      <c r="A425" s="19">
        <v>29</v>
      </c>
      <c r="B425" s="18" t="s">
        <v>36</v>
      </c>
      <c r="C425" s="18" t="s">
        <v>134</v>
      </c>
      <c r="D425" s="18" t="s">
        <v>964</v>
      </c>
      <c r="E425" s="18" t="s">
        <v>965</v>
      </c>
      <c r="F425" s="101">
        <v>46095.566666666666</v>
      </c>
      <c r="G425" s="101">
        <v>46100.611111111109</v>
      </c>
      <c r="H425" s="18" t="s">
        <v>507</v>
      </c>
      <c r="I425" s="18" t="s">
        <v>508</v>
      </c>
      <c r="J425" s="18"/>
      <c r="K425" s="21">
        <f t="shared" si="18"/>
        <v>121.06666666665114</v>
      </c>
      <c r="L425" s="19">
        <f t="shared" si="19"/>
        <v>31</v>
      </c>
      <c r="M425" s="18" t="str">
        <f>IF(I425&lt;&gt;"Sí","",IF(YEAR(F425)&lt;&gt;2026,"",INDEX({"Enero","Febrero","Marzo","Abril","Mayo","Junio","Julio","Agosto","Septiembre","Octubre","Noviembre","Diciembre"},MONTH(F425))))</f>
        <v>Marzo</v>
      </c>
      <c r="N425" s="18" t="str">
        <f t="shared" si="20"/>
        <v>Marzo|31</v>
      </c>
    </row>
    <row r="426" spans="1:14" ht="14.5" x14ac:dyDescent="0.25">
      <c r="A426" s="19">
        <v>29</v>
      </c>
      <c r="B426" s="18" t="s">
        <v>36</v>
      </c>
      <c r="C426" s="18" t="s">
        <v>97</v>
      </c>
      <c r="D426" s="18" t="s">
        <v>933</v>
      </c>
      <c r="E426" s="18" t="s">
        <v>966</v>
      </c>
      <c r="F426" s="101"/>
      <c r="G426" s="101">
        <v>46096.770833333336</v>
      </c>
      <c r="H426" s="18" t="s">
        <v>554</v>
      </c>
      <c r="I426" s="18" t="s">
        <v>555</v>
      </c>
      <c r="J426" s="18" t="s">
        <v>556</v>
      </c>
      <c r="K426" s="21" t="str">
        <f t="shared" si="18"/>
        <v/>
      </c>
      <c r="L426" s="19" t="str">
        <f t="shared" si="19"/>
        <v/>
      </c>
      <c r="M426" s="18" t="str">
        <f>IF(I426&lt;&gt;"Sí","",IF(YEAR(F426)&lt;&gt;2026,"",INDEX({"Enero","Febrero","Marzo","Abril","Mayo","Junio","Julio","Agosto","Septiembre","Octubre","Noviembre","Diciembre"},MONTH(F426))))</f>
        <v/>
      </c>
      <c r="N426" s="18" t="str">
        <f t="shared" si="20"/>
        <v/>
      </c>
    </row>
    <row r="427" spans="1:14" ht="14.5" x14ac:dyDescent="0.25">
      <c r="A427" s="19">
        <v>29</v>
      </c>
      <c r="B427" s="18" t="s">
        <v>36</v>
      </c>
      <c r="C427" s="18" t="s">
        <v>126</v>
      </c>
      <c r="D427" s="18" t="s">
        <v>927</v>
      </c>
      <c r="E427" s="18" t="s">
        <v>967</v>
      </c>
      <c r="F427" s="101">
        <v>46097.50277777778</v>
      </c>
      <c r="G427" s="101">
        <v>46104.459722222222</v>
      </c>
      <c r="H427" s="18" t="s">
        <v>507</v>
      </c>
      <c r="I427" s="18" t="s">
        <v>508</v>
      </c>
      <c r="J427" s="18"/>
      <c r="K427" s="21">
        <f t="shared" si="18"/>
        <v>166.96666666661622</v>
      </c>
      <c r="L427" s="19">
        <f t="shared" si="19"/>
        <v>34</v>
      </c>
      <c r="M427" s="18" t="str">
        <f>IF(I427&lt;&gt;"Sí","",IF(YEAR(F427)&lt;&gt;2026,"",INDEX({"Enero","Febrero","Marzo","Abril","Mayo","Junio","Julio","Agosto","Septiembre","Octubre","Noviembre","Diciembre"},MONTH(F427))))</f>
        <v>Marzo</v>
      </c>
      <c r="N427" s="18" t="str">
        <f t="shared" si="20"/>
        <v>Marzo|34</v>
      </c>
    </row>
    <row r="428" spans="1:14" ht="14.5" x14ac:dyDescent="0.25">
      <c r="A428" s="19">
        <v>29</v>
      </c>
      <c r="B428" s="18" t="s">
        <v>36</v>
      </c>
      <c r="C428" s="18" t="s">
        <v>126</v>
      </c>
      <c r="D428" s="18" t="s">
        <v>927</v>
      </c>
      <c r="E428" s="18" t="s">
        <v>968</v>
      </c>
      <c r="F428" s="101">
        <v>46097.50277777778</v>
      </c>
      <c r="G428" s="101">
        <v>46104.440972222219</v>
      </c>
      <c r="H428" s="18" t="s">
        <v>507</v>
      </c>
      <c r="I428" s="18" t="s">
        <v>508</v>
      </c>
      <c r="J428" s="18"/>
      <c r="K428" s="21">
        <f t="shared" si="18"/>
        <v>166.51666666654637</v>
      </c>
      <c r="L428" s="19">
        <f t="shared" si="19"/>
        <v>34</v>
      </c>
      <c r="M428" s="18" t="str">
        <f>IF(I428&lt;&gt;"Sí","",IF(YEAR(F428)&lt;&gt;2026,"",INDEX({"Enero","Febrero","Marzo","Abril","Mayo","Junio","Julio","Agosto","Septiembre","Octubre","Noviembre","Diciembre"},MONTH(F428))))</f>
        <v>Marzo</v>
      </c>
      <c r="N428" s="18" t="str">
        <f t="shared" si="20"/>
        <v>Marzo|34</v>
      </c>
    </row>
    <row r="429" spans="1:14" ht="14.5" x14ac:dyDescent="0.25">
      <c r="A429" s="19">
        <v>29</v>
      </c>
      <c r="B429" s="18" t="s">
        <v>36</v>
      </c>
      <c r="C429" s="18" t="s">
        <v>126</v>
      </c>
      <c r="D429" s="18" t="s">
        <v>927</v>
      </c>
      <c r="E429" s="18" t="s">
        <v>969</v>
      </c>
      <c r="F429" s="101">
        <v>46097.50277777778</v>
      </c>
      <c r="G429" s="101">
        <v>46104.459722222222</v>
      </c>
      <c r="H429" s="18" t="s">
        <v>507</v>
      </c>
      <c r="I429" s="18" t="s">
        <v>508</v>
      </c>
      <c r="J429" s="18"/>
      <c r="K429" s="21">
        <f t="shared" si="18"/>
        <v>166.96666666661622</v>
      </c>
      <c r="L429" s="19">
        <f t="shared" si="19"/>
        <v>34</v>
      </c>
      <c r="M429" s="18" t="str">
        <f>IF(I429&lt;&gt;"Sí","",IF(YEAR(F429)&lt;&gt;2026,"",INDEX({"Enero","Febrero","Marzo","Abril","Mayo","Junio","Julio","Agosto","Septiembre","Octubre","Noviembre","Diciembre"},MONTH(F429))))</f>
        <v>Marzo</v>
      </c>
      <c r="N429" s="18" t="str">
        <f t="shared" si="20"/>
        <v>Marzo|34</v>
      </c>
    </row>
    <row r="430" spans="1:14" ht="14.5" x14ac:dyDescent="0.25">
      <c r="A430" s="19">
        <v>29</v>
      </c>
      <c r="B430" s="18" t="s">
        <v>36</v>
      </c>
      <c r="C430" s="18" t="s">
        <v>126</v>
      </c>
      <c r="D430" s="18" t="s">
        <v>927</v>
      </c>
      <c r="E430" s="18" t="s">
        <v>970</v>
      </c>
      <c r="F430" s="101">
        <v>46097.50277777778</v>
      </c>
      <c r="G430" s="101">
        <v>46104.447222222225</v>
      </c>
      <c r="H430" s="18" t="s">
        <v>507</v>
      </c>
      <c r="I430" s="18" t="s">
        <v>508</v>
      </c>
      <c r="J430" s="18"/>
      <c r="K430" s="21">
        <f t="shared" si="18"/>
        <v>166.66666666668607</v>
      </c>
      <c r="L430" s="19">
        <f t="shared" si="19"/>
        <v>34</v>
      </c>
      <c r="M430" s="18" t="str">
        <f>IF(I430&lt;&gt;"Sí","",IF(YEAR(F430)&lt;&gt;2026,"",INDEX({"Enero","Febrero","Marzo","Abril","Mayo","Junio","Julio","Agosto","Septiembre","Octubre","Noviembre","Diciembre"},MONTH(F430))))</f>
        <v>Marzo</v>
      </c>
      <c r="N430" s="18" t="str">
        <f t="shared" si="20"/>
        <v>Marzo|34</v>
      </c>
    </row>
    <row r="431" spans="1:14" ht="14.5" x14ac:dyDescent="0.25">
      <c r="A431" s="19">
        <v>29</v>
      </c>
      <c r="B431" s="18" t="s">
        <v>36</v>
      </c>
      <c r="C431" s="18" t="s">
        <v>126</v>
      </c>
      <c r="D431" s="18" t="s">
        <v>927</v>
      </c>
      <c r="E431" s="18" t="s">
        <v>971</v>
      </c>
      <c r="F431" s="101">
        <v>46097.604861111111</v>
      </c>
      <c r="G431" s="101">
        <v>46104.493055555555</v>
      </c>
      <c r="H431" s="18" t="s">
        <v>507</v>
      </c>
      <c r="I431" s="18" t="s">
        <v>508</v>
      </c>
      <c r="J431" s="18"/>
      <c r="K431" s="21">
        <f t="shared" si="18"/>
        <v>165.31666666665114</v>
      </c>
      <c r="L431" s="19">
        <f t="shared" si="19"/>
        <v>35</v>
      </c>
      <c r="M431" s="18" t="str">
        <f>IF(I431&lt;&gt;"Sí","",IF(YEAR(F431)&lt;&gt;2026,"",INDEX({"Enero","Febrero","Marzo","Abril","Mayo","Junio","Julio","Agosto","Septiembre","Octubre","Noviembre","Diciembre"},MONTH(F431))))</f>
        <v>Marzo</v>
      </c>
      <c r="N431" s="18" t="str">
        <f t="shared" si="20"/>
        <v>Marzo|35</v>
      </c>
    </row>
    <row r="432" spans="1:14" ht="14.5" x14ac:dyDescent="0.25">
      <c r="A432" s="19">
        <v>29</v>
      </c>
      <c r="B432" s="18" t="s">
        <v>36</v>
      </c>
      <c r="C432" s="18" t="s">
        <v>126</v>
      </c>
      <c r="D432" s="18" t="s">
        <v>927</v>
      </c>
      <c r="E432" s="18" t="s">
        <v>972</v>
      </c>
      <c r="F432" s="101">
        <v>46098.510416666664</v>
      </c>
      <c r="G432" s="101">
        <v>46104.45416666667</v>
      </c>
      <c r="H432" s="18" t="s">
        <v>507</v>
      </c>
      <c r="I432" s="18" t="s">
        <v>508</v>
      </c>
      <c r="J432" s="18"/>
      <c r="K432" s="21">
        <f t="shared" si="18"/>
        <v>142.6500000001397</v>
      </c>
      <c r="L432" s="19">
        <f t="shared" si="19"/>
        <v>15</v>
      </c>
      <c r="M432" s="18" t="str">
        <f>IF(I432&lt;&gt;"Sí","",IF(YEAR(F432)&lt;&gt;2026,"",INDEX({"Enero","Febrero","Marzo","Abril","Mayo","Junio","Julio","Agosto","Septiembre","Octubre","Noviembre","Diciembre"},MONTH(F432))))</f>
        <v>Marzo</v>
      </c>
      <c r="N432" s="18" t="str">
        <f t="shared" si="20"/>
        <v>Marzo|15</v>
      </c>
    </row>
    <row r="433" spans="1:14" ht="14.5" x14ac:dyDescent="0.25">
      <c r="A433" s="19">
        <v>29</v>
      </c>
      <c r="B433" s="18" t="s">
        <v>36</v>
      </c>
      <c r="C433" s="18" t="s">
        <v>126</v>
      </c>
      <c r="D433" s="18" t="s">
        <v>927</v>
      </c>
      <c r="E433" s="18" t="s">
        <v>973</v>
      </c>
      <c r="F433" s="101">
        <v>46098.541666666664</v>
      </c>
      <c r="G433" s="101">
        <v>46104.45416666667</v>
      </c>
      <c r="H433" s="18" t="s">
        <v>507</v>
      </c>
      <c r="I433" s="18" t="s">
        <v>508</v>
      </c>
      <c r="J433" s="18"/>
      <c r="K433" s="21">
        <f t="shared" si="18"/>
        <v>141.9000000001397</v>
      </c>
      <c r="L433" s="19">
        <f t="shared" si="19"/>
        <v>16</v>
      </c>
      <c r="M433" s="18" t="str">
        <f>IF(I433&lt;&gt;"Sí","",IF(YEAR(F433)&lt;&gt;2026,"",INDEX({"Enero","Febrero","Marzo","Abril","Mayo","Junio","Julio","Agosto","Septiembre","Octubre","Noviembre","Diciembre"},MONTH(F433))))</f>
        <v>Marzo</v>
      </c>
      <c r="N433" s="18" t="str">
        <f t="shared" si="20"/>
        <v>Marzo|16</v>
      </c>
    </row>
    <row r="434" spans="1:14" ht="14.5" x14ac:dyDescent="0.25">
      <c r="A434" s="19">
        <v>29</v>
      </c>
      <c r="B434" s="18" t="s">
        <v>36</v>
      </c>
      <c r="C434" s="18" t="s">
        <v>126</v>
      </c>
      <c r="D434" s="18" t="s">
        <v>927</v>
      </c>
      <c r="E434" s="18" t="s">
        <v>974</v>
      </c>
      <c r="F434" s="101">
        <v>46098.662499999999</v>
      </c>
      <c r="G434" s="101">
        <v>46105.718055555553</v>
      </c>
      <c r="H434" s="18" t="s">
        <v>507</v>
      </c>
      <c r="I434" s="18" t="s">
        <v>508</v>
      </c>
      <c r="J434" s="18"/>
      <c r="K434" s="21">
        <f t="shared" si="18"/>
        <v>169.33333333331393</v>
      </c>
      <c r="L434" s="19">
        <f t="shared" si="19"/>
        <v>17</v>
      </c>
      <c r="M434" s="18" t="str">
        <f>IF(I434&lt;&gt;"Sí","",IF(YEAR(F434)&lt;&gt;2026,"",INDEX({"Enero","Febrero","Marzo","Abril","Mayo","Junio","Julio","Agosto","Septiembre","Octubre","Noviembre","Diciembre"},MONTH(F434))))</f>
        <v>Marzo</v>
      </c>
      <c r="N434" s="18" t="str">
        <f t="shared" si="20"/>
        <v>Marzo|17</v>
      </c>
    </row>
    <row r="435" spans="1:14" ht="14.5" x14ac:dyDescent="0.25">
      <c r="A435" s="19">
        <v>29</v>
      </c>
      <c r="B435" s="18" t="s">
        <v>36</v>
      </c>
      <c r="C435" s="18" t="s">
        <v>975</v>
      </c>
      <c r="D435" s="18" t="s">
        <v>976</v>
      </c>
      <c r="E435" s="18" t="s">
        <v>977</v>
      </c>
      <c r="F435" s="101">
        <v>46100.522916666669</v>
      </c>
      <c r="G435" s="101">
        <v>46111.378472222219</v>
      </c>
      <c r="H435" s="18" t="s">
        <v>507</v>
      </c>
      <c r="I435" s="18" t="s">
        <v>508</v>
      </c>
      <c r="J435" s="18"/>
      <c r="K435" s="21">
        <f t="shared" si="18"/>
        <v>260.53333333320916</v>
      </c>
      <c r="L435" s="19">
        <f t="shared" si="19"/>
        <v>18</v>
      </c>
      <c r="M435" s="18" t="str">
        <f>IF(I435&lt;&gt;"Sí","",IF(YEAR(F435)&lt;&gt;2026,"",INDEX({"Enero","Febrero","Marzo","Abril","Mayo","Junio","Julio","Agosto","Septiembre","Octubre","Noviembre","Diciembre"},MONTH(F435))))</f>
        <v>Marzo</v>
      </c>
      <c r="N435" s="18" t="str">
        <f t="shared" si="20"/>
        <v>Marzo|18</v>
      </c>
    </row>
    <row r="436" spans="1:14" ht="14.5" x14ac:dyDescent="0.25">
      <c r="A436" s="19">
        <v>29</v>
      </c>
      <c r="B436" s="18" t="s">
        <v>36</v>
      </c>
      <c r="C436" s="18" t="s">
        <v>975</v>
      </c>
      <c r="D436" s="18" t="s">
        <v>976</v>
      </c>
      <c r="E436" s="18" t="s">
        <v>978</v>
      </c>
      <c r="F436" s="101">
        <v>46100.558333333334</v>
      </c>
      <c r="G436" s="101">
        <v>46111.377083333333</v>
      </c>
      <c r="H436" s="18" t="s">
        <v>507</v>
      </c>
      <c r="I436" s="18" t="s">
        <v>508</v>
      </c>
      <c r="J436" s="18"/>
      <c r="K436" s="21">
        <f t="shared" si="18"/>
        <v>259.64999999996508</v>
      </c>
      <c r="L436" s="19">
        <f t="shared" si="19"/>
        <v>20</v>
      </c>
      <c r="M436" s="18" t="str">
        <f>IF(I436&lt;&gt;"Sí","",IF(YEAR(F436)&lt;&gt;2026,"",INDEX({"Enero","Febrero","Marzo","Abril","Mayo","Junio","Julio","Agosto","Septiembre","Octubre","Noviembre","Diciembre"},MONTH(F436))))</f>
        <v>Marzo</v>
      </c>
      <c r="N436" s="18" t="str">
        <f t="shared" si="20"/>
        <v>Marzo|20</v>
      </c>
    </row>
    <row r="437" spans="1:14" ht="14.5" x14ac:dyDescent="0.25">
      <c r="A437" s="19">
        <v>29</v>
      </c>
      <c r="B437" s="18" t="s">
        <v>36</v>
      </c>
      <c r="C437" s="18" t="s">
        <v>975</v>
      </c>
      <c r="D437" s="18" t="s">
        <v>976</v>
      </c>
      <c r="E437" s="18" t="s">
        <v>979</v>
      </c>
      <c r="F437" s="101">
        <v>46100.558333333334</v>
      </c>
      <c r="G437" s="101">
        <v>46111.375694444447</v>
      </c>
      <c r="H437" s="18" t="s">
        <v>507</v>
      </c>
      <c r="I437" s="18" t="s">
        <v>508</v>
      </c>
      <c r="J437" s="18"/>
      <c r="K437" s="21">
        <f t="shared" si="18"/>
        <v>259.61666666669771</v>
      </c>
      <c r="L437" s="19">
        <f t="shared" si="19"/>
        <v>20</v>
      </c>
      <c r="M437" s="18" t="str">
        <f>IF(I437&lt;&gt;"Sí","",IF(YEAR(F437)&lt;&gt;2026,"",INDEX({"Enero","Febrero","Marzo","Abril","Mayo","Junio","Julio","Agosto","Septiembre","Octubre","Noviembre","Diciembre"},MONTH(F437))))</f>
        <v>Marzo</v>
      </c>
      <c r="N437" s="18" t="str">
        <f t="shared" si="20"/>
        <v>Marzo|20</v>
      </c>
    </row>
    <row r="438" spans="1:14" ht="14.5" x14ac:dyDescent="0.25">
      <c r="A438" s="19">
        <v>29</v>
      </c>
      <c r="B438" s="18" t="s">
        <v>36</v>
      </c>
      <c r="C438" s="18" t="s">
        <v>975</v>
      </c>
      <c r="D438" s="18" t="s">
        <v>976</v>
      </c>
      <c r="E438" s="18" t="s">
        <v>980</v>
      </c>
      <c r="F438" s="101">
        <v>46101.479861111111</v>
      </c>
      <c r="G438" s="101">
        <v>46111.911805555559</v>
      </c>
      <c r="H438" s="18" t="s">
        <v>507</v>
      </c>
      <c r="I438" s="18" t="s">
        <v>508</v>
      </c>
      <c r="J438" s="18"/>
      <c r="K438" s="21">
        <f t="shared" si="18"/>
        <v>250.36666666675592</v>
      </c>
      <c r="L438" s="19">
        <f t="shared" si="19"/>
        <v>22</v>
      </c>
      <c r="M438" s="18" t="str">
        <f>IF(I438&lt;&gt;"Sí","",IF(YEAR(F438)&lt;&gt;2026,"",INDEX({"Enero","Febrero","Marzo","Abril","Mayo","Junio","Julio","Agosto","Septiembre","Octubre","Noviembre","Diciembre"},MONTH(F438))))</f>
        <v>Marzo</v>
      </c>
      <c r="N438" s="18" t="str">
        <f t="shared" si="20"/>
        <v>Marzo|22</v>
      </c>
    </row>
    <row r="439" spans="1:14" ht="14.5" x14ac:dyDescent="0.25">
      <c r="A439" s="19">
        <v>29</v>
      </c>
      <c r="B439" s="18" t="s">
        <v>36</v>
      </c>
      <c r="C439" s="18" t="s">
        <v>975</v>
      </c>
      <c r="D439" s="18" t="s">
        <v>976</v>
      </c>
      <c r="E439" s="18" t="s">
        <v>981</v>
      </c>
      <c r="F439" s="101">
        <v>46101.479861111111</v>
      </c>
      <c r="G439" s="101">
        <v>46111.911805555559</v>
      </c>
      <c r="H439" s="18" t="s">
        <v>507</v>
      </c>
      <c r="I439" s="18" t="s">
        <v>508</v>
      </c>
      <c r="J439" s="18"/>
      <c r="K439" s="21">
        <f t="shared" si="18"/>
        <v>250.36666666675592</v>
      </c>
      <c r="L439" s="19">
        <f t="shared" si="19"/>
        <v>22</v>
      </c>
      <c r="M439" s="18" t="str">
        <f>IF(I439&lt;&gt;"Sí","",IF(YEAR(F439)&lt;&gt;2026,"",INDEX({"Enero","Febrero","Marzo","Abril","Mayo","Junio","Julio","Agosto","Septiembre","Octubre","Noviembre","Diciembre"},MONTH(F439))))</f>
        <v>Marzo</v>
      </c>
      <c r="N439" s="18" t="str">
        <f t="shared" si="20"/>
        <v>Marzo|22</v>
      </c>
    </row>
    <row r="440" spans="1:14" ht="14.5" x14ac:dyDescent="0.25">
      <c r="A440" s="19">
        <v>29</v>
      </c>
      <c r="B440" s="18" t="s">
        <v>36</v>
      </c>
      <c r="C440" s="18" t="s">
        <v>975</v>
      </c>
      <c r="D440" s="18" t="s">
        <v>976</v>
      </c>
      <c r="E440" s="18" t="s">
        <v>982</v>
      </c>
      <c r="F440" s="101">
        <v>46101.479861111111</v>
      </c>
      <c r="G440" s="101">
        <v>46111.911805555559</v>
      </c>
      <c r="H440" s="18" t="s">
        <v>507</v>
      </c>
      <c r="I440" s="18" t="s">
        <v>508</v>
      </c>
      <c r="J440" s="18"/>
      <c r="K440" s="21">
        <f t="shared" si="18"/>
        <v>250.36666666675592</v>
      </c>
      <c r="L440" s="19">
        <f t="shared" si="19"/>
        <v>22</v>
      </c>
      <c r="M440" s="18" t="str">
        <f>IF(I440&lt;&gt;"Sí","",IF(YEAR(F440)&lt;&gt;2026,"",INDEX({"Enero","Febrero","Marzo","Abril","Mayo","Junio","Julio","Agosto","Septiembre","Octubre","Noviembre","Diciembre"},MONTH(F440))))</f>
        <v>Marzo</v>
      </c>
      <c r="N440" s="18" t="str">
        <f t="shared" si="20"/>
        <v>Marzo|22</v>
      </c>
    </row>
    <row r="441" spans="1:14" ht="14.5" x14ac:dyDescent="0.25">
      <c r="A441" s="19">
        <v>29</v>
      </c>
      <c r="B441" s="18" t="s">
        <v>36</v>
      </c>
      <c r="C441" s="18" t="s">
        <v>99</v>
      </c>
      <c r="D441" s="18" t="s">
        <v>983</v>
      </c>
      <c r="E441" s="18" t="s">
        <v>984</v>
      </c>
      <c r="F441" s="101"/>
      <c r="G441" s="101">
        <v>46102.493055555555</v>
      </c>
      <c r="H441" s="18" t="s">
        <v>554</v>
      </c>
      <c r="I441" s="18" t="s">
        <v>555</v>
      </c>
      <c r="J441" s="18" t="s">
        <v>556</v>
      </c>
      <c r="K441" s="21" t="str">
        <f t="shared" si="18"/>
        <v/>
      </c>
      <c r="L441" s="19" t="str">
        <f t="shared" si="19"/>
        <v/>
      </c>
      <c r="M441" s="18" t="str">
        <f>IF(I441&lt;&gt;"Sí","",IF(YEAR(F441)&lt;&gt;2026,"",INDEX({"Enero","Febrero","Marzo","Abril","Mayo","Junio","Julio","Agosto","Septiembre","Octubre","Noviembre","Diciembre"},MONTH(F441))))</f>
        <v/>
      </c>
      <c r="N441" s="18" t="str">
        <f t="shared" si="20"/>
        <v/>
      </c>
    </row>
    <row r="442" spans="1:14" ht="14.5" x14ac:dyDescent="0.25">
      <c r="A442" s="19">
        <v>29</v>
      </c>
      <c r="B442" s="18" t="s">
        <v>36</v>
      </c>
      <c r="C442" s="18" t="s">
        <v>975</v>
      </c>
      <c r="D442" s="18" t="s">
        <v>976</v>
      </c>
      <c r="E442" s="18" t="s">
        <v>985</v>
      </c>
      <c r="F442" s="101">
        <v>46102.524305555555</v>
      </c>
      <c r="G442" s="101">
        <v>46111.911805555559</v>
      </c>
      <c r="H442" s="18" t="s">
        <v>507</v>
      </c>
      <c r="I442" s="18" t="s">
        <v>508</v>
      </c>
      <c r="J442" s="18"/>
      <c r="K442" s="21">
        <f t="shared" si="18"/>
        <v>225.30000000010477</v>
      </c>
      <c r="L442" s="19">
        <f t="shared" si="19"/>
        <v>23</v>
      </c>
      <c r="M442" s="18" t="str">
        <f>IF(I442&lt;&gt;"Sí","",IF(YEAR(F442)&lt;&gt;2026,"",INDEX({"Enero","Febrero","Marzo","Abril","Mayo","Junio","Julio","Agosto","Septiembre","Octubre","Noviembre","Diciembre"},MONTH(F442))))</f>
        <v>Marzo</v>
      </c>
      <c r="N442" s="18" t="str">
        <f t="shared" si="20"/>
        <v>Marzo|23</v>
      </c>
    </row>
    <row r="443" spans="1:14" ht="14.5" x14ac:dyDescent="0.25">
      <c r="A443" s="19">
        <v>29</v>
      </c>
      <c r="B443" s="18" t="s">
        <v>36</v>
      </c>
      <c r="C443" s="18" t="s">
        <v>99</v>
      </c>
      <c r="D443" s="18" t="s">
        <v>983</v>
      </c>
      <c r="E443" s="18" t="s">
        <v>986</v>
      </c>
      <c r="F443" s="101"/>
      <c r="G443" s="101">
        <v>46102.548611111109</v>
      </c>
      <c r="H443" s="18" t="s">
        <v>554</v>
      </c>
      <c r="I443" s="18" t="s">
        <v>555</v>
      </c>
      <c r="J443" s="18" t="s">
        <v>556</v>
      </c>
      <c r="K443" s="21" t="str">
        <f t="shared" si="18"/>
        <v/>
      </c>
      <c r="L443" s="19" t="str">
        <f t="shared" si="19"/>
        <v/>
      </c>
      <c r="M443" s="18" t="str">
        <f>IF(I443&lt;&gt;"Sí","",IF(YEAR(F443)&lt;&gt;2026,"",INDEX({"Enero","Febrero","Marzo","Abril","Mayo","Junio","Julio","Agosto","Septiembre","Octubre","Noviembre","Diciembre"},MONTH(F443))))</f>
        <v/>
      </c>
      <c r="N443" s="18" t="str">
        <f t="shared" si="20"/>
        <v/>
      </c>
    </row>
    <row r="444" spans="1:14" ht="14.5" x14ac:dyDescent="0.25">
      <c r="A444" s="19">
        <v>29</v>
      </c>
      <c r="B444" s="18" t="s">
        <v>36</v>
      </c>
      <c r="C444" s="18" t="s">
        <v>99</v>
      </c>
      <c r="D444" s="18" t="s">
        <v>983</v>
      </c>
      <c r="E444" s="18" t="s">
        <v>987</v>
      </c>
      <c r="F444" s="101"/>
      <c r="G444" s="101">
        <v>46102.548611111109</v>
      </c>
      <c r="H444" s="18" t="s">
        <v>554</v>
      </c>
      <c r="I444" s="18" t="s">
        <v>555</v>
      </c>
      <c r="J444" s="18" t="s">
        <v>556</v>
      </c>
      <c r="K444" s="21" t="str">
        <f t="shared" si="18"/>
        <v/>
      </c>
      <c r="L444" s="19" t="str">
        <f t="shared" si="19"/>
        <v/>
      </c>
      <c r="M444" s="18" t="str">
        <f>IF(I444&lt;&gt;"Sí","",IF(YEAR(F444)&lt;&gt;2026,"",INDEX({"Enero","Febrero","Marzo","Abril","Mayo","Junio","Julio","Agosto","Septiembre","Octubre","Noviembre","Diciembre"},MONTH(F444))))</f>
        <v/>
      </c>
      <c r="N444" s="18" t="str">
        <f t="shared" si="20"/>
        <v/>
      </c>
    </row>
    <row r="445" spans="1:14" ht="14.5" x14ac:dyDescent="0.25">
      <c r="A445" s="19">
        <v>29</v>
      </c>
      <c r="B445" s="18" t="s">
        <v>36</v>
      </c>
      <c r="C445" s="18" t="s">
        <v>975</v>
      </c>
      <c r="D445" s="18" t="s">
        <v>976</v>
      </c>
      <c r="E445" s="18" t="s">
        <v>988</v>
      </c>
      <c r="F445" s="101">
        <v>46104.490972222222</v>
      </c>
      <c r="G445" s="101">
        <v>46111.887499999997</v>
      </c>
      <c r="H445" s="18" t="s">
        <v>507</v>
      </c>
      <c r="I445" s="18" t="s">
        <v>508</v>
      </c>
      <c r="J445" s="18"/>
      <c r="K445" s="21">
        <f t="shared" si="18"/>
        <v>177.51666666660458</v>
      </c>
      <c r="L445" s="19">
        <f t="shared" si="19"/>
        <v>10</v>
      </c>
      <c r="M445" s="18" t="str">
        <f>IF(I445&lt;&gt;"Sí","",IF(YEAR(F445)&lt;&gt;2026,"",INDEX({"Enero","Febrero","Marzo","Abril","Mayo","Junio","Julio","Agosto","Septiembre","Octubre","Noviembre","Diciembre"},MONTH(F445))))</f>
        <v>Marzo</v>
      </c>
      <c r="N445" s="18" t="str">
        <f t="shared" si="20"/>
        <v>Marzo|10</v>
      </c>
    </row>
    <row r="446" spans="1:14" ht="14.5" x14ac:dyDescent="0.25">
      <c r="A446" s="19">
        <v>29</v>
      </c>
      <c r="B446" s="18" t="s">
        <v>36</v>
      </c>
      <c r="C446" s="18" t="s">
        <v>975</v>
      </c>
      <c r="D446" s="18" t="s">
        <v>976</v>
      </c>
      <c r="E446" s="18" t="s">
        <v>989</v>
      </c>
      <c r="F446" s="101">
        <v>46105.59652777778</v>
      </c>
      <c r="G446" s="101">
        <v>46111.873611111114</v>
      </c>
      <c r="H446" s="18" t="s">
        <v>507</v>
      </c>
      <c r="I446" s="18" t="s">
        <v>508</v>
      </c>
      <c r="J446" s="18"/>
      <c r="K446" s="21">
        <f t="shared" si="18"/>
        <v>150.65000000002328</v>
      </c>
      <c r="L446" s="19">
        <f t="shared" si="19"/>
        <v>10</v>
      </c>
      <c r="M446" s="18" t="str">
        <f>IF(I446&lt;&gt;"Sí","",IF(YEAR(F446)&lt;&gt;2026,"",INDEX({"Enero","Febrero","Marzo","Abril","Mayo","Junio","Julio","Agosto","Septiembre","Octubre","Noviembre","Diciembre"},MONTH(F446))))</f>
        <v>Marzo</v>
      </c>
      <c r="N446" s="18" t="str">
        <f t="shared" si="20"/>
        <v>Marzo|10</v>
      </c>
    </row>
    <row r="447" spans="1:14" ht="14.5" x14ac:dyDescent="0.25">
      <c r="A447" s="19">
        <v>29</v>
      </c>
      <c r="B447" s="18" t="s">
        <v>36</v>
      </c>
      <c r="C447" s="18" t="s">
        <v>975</v>
      </c>
      <c r="D447" s="18" t="s">
        <v>976</v>
      </c>
      <c r="E447" s="18" t="s">
        <v>990</v>
      </c>
      <c r="F447" s="101">
        <v>46107.573611111111</v>
      </c>
      <c r="G447" s="101">
        <v>46111.578472222223</v>
      </c>
      <c r="H447" s="18" t="s">
        <v>507</v>
      </c>
      <c r="I447" s="18" t="s">
        <v>508</v>
      </c>
      <c r="J447" s="18"/>
      <c r="K447" s="21">
        <f t="shared" si="18"/>
        <v>96.116666666697711</v>
      </c>
      <c r="L447" s="19">
        <f t="shared" si="19"/>
        <v>10</v>
      </c>
      <c r="M447" s="18" t="str">
        <f>IF(I447&lt;&gt;"Sí","",IF(YEAR(F447)&lt;&gt;2026,"",INDEX({"Enero","Febrero","Marzo","Abril","Mayo","Junio","Julio","Agosto","Septiembre","Octubre","Noviembre","Diciembre"},MONTH(F447))))</f>
        <v>Marzo</v>
      </c>
      <c r="N447" s="18" t="str">
        <f t="shared" si="20"/>
        <v>Marzo|10</v>
      </c>
    </row>
    <row r="448" spans="1:14" ht="14.5" x14ac:dyDescent="0.25">
      <c r="A448" s="19">
        <v>30</v>
      </c>
      <c r="B448" s="18" t="s">
        <v>37</v>
      </c>
      <c r="C448" s="18" t="s">
        <v>85</v>
      </c>
      <c r="D448" s="18" t="s">
        <v>991</v>
      </c>
      <c r="E448" s="18" t="s">
        <v>992</v>
      </c>
      <c r="F448" s="101">
        <v>46107.640277777777</v>
      </c>
      <c r="G448" s="101">
        <v>46118.00277777778</v>
      </c>
      <c r="H448" s="18" t="s">
        <v>507</v>
      </c>
      <c r="I448" s="18" t="s">
        <v>508</v>
      </c>
      <c r="J448" s="18"/>
      <c r="K448" s="21">
        <f t="shared" si="18"/>
        <v>248.70000000006985</v>
      </c>
      <c r="L448" s="19">
        <f t="shared" si="19"/>
        <v>11</v>
      </c>
      <c r="M448" s="18" t="str">
        <f>IF(I448&lt;&gt;"Sí","",IF(YEAR(F448)&lt;&gt;2026,"",INDEX({"Enero","Febrero","Marzo","Abril","Mayo","Junio","Julio","Agosto","Septiembre","Octubre","Noviembre","Diciembre"},MONTH(F448))))</f>
        <v>Marzo</v>
      </c>
      <c r="N448" s="18" t="str">
        <f t="shared" si="20"/>
        <v>Marzo|11</v>
      </c>
    </row>
    <row r="449" spans="1:14" ht="14.5" x14ac:dyDescent="0.25">
      <c r="A449" s="19">
        <v>30</v>
      </c>
      <c r="B449" s="18" t="s">
        <v>37</v>
      </c>
      <c r="C449" s="18" t="s">
        <v>85</v>
      </c>
      <c r="D449" s="18" t="s">
        <v>991</v>
      </c>
      <c r="E449" s="18" t="s">
        <v>993</v>
      </c>
      <c r="F449" s="101">
        <v>46109.633333333331</v>
      </c>
      <c r="G449" s="101">
        <v>46118.00277777778</v>
      </c>
      <c r="H449" s="18" t="s">
        <v>507</v>
      </c>
      <c r="I449" s="18" t="s">
        <v>508</v>
      </c>
      <c r="J449" s="18"/>
      <c r="K449" s="21">
        <f t="shared" si="18"/>
        <v>200.86666666675592</v>
      </c>
      <c r="L449" s="19">
        <f t="shared" si="19"/>
        <v>16</v>
      </c>
      <c r="M449" s="18" t="str">
        <f>IF(I449&lt;&gt;"Sí","",IF(YEAR(F449)&lt;&gt;2026,"",INDEX({"Enero","Febrero","Marzo","Abril","Mayo","Junio","Julio","Agosto","Septiembre","Octubre","Noviembre","Diciembre"},MONTH(F449))))</f>
        <v>Marzo</v>
      </c>
      <c r="N449" s="18" t="str">
        <f t="shared" si="20"/>
        <v>Marzo|16</v>
      </c>
    </row>
    <row r="450" spans="1:14" ht="14.5" x14ac:dyDescent="0.25">
      <c r="A450" s="19">
        <v>30</v>
      </c>
      <c r="B450" s="18" t="s">
        <v>37</v>
      </c>
      <c r="C450" s="18" t="s">
        <v>85</v>
      </c>
      <c r="D450" s="18" t="s">
        <v>991</v>
      </c>
      <c r="E450" s="18" t="s">
        <v>994</v>
      </c>
      <c r="F450" s="101">
        <v>46109.633333333331</v>
      </c>
      <c r="G450" s="101">
        <v>46118.00277777778</v>
      </c>
      <c r="H450" s="18" t="s">
        <v>507</v>
      </c>
      <c r="I450" s="18" t="s">
        <v>508</v>
      </c>
      <c r="J450" s="18"/>
      <c r="K450" s="21">
        <f t="shared" si="18"/>
        <v>200.86666666675592</v>
      </c>
      <c r="L450" s="19">
        <f t="shared" si="19"/>
        <v>16</v>
      </c>
      <c r="M450" s="18" t="str">
        <f>IF(I450&lt;&gt;"Sí","",IF(YEAR(F450)&lt;&gt;2026,"",INDEX({"Enero","Febrero","Marzo","Abril","Mayo","Junio","Julio","Agosto","Septiembre","Octubre","Noviembre","Diciembre"},MONTH(F450))))</f>
        <v>Marzo</v>
      </c>
      <c r="N450" s="18" t="str">
        <f t="shared" si="20"/>
        <v>Marzo|16</v>
      </c>
    </row>
    <row r="451" spans="1:14" ht="14.5" x14ac:dyDescent="0.25">
      <c r="A451" s="19">
        <v>30</v>
      </c>
      <c r="B451" s="18" t="s">
        <v>37</v>
      </c>
      <c r="C451" s="18" t="s">
        <v>85</v>
      </c>
      <c r="D451" s="18" t="s">
        <v>991</v>
      </c>
      <c r="E451" s="18" t="s">
        <v>995</v>
      </c>
      <c r="F451" s="101">
        <v>46109.633333333331</v>
      </c>
      <c r="G451" s="101">
        <v>46118.00277777778</v>
      </c>
      <c r="H451" s="18" t="s">
        <v>507</v>
      </c>
      <c r="I451" s="18" t="s">
        <v>508</v>
      </c>
      <c r="J451" s="18"/>
      <c r="K451" s="21">
        <f t="shared" si="18"/>
        <v>200.86666666675592</v>
      </c>
      <c r="L451" s="19">
        <f t="shared" si="19"/>
        <v>16</v>
      </c>
      <c r="M451" s="18" t="str">
        <f>IF(I451&lt;&gt;"Sí","",IF(YEAR(F451)&lt;&gt;2026,"",INDEX({"Enero","Febrero","Marzo","Abril","Mayo","Junio","Julio","Agosto","Septiembre","Octubre","Noviembre","Diciembre"},MONTH(F451))))</f>
        <v>Marzo</v>
      </c>
      <c r="N451" s="18" t="str">
        <f t="shared" si="20"/>
        <v>Marzo|16</v>
      </c>
    </row>
    <row r="452" spans="1:14" ht="14.5" x14ac:dyDescent="0.25">
      <c r="A452" s="19">
        <v>30</v>
      </c>
      <c r="B452" s="18" t="s">
        <v>37</v>
      </c>
      <c r="C452" s="18" t="s">
        <v>85</v>
      </c>
      <c r="D452" s="18" t="s">
        <v>991</v>
      </c>
      <c r="E452" s="18" t="s">
        <v>996</v>
      </c>
      <c r="F452" s="101">
        <v>46109.633333333331</v>
      </c>
      <c r="G452" s="101">
        <v>46118.00277777778</v>
      </c>
      <c r="H452" s="18" t="s">
        <v>507</v>
      </c>
      <c r="I452" s="18" t="s">
        <v>508</v>
      </c>
      <c r="J452" s="18"/>
      <c r="K452" s="21">
        <f t="shared" si="18"/>
        <v>200.86666666675592</v>
      </c>
      <c r="L452" s="19">
        <f t="shared" si="19"/>
        <v>16</v>
      </c>
      <c r="M452" s="18" t="str">
        <f>IF(I452&lt;&gt;"Sí","",IF(YEAR(F452)&lt;&gt;2026,"",INDEX({"Enero","Febrero","Marzo","Abril","Mayo","Junio","Julio","Agosto","Septiembre","Octubre","Noviembre","Diciembre"},MONTH(F452))))</f>
        <v>Marzo</v>
      </c>
      <c r="N452" s="18" t="str">
        <f t="shared" si="20"/>
        <v>Marzo|16</v>
      </c>
    </row>
    <row r="453" spans="1:14" ht="14.5" x14ac:dyDescent="0.25">
      <c r="A453" s="19">
        <v>30</v>
      </c>
      <c r="B453" s="18" t="s">
        <v>37</v>
      </c>
      <c r="C453" s="18" t="s">
        <v>85</v>
      </c>
      <c r="D453" s="18" t="s">
        <v>991</v>
      </c>
      <c r="E453" s="18" t="s">
        <v>997</v>
      </c>
      <c r="F453" s="101">
        <v>46109.633333333331</v>
      </c>
      <c r="G453" s="101">
        <v>46117.467361111114</v>
      </c>
      <c r="H453" s="18" t="s">
        <v>507</v>
      </c>
      <c r="I453" s="18" t="s">
        <v>508</v>
      </c>
      <c r="J453" s="18"/>
      <c r="K453" s="21">
        <f t="shared" si="18"/>
        <v>188.0166666667792</v>
      </c>
      <c r="L453" s="19">
        <f t="shared" si="19"/>
        <v>16</v>
      </c>
      <c r="M453" s="18" t="str">
        <f>IF(I453&lt;&gt;"Sí","",IF(YEAR(F453)&lt;&gt;2026,"",INDEX({"Enero","Febrero","Marzo","Abril","Mayo","Junio","Julio","Agosto","Septiembre","Octubre","Noviembre","Diciembre"},MONTH(F453))))</f>
        <v>Marzo</v>
      </c>
      <c r="N453" s="18" t="str">
        <f t="shared" si="20"/>
        <v>Marzo|16</v>
      </c>
    </row>
    <row r="454" spans="1:14" ht="14.5" x14ac:dyDescent="0.25">
      <c r="A454" s="19">
        <v>29</v>
      </c>
      <c r="B454" s="18" t="s">
        <v>36</v>
      </c>
      <c r="C454" s="18" t="s">
        <v>975</v>
      </c>
      <c r="D454" s="18" t="s">
        <v>976</v>
      </c>
      <c r="E454" s="18" t="s">
        <v>998</v>
      </c>
      <c r="F454" s="101">
        <v>46111.067361111112</v>
      </c>
      <c r="G454" s="101">
        <v>46112.082638888889</v>
      </c>
      <c r="H454" s="18" t="s">
        <v>999</v>
      </c>
      <c r="I454" s="18" t="s">
        <v>508</v>
      </c>
      <c r="J454" s="18"/>
      <c r="K454" s="21">
        <f t="shared" si="18"/>
        <v>24.366666666639503</v>
      </c>
      <c r="L454" s="19">
        <f t="shared" si="19"/>
        <v>17</v>
      </c>
      <c r="M454" s="18" t="str">
        <f>IF(I454&lt;&gt;"Sí","",IF(YEAR(F454)&lt;&gt;2026,"",INDEX({"Enero","Febrero","Marzo","Abril","Mayo","Junio","Julio","Agosto","Septiembre","Octubre","Noviembre","Diciembre"},MONTH(F454))))</f>
        <v>Marzo</v>
      </c>
      <c r="N454" s="18" t="str">
        <f t="shared" si="20"/>
        <v>Marzo|17</v>
      </c>
    </row>
    <row r="455" spans="1:14" ht="14.5" x14ac:dyDescent="0.25">
      <c r="A455" s="19">
        <v>29</v>
      </c>
      <c r="B455" s="18" t="s">
        <v>36</v>
      </c>
      <c r="C455" s="18" t="s">
        <v>975</v>
      </c>
      <c r="D455" s="18" t="s">
        <v>976</v>
      </c>
      <c r="E455" s="18" t="s">
        <v>998</v>
      </c>
      <c r="F455" s="101">
        <v>46112.1</v>
      </c>
      <c r="G455" s="101">
        <v>46110.961805555555</v>
      </c>
      <c r="H455" s="18" t="s">
        <v>999</v>
      </c>
      <c r="I455" s="18" t="s">
        <v>555</v>
      </c>
      <c r="J455" s="18" t="s">
        <v>755</v>
      </c>
      <c r="K455" s="21" t="str">
        <f t="shared" ref="K455:K518" si="21">IF(I455="Sí",(G455-F455)*24,"")</f>
        <v/>
      </c>
      <c r="L455" s="19" t="str">
        <f t="shared" ref="L455:L518" si="22">IF(I455="Sí",COUNTIFS($F$7:$F$4000,"&lt;="&amp;F455,$G$7:$G$4000,"&gt;"&amp;F455,$I$7:$I$4000,"Sí"),"")</f>
        <v/>
      </c>
      <c r="M455" s="18" t="str">
        <f>IF(I455&lt;&gt;"Sí","",IF(YEAR(F455)&lt;&gt;2026,"",INDEX({"Enero","Febrero","Marzo","Abril","Mayo","Junio","Julio","Agosto","Septiembre","Octubre","Noviembre","Diciembre"},MONTH(F455))))</f>
        <v/>
      </c>
      <c r="N455" s="18" t="str">
        <f t="shared" ref="N455:N518" si="23">IF(M455="","",M455&amp;"|"&amp;L455)</f>
        <v/>
      </c>
    </row>
    <row r="456" spans="1:14" ht="14.5" x14ac:dyDescent="0.25">
      <c r="A456" s="19">
        <v>30</v>
      </c>
      <c r="B456" s="18" t="s">
        <v>37</v>
      </c>
      <c r="C456" s="18" t="s">
        <v>85</v>
      </c>
      <c r="D456" s="18" t="s">
        <v>991</v>
      </c>
      <c r="E456" s="18" t="s">
        <v>1000</v>
      </c>
      <c r="F456" s="101">
        <v>46112.393750000003</v>
      </c>
      <c r="G456" s="101">
        <v>46118.00277777778</v>
      </c>
      <c r="H456" s="18" t="s">
        <v>507</v>
      </c>
      <c r="I456" s="18" t="s">
        <v>508</v>
      </c>
      <c r="J456" s="18"/>
      <c r="K456" s="21">
        <f t="shared" si="21"/>
        <v>134.6166666666395</v>
      </c>
      <c r="L456" s="19">
        <f t="shared" si="22"/>
        <v>8</v>
      </c>
      <c r="M456" s="18" t="str">
        <f>IF(I456&lt;&gt;"Sí","",IF(YEAR(F456)&lt;&gt;2026,"",INDEX({"Enero","Febrero","Marzo","Abril","Mayo","Junio","Julio","Agosto","Septiembre","Octubre","Noviembre","Diciembre"},MONTH(F456))))</f>
        <v>Marzo</v>
      </c>
      <c r="N456" s="18" t="str">
        <f t="shared" si="23"/>
        <v>Marzo|8</v>
      </c>
    </row>
    <row r="457" spans="1:14" ht="14.5" x14ac:dyDescent="0.25">
      <c r="A457" s="19">
        <v>30</v>
      </c>
      <c r="B457" s="18" t="s">
        <v>37</v>
      </c>
      <c r="C457" s="18" t="s">
        <v>85</v>
      </c>
      <c r="D457" s="18" t="s">
        <v>991</v>
      </c>
      <c r="E457" s="18" t="s">
        <v>1001</v>
      </c>
      <c r="F457" s="101">
        <v>46112.393750000003</v>
      </c>
      <c r="G457" s="101">
        <v>46118.00277777778</v>
      </c>
      <c r="H457" s="18" t="s">
        <v>507</v>
      </c>
      <c r="I457" s="18" t="s">
        <v>508</v>
      </c>
      <c r="J457" s="18"/>
      <c r="K457" s="21">
        <f t="shared" si="21"/>
        <v>134.6166666666395</v>
      </c>
      <c r="L457" s="19">
        <f t="shared" si="22"/>
        <v>8</v>
      </c>
      <c r="M457" s="18" t="str">
        <f>IF(I457&lt;&gt;"Sí","",IF(YEAR(F457)&lt;&gt;2026,"",INDEX({"Enero","Febrero","Marzo","Abril","Mayo","Junio","Julio","Agosto","Septiembre","Octubre","Noviembre","Diciembre"},MONTH(F457))))</f>
        <v>Marzo</v>
      </c>
      <c r="N457" s="18" t="str">
        <f t="shared" si="23"/>
        <v>Marzo|8</v>
      </c>
    </row>
    <row r="458" spans="1:14" ht="14.5" x14ac:dyDescent="0.25">
      <c r="A458" s="19">
        <v>30</v>
      </c>
      <c r="B458" s="18" t="s">
        <v>37</v>
      </c>
      <c r="C458" s="18" t="s">
        <v>87</v>
      </c>
      <c r="D458" s="18" t="s">
        <v>1002</v>
      </c>
      <c r="E458" s="18" t="s">
        <v>1003</v>
      </c>
      <c r="F458" s="101">
        <v>46114.584722222222</v>
      </c>
      <c r="G458" s="101">
        <v>46124.034722222219</v>
      </c>
      <c r="H458" s="18" t="s">
        <v>507</v>
      </c>
      <c r="I458" s="18" t="s">
        <v>508</v>
      </c>
      <c r="J458" s="18"/>
      <c r="K458" s="21">
        <f t="shared" si="21"/>
        <v>226.79999999993015</v>
      </c>
      <c r="L458" s="19">
        <f t="shared" si="22"/>
        <v>9</v>
      </c>
      <c r="M458" s="18" t="str">
        <f>IF(I458&lt;&gt;"Sí","",IF(YEAR(F458)&lt;&gt;2026,"",INDEX({"Enero","Febrero","Marzo","Abril","Mayo","Junio","Julio","Agosto","Septiembre","Octubre","Noviembre","Diciembre"},MONTH(F458))))</f>
        <v>Abril</v>
      </c>
      <c r="N458" s="18" t="str">
        <f t="shared" si="23"/>
        <v>Abril|9</v>
      </c>
    </row>
    <row r="459" spans="1:14" ht="14.5" x14ac:dyDescent="0.25">
      <c r="A459" s="19">
        <v>30</v>
      </c>
      <c r="B459" s="18" t="s">
        <v>37</v>
      </c>
      <c r="C459" s="18" t="s">
        <v>87</v>
      </c>
      <c r="D459" s="18" t="s">
        <v>1002</v>
      </c>
      <c r="E459" s="18" t="s">
        <v>1004</v>
      </c>
      <c r="F459" s="101">
        <v>46116.46597222222</v>
      </c>
      <c r="G459" s="101">
        <v>46125.736805555556</v>
      </c>
      <c r="H459" s="18" t="s">
        <v>507</v>
      </c>
      <c r="I459" s="18" t="s">
        <v>508</v>
      </c>
      <c r="J459" s="18"/>
      <c r="K459" s="21">
        <f t="shared" si="21"/>
        <v>222.50000000005821</v>
      </c>
      <c r="L459" s="19">
        <f t="shared" si="22"/>
        <v>10</v>
      </c>
      <c r="M459" s="18" t="str">
        <f>IF(I459&lt;&gt;"Sí","",IF(YEAR(F459)&lt;&gt;2026,"",INDEX({"Enero","Febrero","Marzo","Abril","Mayo","Junio","Julio","Agosto","Septiembre","Octubre","Noviembre","Diciembre"},MONTH(F459))))</f>
        <v>Abril</v>
      </c>
      <c r="N459" s="18" t="str">
        <f t="shared" si="23"/>
        <v>Abril|10</v>
      </c>
    </row>
    <row r="460" spans="1:14" ht="14.5" x14ac:dyDescent="0.25">
      <c r="A460" s="19">
        <v>30</v>
      </c>
      <c r="B460" s="18" t="s">
        <v>37</v>
      </c>
      <c r="C460" s="18" t="s">
        <v>87</v>
      </c>
      <c r="D460" s="18" t="s">
        <v>1002</v>
      </c>
      <c r="E460" s="18" t="s">
        <v>1005</v>
      </c>
      <c r="F460" s="101">
        <v>46119.525000000001</v>
      </c>
      <c r="G460" s="101">
        <v>46124.034722222219</v>
      </c>
      <c r="H460" s="18" t="s">
        <v>507</v>
      </c>
      <c r="I460" s="18" t="s">
        <v>508</v>
      </c>
      <c r="J460" s="18"/>
      <c r="K460" s="21">
        <f t="shared" si="21"/>
        <v>108.2333333332208</v>
      </c>
      <c r="L460" s="19">
        <f t="shared" si="22"/>
        <v>3</v>
      </c>
      <c r="M460" s="18" t="str">
        <f>IF(I460&lt;&gt;"Sí","",IF(YEAR(F460)&lt;&gt;2026,"",INDEX({"Enero","Febrero","Marzo","Abril","Mayo","Junio","Julio","Agosto","Septiembre","Octubre","Noviembre","Diciembre"},MONTH(F460))))</f>
        <v>Abril</v>
      </c>
      <c r="N460" s="18" t="str">
        <f t="shared" si="23"/>
        <v>Abril|3</v>
      </c>
    </row>
    <row r="461" spans="1:14" ht="14.5" x14ac:dyDescent="0.25">
      <c r="A461" s="19">
        <v>30</v>
      </c>
      <c r="B461" s="18" t="s">
        <v>37</v>
      </c>
      <c r="C461" s="18" t="s">
        <v>89</v>
      </c>
      <c r="D461" s="18" t="s">
        <v>1006</v>
      </c>
      <c r="E461" s="18" t="s">
        <v>1007</v>
      </c>
      <c r="F461" s="101">
        <v>46123.488888888889</v>
      </c>
      <c r="G461" s="101">
        <v>46131.095138888886</v>
      </c>
      <c r="H461" s="18" t="s">
        <v>507</v>
      </c>
      <c r="I461" s="18" t="s">
        <v>508</v>
      </c>
      <c r="J461" s="18"/>
      <c r="K461" s="21">
        <f t="shared" si="21"/>
        <v>182.54999999993015</v>
      </c>
      <c r="L461" s="19">
        <f t="shared" si="22"/>
        <v>5</v>
      </c>
      <c r="M461" s="18" t="str">
        <f>IF(I461&lt;&gt;"Sí","",IF(YEAR(F461)&lt;&gt;2026,"",INDEX({"Enero","Febrero","Marzo","Abril","Mayo","Junio","Julio","Agosto","Septiembre","Octubre","Noviembre","Diciembre"},MONTH(F461))))</f>
        <v>Abril</v>
      </c>
      <c r="N461" s="18" t="str">
        <f t="shared" si="23"/>
        <v>Abril|5</v>
      </c>
    </row>
    <row r="462" spans="1:14" ht="14.5" x14ac:dyDescent="0.25">
      <c r="A462" s="19">
        <v>30</v>
      </c>
      <c r="B462" s="18" t="s">
        <v>37</v>
      </c>
      <c r="C462" s="18" t="s">
        <v>89</v>
      </c>
      <c r="D462" s="18" t="s">
        <v>1006</v>
      </c>
      <c r="E462" s="18" t="s">
        <v>1008</v>
      </c>
      <c r="F462" s="101">
        <v>46123.488888888889</v>
      </c>
      <c r="G462" s="101">
        <v>46131.8</v>
      </c>
      <c r="H462" s="18" t="s">
        <v>507</v>
      </c>
      <c r="I462" s="18" t="s">
        <v>508</v>
      </c>
      <c r="J462" s="18"/>
      <c r="K462" s="21">
        <f t="shared" si="21"/>
        <v>199.46666666673264</v>
      </c>
      <c r="L462" s="19">
        <f t="shared" si="22"/>
        <v>5</v>
      </c>
      <c r="M462" s="18" t="str">
        <f>IF(I462&lt;&gt;"Sí","",IF(YEAR(F462)&lt;&gt;2026,"",INDEX({"Enero","Febrero","Marzo","Abril","Mayo","Junio","Julio","Agosto","Septiembre","Octubre","Noviembre","Diciembre"},MONTH(F462))))</f>
        <v>Abril</v>
      </c>
      <c r="N462" s="18" t="str">
        <f t="shared" si="23"/>
        <v>Abril|5</v>
      </c>
    </row>
    <row r="463" spans="1:14" ht="14.5" x14ac:dyDescent="0.25">
      <c r="A463" s="19">
        <v>30</v>
      </c>
      <c r="B463" s="18" t="s">
        <v>37</v>
      </c>
      <c r="C463" s="18" t="s">
        <v>106</v>
      </c>
      <c r="D463" s="18" t="s">
        <v>1009</v>
      </c>
      <c r="E463" s="18" t="s">
        <v>1010</v>
      </c>
      <c r="F463" s="101">
        <v>46125.8125</v>
      </c>
      <c r="G463" s="101">
        <v>46128.90625</v>
      </c>
      <c r="H463" s="18" t="s">
        <v>507</v>
      </c>
      <c r="I463" s="18" t="s">
        <v>508</v>
      </c>
      <c r="J463" s="18"/>
      <c r="K463" s="21">
        <f t="shared" si="21"/>
        <v>74.25</v>
      </c>
      <c r="L463" s="19">
        <f t="shared" si="22"/>
        <v>3</v>
      </c>
      <c r="M463" s="18" t="str">
        <f>IF(I463&lt;&gt;"Sí","",IF(YEAR(F463)&lt;&gt;2026,"",INDEX({"Enero","Febrero","Marzo","Abril","Mayo","Junio","Julio","Agosto","Septiembre","Octubre","Noviembre","Diciembre"},MONTH(F463))))</f>
        <v>Abril</v>
      </c>
      <c r="N463" s="18" t="str">
        <f t="shared" si="23"/>
        <v>Abril|3</v>
      </c>
    </row>
    <row r="464" spans="1:14" ht="14.5" x14ac:dyDescent="0.25">
      <c r="A464" s="19">
        <v>30</v>
      </c>
      <c r="B464" s="18" t="s">
        <v>37</v>
      </c>
      <c r="C464" s="18" t="s">
        <v>89</v>
      </c>
      <c r="D464" s="18" t="s">
        <v>1006</v>
      </c>
      <c r="E464" s="18" t="s">
        <v>1011</v>
      </c>
      <c r="F464" s="101">
        <v>46126.395833333336</v>
      </c>
      <c r="G464" s="101">
        <v>46131.780555555553</v>
      </c>
      <c r="H464" s="18" t="s">
        <v>507</v>
      </c>
      <c r="I464" s="18" t="s">
        <v>508</v>
      </c>
      <c r="J464" s="18"/>
      <c r="K464" s="21">
        <f t="shared" si="21"/>
        <v>129.2333333332208</v>
      </c>
      <c r="L464" s="19">
        <f t="shared" si="22"/>
        <v>4</v>
      </c>
      <c r="M464" s="18" t="str">
        <f>IF(I464&lt;&gt;"Sí","",IF(YEAR(F464)&lt;&gt;2026,"",INDEX({"Enero","Febrero","Marzo","Abril","Mayo","Junio","Julio","Agosto","Septiembre","Octubre","Noviembre","Diciembre"},MONTH(F464))))</f>
        <v>Abril</v>
      </c>
      <c r="N464" s="18" t="str">
        <f t="shared" si="23"/>
        <v>Abril|4</v>
      </c>
    </row>
    <row r="465" spans="1:14" ht="14.5" x14ac:dyDescent="0.25">
      <c r="A465" s="19">
        <v>30</v>
      </c>
      <c r="B465" s="18" t="s">
        <v>37</v>
      </c>
      <c r="C465" s="18" t="s">
        <v>89</v>
      </c>
      <c r="D465" s="18" t="s">
        <v>1006</v>
      </c>
      <c r="E465" s="18" t="s">
        <v>1012</v>
      </c>
      <c r="F465" s="101">
        <v>46126.457638888889</v>
      </c>
      <c r="G465" s="101">
        <v>46131.797222222223</v>
      </c>
      <c r="H465" s="18" t="s">
        <v>507</v>
      </c>
      <c r="I465" s="18" t="s">
        <v>508</v>
      </c>
      <c r="J465" s="18"/>
      <c r="K465" s="21">
        <f t="shared" si="21"/>
        <v>128.15000000002328</v>
      </c>
      <c r="L465" s="19">
        <f t="shared" si="22"/>
        <v>5</v>
      </c>
      <c r="M465" s="18" t="str">
        <f>IF(I465&lt;&gt;"Sí","",IF(YEAR(F465)&lt;&gt;2026,"",INDEX({"Enero","Febrero","Marzo","Abril","Mayo","Junio","Julio","Agosto","Septiembre","Octubre","Noviembre","Diciembre"},MONTH(F465))))</f>
        <v>Abril</v>
      </c>
      <c r="N465" s="18" t="str">
        <f t="shared" si="23"/>
        <v>Abril|5</v>
      </c>
    </row>
    <row r="466" spans="1:14" ht="14.5" x14ac:dyDescent="0.25">
      <c r="A466" s="19">
        <v>30</v>
      </c>
      <c r="B466" s="18" t="s">
        <v>37</v>
      </c>
      <c r="C466" s="18" t="s">
        <v>89</v>
      </c>
      <c r="D466" s="18" t="s">
        <v>1006</v>
      </c>
      <c r="E466" s="18" t="s">
        <v>1013</v>
      </c>
      <c r="F466" s="101">
        <v>46127.511111111111</v>
      </c>
      <c r="G466" s="101">
        <v>46131.794444444444</v>
      </c>
      <c r="H466" s="18" t="s">
        <v>507</v>
      </c>
      <c r="I466" s="18" t="s">
        <v>508</v>
      </c>
      <c r="J466" s="18"/>
      <c r="K466" s="21">
        <f t="shared" si="21"/>
        <v>102.79999999998836</v>
      </c>
      <c r="L466" s="19">
        <f t="shared" si="22"/>
        <v>6</v>
      </c>
      <c r="M466" s="18" t="str">
        <f>IF(I466&lt;&gt;"Sí","",IF(YEAR(F466)&lt;&gt;2026,"",INDEX({"Enero","Febrero","Marzo","Abril","Mayo","Junio","Julio","Agosto","Septiembre","Octubre","Noviembre","Diciembre"},MONTH(F466))))</f>
        <v>Abril</v>
      </c>
      <c r="N466" s="18" t="str">
        <f t="shared" si="23"/>
        <v>Abril|6</v>
      </c>
    </row>
    <row r="467" spans="1:14" ht="14.5" x14ac:dyDescent="0.25">
      <c r="A467" s="19">
        <v>30</v>
      </c>
      <c r="B467" s="18" t="s">
        <v>37</v>
      </c>
      <c r="C467" s="18" t="s">
        <v>89</v>
      </c>
      <c r="D467" s="18" t="s">
        <v>1006</v>
      </c>
      <c r="E467" s="18" t="s">
        <v>1014</v>
      </c>
      <c r="F467" s="101">
        <v>46127.604861111111</v>
      </c>
      <c r="G467" s="101">
        <v>46131.790277777778</v>
      </c>
      <c r="H467" s="18" t="s">
        <v>507</v>
      </c>
      <c r="I467" s="18" t="s">
        <v>508</v>
      </c>
      <c r="J467" s="18"/>
      <c r="K467" s="21">
        <f t="shared" si="21"/>
        <v>100.45000000001164</v>
      </c>
      <c r="L467" s="19">
        <f t="shared" si="22"/>
        <v>8</v>
      </c>
      <c r="M467" s="18" t="str">
        <f>IF(I467&lt;&gt;"Sí","",IF(YEAR(F467)&lt;&gt;2026,"",INDEX({"Enero","Febrero","Marzo","Abril","Mayo","Junio","Julio","Agosto","Septiembre","Octubre","Noviembre","Diciembre"},MONTH(F467))))</f>
        <v>Abril</v>
      </c>
      <c r="N467" s="18" t="str">
        <f t="shared" si="23"/>
        <v>Abril|8</v>
      </c>
    </row>
    <row r="468" spans="1:14" ht="14.5" x14ac:dyDescent="0.25">
      <c r="A468" s="19">
        <v>30</v>
      </c>
      <c r="B468" s="18" t="s">
        <v>37</v>
      </c>
      <c r="C468" s="18" t="s">
        <v>89</v>
      </c>
      <c r="D468" s="18" t="s">
        <v>1006</v>
      </c>
      <c r="E468" s="18" t="s">
        <v>1015</v>
      </c>
      <c r="F468" s="101">
        <v>46127.604861111111</v>
      </c>
      <c r="G468" s="101">
        <v>46131.783333333333</v>
      </c>
      <c r="H468" s="18" t="s">
        <v>507</v>
      </c>
      <c r="I468" s="18" t="s">
        <v>508</v>
      </c>
      <c r="J468" s="18"/>
      <c r="K468" s="21">
        <f t="shared" si="21"/>
        <v>100.28333333332557</v>
      </c>
      <c r="L468" s="19">
        <f t="shared" si="22"/>
        <v>8</v>
      </c>
      <c r="M468" s="18" t="str">
        <f>IF(I468&lt;&gt;"Sí","",IF(YEAR(F468)&lt;&gt;2026,"",INDEX({"Enero","Febrero","Marzo","Abril","Mayo","Junio","Julio","Agosto","Septiembre","Octubre","Noviembre","Diciembre"},MONTH(F468))))</f>
        <v>Abril</v>
      </c>
      <c r="N468" s="18" t="str">
        <f t="shared" si="23"/>
        <v>Abril|8</v>
      </c>
    </row>
    <row r="469" spans="1:14" ht="14.5" x14ac:dyDescent="0.25">
      <c r="A469" s="19">
        <v>30</v>
      </c>
      <c r="B469" s="18" t="s">
        <v>37</v>
      </c>
      <c r="C469" s="18" t="s">
        <v>106</v>
      </c>
      <c r="D469" s="18" t="s">
        <v>1009</v>
      </c>
      <c r="E469" s="18" t="s">
        <v>1016</v>
      </c>
      <c r="F469" s="101"/>
      <c r="G469" s="101">
        <v>46128.368750000001</v>
      </c>
      <c r="H469" s="18" t="s">
        <v>1017</v>
      </c>
      <c r="I469" s="18" t="s">
        <v>555</v>
      </c>
      <c r="J469" s="18" t="s">
        <v>556</v>
      </c>
      <c r="K469" s="21" t="str">
        <f t="shared" si="21"/>
        <v/>
      </c>
      <c r="L469" s="19" t="str">
        <f t="shared" si="22"/>
        <v/>
      </c>
      <c r="M469" s="18" t="str">
        <f>IF(I469&lt;&gt;"Sí","",IF(YEAR(F469)&lt;&gt;2026,"",INDEX({"Enero","Febrero","Marzo","Abril","Mayo","Junio","Julio","Agosto","Septiembre","Octubre","Noviembre","Diciembre"},MONTH(F469))))</f>
        <v/>
      </c>
      <c r="N469" s="18" t="str">
        <f t="shared" si="23"/>
        <v/>
      </c>
    </row>
    <row r="470" spans="1:14" ht="14.5" x14ac:dyDescent="0.25">
      <c r="A470" s="19">
        <v>30</v>
      </c>
      <c r="B470" s="18" t="s">
        <v>37</v>
      </c>
      <c r="C470" s="18" t="s">
        <v>106</v>
      </c>
      <c r="D470" s="18" t="s">
        <v>1009</v>
      </c>
      <c r="E470" s="18" t="s">
        <v>1018</v>
      </c>
      <c r="F470" s="101"/>
      <c r="G470" s="101">
        <v>46128.368750000001</v>
      </c>
      <c r="H470" s="18" t="s">
        <v>1017</v>
      </c>
      <c r="I470" s="18" t="s">
        <v>555</v>
      </c>
      <c r="J470" s="18" t="s">
        <v>556</v>
      </c>
      <c r="K470" s="21" t="str">
        <f t="shared" si="21"/>
        <v/>
      </c>
      <c r="L470" s="19" t="str">
        <f t="shared" si="22"/>
        <v/>
      </c>
      <c r="M470" s="18" t="str">
        <f>IF(I470&lt;&gt;"Sí","",IF(YEAR(F470)&lt;&gt;2026,"",INDEX({"Enero","Febrero","Marzo","Abril","Mayo","Junio","Julio","Agosto","Septiembre","Octubre","Noviembre","Diciembre"},MONTH(F470))))</f>
        <v/>
      </c>
      <c r="N470" s="18" t="str">
        <f t="shared" si="23"/>
        <v/>
      </c>
    </row>
    <row r="471" spans="1:14" ht="14.5" x14ac:dyDescent="0.25">
      <c r="A471" s="19">
        <v>30</v>
      </c>
      <c r="B471" s="18" t="s">
        <v>37</v>
      </c>
      <c r="C471" s="18" t="s">
        <v>106</v>
      </c>
      <c r="D471" s="18" t="s">
        <v>1009</v>
      </c>
      <c r="E471" s="18" t="s">
        <v>1019</v>
      </c>
      <c r="F471" s="101"/>
      <c r="G471" s="101">
        <v>46128.368750000001</v>
      </c>
      <c r="H471" s="18" t="s">
        <v>1020</v>
      </c>
      <c r="I471" s="18" t="s">
        <v>555</v>
      </c>
      <c r="J471" s="18" t="s">
        <v>556</v>
      </c>
      <c r="K471" s="21" t="str">
        <f t="shared" si="21"/>
        <v/>
      </c>
      <c r="L471" s="19" t="str">
        <f t="shared" si="22"/>
        <v/>
      </c>
      <c r="M471" s="18" t="str">
        <f>IF(I471&lt;&gt;"Sí","",IF(YEAR(F471)&lt;&gt;2026,"",INDEX({"Enero","Febrero","Marzo","Abril","Mayo","Junio","Julio","Agosto","Septiembre","Octubre","Noviembre","Diciembre"},MONTH(F471))))</f>
        <v/>
      </c>
      <c r="N471" s="18" t="str">
        <f t="shared" si="23"/>
        <v/>
      </c>
    </row>
    <row r="472" spans="1:14" ht="14.5" x14ac:dyDescent="0.25">
      <c r="A472" s="19">
        <v>30</v>
      </c>
      <c r="B472" s="18" t="s">
        <v>37</v>
      </c>
      <c r="C472" s="18" t="s">
        <v>106</v>
      </c>
      <c r="D472" s="18" t="s">
        <v>1009</v>
      </c>
      <c r="E472" s="18" t="s">
        <v>1021</v>
      </c>
      <c r="F472" s="101"/>
      <c r="G472" s="101">
        <v>46128.368750000001</v>
      </c>
      <c r="H472" s="18" t="s">
        <v>1017</v>
      </c>
      <c r="I472" s="18" t="s">
        <v>555</v>
      </c>
      <c r="J472" s="18" t="s">
        <v>556</v>
      </c>
      <c r="K472" s="21" t="str">
        <f t="shared" si="21"/>
        <v/>
      </c>
      <c r="L472" s="19" t="str">
        <f t="shared" si="22"/>
        <v/>
      </c>
      <c r="M472" s="18" t="str">
        <f>IF(I472&lt;&gt;"Sí","",IF(YEAR(F472)&lt;&gt;2026,"",INDEX({"Enero","Febrero","Marzo","Abril","Mayo","Junio","Julio","Agosto","Septiembre","Octubre","Noviembre","Diciembre"},MONTH(F472))))</f>
        <v/>
      </c>
      <c r="N472" s="18" t="str">
        <f t="shared" si="23"/>
        <v/>
      </c>
    </row>
    <row r="473" spans="1:14" ht="14.5" x14ac:dyDescent="0.25">
      <c r="A473" s="19">
        <v>30</v>
      </c>
      <c r="B473" s="18" t="s">
        <v>37</v>
      </c>
      <c r="C473" s="18" t="s">
        <v>106</v>
      </c>
      <c r="D473" s="18" t="s">
        <v>1009</v>
      </c>
      <c r="E473" s="18" t="s">
        <v>1016</v>
      </c>
      <c r="F473" s="101">
        <v>46128.40902777778</v>
      </c>
      <c r="G473" s="101">
        <v>46134.395138888889</v>
      </c>
      <c r="H473" s="18" t="s">
        <v>1017</v>
      </c>
      <c r="I473" s="18" t="s">
        <v>508</v>
      </c>
      <c r="J473" s="18"/>
      <c r="K473" s="21">
        <f t="shared" si="21"/>
        <v>143.66666666662786</v>
      </c>
      <c r="L473" s="19">
        <f t="shared" si="22"/>
        <v>10</v>
      </c>
      <c r="M473" s="18" t="str">
        <f>IF(I473&lt;&gt;"Sí","",IF(YEAR(F473)&lt;&gt;2026,"",INDEX({"Enero","Febrero","Marzo","Abril","Mayo","Junio","Julio","Agosto","Septiembre","Octubre","Noviembre","Diciembre"},MONTH(F473))))</f>
        <v>Abril</v>
      </c>
      <c r="N473" s="18" t="str">
        <f t="shared" si="23"/>
        <v>Abril|10</v>
      </c>
    </row>
    <row r="474" spans="1:14" ht="14.5" x14ac:dyDescent="0.25">
      <c r="A474" s="19">
        <v>30</v>
      </c>
      <c r="B474" s="18" t="s">
        <v>37</v>
      </c>
      <c r="C474" s="18" t="s">
        <v>106</v>
      </c>
      <c r="D474" s="18" t="s">
        <v>1009</v>
      </c>
      <c r="E474" s="18" t="s">
        <v>1019</v>
      </c>
      <c r="F474" s="101">
        <v>46128.40902777778</v>
      </c>
      <c r="G474" s="101">
        <v>46134.395138888889</v>
      </c>
      <c r="H474" s="18" t="s">
        <v>1017</v>
      </c>
      <c r="I474" s="18" t="s">
        <v>508</v>
      </c>
      <c r="J474" s="18"/>
      <c r="K474" s="21">
        <f t="shared" si="21"/>
        <v>143.66666666662786</v>
      </c>
      <c r="L474" s="19">
        <f t="shared" si="22"/>
        <v>10</v>
      </c>
      <c r="M474" s="18" t="str">
        <f>IF(I474&lt;&gt;"Sí","",IF(YEAR(F474)&lt;&gt;2026,"",INDEX({"Enero","Febrero","Marzo","Abril","Mayo","Junio","Julio","Agosto","Septiembre","Octubre","Noviembre","Diciembre"},MONTH(F474))))</f>
        <v>Abril</v>
      </c>
      <c r="N474" s="18" t="str">
        <f t="shared" si="23"/>
        <v>Abril|10</v>
      </c>
    </row>
    <row r="475" spans="1:14" ht="14.5" x14ac:dyDescent="0.25">
      <c r="A475" s="19">
        <v>30</v>
      </c>
      <c r="B475" s="18" t="s">
        <v>37</v>
      </c>
      <c r="C475" s="18" t="s">
        <v>89</v>
      </c>
      <c r="D475" s="18" t="s">
        <v>1006</v>
      </c>
      <c r="E475" s="18" t="s">
        <v>1022</v>
      </c>
      <c r="F475" s="101">
        <v>46128.535416666666</v>
      </c>
      <c r="G475" s="101">
        <v>46131.786805555559</v>
      </c>
      <c r="H475" s="18" t="s">
        <v>507</v>
      </c>
      <c r="I475" s="18" t="s">
        <v>508</v>
      </c>
      <c r="J475" s="18"/>
      <c r="K475" s="21">
        <f t="shared" si="21"/>
        <v>78.033333333441988</v>
      </c>
      <c r="L475" s="19">
        <f t="shared" si="22"/>
        <v>11</v>
      </c>
      <c r="M475" s="18" t="str">
        <f>IF(I475&lt;&gt;"Sí","",IF(YEAR(F475)&lt;&gt;2026,"",INDEX({"Enero","Febrero","Marzo","Abril","Mayo","Junio","Julio","Agosto","Septiembre","Octubre","Noviembre","Diciembre"},MONTH(F475))))</f>
        <v>Abril</v>
      </c>
      <c r="N475" s="18" t="str">
        <f t="shared" si="23"/>
        <v>Abril|11</v>
      </c>
    </row>
    <row r="476" spans="1:14" ht="14.5" x14ac:dyDescent="0.25">
      <c r="A476" s="19">
        <v>30</v>
      </c>
      <c r="B476" s="18" t="s">
        <v>37</v>
      </c>
      <c r="C476" s="18" t="s">
        <v>110</v>
      </c>
      <c r="D476" s="18" t="s">
        <v>1023</v>
      </c>
      <c r="E476" s="18" t="s">
        <v>1024</v>
      </c>
      <c r="F476" s="101">
        <v>46133.62777777778</v>
      </c>
      <c r="G476" s="101">
        <v>46139.253472222219</v>
      </c>
      <c r="H476" s="18" t="s">
        <v>507</v>
      </c>
      <c r="I476" s="18" t="s">
        <v>508</v>
      </c>
      <c r="J476" s="18"/>
      <c r="K476" s="21">
        <f t="shared" si="21"/>
        <v>135.01666666654637</v>
      </c>
      <c r="L476" s="19">
        <f t="shared" si="22"/>
        <v>3</v>
      </c>
      <c r="M476" s="18" t="str">
        <f>IF(I476&lt;&gt;"Sí","",IF(YEAR(F476)&lt;&gt;2026,"",INDEX({"Enero","Febrero","Marzo","Abril","Mayo","Junio","Julio","Agosto","Septiembre","Octubre","Noviembre","Diciembre"},MONTH(F476))))</f>
        <v>Abril</v>
      </c>
      <c r="N476" s="18" t="str">
        <f t="shared" si="23"/>
        <v>Abril|3</v>
      </c>
    </row>
    <row r="477" spans="1:14" ht="14.5" x14ac:dyDescent="0.25">
      <c r="A477" s="19">
        <v>30</v>
      </c>
      <c r="B477" s="18" t="s">
        <v>37</v>
      </c>
      <c r="C477" s="18" t="s">
        <v>110</v>
      </c>
      <c r="D477" s="18" t="s">
        <v>1023</v>
      </c>
      <c r="E477" s="18" t="s">
        <v>1025</v>
      </c>
      <c r="F477" s="101">
        <v>46134.527083333334</v>
      </c>
      <c r="G477" s="101">
        <v>46139.253472222219</v>
      </c>
      <c r="H477" s="18" t="s">
        <v>507</v>
      </c>
      <c r="I477" s="18" t="s">
        <v>508</v>
      </c>
      <c r="J477" s="18"/>
      <c r="K477" s="21">
        <f t="shared" si="21"/>
        <v>113.43333333323244</v>
      </c>
      <c r="L477" s="19">
        <f t="shared" si="22"/>
        <v>2</v>
      </c>
      <c r="M477" s="18" t="str">
        <f>IF(I477&lt;&gt;"Sí","",IF(YEAR(F477)&lt;&gt;2026,"",INDEX({"Enero","Febrero","Marzo","Abril","Mayo","Junio","Julio","Agosto","Septiembre","Octubre","Noviembre","Diciembre"},MONTH(F477))))</f>
        <v>Abril</v>
      </c>
      <c r="N477" s="18" t="str">
        <f t="shared" si="23"/>
        <v>Abril|2</v>
      </c>
    </row>
    <row r="478" spans="1:14" ht="14.5" x14ac:dyDescent="0.25">
      <c r="A478" s="19">
        <v>31</v>
      </c>
      <c r="B478" s="18" t="s">
        <v>38</v>
      </c>
      <c r="C478" s="18" t="s">
        <v>143</v>
      </c>
      <c r="D478" s="18" t="s">
        <v>1026</v>
      </c>
      <c r="E478" s="18" t="s">
        <v>1027</v>
      </c>
      <c r="F478" s="101">
        <v>46134.615972222222</v>
      </c>
      <c r="G478" s="101">
        <v>46144.238194444442</v>
      </c>
      <c r="H478" s="18" t="s">
        <v>507</v>
      </c>
      <c r="I478" s="18" t="s">
        <v>508</v>
      </c>
      <c r="J478" s="18"/>
      <c r="K478" s="21">
        <f t="shared" si="21"/>
        <v>230.93333333329065</v>
      </c>
      <c r="L478" s="19">
        <f t="shared" si="22"/>
        <v>3</v>
      </c>
      <c r="M478" s="18" t="str">
        <f>IF(I478&lt;&gt;"Sí","",IF(YEAR(F478)&lt;&gt;2026,"",INDEX({"Enero","Febrero","Marzo","Abril","Mayo","Junio","Julio","Agosto","Septiembre","Octubre","Noviembre","Diciembre"},MONTH(F478))))</f>
        <v>Abril</v>
      </c>
      <c r="N478" s="18" t="str">
        <f t="shared" si="23"/>
        <v>Abril|3</v>
      </c>
    </row>
    <row r="479" spans="1:14" ht="14.5" x14ac:dyDescent="0.25">
      <c r="A479" s="19">
        <v>31</v>
      </c>
      <c r="B479" s="18" t="s">
        <v>38</v>
      </c>
      <c r="C479" s="18" t="s">
        <v>112</v>
      </c>
      <c r="D479" s="18" t="s">
        <v>1028</v>
      </c>
      <c r="E479" s="18" t="s">
        <v>1029</v>
      </c>
      <c r="F479" s="101">
        <v>46135.486805555556</v>
      </c>
      <c r="G479" s="101">
        <v>46145.84652777778</v>
      </c>
      <c r="H479" s="18" t="s">
        <v>507</v>
      </c>
      <c r="I479" s="18" t="s">
        <v>508</v>
      </c>
      <c r="J479" s="18"/>
      <c r="K479" s="21">
        <f t="shared" si="21"/>
        <v>248.6333333333605</v>
      </c>
      <c r="L479" s="19">
        <f t="shared" si="22"/>
        <v>5</v>
      </c>
      <c r="M479" s="18" t="str">
        <f>IF(I479&lt;&gt;"Sí","",IF(YEAR(F479)&lt;&gt;2026,"",INDEX({"Enero","Febrero","Marzo","Abril","Mayo","Junio","Julio","Agosto","Septiembre","Octubre","Noviembre","Diciembre"},MONTH(F479))))</f>
        <v>Abril</v>
      </c>
      <c r="N479" s="18" t="str">
        <f t="shared" si="23"/>
        <v>Abril|5</v>
      </c>
    </row>
    <row r="480" spans="1:14" ht="14.5" x14ac:dyDescent="0.25">
      <c r="A480" s="19">
        <v>31</v>
      </c>
      <c r="B480" s="18" t="s">
        <v>38</v>
      </c>
      <c r="C480" s="18" t="s">
        <v>112</v>
      </c>
      <c r="D480" s="18" t="s">
        <v>1028</v>
      </c>
      <c r="E480" s="18" t="s">
        <v>1030</v>
      </c>
      <c r="F480" s="101">
        <v>46135.486805555556</v>
      </c>
      <c r="G480" s="101">
        <v>46145.84652777778</v>
      </c>
      <c r="H480" s="18" t="s">
        <v>507</v>
      </c>
      <c r="I480" s="18" t="s">
        <v>508</v>
      </c>
      <c r="J480" s="18"/>
      <c r="K480" s="21">
        <f t="shared" si="21"/>
        <v>248.6333333333605</v>
      </c>
      <c r="L480" s="19">
        <f t="shared" si="22"/>
        <v>5</v>
      </c>
      <c r="M480" s="18" t="str">
        <f>IF(I480&lt;&gt;"Sí","",IF(YEAR(F480)&lt;&gt;2026,"",INDEX({"Enero","Febrero","Marzo","Abril","Mayo","Junio","Julio","Agosto","Septiembre","Octubre","Noviembre","Diciembre"},MONTH(F480))))</f>
        <v>Abril</v>
      </c>
      <c r="N480" s="18" t="str">
        <f t="shared" si="23"/>
        <v>Abril|5</v>
      </c>
    </row>
    <row r="481" spans="1:14" ht="14.5" x14ac:dyDescent="0.25">
      <c r="A481" s="19">
        <v>30</v>
      </c>
      <c r="B481" s="18" t="s">
        <v>37</v>
      </c>
      <c r="C481" s="18" t="s">
        <v>92</v>
      </c>
      <c r="D481" s="18" t="s">
        <v>1031</v>
      </c>
      <c r="E481" s="18" t="s">
        <v>1032</v>
      </c>
      <c r="F481" s="101"/>
      <c r="G481" s="101">
        <v>46136.366666666669</v>
      </c>
      <c r="H481" s="18" t="s">
        <v>1017</v>
      </c>
      <c r="I481" s="18" t="s">
        <v>555</v>
      </c>
      <c r="J481" s="18" t="s">
        <v>556</v>
      </c>
      <c r="K481" s="21" t="str">
        <f t="shared" si="21"/>
        <v/>
      </c>
      <c r="L481" s="19" t="str">
        <f t="shared" si="22"/>
        <v/>
      </c>
      <c r="M481" s="18" t="str">
        <f>IF(I481&lt;&gt;"Sí","",IF(YEAR(F481)&lt;&gt;2026,"",INDEX({"Enero","Febrero","Marzo","Abril","Mayo","Junio","Julio","Agosto","Septiembre","Octubre","Noviembre","Diciembre"},MONTH(F481))))</f>
        <v/>
      </c>
      <c r="N481" s="18" t="str">
        <f t="shared" si="23"/>
        <v/>
      </c>
    </row>
    <row r="482" spans="1:14" ht="14.5" x14ac:dyDescent="0.25">
      <c r="A482" s="19">
        <v>30</v>
      </c>
      <c r="B482" s="18" t="s">
        <v>37</v>
      </c>
      <c r="C482" s="18" t="s">
        <v>92</v>
      </c>
      <c r="D482" s="18" t="s">
        <v>1031</v>
      </c>
      <c r="E482" s="18" t="s">
        <v>1033</v>
      </c>
      <c r="F482" s="101"/>
      <c r="G482" s="101">
        <v>46136.366666666669</v>
      </c>
      <c r="H482" s="18" t="s">
        <v>1017</v>
      </c>
      <c r="I482" s="18" t="s">
        <v>555</v>
      </c>
      <c r="J482" s="18" t="s">
        <v>556</v>
      </c>
      <c r="K482" s="21" t="str">
        <f t="shared" si="21"/>
        <v/>
      </c>
      <c r="L482" s="19" t="str">
        <f t="shared" si="22"/>
        <v/>
      </c>
      <c r="M482" s="18" t="str">
        <f>IF(I482&lt;&gt;"Sí","",IF(YEAR(F482)&lt;&gt;2026,"",INDEX({"Enero","Febrero","Marzo","Abril","Mayo","Junio","Julio","Agosto","Septiembre","Octubre","Noviembre","Diciembre"},MONTH(F482))))</f>
        <v/>
      </c>
      <c r="N482" s="18" t="str">
        <f t="shared" si="23"/>
        <v/>
      </c>
    </row>
    <row r="483" spans="1:14" ht="14.5" x14ac:dyDescent="0.25">
      <c r="A483" s="19">
        <v>31</v>
      </c>
      <c r="B483" s="18" t="s">
        <v>38</v>
      </c>
      <c r="C483" s="18" t="s">
        <v>112</v>
      </c>
      <c r="D483" s="18" t="s">
        <v>1028</v>
      </c>
      <c r="E483" s="18" t="s">
        <v>1034</v>
      </c>
      <c r="F483" s="101">
        <v>46137.446527777778</v>
      </c>
      <c r="G483" s="101">
        <v>46145.811111111114</v>
      </c>
      <c r="H483" s="18" t="s">
        <v>507</v>
      </c>
      <c r="I483" s="18" t="s">
        <v>508</v>
      </c>
      <c r="J483" s="18"/>
      <c r="K483" s="21">
        <f t="shared" si="21"/>
        <v>200.75000000005821</v>
      </c>
      <c r="L483" s="19">
        <f t="shared" si="22"/>
        <v>6</v>
      </c>
      <c r="M483" s="18" t="str">
        <f>IF(I483&lt;&gt;"Sí","",IF(YEAR(F483)&lt;&gt;2026,"",INDEX({"Enero","Febrero","Marzo","Abril","Mayo","Junio","Julio","Agosto","Septiembre","Octubre","Noviembre","Diciembre"},MONTH(F483))))</f>
        <v>Abril</v>
      </c>
      <c r="N483" s="18" t="str">
        <f t="shared" si="23"/>
        <v>Abril|6</v>
      </c>
    </row>
    <row r="484" spans="1:14" ht="14.5" x14ac:dyDescent="0.25">
      <c r="A484" s="19">
        <v>31</v>
      </c>
      <c r="B484" s="18" t="s">
        <v>38</v>
      </c>
      <c r="C484" s="18" t="s">
        <v>112</v>
      </c>
      <c r="D484" s="18" t="s">
        <v>1028</v>
      </c>
      <c r="E484" s="18" t="s">
        <v>1035</v>
      </c>
      <c r="F484" s="101">
        <v>46139.479166666664</v>
      </c>
      <c r="G484" s="101">
        <v>46145.811111111114</v>
      </c>
      <c r="H484" s="18" t="s">
        <v>507</v>
      </c>
      <c r="I484" s="18" t="s">
        <v>508</v>
      </c>
      <c r="J484" s="18"/>
      <c r="K484" s="21">
        <f t="shared" si="21"/>
        <v>151.96666666679084</v>
      </c>
      <c r="L484" s="19">
        <f t="shared" si="22"/>
        <v>5</v>
      </c>
      <c r="M484" s="18" t="str">
        <f>IF(I484&lt;&gt;"Sí","",IF(YEAR(F484)&lt;&gt;2026,"",INDEX({"Enero","Febrero","Marzo","Abril","Mayo","Junio","Julio","Agosto","Septiembre","Octubre","Noviembre","Diciembre"},MONTH(F484))))</f>
        <v>Abril</v>
      </c>
      <c r="N484" s="18" t="str">
        <f t="shared" si="23"/>
        <v>Abril|5</v>
      </c>
    </row>
    <row r="485" spans="1:14" ht="14.5" x14ac:dyDescent="0.25">
      <c r="A485" s="19">
        <v>31</v>
      </c>
      <c r="B485" s="18" t="s">
        <v>38</v>
      </c>
      <c r="C485" s="18" t="s">
        <v>112</v>
      </c>
      <c r="D485" s="18" t="s">
        <v>1028</v>
      </c>
      <c r="E485" s="18" t="s">
        <v>1036</v>
      </c>
      <c r="F485" s="101">
        <v>46139.484722222223</v>
      </c>
      <c r="G485" s="101">
        <v>46145.804166666669</v>
      </c>
      <c r="H485" s="18" t="s">
        <v>507</v>
      </c>
      <c r="I485" s="18" t="s">
        <v>508</v>
      </c>
      <c r="J485" s="18"/>
      <c r="K485" s="21">
        <f t="shared" si="21"/>
        <v>151.66666666668607</v>
      </c>
      <c r="L485" s="19">
        <f t="shared" si="22"/>
        <v>8</v>
      </c>
      <c r="M485" s="18" t="str">
        <f>IF(I485&lt;&gt;"Sí","",IF(YEAR(F485)&lt;&gt;2026,"",INDEX({"Enero","Febrero","Marzo","Abril","Mayo","Junio","Julio","Agosto","Septiembre","Octubre","Noviembre","Diciembre"},MONTH(F485))))</f>
        <v>Abril</v>
      </c>
      <c r="N485" s="18" t="str">
        <f t="shared" si="23"/>
        <v>Abril|8</v>
      </c>
    </row>
    <row r="486" spans="1:14" ht="14.5" x14ac:dyDescent="0.25">
      <c r="A486" s="19">
        <v>31</v>
      </c>
      <c r="B486" s="18" t="s">
        <v>38</v>
      </c>
      <c r="C486" s="18" t="s">
        <v>112</v>
      </c>
      <c r="D486" s="18" t="s">
        <v>1028</v>
      </c>
      <c r="E486" s="18" t="s">
        <v>1037</v>
      </c>
      <c r="F486" s="101">
        <v>46139.484722222223</v>
      </c>
      <c r="G486" s="101">
        <v>46145.804166666669</v>
      </c>
      <c r="H486" s="18" t="s">
        <v>507</v>
      </c>
      <c r="I486" s="18" t="s">
        <v>508</v>
      </c>
      <c r="J486" s="18"/>
      <c r="K486" s="21">
        <f t="shared" si="21"/>
        <v>151.66666666668607</v>
      </c>
      <c r="L486" s="19">
        <f t="shared" si="22"/>
        <v>8</v>
      </c>
      <c r="M486" s="18" t="str">
        <f>IF(I486&lt;&gt;"Sí","",IF(YEAR(F486)&lt;&gt;2026,"",INDEX({"Enero","Febrero","Marzo","Abril","Mayo","Junio","Julio","Agosto","Septiembre","Octubre","Noviembre","Diciembre"},MONTH(F486))))</f>
        <v>Abril</v>
      </c>
      <c r="N486" s="18" t="str">
        <f t="shared" si="23"/>
        <v>Abril|8</v>
      </c>
    </row>
    <row r="487" spans="1:14" ht="14.5" x14ac:dyDescent="0.25">
      <c r="A487" s="19">
        <v>31</v>
      </c>
      <c r="B487" s="18" t="s">
        <v>38</v>
      </c>
      <c r="C487" s="18" t="s">
        <v>112</v>
      </c>
      <c r="D487" s="18" t="s">
        <v>1028</v>
      </c>
      <c r="E487" s="18" t="s">
        <v>1038</v>
      </c>
      <c r="F487" s="101">
        <v>46139.484722222223</v>
      </c>
      <c r="G487" s="101">
        <v>46145.804166666669</v>
      </c>
      <c r="H487" s="18" t="s">
        <v>507</v>
      </c>
      <c r="I487" s="18" t="s">
        <v>508</v>
      </c>
      <c r="J487" s="18"/>
      <c r="K487" s="21">
        <f t="shared" si="21"/>
        <v>151.66666666668607</v>
      </c>
      <c r="L487" s="19">
        <f t="shared" si="22"/>
        <v>8</v>
      </c>
      <c r="M487" s="18" t="str">
        <f>IF(I487&lt;&gt;"Sí","",IF(YEAR(F487)&lt;&gt;2026,"",INDEX({"Enero","Febrero","Marzo","Abril","Mayo","Junio","Julio","Agosto","Septiembre","Octubre","Noviembre","Diciembre"},MONTH(F487))))</f>
        <v>Abril</v>
      </c>
      <c r="N487" s="18" t="str">
        <f t="shared" si="23"/>
        <v>Abril|8</v>
      </c>
    </row>
    <row r="488" spans="1:14" ht="14.5" x14ac:dyDescent="0.25">
      <c r="A488" s="19">
        <v>31</v>
      </c>
      <c r="B488" s="18" t="s">
        <v>38</v>
      </c>
      <c r="C488" s="18" t="s">
        <v>112</v>
      </c>
      <c r="D488" s="18" t="s">
        <v>1028</v>
      </c>
      <c r="E488" s="18" t="s">
        <v>1039</v>
      </c>
      <c r="F488" s="101">
        <v>46139.509027777778</v>
      </c>
      <c r="G488" s="101">
        <v>46145.197222222225</v>
      </c>
      <c r="H488" s="18" t="s">
        <v>507</v>
      </c>
      <c r="I488" s="18" t="s">
        <v>508</v>
      </c>
      <c r="J488" s="18"/>
      <c r="K488" s="21">
        <f t="shared" si="21"/>
        <v>136.51666666672099</v>
      </c>
      <c r="L488" s="19">
        <f t="shared" si="22"/>
        <v>9</v>
      </c>
      <c r="M488" s="18" t="str">
        <f>IF(I488&lt;&gt;"Sí","",IF(YEAR(F488)&lt;&gt;2026,"",INDEX({"Enero","Febrero","Marzo","Abril","Mayo","Junio","Julio","Agosto","Septiembre","Octubre","Noviembre","Diciembre"},MONTH(F488))))</f>
        <v>Abril</v>
      </c>
      <c r="N488" s="18" t="str">
        <f t="shared" si="23"/>
        <v>Abril|9</v>
      </c>
    </row>
    <row r="489" spans="1:14" ht="14.5" x14ac:dyDescent="0.25">
      <c r="A489" s="19">
        <v>30</v>
      </c>
      <c r="B489" s="18" t="s">
        <v>37</v>
      </c>
      <c r="C489" s="18" t="s">
        <v>106</v>
      </c>
      <c r="D489" s="18" t="s">
        <v>1040</v>
      </c>
      <c r="E489" s="18" t="s">
        <v>1041</v>
      </c>
      <c r="F489" s="101">
        <v>46139.691666666666</v>
      </c>
      <c r="G489" s="101">
        <v>46141.181250000001</v>
      </c>
      <c r="H489" s="18" t="s">
        <v>507</v>
      </c>
      <c r="I489" s="18" t="s">
        <v>508</v>
      </c>
      <c r="J489" s="18"/>
      <c r="K489" s="21">
        <f t="shared" si="21"/>
        <v>35.750000000058208</v>
      </c>
      <c r="L489" s="19">
        <f t="shared" si="22"/>
        <v>10</v>
      </c>
      <c r="M489" s="18" t="str">
        <f>IF(I489&lt;&gt;"Sí","",IF(YEAR(F489)&lt;&gt;2026,"",INDEX({"Enero","Febrero","Marzo","Abril","Mayo","Junio","Julio","Agosto","Septiembre","Octubre","Noviembre","Diciembre"},MONTH(F489))))</f>
        <v>Abril</v>
      </c>
      <c r="N489" s="18" t="str">
        <f t="shared" si="23"/>
        <v>Abril|10</v>
      </c>
    </row>
    <row r="490" spans="1:14" ht="14.5" x14ac:dyDescent="0.25">
      <c r="A490" s="19">
        <v>31</v>
      </c>
      <c r="B490" s="18" t="s">
        <v>38</v>
      </c>
      <c r="C490" s="18" t="s">
        <v>112</v>
      </c>
      <c r="D490" s="18" t="s">
        <v>1028</v>
      </c>
      <c r="E490" s="18" t="s">
        <v>1042</v>
      </c>
      <c r="F490" s="101">
        <v>46140.484027777777</v>
      </c>
      <c r="G490" s="101">
        <v>46145.804166666669</v>
      </c>
      <c r="H490" s="18" t="s">
        <v>507</v>
      </c>
      <c r="I490" s="18" t="s">
        <v>508</v>
      </c>
      <c r="J490" s="18"/>
      <c r="K490" s="21">
        <f t="shared" si="21"/>
        <v>127.68333333340706</v>
      </c>
      <c r="L490" s="19">
        <f t="shared" si="22"/>
        <v>11</v>
      </c>
      <c r="M490" s="18" t="str">
        <f>IF(I490&lt;&gt;"Sí","",IF(YEAR(F490)&lt;&gt;2026,"",INDEX({"Enero","Febrero","Marzo","Abril","Mayo","Junio","Julio","Agosto","Septiembre","Octubre","Noviembre","Diciembre"},MONTH(F490))))</f>
        <v>Abril</v>
      </c>
      <c r="N490" s="18" t="str">
        <f t="shared" si="23"/>
        <v>Abril|11</v>
      </c>
    </row>
    <row r="491" spans="1:14" ht="14.5" x14ac:dyDescent="0.25">
      <c r="A491" s="19">
        <v>30</v>
      </c>
      <c r="B491" s="18" t="s">
        <v>37</v>
      </c>
      <c r="C491" s="18" t="s">
        <v>106</v>
      </c>
      <c r="D491" s="18" t="s">
        <v>1040</v>
      </c>
      <c r="E491" s="18" t="s">
        <v>1043</v>
      </c>
      <c r="F491" s="101"/>
      <c r="G491" s="101">
        <v>46140.993055555555</v>
      </c>
      <c r="H491" s="18" t="s">
        <v>1017</v>
      </c>
      <c r="I491" s="18" t="s">
        <v>555</v>
      </c>
      <c r="J491" s="18" t="s">
        <v>556</v>
      </c>
      <c r="K491" s="21" t="str">
        <f t="shared" si="21"/>
        <v/>
      </c>
      <c r="L491" s="19" t="str">
        <f t="shared" si="22"/>
        <v/>
      </c>
      <c r="M491" s="18" t="str">
        <f>IF(I491&lt;&gt;"Sí","",IF(YEAR(F491)&lt;&gt;2026,"",INDEX({"Enero","Febrero","Marzo","Abril","Mayo","Junio","Julio","Agosto","Septiembre","Octubre","Noviembre","Diciembre"},MONTH(F491))))</f>
        <v/>
      </c>
      <c r="N491" s="18" t="str">
        <f t="shared" si="23"/>
        <v/>
      </c>
    </row>
    <row r="492" spans="1:14" ht="14.5" x14ac:dyDescent="0.25">
      <c r="A492" s="19">
        <v>30</v>
      </c>
      <c r="B492" s="18" t="s">
        <v>37</v>
      </c>
      <c r="C492" s="18" t="s">
        <v>106</v>
      </c>
      <c r="D492" s="18" t="s">
        <v>1040</v>
      </c>
      <c r="E492" s="18" t="s">
        <v>1044</v>
      </c>
      <c r="F492" s="101"/>
      <c r="G492" s="101">
        <v>46140.993055555555</v>
      </c>
      <c r="H492" s="18" t="s">
        <v>1017</v>
      </c>
      <c r="I492" s="18" t="s">
        <v>555</v>
      </c>
      <c r="J492" s="18" t="s">
        <v>556</v>
      </c>
      <c r="K492" s="21" t="str">
        <f t="shared" si="21"/>
        <v/>
      </c>
      <c r="L492" s="19" t="str">
        <f t="shared" si="22"/>
        <v/>
      </c>
      <c r="M492" s="18" t="str">
        <f>IF(I492&lt;&gt;"Sí","",IF(YEAR(F492)&lt;&gt;2026,"",INDEX({"Enero","Febrero","Marzo","Abril","Mayo","Junio","Julio","Agosto","Septiembre","Octubre","Noviembre","Diciembre"},MONTH(F492))))</f>
        <v/>
      </c>
      <c r="N492" s="18" t="str">
        <f t="shared" si="23"/>
        <v/>
      </c>
    </row>
    <row r="493" spans="1:14" ht="14.5" x14ac:dyDescent="0.25">
      <c r="A493" s="19">
        <v>30</v>
      </c>
      <c r="B493" s="18" t="s">
        <v>37</v>
      </c>
      <c r="C493" s="18" t="s">
        <v>106</v>
      </c>
      <c r="D493" s="18" t="s">
        <v>1040</v>
      </c>
      <c r="E493" s="18" t="s">
        <v>1043</v>
      </c>
      <c r="F493" s="101">
        <v>46141.011805555558</v>
      </c>
      <c r="G493" s="101">
        <v>46141.53402777778</v>
      </c>
      <c r="H493" s="18" t="s">
        <v>1017</v>
      </c>
      <c r="I493" s="18" t="s">
        <v>508</v>
      </c>
      <c r="J493" s="18"/>
      <c r="K493" s="21">
        <f t="shared" si="21"/>
        <v>12.533333333325572</v>
      </c>
      <c r="L493" s="19">
        <f t="shared" si="22"/>
        <v>12</v>
      </c>
      <c r="M493" s="18" t="str">
        <f>IF(I493&lt;&gt;"Sí","",IF(YEAR(F493)&lt;&gt;2026,"",INDEX({"Enero","Febrero","Marzo","Abril","Mayo","Junio","Julio","Agosto","Septiembre","Octubre","Noviembre","Diciembre"},MONTH(F493))))</f>
        <v>Abril</v>
      </c>
      <c r="N493" s="18" t="str">
        <f t="shared" si="23"/>
        <v>Abril|12</v>
      </c>
    </row>
    <row r="494" spans="1:14" ht="14.5" x14ac:dyDescent="0.25">
      <c r="A494" s="19">
        <v>31</v>
      </c>
      <c r="B494" s="18" t="s">
        <v>38</v>
      </c>
      <c r="C494" s="18" t="s">
        <v>112</v>
      </c>
      <c r="D494" s="18" t="s">
        <v>1028</v>
      </c>
      <c r="E494" s="18" t="s">
        <v>1045</v>
      </c>
      <c r="F494" s="101">
        <v>46141.465277777781</v>
      </c>
      <c r="G494" s="101">
        <v>46145.195138888892</v>
      </c>
      <c r="H494" s="18" t="s">
        <v>507</v>
      </c>
      <c r="I494" s="18" t="s">
        <v>508</v>
      </c>
      <c r="J494" s="18"/>
      <c r="K494" s="21">
        <f t="shared" si="21"/>
        <v>89.516666666662786</v>
      </c>
      <c r="L494" s="19">
        <f t="shared" si="22"/>
        <v>12</v>
      </c>
      <c r="M494" s="18" t="str">
        <f>IF(I494&lt;&gt;"Sí","",IF(YEAR(F494)&lt;&gt;2026,"",INDEX({"Enero","Febrero","Marzo","Abril","Mayo","Junio","Julio","Agosto","Septiembre","Octubre","Noviembre","Diciembre"},MONTH(F494))))</f>
        <v>Abril</v>
      </c>
      <c r="N494" s="18" t="str">
        <f t="shared" si="23"/>
        <v>Abril|12</v>
      </c>
    </row>
    <row r="495" spans="1:14" ht="14.5" x14ac:dyDescent="0.25">
      <c r="A495" s="19">
        <v>31</v>
      </c>
      <c r="B495" s="18" t="s">
        <v>38</v>
      </c>
      <c r="C495" s="18" t="s">
        <v>112</v>
      </c>
      <c r="D495" s="18" t="s">
        <v>1028</v>
      </c>
      <c r="E495" s="18" t="s">
        <v>1046</v>
      </c>
      <c r="F495" s="101">
        <v>46141.50277777778</v>
      </c>
      <c r="G495" s="101">
        <v>46145.791666666664</v>
      </c>
      <c r="H495" s="18" t="s">
        <v>507</v>
      </c>
      <c r="I495" s="18" t="s">
        <v>508</v>
      </c>
      <c r="J495" s="18"/>
      <c r="K495" s="21">
        <f t="shared" si="21"/>
        <v>102.93333333323244</v>
      </c>
      <c r="L495" s="19">
        <f t="shared" si="22"/>
        <v>13</v>
      </c>
      <c r="M495" s="18" t="str">
        <f>IF(I495&lt;&gt;"Sí","",IF(YEAR(F495)&lt;&gt;2026,"",INDEX({"Enero","Febrero","Marzo","Abril","Mayo","Junio","Julio","Agosto","Septiembre","Octubre","Noviembre","Diciembre"},MONTH(F495))))</f>
        <v>Abril</v>
      </c>
      <c r="N495" s="18" t="str">
        <f t="shared" si="23"/>
        <v>Abril|13</v>
      </c>
    </row>
    <row r="496" spans="1:14" ht="14.5" x14ac:dyDescent="0.25">
      <c r="A496" s="19">
        <v>31</v>
      </c>
      <c r="B496" s="18" t="s">
        <v>38</v>
      </c>
      <c r="C496" s="18" t="s">
        <v>112</v>
      </c>
      <c r="D496" s="18" t="s">
        <v>1028</v>
      </c>
      <c r="E496" s="18" t="s">
        <v>1047</v>
      </c>
      <c r="F496" s="101">
        <v>46141.623611111114</v>
      </c>
      <c r="G496" s="101">
        <v>46145.791666666664</v>
      </c>
      <c r="H496" s="18" t="s">
        <v>507</v>
      </c>
      <c r="I496" s="18" t="s">
        <v>508</v>
      </c>
      <c r="J496" s="18"/>
      <c r="K496" s="21">
        <f t="shared" si="21"/>
        <v>100.03333333320916</v>
      </c>
      <c r="L496" s="19">
        <f t="shared" si="22"/>
        <v>13</v>
      </c>
      <c r="M496" s="18" t="str">
        <f>IF(I496&lt;&gt;"Sí","",IF(YEAR(F496)&lt;&gt;2026,"",INDEX({"Enero","Febrero","Marzo","Abril","Mayo","Junio","Julio","Agosto","Septiembre","Octubre","Noviembre","Diciembre"},MONTH(F496))))</f>
        <v>Abril</v>
      </c>
      <c r="N496" s="18" t="str">
        <f t="shared" si="23"/>
        <v>Abril|13</v>
      </c>
    </row>
    <row r="497" spans="1:14" ht="14.5" x14ac:dyDescent="0.25">
      <c r="A497" s="19">
        <v>31</v>
      </c>
      <c r="B497" s="18" t="s">
        <v>38</v>
      </c>
      <c r="C497" s="18" t="s">
        <v>112</v>
      </c>
      <c r="D497" s="18" t="s">
        <v>1028</v>
      </c>
      <c r="E497" s="18" t="s">
        <v>1048</v>
      </c>
      <c r="F497" s="101">
        <v>46141.638194444444</v>
      </c>
      <c r="G497" s="101">
        <v>46145.791666666664</v>
      </c>
      <c r="H497" s="18" t="s">
        <v>507</v>
      </c>
      <c r="I497" s="18" t="s">
        <v>508</v>
      </c>
      <c r="J497" s="18"/>
      <c r="K497" s="21">
        <f t="shared" si="21"/>
        <v>99.683333333290648</v>
      </c>
      <c r="L497" s="19">
        <f t="shared" si="22"/>
        <v>15</v>
      </c>
      <c r="M497" s="18" t="str">
        <f>IF(I497&lt;&gt;"Sí","",IF(YEAR(F497)&lt;&gt;2026,"",INDEX({"Enero","Febrero","Marzo","Abril","Mayo","Junio","Julio","Agosto","Septiembre","Octubre","Noviembre","Diciembre"},MONTH(F497))))</f>
        <v>Abril</v>
      </c>
      <c r="N497" s="18" t="str">
        <f t="shared" si="23"/>
        <v>Abril|15</v>
      </c>
    </row>
    <row r="498" spans="1:14" ht="14.5" x14ac:dyDescent="0.25">
      <c r="A498" s="19">
        <v>31</v>
      </c>
      <c r="B498" s="18" t="s">
        <v>38</v>
      </c>
      <c r="C498" s="18" t="s">
        <v>112</v>
      </c>
      <c r="D498" s="18" t="s">
        <v>1028</v>
      </c>
      <c r="E498" s="18" t="s">
        <v>1049</v>
      </c>
      <c r="F498" s="101">
        <v>46141.638194444444</v>
      </c>
      <c r="G498" s="101">
        <v>46145.791666666664</v>
      </c>
      <c r="H498" s="18" t="s">
        <v>507</v>
      </c>
      <c r="I498" s="18" t="s">
        <v>508</v>
      </c>
      <c r="J498" s="18"/>
      <c r="K498" s="21">
        <f t="shared" si="21"/>
        <v>99.683333333290648</v>
      </c>
      <c r="L498" s="19">
        <f t="shared" si="22"/>
        <v>15</v>
      </c>
      <c r="M498" s="18" t="str">
        <f>IF(I498&lt;&gt;"Sí","",IF(YEAR(F498)&lt;&gt;2026,"",INDEX({"Enero","Febrero","Marzo","Abril","Mayo","Junio","Julio","Agosto","Septiembre","Octubre","Noviembre","Diciembre"},MONTH(F498))))</f>
        <v>Abril</v>
      </c>
      <c r="N498" s="18" t="str">
        <f t="shared" si="23"/>
        <v>Abril|15</v>
      </c>
    </row>
    <row r="499" spans="1:14" ht="14.5" x14ac:dyDescent="0.25">
      <c r="A499" s="19">
        <v>31</v>
      </c>
      <c r="B499" s="18" t="s">
        <v>38</v>
      </c>
      <c r="C499" s="18" t="s">
        <v>112</v>
      </c>
      <c r="D499" s="18" t="s">
        <v>1028</v>
      </c>
      <c r="E499" s="18" t="s">
        <v>1050</v>
      </c>
      <c r="F499" s="101">
        <v>46142.519444444442</v>
      </c>
      <c r="G499" s="101">
        <v>46145.791666666664</v>
      </c>
      <c r="H499" s="18" t="s">
        <v>507</v>
      </c>
      <c r="I499" s="18" t="s">
        <v>508</v>
      </c>
      <c r="J499" s="18"/>
      <c r="K499" s="21">
        <f t="shared" si="21"/>
        <v>78.533333333325572</v>
      </c>
      <c r="L499" s="19">
        <f t="shared" si="22"/>
        <v>16</v>
      </c>
      <c r="M499" s="18" t="str">
        <f>IF(I499&lt;&gt;"Sí","",IF(YEAR(F499)&lt;&gt;2026,"",INDEX({"Enero","Febrero","Marzo","Abril","Mayo","Junio","Julio","Agosto","Septiembre","Octubre","Noviembre","Diciembre"},MONTH(F499))))</f>
        <v>Abril</v>
      </c>
      <c r="N499" s="18" t="str">
        <f t="shared" si="23"/>
        <v>Abril|16</v>
      </c>
    </row>
    <row r="500" spans="1:14" ht="14.5" x14ac:dyDescent="0.25">
      <c r="A500" s="19">
        <v>31</v>
      </c>
      <c r="B500" s="18" t="s">
        <v>38</v>
      </c>
      <c r="C500" s="18" t="s">
        <v>95</v>
      </c>
      <c r="D500" s="18" t="s">
        <v>1051</v>
      </c>
      <c r="E500" s="18" t="s">
        <v>1052</v>
      </c>
      <c r="F500" s="101"/>
      <c r="G500" s="101">
        <v>46143.363194444442</v>
      </c>
      <c r="H500" s="18" t="s">
        <v>1017</v>
      </c>
      <c r="I500" s="18" t="s">
        <v>555</v>
      </c>
      <c r="J500" s="18" t="s">
        <v>556</v>
      </c>
      <c r="K500" s="21" t="str">
        <f t="shared" si="21"/>
        <v/>
      </c>
      <c r="L500" s="19" t="str">
        <f t="shared" si="22"/>
        <v/>
      </c>
      <c r="M500" s="18" t="str">
        <f>IF(I500&lt;&gt;"Sí","",IF(YEAR(F500)&lt;&gt;2026,"",INDEX({"Enero","Febrero","Marzo","Abril","Mayo","Junio","Julio","Agosto","Septiembre","Octubre","Noviembre","Diciembre"},MONTH(F500))))</f>
        <v/>
      </c>
      <c r="N500" s="18" t="str">
        <f t="shared" si="23"/>
        <v/>
      </c>
    </row>
    <row r="501" spans="1:14" ht="14.5" x14ac:dyDescent="0.25">
      <c r="A501" s="19">
        <v>31</v>
      </c>
      <c r="B501" s="18" t="s">
        <v>38</v>
      </c>
      <c r="C501" s="18" t="s">
        <v>95</v>
      </c>
      <c r="D501" s="18" t="s">
        <v>1051</v>
      </c>
      <c r="E501" s="18" t="s">
        <v>1053</v>
      </c>
      <c r="F501" s="101"/>
      <c r="G501" s="101">
        <v>46143.363194444442</v>
      </c>
      <c r="H501" s="18" t="s">
        <v>1017</v>
      </c>
      <c r="I501" s="18" t="s">
        <v>555</v>
      </c>
      <c r="J501" s="18" t="s">
        <v>556</v>
      </c>
      <c r="K501" s="21" t="str">
        <f t="shared" si="21"/>
        <v/>
      </c>
      <c r="L501" s="19" t="str">
        <f t="shared" si="22"/>
        <v/>
      </c>
      <c r="M501" s="18" t="str">
        <f>IF(I501&lt;&gt;"Sí","",IF(YEAR(F501)&lt;&gt;2026,"",INDEX({"Enero","Febrero","Marzo","Abril","Mayo","Junio","Julio","Agosto","Septiembre","Octubre","Noviembre","Diciembre"},MONTH(F501))))</f>
        <v/>
      </c>
      <c r="N501" s="18" t="str">
        <f t="shared" si="23"/>
        <v/>
      </c>
    </row>
    <row r="502" spans="1:14" ht="14.5" x14ac:dyDescent="0.25">
      <c r="A502" s="19">
        <v>31</v>
      </c>
      <c r="B502" s="18" t="s">
        <v>38</v>
      </c>
      <c r="C502" s="18" t="s">
        <v>95</v>
      </c>
      <c r="D502" s="18" t="s">
        <v>1051</v>
      </c>
      <c r="E502" s="18" t="s">
        <v>1052</v>
      </c>
      <c r="F502" s="101">
        <v>46143.484722222223</v>
      </c>
      <c r="G502" s="101">
        <v>46146.554861111108</v>
      </c>
      <c r="H502" s="18" t="s">
        <v>1017</v>
      </c>
      <c r="I502" s="18" t="s">
        <v>508</v>
      </c>
      <c r="J502" s="18"/>
      <c r="K502" s="21">
        <f t="shared" si="21"/>
        <v>73.68333333323244</v>
      </c>
      <c r="L502" s="19">
        <f t="shared" si="22"/>
        <v>18</v>
      </c>
      <c r="M502" s="18" t="str">
        <f>IF(I502&lt;&gt;"Sí","",IF(YEAR(F502)&lt;&gt;2026,"",INDEX({"Enero","Febrero","Marzo","Abril","Mayo","Junio","Julio","Agosto","Septiembre","Octubre","Noviembre","Diciembre"},MONTH(F502))))</f>
        <v>Mayo</v>
      </c>
      <c r="N502" s="18" t="str">
        <f t="shared" si="23"/>
        <v>Mayo|18</v>
      </c>
    </row>
    <row r="503" spans="1:14" ht="14.5" x14ac:dyDescent="0.25">
      <c r="A503" s="19">
        <v>31</v>
      </c>
      <c r="B503" s="18" t="s">
        <v>38</v>
      </c>
      <c r="C503" s="18" t="s">
        <v>95</v>
      </c>
      <c r="D503" s="18" t="s">
        <v>1051</v>
      </c>
      <c r="E503" s="18" t="s">
        <v>1053</v>
      </c>
      <c r="F503" s="101">
        <v>46143.484722222223</v>
      </c>
      <c r="G503" s="101">
        <v>46146.554861111108</v>
      </c>
      <c r="H503" s="18" t="s">
        <v>1017</v>
      </c>
      <c r="I503" s="18" t="s">
        <v>508</v>
      </c>
      <c r="J503" s="18"/>
      <c r="K503" s="21">
        <f t="shared" si="21"/>
        <v>73.68333333323244</v>
      </c>
      <c r="L503" s="19">
        <f t="shared" si="22"/>
        <v>18</v>
      </c>
      <c r="M503" s="18" t="str">
        <f>IF(I503&lt;&gt;"Sí","",IF(YEAR(F503)&lt;&gt;2026,"",INDEX({"Enero","Febrero","Marzo","Abril","Mayo","Junio","Julio","Agosto","Septiembre","Octubre","Noviembre","Diciembre"},MONTH(F503))))</f>
        <v>Mayo</v>
      </c>
      <c r="N503" s="18" t="str">
        <f t="shared" si="23"/>
        <v>Mayo|18</v>
      </c>
    </row>
    <row r="504" spans="1:14" ht="14.5" x14ac:dyDescent="0.25">
      <c r="A504" s="19">
        <v>31</v>
      </c>
      <c r="B504" s="18" t="s">
        <v>38</v>
      </c>
      <c r="C504" s="18" t="s">
        <v>1054</v>
      </c>
      <c r="D504" s="18" t="s">
        <v>1055</v>
      </c>
      <c r="E504" s="18" t="s">
        <v>1056</v>
      </c>
      <c r="F504" s="101">
        <v>46144.470138888886</v>
      </c>
      <c r="G504" s="101">
        <v>46153.010416666664</v>
      </c>
      <c r="H504" s="18" t="s">
        <v>507</v>
      </c>
      <c r="I504" s="18" t="s">
        <v>508</v>
      </c>
      <c r="J504" s="18"/>
      <c r="K504" s="21">
        <f t="shared" si="21"/>
        <v>204.96666666667443</v>
      </c>
      <c r="L504" s="19">
        <f t="shared" si="22"/>
        <v>18</v>
      </c>
      <c r="M504" s="18" t="str">
        <f>IF(I504&lt;&gt;"Sí","",IF(YEAR(F504)&lt;&gt;2026,"",INDEX({"Enero","Febrero","Marzo","Abril","Mayo","Junio","Julio","Agosto","Septiembre","Octubre","Noviembre","Diciembre"},MONTH(F504))))</f>
        <v>Mayo</v>
      </c>
      <c r="N504" s="18" t="str">
        <f t="shared" si="23"/>
        <v>Mayo|18</v>
      </c>
    </row>
    <row r="505" spans="1:14" ht="14.5" x14ac:dyDescent="0.25">
      <c r="A505" s="19">
        <v>31</v>
      </c>
      <c r="B505" s="18" t="s">
        <v>38</v>
      </c>
      <c r="C505" s="18" t="s">
        <v>1054</v>
      </c>
      <c r="D505" s="18" t="s">
        <v>1055</v>
      </c>
      <c r="E505" s="18" t="s">
        <v>1057</v>
      </c>
      <c r="F505" s="101">
        <v>46144.540972222225</v>
      </c>
      <c r="G505" s="101">
        <v>46153.693749999999</v>
      </c>
      <c r="H505" s="18" t="s">
        <v>507</v>
      </c>
      <c r="I505" s="18" t="s">
        <v>508</v>
      </c>
      <c r="J505" s="18"/>
      <c r="K505" s="21">
        <f t="shared" si="21"/>
        <v>219.66666666656965</v>
      </c>
      <c r="L505" s="19">
        <f t="shared" si="22"/>
        <v>21</v>
      </c>
      <c r="M505" s="18" t="str">
        <f>IF(I505&lt;&gt;"Sí","",IF(YEAR(F505)&lt;&gt;2026,"",INDEX({"Enero","Febrero","Marzo","Abril","Mayo","Junio","Julio","Agosto","Septiembre","Octubre","Noviembre","Diciembre"},MONTH(F505))))</f>
        <v>Mayo</v>
      </c>
      <c r="N505" s="18" t="str">
        <f t="shared" si="23"/>
        <v>Mayo|21</v>
      </c>
    </row>
    <row r="506" spans="1:14" ht="14.5" x14ac:dyDescent="0.25">
      <c r="A506" s="19">
        <v>31</v>
      </c>
      <c r="B506" s="18" t="s">
        <v>38</v>
      </c>
      <c r="C506" s="18" t="s">
        <v>1054</v>
      </c>
      <c r="D506" s="18" t="s">
        <v>1055</v>
      </c>
      <c r="E506" s="18" t="s">
        <v>1058</v>
      </c>
      <c r="F506" s="101">
        <v>46144.540972222225</v>
      </c>
      <c r="G506" s="101">
        <v>46153.010416666664</v>
      </c>
      <c r="H506" s="18" t="s">
        <v>507</v>
      </c>
      <c r="I506" s="18" t="s">
        <v>508</v>
      </c>
      <c r="J506" s="18"/>
      <c r="K506" s="21">
        <f t="shared" si="21"/>
        <v>203.26666666654637</v>
      </c>
      <c r="L506" s="19">
        <f t="shared" si="22"/>
        <v>21</v>
      </c>
      <c r="M506" s="18" t="str">
        <f>IF(I506&lt;&gt;"Sí","",IF(YEAR(F506)&lt;&gt;2026,"",INDEX({"Enero","Febrero","Marzo","Abril","Mayo","Junio","Julio","Agosto","Septiembre","Octubre","Noviembre","Diciembre"},MONTH(F506))))</f>
        <v>Mayo</v>
      </c>
      <c r="N506" s="18" t="str">
        <f t="shared" si="23"/>
        <v>Mayo|21</v>
      </c>
    </row>
    <row r="507" spans="1:14" ht="14.5" x14ac:dyDescent="0.25">
      <c r="A507" s="19">
        <v>31</v>
      </c>
      <c r="B507" s="18" t="s">
        <v>38</v>
      </c>
      <c r="C507" s="18" t="s">
        <v>1054</v>
      </c>
      <c r="D507" s="18" t="s">
        <v>1055</v>
      </c>
      <c r="E507" s="18" t="s">
        <v>1059</v>
      </c>
      <c r="F507" s="101">
        <v>46144.540972222225</v>
      </c>
      <c r="G507" s="101">
        <v>46153.010416666664</v>
      </c>
      <c r="H507" s="18" t="s">
        <v>507</v>
      </c>
      <c r="I507" s="18" t="s">
        <v>508</v>
      </c>
      <c r="J507" s="18"/>
      <c r="K507" s="21">
        <f t="shared" si="21"/>
        <v>203.26666666654637</v>
      </c>
      <c r="L507" s="19">
        <f t="shared" si="22"/>
        <v>21</v>
      </c>
      <c r="M507" s="18" t="str">
        <f>IF(I507&lt;&gt;"Sí","",IF(YEAR(F507)&lt;&gt;2026,"",INDEX({"Enero","Febrero","Marzo","Abril","Mayo","Junio","Julio","Agosto","Septiembre","Octubre","Noviembre","Diciembre"},MONTH(F507))))</f>
        <v>Mayo</v>
      </c>
      <c r="N507" s="18" t="str">
        <f t="shared" si="23"/>
        <v>Mayo|21</v>
      </c>
    </row>
    <row r="508" spans="1:14" ht="14.5" x14ac:dyDescent="0.25">
      <c r="A508" s="19">
        <v>31</v>
      </c>
      <c r="B508" s="18" t="s">
        <v>38</v>
      </c>
      <c r="C508" s="18" t="s">
        <v>1054</v>
      </c>
      <c r="D508" s="18" t="s">
        <v>1055</v>
      </c>
      <c r="E508" s="18" t="s">
        <v>1060</v>
      </c>
      <c r="F508" s="101">
        <v>46146.481944444444</v>
      </c>
      <c r="G508" s="101">
        <v>46153.010416666664</v>
      </c>
      <c r="H508" s="18" t="s">
        <v>507</v>
      </c>
      <c r="I508" s="18" t="s">
        <v>508</v>
      </c>
      <c r="J508" s="18"/>
      <c r="K508" s="21">
        <f t="shared" si="21"/>
        <v>156.68333333329065</v>
      </c>
      <c r="L508" s="19">
        <f t="shared" si="22"/>
        <v>10</v>
      </c>
      <c r="M508" s="18" t="str">
        <f>IF(I508&lt;&gt;"Sí","",IF(YEAR(F508)&lt;&gt;2026,"",INDEX({"Enero","Febrero","Marzo","Abril","Mayo","Junio","Julio","Agosto","Septiembre","Octubre","Noviembre","Diciembre"},MONTH(F508))))</f>
        <v>Mayo</v>
      </c>
      <c r="N508" s="18" t="str">
        <f t="shared" si="23"/>
        <v>Mayo|10</v>
      </c>
    </row>
    <row r="509" spans="1:14" ht="14.5" x14ac:dyDescent="0.25">
      <c r="A509" s="19">
        <v>31</v>
      </c>
      <c r="B509" s="18" t="s">
        <v>38</v>
      </c>
      <c r="C509" s="18" t="s">
        <v>1054</v>
      </c>
      <c r="D509" s="18" t="s">
        <v>1055</v>
      </c>
      <c r="E509" s="18" t="s">
        <v>1061</v>
      </c>
      <c r="F509" s="101">
        <v>46146.481944444444</v>
      </c>
      <c r="G509" s="101">
        <v>46153.010416666664</v>
      </c>
      <c r="H509" s="18" t="s">
        <v>507</v>
      </c>
      <c r="I509" s="18" t="s">
        <v>508</v>
      </c>
      <c r="J509" s="18"/>
      <c r="K509" s="21">
        <f t="shared" si="21"/>
        <v>156.68333333329065</v>
      </c>
      <c r="L509" s="19">
        <f t="shared" si="22"/>
        <v>10</v>
      </c>
      <c r="M509" s="18" t="str">
        <f>IF(I509&lt;&gt;"Sí","",IF(YEAR(F509)&lt;&gt;2026,"",INDEX({"Enero","Febrero","Marzo","Abril","Mayo","Junio","Julio","Agosto","Septiembre","Octubre","Noviembre","Diciembre"},MONTH(F509))))</f>
        <v>Mayo</v>
      </c>
      <c r="N509" s="18" t="str">
        <f t="shared" si="23"/>
        <v>Mayo|10</v>
      </c>
    </row>
    <row r="510" spans="1:14" ht="14.5" x14ac:dyDescent="0.25">
      <c r="A510" s="19">
        <v>31</v>
      </c>
      <c r="B510" s="18" t="s">
        <v>38</v>
      </c>
      <c r="C510" s="18" t="s">
        <v>1054</v>
      </c>
      <c r="D510" s="18" t="s">
        <v>1055</v>
      </c>
      <c r="E510" s="18" t="s">
        <v>1062</v>
      </c>
      <c r="F510" s="101">
        <v>46146.481944444444</v>
      </c>
      <c r="G510" s="101">
        <v>46153.010416666664</v>
      </c>
      <c r="H510" s="18" t="s">
        <v>507</v>
      </c>
      <c r="I510" s="18" t="s">
        <v>508</v>
      </c>
      <c r="J510" s="18"/>
      <c r="K510" s="21">
        <f t="shared" si="21"/>
        <v>156.68333333329065</v>
      </c>
      <c r="L510" s="19">
        <f t="shared" si="22"/>
        <v>10</v>
      </c>
      <c r="M510" s="18" t="str">
        <f>IF(I510&lt;&gt;"Sí","",IF(YEAR(F510)&lt;&gt;2026,"",INDEX({"Enero","Febrero","Marzo","Abril","Mayo","Junio","Julio","Agosto","Septiembre","Octubre","Noviembre","Diciembre"},MONTH(F510))))</f>
        <v>Mayo</v>
      </c>
      <c r="N510" s="18" t="str">
        <f t="shared" si="23"/>
        <v>Mayo|10</v>
      </c>
    </row>
    <row r="511" spans="1:14" ht="14.5" x14ac:dyDescent="0.25">
      <c r="A511" s="19">
        <v>31</v>
      </c>
      <c r="B511" s="18" t="s">
        <v>38</v>
      </c>
      <c r="C511" s="18" t="s">
        <v>1054</v>
      </c>
      <c r="D511" s="18" t="s">
        <v>1055</v>
      </c>
      <c r="E511" s="18" t="s">
        <v>1063</v>
      </c>
      <c r="F511" s="101">
        <v>46146.481944444444</v>
      </c>
      <c r="G511" s="101">
        <v>46153.010416666664</v>
      </c>
      <c r="H511" s="18" t="s">
        <v>507</v>
      </c>
      <c r="I511" s="18" t="s">
        <v>508</v>
      </c>
      <c r="J511" s="18"/>
      <c r="K511" s="21">
        <f t="shared" si="21"/>
        <v>156.68333333329065</v>
      </c>
      <c r="L511" s="19">
        <f t="shared" si="22"/>
        <v>10</v>
      </c>
      <c r="M511" s="18" t="str">
        <f>IF(I511&lt;&gt;"Sí","",IF(YEAR(F511)&lt;&gt;2026,"",INDEX({"Enero","Febrero","Marzo","Abril","Mayo","Junio","Julio","Agosto","Septiembre","Octubre","Noviembre","Diciembre"},MONTH(F511))))</f>
        <v>Mayo</v>
      </c>
      <c r="N511" s="18" t="str">
        <f t="shared" si="23"/>
        <v>Mayo|10</v>
      </c>
    </row>
    <row r="512" spans="1:14" ht="14.5" x14ac:dyDescent="0.25">
      <c r="A512" s="19">
        <v>31</v>
      </c>
      <c r="B512" s="18" t="s">
        <v>38</v>
      </c>
      <c r="C512" s="18" t="s">
        <v>1054</v>
      </c>
      <c r="D512" s="18" t="s">
        <v>1055</v>
      </c>
      <c r="E512" s="18" t="s">
        <v>1064</v>
      </c>
      <c r="F512" s="101">
        <v>46146.54583333333</v>
      </c>
      <c r="G512" s="101">
        <v>46153.693749999999</v>
      </c>
      <c r="H512" s="18" t="s">
        <v>507</v>
      </c>
      <c r="I512" s="18" t="s">
        <v>508</v>
      </c>
      <c r="J512" s="18"/>
      <c r="K512" s="21">
        <f t="shared" si="21"/>
        <v>171.55000000004657</v>
      </c>
      <c r="L512" s="19">
        <f t="shared" si="22"/>
        <v>11</v>
      </c>
      <c r="M512" s="18" t="str">
        <f>IF(I512&lt;&gt;"Sí","",IF(YEAR(F512)&lt;&gt;2026,"",INDEX({"Enero","Febrero","Marzo","Abril","Mayo","Junio","Julio","Agosto","Septiembre","Octubre","Noviembre","Diciembre"},MONTH(F512))))</f>
        <v>Mayo</v>
      </c>
      <c r="N512" s="18" t="str">
        <f t="shared" si="23"/>
        <v>Mayo|11</v>
      </c>
    </row>
    <row r="513" spans="1:14" ht="14.5" x14ac:dyDescent="0.25">
      <c r="A513" s="19">
        <v>32</v>
      </c>
      <c r="B513" s="18" t="s">
        <v>39</v>
      </c>
      <c r="C513" s="18" t="s">
        <v>97</v>
      </c>
      <c r="D513" s="18" t="s">
        <v>1065</v>
      </c>
      <c r="E513" s="18" t="s">
        <v>1066</v>
      </c>
      <c r="F513" s="101"/>
      <c r="G513" s="101">
        <v>46146.979166666664</v>
      </c>
      <c r="H513" s="18" t="s">
        <v>1067</v>
      </c>
      <c r="I513" s="18" t="s">
        <v>555</v>
      </c>
      <c r="J513" s="18" t="s">
        <v>556</v>
      </c>
      <c r="K513" s="21" t="str">
        <f t="shared" si="21"/>
        <v/>
      </c>
      <c r="L513" s="19" t="str">
        <f t="shared" si="22"/>
        <v/>
      </c>
      <c r="M513" s="18" t="str">
        <f>IF(I513&lt;&gt;"Sí","",IF(YEAR(F513)&lt;&gt;2026,"",INDEX({"Enero","Febrero","Marzo","Abril","Mayo","Junio","Julio","Agosto","Septiembre","Octubre","Noviembre","Diciembre"},MONTH(F513))))</f>
        <v/>
      </c>
      <c r="N513" s="18" t="str">
        <f t="shared" si="23"/>
        <v/>
      </c>
    </row>
    <row r="514" spans="1:14" ht="14.5" x14ac:dyDescent="0.25">
      <c r="A514" s="19">
        <v>31</v>
      </c>
      <c r="B514" s="18" t="s">
        <v>38</v>
      </c>
      <c r="C514" s="18" t="s">
        <v>1054</v>
      </c>
      <c r="D514" s="18" t="s">
        <v>1055</v>
      </c>
      <c r="E514" s="18" t="s">
        <v>1068</v>
      </c>
      <c r="F514" s="101">
        <v>46148.592361111114</v>
      </c>
      <c r="G514" s="101">
        <v>46153.010416666664</v>
      </c>
      <c r="H514" s="18" t="s">
        <v>507</v>
      </c>
      <c r="I514" s="18" t="s">
        <v>508</v>
      </c>
      <c r="J514" s="18"/>
      <c r="K514" s="21">
        <f t="shared" si="21"/>
        <v>106.03333333320916</v>
      </c>
      <c r="L514" s="19">
        <f t="shared" si="22"/>
        <v>12</v>
      </c>
      <c r="M514" s="18" t="str">
        <f>IF(I514&lt;&gt;"Sí","",IF(YEAR(F514)&lt;&gt;2026,"",INDEX({"Enero","Febrero","Marzo","Abril","Mayo","Junio","Julio","Agosto","Septiembre","Octubre","Noviembre","Diciembre"},MONTH(F514))))</f>
        <v>Mayo</v>
      </c>
      <c r="N514" s="18" t="str">
        <f t="shared" si="23"/>
        <v>Mayo|12</v>
      </c>
    </row>
    <row r="515" spans="1:14" ht="14.5" x14ac:dyDescent="0.25">
      <c r="A515" s="19">
        <v>31</v>
      </c>
      <c r="B515" s="18" t="s">
        <v>38</v>
      </c>
      <c r="C515" s="18" t="s">
        <v>1054</v>
      </c>
      <c r="D515" s="18" t="s">
        <v>1055</v>
      </c>
      <c r="E515" s="18" t="s">
        <v>1069</v>
      </c>
      <c r="F515" s="101">
        <v>46148.592361111114</v>
      </c>
      <c r="G515" s="101">
        <v>46153.010416666664</v>
      </c>
      <c r="H515" s="18" t="s">
        <v>507</v>
      </c>
      <c r="I515" s="18" t="s">
        <v>508</v>
      </c>
      <c r="J515" s="18"/>
      <c r="K515" s="21">
        <f t="shared" si="21"/>
        <v>106.03333333320916</v>
      </c>
      <c r="L515" s="19">
        <f t="shared" si="22"/>
        <v>12</v>
      </c>
      <c r="M515" s="18" t="str">
        <f>IF(I515&lt;&gt;"Sí","",IF(YEAR(F515)&lt;&gt;2026,"",INDEX({"Enero","Febrero","Marzo","Abril","Mayo","Junio","Julio","Agosto","Septiembre","Octubre","Noviembre","Diciembre"},MONTH(F515))))</f>
        <v>Mayo</v>
      </c>
      <c r="N515" s="18" t="str">
        <f t="shared" si="23"/>
        <v>Mayo|12</v>
      </c>
    </row>
    <row r="516" spans="1:14" ht="14.5" x14ac:dyDescent="0.25">
      <c r="A516" s="19">
        <v>31</v>
      </c>
      <c r="B516" s="18" t="s">
        <v>38</v>
      </c>
      <c r="C516" s="18" t="s">
        <v>1054</v>
      </c>
      <c r="D516" s="18" t="s">
        <v>1055</v>
      </c>
      <c r="E516" s="18" t="s">
        <v>1070</v>
      </c>
      <c r="F516" s="101">
        <v>46148.592361111114</v>
      </c>
      <c r="G516" s="101">
        <v>46153.693749999999</v>
      </c>
      <c r="H516" s="18" t="s">
        <v>507</v>
      </c>
      <c r="I516" s="18" t="s">
        <v>508</v>
      </c>
      <c r="J516" s="18"/>
      <c r="K516" s="21">
        <f t="shared" si="21"/>
        <v>122.43333333323244</v>
      </c>
      <c r="L516" s="19">
        <f t="shared" si="22"/>
        <v>12</v>
      </c>
      <c r="M516" s="18" t="str">
        <f>IF(I516&lt;&gt;"Sí","",IF(YEAR(F516)&lt;&gt;2026,"",INDEX({"Enero","Febrero","Marzo","Abril","Mayo","Junio","Julio","Agosto","Septiembre","Octubre","Noviembre","Diciembre"},MONTH(F516))))</f>
        <v>Mayo</v>
      </c>
      <c r="N516" s="18" t="str">
        <f t="shared" si="23"/>
        <v>Mayo|12</v>
      </c>
    </row>
    <row r="517" spans="1:14" ht="14.5" x14ac:dyDescent="0.25">
      <c r="A517" s="19">
        <v>31</v>
      </c>
      <c r="B517" s="18" t="s">
        <v>38</v>
      </c>
      <c r="C517" s="18" t="s">
        <v>1071</v>
      </c>
      <c r="D517" s="18" t="s">
        <v>1072</v>
      </c>
      <c r="E517" s="18" t="s">
        <v>1073</v>
      </c>
      <c r="F517" s="101">
        <v>46148.700694444444</v>
      </c>
      <c r="G517" s="101">
        <v>46148.460416666669</v>
      </c>
      <c r="H517" s="18" t="s">
        <v>1074</v>
      </c>
      <c r="I517" s="18" t="s">
        <v>555</v>
      </c>
      <c r="J517" s="18" t="s">
        <v>755</v>
      </c>
      <c r="K517" s="21" t="str">
        <f t="shared" si="21"/>
        <v/>
      </c>
      <c r="L517" s="19" t="str">
        <f t="shared" si="22"/>
        <v/>
      </c>
      <c r="M517" s="18" t="str">
        <f>IF(I517&lt;&gt;"Sí","",IF(YEAR(F517)&lt;&gt;2026,"",INDEX({"Enero","Febrero","Marzo","Abril","Mayo","Junio","Julio","Agosto","Septiembre","Octubre","Noviembre","Diciembre"},MONTH(F517))))</f>
        <v/>
      </c>
      <c r="N517" s="18" t="str">
        <f t="shared" si="23"/>
        <v/>
      </c>
    </row>
    <row r="518" spans="1:14" ht="14.5" x14ac:dyDescent="0.25">
      <c r="A518" s="19">
        <v>31</v>
      </c>
      <c r="B518" s="18" t="s">
        <v>38</v>
      </c>
      <c r="C518" s="18" t="s">
        <v>1071</v>
      </c>
      <c r="D518" s="18" t="s">
        <v>1072</v>
      </c>
      <c r="E518" s="18" t="s">
        <v>1075</v>
      </c>
      <c r="F518" s="101">
        <v>46148.700694444444</v>
      </c>
      <c r="G518" s="101">
        <v>46148.460416666669</v>
      </c>
      <c r="H518" s="18" t="s">
        <v>1074</v>
      </c>
      <c r="I518" s="18" t="s">
        <v>555</v>
      </c>
      <c r="J518" s="18" t="s">
        <v>755</v>
      </c>
      <c r="K518" s="21" t="str">
        <f t="shared" si="21"/>
        <v/>
      </c>
      <c r="L518" s="19" t="str">
        <f t="shared" si="22"/>
        <v/>
      </c>
      <c r="M518" s="18" t="str">
        <f>IF(I518&lt;&gt;"Sí","",IF(YEAR(F518)&lt;&gt;2026,"",INDEX({"Enero","Febrero","Marzo","Abril","Mayo","Junio","Julio","Agosto","Septiembre","Octubre","Noviembre","Diciembre"},MONTH(F518))))</f>
        <v/>
      </c>
      <c r="N518" s="18" t="str">
        <f t="shared" si="23"/>
        <v/>
      </c>
    </row>
    <row r="519" spans="1:14" ht="14.5" x14ac:dyDescent="0.25">
      <c r="A519" s="19">
        <v>31</v>
      </c>
      <c r="B519" s="18" t="s">
        <v>38</v>
      </c>
      <c r="C519" s="18" t="s">
        <v>116</v>
      </c>
      <c r="D519" s="18" t="s">
        <v>1076</v>
      </c>
      <c r="E519" s="18" t="s">
        <v>1077</v>
      </c>
      <c r="F519" s="101">
        <v>46149.48333333333</v>
      </c>
      <c r="G519" s="101">
        <v>46158.751388888886</v>
      </c>
      <c r="H519" s="18" t="s">
        <v>507</v>
      </c>
      <c r="I519" s="18" t="s">
        <v>508</v>
      </c>
      <c r="J519" s="18"/>
      <c r="K519" s="21">
        <f t="shared" ref="K519:K582" si="24">IF(I519="Sí",(G519-F519)*24,"")</f>
        <v>222.43333333334886</v>
      </c>
      <c r="L519" s="19">
        <f t="shared" ref="L519:L582" si="25">IF(I519="Sí",COUNTIFS($F$7:$F$4000,"&lt;="&amp;F519,$G$7:$G$4000,"&gt;"&amp;F519,$I$7:$I$4000,"Sí"),"")</f>
        <v>14</v>
      </c>
      <c r="M519" s="18" t="str">
        <f>IF(I519&lt;&gt;"Sí","",IF(YEAR(F519)&lt;&gt;2026,"",INDEX({"Enero","Febrero","Marzo","Abril","Mayo","Junio","Julio","Agosto","Septiembre","Octubre","Noviembre","Diciembre"},MONTH(F519))))</f>
        <v>Mayo</v>
      </c>
      <c r="N519" s="18" t="str">
        <f t="shared" ref="N519:N582" si="26">IF(M519="","",M519&amp;"|"&amp;L519)</f>
        <v>Mayo|14</v>
      </c>
    </row>
    <row r="520" spans="1:14" ht="14.5" x14ac:dyDescent="0.25">
      <c r="A520" s="19">
        <v>31</v>
      </c>
      <c r="B520" s="18" t="s">
        <v>38</v>
      </c>
      <c r="C520" s="18" t="s">
        <v>116</v>
      </c>
      <c r="D520" s="18" t="s">
        <v>1076</v>
      </c>
      <c r="E520" s="18" t="s">
        <v>1078</v>
      </c>
      <c r="F520" s="101">
        <v>46149.48333333333</v>
      </c>
      <c r="G520" s="101">
        <v>46158.800694444442</v>
      </c>
      <c r="H520" s="18" t="s">
        <v>507</v>
      </c>
      <c r="I520" s="18" t="s">
        <v>508</v>
      </c>
      <c r="J520" s="18"/>
      <c r="K520" s="21">
        <f t="shared" si="24"/>
        <v>223.61666666669771</v>
      </c>
      <c r="L520" s="19">
        <f t="shared" si="25"/>
        <v>14</v>
      </c>
      <c r="M520" s="18" t="str">
        <f>IF(I520&lt;&gt;"Sí","",IF(YEAR(F520)&lt;&gt;2026,"",INDEX({"Enero","Febrero","Marzo","Abril","Mayo","Junio","Julio","Agosto","Septiembre","Octubre","Noviembre","Diciembre"},MONTH(F520))))</f>
        <v>Mayo</v>
      </c>
      <c r="N520" s="18" t="str">
        <f t="shared" si="26"/>
        <v>Mayo|14</v>
      </c>
    </row>
    <row r="521" spans="1:14" ht="14.5" x14ac:dyDescent="0.25">
      <c r="A521" s="19">
        <v>31</v>
      </c>
      <c r="B521" s="18" t="s">
        <v>38</v>
      </c>
      <c r="C521" s="18" t="s">
        <v>116</v>
      </c>
      <c r="D521" s="18" t="s">
        <v>1076</v>
      </c>
      <c r="E521" s="18" t="s">
        <v>1079</v>
      </c>
      <c r="F521" s="101">
        <v>46150.48333333333</v>
      </c>
      <c r="G521" s="101">
        <v>46158.800694444442</v>
      </c>
      <c r="H521" s="18" t="s">
        <v>507</v>
      </c>
      <c r="I521" s="18" t="s">
        <v>508</v>
      </c>
      <c r="J521" s="18"/>
      <c r="K521" s="21">
        <f t="shared" si="24"/>
        <v>199.61666666669771</v>
      </c>
      <c r="L521" s="19">
        <f t="shared" si="25"/>
        <v>15</v>
      </c>
      <c r="M521" s="18" t="str">
        <f>IF(I521&lt;&gt;"Sí","",IF(YEAR(F521)&lt;&gt;2026,"",INDEX({"Enero","Febrero","Marzo","Abril","Mayo","Junio","Julio","Agosto","Septiembre","Octubre","Noviembre","Diciembre"},MONTH(F521))))</f>
        <v>Mayo</v>
      </c>
      <c r="N521" s="18" t="str">
        <f t="shared" si="26"/>
        <v>Mayo|15</v>
      </c>
    </row>
    <row r="522" spans="1:14" ht="14.5" x14ac:dyDescent="0.25">
      <c r="A522" s="19">
        <v>31</v>
      </c>
      <c r="B522" s="18" t="s">
        <v>38</v>
      </c>
      <c r="C522" s="18" t="s">
        <v>116</v>
      </c>
      <c r="D522" s="18" t="s">
        <v>1076</v>
      </c>
      <c r="E522" s="18" t="s">
        <v>1080</v>
      </c>
      <c r="F522" s="101">
        <v>46151.438888888886</v>
      </c>
      <c r="G522" s="101">
        <v>46158.800694444442</v>
      </c>
      <c r="H522" s="18" t="s">
        <v>507</v>
      </c>
      <c r="I522" s="18" t="s">
        <v>508</v>
      </c>
      <c r="J522" s="18"/>
      <c r="K522" s="21">
        <f t="shared" si="24"/>
        <v>176.68333333334886</v>
      </c>
      <c r="L522" s="19">
        <f t="shared" si="25"/>
        <v>16</v>
      </c>
      <c r="M522" s="18" t="str">
        <f>IF(I522&lt;&gt;"Sí","",IF(YEAR(F522)&lt;&gt;2026,"",INDEX({"Enero","Febrero","Marzo","Abril","Mayo","Junio","Julio","Agosto","Septiembre","Octubre","Noviembre","Diciembre"},MONTH(F522))))</f>
        <v>Mayo</v>
      </c>
      <c r="N522" s="18" t="str">
        <f t="shared" si="26"/>
        <v>Mayo|16</v>
      </c>
    </row>
    <row r="523" spans="1:14" ht="14.5" x14ac:dyDescent="0.25">
      <c r="A523" s="19">
        <v>31</v>
      </c>
      <c r="B523" s="18" t="s">
        <v>38</v>
      </c>
      <c r="C523" s="18" t="s">
        <v>116</v>
      </c>
      <c r="D523" s="18" t="s">
        <v>1076</v>
      </c>
      <c r="E523" s="18" t="s">
        <v>1081</v>
      </c>
      <c r="F523" s="101">
        <v>46151.462500000001</v>
      </c>
      <c r="G523" s="101">
        <v>46158.751388888886</v>
      </c>
      <c r="H523" s="18" t="s">
        <v>507</v>
      </c>
      <c r="I523" s="18" t="s">
        <v>508</v>
      </c>
      <c r="J523" s="18"/>
      <c r="K523" s="21">
        <f t="shared" si="24"/>
        <v>174.93333333323244</v>
      </c>
      <c r="L523" s="19">
        <f t="shared" si="25"/>
        <v>17</v>
      </c>
      <c r="M523" s="18" t="str">
        <f>IF(I523&lt;&gt;"Sí","",IF(YEAR(F523)&lt;&gt;2026,"",INDEX({"Enero","Febrero","Marzo","Abril","Mayo","Junio","Julio","Agosto","Septiembre","Octubre","Noviembre","Diciembre"},MONTH(F523))))</f>
        <v>Mayo</v>
      </c>
      <c r="N523" s="18" t="str">
        <f t="shared" si="26"/>
        <v>Mayo|17</v>
      </c>
    </row>
    <row r="524" spans="1:14" ht="14.5" x14ac:dyDescent="0.25">
      <c r="A524" s="19">
        <v>31</v>
      </c>
      <c r="B524" s="18" t="s">
        <v>38</v>
      </c>
      <c r="C524" s="18" t="s">
        <v>97</v>
      </c>
      <c r="D524" s="18" t="s">
        <v>1082</v>
      </c>
      <c r="E524" s="18" t="s">
        <v>1083</v>
      </c>
      <c r="F524" s="101"/>
      <c r="G524" s="101">
        <v>46151.98541666667</v>
      </c>
      <c r="H524" s="18" t="s">
        <v>1017</v>
      </c>
      <c r="I524" s="18" t="s">
        <v>555</v>
      </c>
      <c r="J524" s="18" t="s">
        <v>556</v>
      </c>
      <c r="K524" s="21" t="str">
        <f t="shared" si="24"/>
        <v/>
      </c>
      <c r="L524" s="19" t="str">
        <f t="shared" si="25"/>
        <v/>
      </c>
      <c r="M524" s="18" t="str">
        <f>IF(I524&lt;&gt;"Sí","",IF(YEAR(F524)&lt;&gt;2026,"",INDEX({"Enero","Febrero","Marzo","Abril","Mayo","Junio","Julio","Agosto","Septiembre","Octubre","Noviembre","Diciembre"},MONTH(F524))))</f>
        <v/>
      </c>
      <c r="N524" s="18" t="str">
        <f t="shared" si="26"/>
        <v/>
      </c>
    </row>
    <row r="525" spans="1:14" ht="14.5" x14ac:dyDescent="0.25">
      <c r="A525" s="19">
        <v>31</v>
      </c>
      <c r="B525" s="18" t="s">
        <v>38</v>
      </c>
      <c r="C525" s="18" t="s">
        <v>1054</v>
      </c>
      <c r="D525" s="18" t="s">
        <v>1055</v>
      </c>
      <c r="E525" s="18" t="s">
        <v>1084</v>
      </c>
      <c r="F525" s="101"/>
      <c r="G525" s="101">
        <v>46152.768055555556</v>
      </c>
      <c r="H525" s="18" t="s">
        <v>1017</v>
      </c>
      <c r="I525" s="18" t="s">
        <v>555</v>
      </c>
      <c r="J525" s="18" t="s">
        <v>556</v>
      </c>
      <c r="K525" s="21" t="str">
        <f t="shared" si="24"/>
        <v/>
      </c>
      <c r="L525" s="19" t="str">
        <f t="shared" si="25"/>
        <v/>
      </c>
      <c r="M525" s="18" t="str">
        <f>IF(I525&lt;&gt;"Sí","",IF(YEAR(F525)&lt;&gt;2026,"",INDEX({"Enero","Febrero","Marzo","Abril","Mayo","Junio","Julio","Agosto","Septiembre","Octubre","Noviembre","Diciembre"},MONTH(F525))))</f>
        <v/>
      </c>
      <c r="N525" s="18" t="str">
        <f t="shared" si="26"/>
        <v/>
      </c>
    </row>
    <row r="526" spans="1:14" ht="14.5" x14ac:dyDescent="0.25">
      <c r="A526" s="19">
        <v>31</v>
      </c>
      <c r="B526" s="18" t="s">
        <v>38</v>
      </c>
      <c r="C526" s="18" t="s">
        <v>1054</v>
      </c>
      <c r="D526" s="18" t="s">
        <v>1055</v>
      </c>
      <c r="E526" s="18" t="s">
        <v>1084</v>
      </c>
      <c r="F526" s="101">
        <v>46152.802083333336</v>
      </c>
      <c r="G526" s="101">
        <v>46154.673611111109</v>
      </c>
      <c r="H526" s="18" t="s">
        <v>1017</v>
      </c>
      <c r="I526" s="18" t="s">
        <v>508</v>
      </c>
      <c r="J526" s="18"/>
      <c r="K526" s="21">
        <f t="shared" si="24"/>
        <v>44.916666666569654</v>
      </c>
      <c r="L526" s="19">
        <f t="shared" si="25"/>
        <v>18</v>
      </c>
      <c r="M526" s="18" t="str">
        <f>IF(I526&lt;&gt;"Sí","",IF(YEAR(F526)&lt;&gt;2026,"",INDEX({"Enero","Febrero","Marzo","Abril","Mayo","Junio","Julio","Agosto","Septiembre","Octubre","Noviembre","Diciembre"},MONTH(F526))))</f>
        <v>Mayo</v>
      </c>
      <c r="N526" s="18" t="str">
        <f t="shared" si="26"/>
        <v>Mayo|18</v>
      </c>
    </row>
    <row r="527" spans="1:14" ht="14.5" x14ac:dyDescent="0.25">
      <c r="A527" s="19">
        <v>31</v>
      </c>
      <c r="B527" s="18" t="s">
        <v>38</v>
      </c>
      <c r="C527" s="18" t="s">
        <v>116</v>
      </c>
      <c r="D527" s="18" t="s">
        <v>1076</v>
      </c>
      <c r="E527" s="18" t="s">
        <v>1085</v>
      </c>
      <c r="F527" s="101">
        <v>46153.493750000001</v>
      </c>
      <c r="G527" s="101">
        <v>46158.751388888886</v>
      </c>
      <c r="H527" s="18" t="s">
        <v>507</v>
      </c>
      <c r="I527" s="18" t="s">
        <v>508</v>
      </c>
      <c r="J527" s="18"/>
      <c r="K527" s="21">
        <f t="shared" si="24"/>
        <v>126.18333333323244</v>
      </c>
      <c r="L527" s="19">
        <f t="shared" si="25"/>
        <v>12</v>
      </c>
      <c r="M527" s="18" t="str">
        <f>IF(I527&lt;&gt;"Sí","",IF(YEAR(F527)&lt;&gt;2026,"",INDEX({"Enero","Febrero","Marzo","Abril","Mayo","Junio","Julio","Agosto","Septiembre","Octubre","Noviembre","Diciembre"},MONTH(F527))))</f>
        <v>Mayo</v>
      </c>
      <c r="N527" s="18" t="str">
        <f t="shared" si="26"/>
        <v>Mayo|12</v>
      </c>
    </row>
    <row r="528" spans="1:14" ht="14.5" x14ac:dyDescent="0.25">
      <c r="A528" s="19">
        <v>31</v>
      </c>
      <c r="B528" s="18" t="s">
        <v>38</v>
      </c>
      <c r="C528" s="18" t="s">
        <v>116</v>
      </c>
      <c r="D528" s="18" t="s">
        <v>1076</v>
      </c>
      <c r="E528" s="18" t="s">
        <v>1086</v>
      </c>
      <c r="F528" s="101">
        <v>46153.493750000001</v>
      </c>
      <c r="G528" s="101">
        <v>46158.800694444442</v>
      </c>
      <c r="H528" s="18" t="s">
        <v>507</v>
      </c>
      <c r="I528" s="18" t="s">
        <v>508</v>
      </c>
      <c r="J528" s="18"/>
      <c r="K528" s="21">
        <f t="shared" si="24"/>
        <v>127.3666666665813</v>
      </c>
      <c r="L528" s="19">
        <f t="shared" si="25"/>
        <v>12</v>
      </c>
      <c r="M528" s="18" t="str">
        <f>IF(I528&lt;&gt;"Sí","",IF(YEAR(F528)&lt;&gt;2026,"",INDEX({"Enero","Febrero","Marzo","Abril","Mayo","Junio","Julio","Agosto","Septiembre","Octubre","Noviembre","Diciembre"},MONTH(F528))))</f>
        <v>Mayo</v>
      </c>
      <c r="N528" s="18" t="str">
        <f t="shared" si="26"/>
        <v>Mayo|12</v>
      </c>
    </row>
    <row r="529" spans="1:14" ht="14.5" x14ac:dyDescent="0.25">
      <c r="A529" s="19">
        <v>31</v>
      </c>
      <c r="B529" s="18" t="s">
        <v>38</v>
      </c>
      <c r="C529" s="18" t="s">
        <v>116</v>
      </c>
      <c r="D529" s="18" t="s">
        <v>1076</v>
      </c>
      <c r="E529" s="18" t="s">
        <v>1087</v>
      </c>
      <c r="F529" s="101">
        <v>46153.493750000001</v>
      </c>
      <c r="G529" s="101">
        <v>46158.751388888886</v>
      </c>
      <c r="H529" s="18" t="s">
        <v>507</v>
      </c>
      <c r="I529" s="18" t="s">
        <v>508</v>
      </c>
      <c r="J529" s="18"/>
      <c r="K529" s="21">
        <f t="shared" si="24"/>
        <v>126.18333333323244</v>
      </c>
      <c r="L529" s="19">
        <f t="shared" si="25"/>
        <v>12</v>
      </c>
      <c r="M529" s="18" t="str">
        <f>IF(I529&lt;&gt;"Sí","",IF(YEAR(F529)&lt;&gt;2026,"",INDEX({"Enero","Febrero","Marzo","Abril","Mayo","Junio","Julio","Agosto","Septiembre","Octubre","Noviembre","Diciembre"},MONTH(F529))))</f>
        <v>Mayo</v>
      </c>
      <c r="N529" s="18" t="str">
        <f t="shared" si="26"/>
        <v>Mayo|12</v>
      </c>
    </row>
    <row r="530" spans="1:14" ht="14.5" x14ac:dyDescent="0.25">
      <c r="A530" s="19">
        <v>31</v>
      </c>
      <c r="B530" s="18" t="s">
        <v>38</v>
      </c>
      <c r="C530" s="18" t="s">
        <v>1054</v>
      </c>
      <c r="D530" s="18" t="s">
        <v>1055</v>
      </c>
      <c r="E530" s="18" t="s">
        <v>1088</v>
      </c>
      <c r="F530" s="101"/>
      <c r="G530" s="101">
        <v>46153.708333333336</v>
      </c>
      <c r="H530" s="18" t="s">
        <v>1017</v>
      </c>
      <c r="I530" s="18" t="s">
        <v>555</v>
      </c>
      <c r="J530" s="18" t="s">
        <v>556</v>
      </c>
      <c r="K530" s="21" t="str">
        <f t="shared" si="24"/>
        <v/>
      </c>
      <c r="L530" s="19" t="str">
        <f t="shared" si="25"/>
        <v/>
      </c>
      <c r="M530" s="18" t="str">
        <f>IF(I530&lt;&gt;"Sí","",IF(YEAR(F530)&lt;&gt;2026,"",INDEX({"Enero","Febrero","Marzo","Abril","Mayo","Junio","Julio","Agosto","Septiembre","Octubre","Noviembre","Diciembre"},MONTH(F530))))</f>
        <v/>
      </c>
      <c r="N530" s="18" t="str">
        <f t="shared" si="26"/>
        <v/>
      </c>
    </row>
    <row r="531" spans="1:14" ht="14.5" x14ac:dyDescent="0.25">
      <c r="A531" s="19">
        <v>31</v>
      </c>
      <c r="B531" s="18" t="s">
        <v>38</v>
      </c>
      <c r="C531" s="18" t="s">
        <v>1054</v>
      </c>
      <c r="D531" s="18" t="s">
        <v>1055</v>
      </c>
      <c r="E531" s="18" t="s">
        <v>1088</v>
      </c>
      <c r="F531" s="101">
        <v>46153.708333333336</v>
      </c>
      <c r="G531" s="101">
        <v>46155.447222222225</v>
      </c>
      <c r="H531" s="18" t="s">
        <v>1017</v>
      </c>
      <c r="I531" s="18" t="s">
        <v>508</v>
      </c>
      <c r="J531" s="18"/>
      <c r="K531" s="21">
        <f t="shared" si="24"/>
        <v>41.733333333337214</v>
      </c>
      <c r="L531" s="19">
        <f t="shared" si="25"/>
        <v>10</v>
      </c>
      <c r="M531" s="18" t="str">
        <f>IF(I531&lt;&gt;"Sí","",IF(YEAR(F531)&lt;&gt;2026,"",INDEX({"Enero","Febrero","Marzo","Abril","Mayo","Junio","Julio","Agosto","Septiembre","Octubre","Noviembre","Diciembre"},MONTH(F531))))</f>
        <v>Mayo</v>
      </c>
      <c r="N531" s="18" t="str">
        <f t="shared" si="26"/>
        <v>Mayo|10</v>
      </c>
    </row>
    <row r="532" spans="1:14" ht="14.5" x14ac:dyDescent="0.25">
      <c r="A532" s="19">
        <v>31</v>
      </c>
      <c r="B532" s="18" t="s">
        <v>38</v>
      </c>
      <c r="C532" s="18" t="s">
        <v>116</v>
      </c>
      <c r="D532" s="18" t="s">
        <v>1076</v>
      </c>
      <c r="E532" s="18" t="s">
        <v>1089</v>
      </c>
      <c r="F532" s="101">
        <v>46154</v>
      </c>
      <c r="G532" s="101">
        <v>46158.637499999997</v>
      </c>
      <c r="H532" s="18" t="s">
        <v>507</v>
      </c>
      <c r="I532" s="18" t="s">
        <v>508</v>
      </c>
      <c r="J532" s="18"/>
      <c r="K532" s="21">
        <f t="shared" si="24"/>
        <v>111.29999999993015</v>
      </c>
      <c r="L532" s="19">
        <f t="shared" si="25"/>
        <v>12</v>
      </c>
      <c r="M532" s="18" t="str">
        <f>IF(I532&lt;&gt;"Sí","",IF(YEAR(F532)&lt;&gt;2026,"",INDEX({"Enero","Febrero","Marzo","Abril","Mayo","Junio","Julio","Agosto","Septiembre","Octubre","Noviembre","Diciembre"},MONTH(F532))))</f>
        <v>Mayo</v>
      </c>
      <c r="N532" s="18" t="str">
        <f t="shared" si="26"/>
        <v>Mayo|12</v>
      </c>
    </row>
    <row r="533" spans="1:14" ht="14.5" x14ac:dyDescent="0.25">
      <c r="A533" s="19">
        <v>31</v>
      </c>
      <c r="B533" s="18" t="s">
        <v>38</v>
      </c>
      <c r="C533" s="18" t="s">
        <v>116</v>
      </c>
      <c r="D533" s="18" t="s">
        <v>1076</v>
      </c>
      <c r="E533" s="18" t="s">
        <v>1090</v>
      </c>
      <c r="F533" s="101">
        <v>46154</v>
      </c>
      <c r="G533" s="101">
        <v>46158.751388888886</v>
      </c>
      <c r="H533" s="18" t="s">
        <v>507</v>
      </c>
      <c r="I533" s="18" t="s">
        <v>508</v>
      </c>
      <c r="J533" s="18"/>
      <c r="K533" s="21">
        <f t="shared" si="24"/>
        <v>114.03333333326736</v>
      </c>
      <c r="L533" s="19">
        <f t="shared" si="25"/>
        <v>12</v>
      </c>
      <c r="M533" s="18" t="str">
        <f>IF(I533&lt;&gt;"Sí","",IF(YEAR(F533)&lt;&gt;2026,"",INDEX({"Enero","Febrero","Marzo","Abril","Mayo","Junio","Julio","Agosto","Septiembre","Octubre","Noviembre","Diciembre"},MONTH(F533))))</f>
        <v>Mayo</v>
      </c>
      <c r="N533" s="18" t="str">
        <f t="shared" si="26"/>
        <v>Mayo|12</v>
      </c>
    </row>
    <row r="534" spans="1:14" ht="14.5" x14ac:dyDescent="0.25">
      <c r="A534" s="19">
        <v>31</v>
      </c>
      <c r="B534" s="18" t="s">
        <v>38</v>
      </c>
      <c r="C534" s="18" t="s">
        <v>145</v>
      </c>
      <c r="D534" s="18" t="s">
        <v>1091</v>
      </c>
      <c r="E534" s="18" t="s">
        <v>1092</v>
      </c>
      <c r="F534" s="101">
        <v>46154.46597222222</v>
      </c>
      <c r="G534" s="101">
        <v>46161.614583333336</v>
      </c>
      <c r="H534" s="18" t="s">
        <v>507</v>
      </c>
      <c r="I534" s="18" t="s">
        <v>508</v>
      </c>
      <c r="J534" s="18"/>
      <c r="K534" s="21">
        <f t="shared" si="24"/>
        <v>171.56666666676756</v>
      </c>
      <c r="L534" s="19">
        <f t="shared" si="25"/>
        <v>13</v>
      </c>
      <c r="M534" s="18" t="str">
        <f>IF(I534&lt;&gt;"Sí","",IF(YEAR(F534)&lt;&gt;2026,"",INDEX({"Enero","Febrero","Marzo","Abril","Mayo","Junio","Julio","Agosto","Septiembre","Octubre","Noviembre","Diciembre"},MONTH(F534))))</f>
        <v>Mayo</v>
      </c>
      <c r="N534" s="18" t="str">
        <f t="shared" si="26"/>
        <v>Mayo|13</v>
      </c>
    </row>
    <row r="535" spans="1:14" ht="14.5" x14ac:dyDescent="0.25">
      <c r="A535" s="19">
        <v>31</v>
      </c>
      <c r="B535" s="18" t="s">
        <v>38</v>
      </c>
      <c r="C535" s="18" t="s">
        <v>116</v>
      </c>
      <c r="D535" s="18" t="s">
        <v>1076</v>
      </c>
      <c r="E535" s="18" t="s">
        <v>1093</v>
      </c>
      <c r="F535" s="101">
        <v>46154.545138888891</v>
      </c>
      <c r="G535" s="101">
        <v>46158.751388888886</v>
      </c>
      <c r="H535" s="18" t="s">
        <v>507</v>
      </c>
      <c r="I535" s="18" t="s">
        <v>508</v>
      </c>
      <c r="J535" s="18"/>
      <c r="K535" s="21">
        <f t="shared" si="24"/>
        <v>100.94999999989523</v>
      </c>
      <c r="L535" s="19">
        <f t="shared" si="25"/>
        <v>15</v>
      </c>
      <c r="M535" s="18" t="str">
        <f>IF(I535&lt;&gt;"Sí","",IF(YEAR(F535)&lt;&gt;2026,"",INDEX({"Enero","Febrero","Marzo","Abril","Mayo","Junio","Julio","Agosto","Septiembre","Octubre","Noviembre","Diciembre"},MONTH(F535))))</f>
        <v>Mayo</v>
      </c>
      <c r="N535" s="18" t="str">
        <f t="shared" si="26"/>
        <v>Mayo|15</v>
      </c>
    </row>
    <row r="536" spans="1:14" ht="14.5" x14ac:dyDescent="0.25">
      <c r="A536" s="19">
        <v>31</v>
      </c>
      <c r="B536" s="18" t="s">
        <v>38</v>
      </c>
      <c r="C536" s="18" t="s">
        <v>116</v>
      </c>
      <c r="D536" s="18" t="s">
        <v>1076</v>
      </c>
      <c r="E536" s="18" t="s">
        <v>1094</v>
      </c>
      <c r="F536" s="101">
        <v>46154.545138888891</v>
      </c>
      <c r="G536" s="101">
        <v>46158.751388888886</v>
      </c>
      <c r="H536" s="18" t="s">
        <v>507</v>
      </c>
      <c r="I536" s="18" t="s">
        <v>508</v>
      </c>
      <c r="J536" s="18"/>
      <c r="K536" s="21">
        <f t="shared" si="24"/>
        <v>100.94999999989523</v>
      </c>
      <c r="L536" s="19">
        <f t="shared" si="25"/>
        <v>15</v>
      </c>
      <c r="M536" s="18" t="str">
        <f>IF(I536&lt;&gt;"Sí","",IF(YEAR(F536)&lt;&gt;2026,"",INDEX({"Enero","Febrero","Marzo","Abril","Mayo","Junio","Julio","Agosto","Septiembre","Octubre","Noviembre","Diciembre"},MONTH(F536))))</f>
        <v>Mayo</v>
      </c>
      <c r="N536" s="18" t="str">
        <f t="shared" si="26"/>
        <v>Mayo|15</v>
      </c>
    </row>
    <row r="537" spans="1:14" ht="14.5" x14ac:dyDescent="0.25">
      <c r="A537" s="19">
        <v>31</v>
      </c>
      <c r="B537" s="18" t="s">
        <v>38</v>
      </c>
      <c r="C537" s="18" t="s">
        <v>99</v>
      </c>
      <c r="D537" s="18" t="s">
        <v>1095</v>
      </c>
      <c r="E537" s="18" t="s">
        <v>721</v>
      </c>
      <c r="F537" s="101">
        <v>46154.606249999997</v>
      </c>
      <c r="G537" s="101">
        <v>46157.685416666667</v>
      </c>
      <c r="H537" s="18" t="s">
        <v>507</v>
      </c>
      <c r="I537" s="18" t="s">
        <v>508</v>
      </c>
      <c r="J537" s="18"/>
      <c r="K537" s="21">
        <f t="shared" si="24"/>
        <v>73.900000000081491</v>
      </c>
      <c r="L537" s="19">
        <f t="shared" si="25"/>
        <v>17</v>
      </c>
      <c r="M537" s="18" t="str">
        <f>IF(I537&lt;&gt;"Sí","",IF(YEAR(F537)&lt;&gt;2026,"",INDEX({"Enero","Febrero","Marzo","Abril","Mayo","Junio","Julio","Agosto","Septiembre","Octubre","Noviembre","Diciembre"},MONTH(F537))))</f>
        <v>Mayo</v>
      </c>
      <c r="N537" s="18" t="str">
        <f t="shared" si="26"/>
        <v>Mayo|17</v>
      </c>
    </row>
    <row r="538" spans="1:14" ht="14.5" x14ac:dyDescent="0.25">
      <c r="A538" s="19">
        <v>31</v>
      </c>
      <c r="B538" s="18" t="s">
        <v>38</v>
      </c>
      <c r="C538" s="18" t="s">
        <v>99</v>
      </c>
      <c r="D538" s="18" t="s">
        <v>1095</v>
      </c>
      <c r="E538" s="18" t="s">
        <v>1096</v>
      </c>
      <c r="F538" s="101">
        <v>46154.606249999997</v>
      </c>
      <c r="G538" s="101">
        <v>46157.685416666667</v>
      </c>
      <c r="H538" s="18" t="s">
        <v>507</v>
      </c>
      <c r="I538" s="18" t="s">
        <v>508</v>
      </c>
      <c r="J538" s="18"/>
      <c r="K538" s="21">
        <f t="shared" si="24"/>
        <v>73.900000000081491</v>
      </c>
      <c r="L538" s="19">
        <f t="shared" si="25"/>
        <v>17</v>
      </c>
      <c r="M538" s="18" t="str">
        <f>IF(I538&lt;&gt;"Sí","",IF(YEAR(F538)&lt;&gt;2026,"",INDEX({"Enero","Febrero","Marzo","Abril","Mayo","Junio","Julio","Agosto","Septiembre","Octubre","Noviembre","Diciembre"},MONTH(F538))))</f>
        <v>Mayo</v>
      </c>
      <c r="N538" s="18" t="str">
        <f t="shared" si="26"/>
        <v>Mayo|17</v>
      </c>
    </row>
    <row r="539" spans="1:14" ht="14.5" x14ac:dyDescent="0.25">
      <c r="A539" s="19">
        <v>31</v>
      </c>
      <c r="B539" s="18" t="s">
        <v>38</v>
      </c>
      <c r="C539" s="18" t="s">
        <v>116</v>
      </c>
      <c r="D539" s="18" t="s">
        <v>1076</v>
      </c>
      <c r="E539" s="18" t="s">
        <v>1097</v>
      </c>
      <c r="F539" s="101">
        <v>46155.852777777778</v>
      </c>
      <c r="G539" s="101">
        <v>46159.810416666667</v>
      </c>
      <c r="H539" s="18" t="s">
        <v>507</v>
      </c>
      <c r="I539" s="18" t="s">
        <v>508</v>
      </c>
      <c r="J539" s="18"/>
      <c r="K539" s="21">
        <f t="shared" si="24"/>
        <v>94.983333333337214</v>
      </c>
      <c r="L539" s="19">
        <f t="shared" si="25"/>
        <v>16</v>
      </c>
      <c r="M539" s="18" t="str">
        <f>IF(I539&lt;&gt;"Sí","",IF(YEAR(F539)&lt;&gt;2026,"",INDEX({"Enero","Febrero","Marzo","Abril","Mayo","Junio","Julio","Agosto","Septiembre","Octubre","Noviembre","Diciembre"},MONTH(F539))))</f>
        <v>Mayo</v>
      </c>
      <c r="N539" s="18" t="str">
        <f t="shared" si="26"/>
        <v>Mayo|16</v>
      </c>
    </row>
    <row r="540" spans="1:14" ht="14.5" x14ac:dyDescent="0.25">
      <c r="A540" s="19">
        <v>31</v>
      </c>
      <c r="B540" s="18" t="s">
        <v>38</v>
      </c>
      <c r="C540" s="18" t="s">
        <v>122</v>
      </c>
      <c r="D540" s="18" t="s">
        <v>1098</v>
      </c>
      <c r="E540" s="18" t="s">
        <v>1099</v>
      </c>
      <c r="F540" s="101">
        <v>46156.536805555559</v>
      </c>
      <c r="G540" s="101">
        <v>46165.875</v>
      </c>
      <c r="H540" s="18" t="s">
        <v>507</v>
      </c>
      <c r="I540" s="18" t="s">
        <v>508</v>
      </c>
      <c r="J540" s="18"/>
      <c r="K540" s="21">
        <f t="shared" si="24"/>
        <v>224.1166666665813</v>
      </c>
      <c r="L540" s="19">
        <f t="shared" si="25"/>
        <v>17</v>
      </c>
      <c r="M540" s="18" t="str">
        <f>IF(I540&lt;&gt;"Sí","",IF(YEAR(F540)&lt;&gt;2026,"",INDEX({"Enero","Febrero","Marzo","Abril","Mayo","Junio","Julio","Agosto","Septiembre","Octubre","Noviembre","Diciembre"},MONTH(F540))))</f>
        <v>Mayo</v>
      </c>
      <c r="N540" s="18" t="str">
        <f t="shared" si="26"/>
        <v>Mayo|17</v>
      </c>
    </row>
    <row r="541" spans="1:14" ht="14.5" x14ac:dyDescent="0.25">
      <c r="A541" s="19">
        <v>31</v>
      </c>
      <c r="B541" s="18" t="s">
        <v>38</v>
      </c>
      <c r="C541" s="18" t="s">
        <v>122</v>
      </c>
      <c r="D541" s="18" t="s">
        <v>1098</v>
      </c>
      <c r="E541" s="18" t="s">
        <v>1100</v>
      </c>
      <c r="F541" s="101">
        <v>46157.536805555559</v>
      </c>
      <c r="G541" s="101">
        <v>46167.409722222219</v>
      </c>
      <c r="H541" s="18" t="s">
        <v>507</v>
      </c>
      <c r="I541" s="18" t="s">
        <v>508</v>
      </c>
      <c r="J541" s="18"/>
      <c r="K541" s="21">
        <f t="shared" si="24"/>
        <v>236.94999999983702</v>
      </c>
      <c r="L541" s="19">
        <f t="shared" si="25"/>
        <v>18</v>
      </c>
      <c r="M541" s="18" t="str">
        <f>IF(I541&lt;&gt;"Sí","",IF(YEAR(F541)&lt;&gt;2026,"",INDEX({"Enero","Febrero","Marzo","Abril","Mayo","Junio","Julio","Agosto","Septiembre","Octubre","Noviembre","Diciembre"},MONTH(F541))))</f>
        <v>Mayo</v>
      </c>
      <c r="N541" s="18" t="str">
        <f t="shared" si="26"/>
        <v>Mayo|18</v>
      </c>
    </row>
    <row r="542" spans="1:14" ht="14.5" x14ac:dyDescent="0.25">
      <c r="A542" s="19">
        <v>31</v>
      </c>
      <c r="B542" s="18" t="s">
        <v>38</v>
      </c>
      <c r="C542" s="18" t="s">
        <v>122</v>
      </c>
      <c r="D542" s="18" t="s">
        <v>1098</v>
      </c>
      <c r="E542" s="18" t="s">
        <v>1101</v>
      </c>
      <c r="F542" s="101">
        <v>46158.438888888886</v>
      </c>
      <c r="G542" s="101">
        <v>46167.411805555559</v>
      </c>
      <c r="H542" s="18" t="s">
        <v>507</v>
      </c>
      <c r="I542" s="18" t="s">
        <v>508</v>
      </c>
      <c r="J542" s="18"/>
      <c r="K542" s="21">
        <f t="shared" si="24"/>
        <v>215.35000000015134</v>
      </c>
      <c r="L542" s="19">
        <f t="shared" si="25"/>
        <v>17</v>
      </c>
      <c r="M542" s="18" t="str">
        <f>IF(I542&lt;&gt;"Sí","",IF(YEAR(F542)&lt;&gt;2026,"",INDEX({"Enero","Febrero","Marzo","Abril","Mayo","Junio","Julio","Agosto","Septiembre","Octubre","Noviembre","Diciembre"},MONTH(F542))))</f>
        <v>Mayo</v>
      </c>
      <c r="N542" s="18" t="str">
        <f t="shared" si="26"/>
        <v>Mayo|17</v>
      </c>
    </row>
    <row r="543" spans="1:14" ht="14.5" x14ac:dyDescent="0.25">
      <c r="A543" s="19">
        <v>31</v>
      </c>
      <c r="B543" s="18" t="s">
        <v>38</v>
      </c>
      <c r="C543" s="18" t="s">
        <v>92</v>
      </c>
      <c r="D543" s="18" t="s">
        <v>1102</v>
      </c>
      <c r="E543" s="18" t="s">
        <v>1103</v>
      </c>
      <c r="F543" s="101"/>
      <c r="G543" s="101">
        <v>46164.415972222225</v>
      </c>
      <c r="H543" s="18" t="s">
        <v>1017</v>
      </c>
      <c r="I543" s="18" t="s">
        <v>555</v>
      </c>
      <c r="J543" s="18" t="s">
        <v>556</v>
      </c>
      <c r="K543" s="21" t="str">
        <f t="shared" si="24"/>
        <v/>
      </c>
      <c r="L543" s="19" t="str">
        <f t="shared" si="25"/>
        <v/>
      </c>
      <c r="M543" s="18" t="str">
        <f>IF(I543&lt;&gt;"Sí","",IF(YEAR(F543)&lt;&gt;2026,"",INDEX({"Enero","Febrero","Marzo","Abril","Mayo","Junio","Julio","Agosto","Septiembre","Octubre","Noviembre","Diciembre"},MONTH(F543))))</f>
        <v/>
      </c>
      <c r="N543" s="18" t="str">
        <f t="shared" si="26"/>
        <v/>
      </c>
    </row>
    <row r="544" spans="1:14" ht="14.5" x14ac:dyDescent="0.25">
      <c r="A544" s="19">
        <v>31</v>
      </c>
      <c r="B544" s="18" t="s">
        <v>38</v>
      </c>
      <c r="C544" s="18" t="s">
        <v>92</v>
      </c>
      <c r="D544" s="18" t="s">
        <v>1102</v>
      </c>
      <c r="E544" s="18" t="s">
        <v>1104</v>
      </c>
      <c r="F544" s="101"/>
      <c r="G544" s="101">
        <v>46164.416666666664</v>
      </c>
      <c r="H544" s="18" t="s">
        <v>1017</v>
      </c>
      <c r="I544" s="18" t="s">
        <v>555</v>
      </c>
      <c r="J544" s="18" t="s">
        <v>556</v>
      </c>
      <c r="K544" s="21" t="str">
        <f t="shared" si="24"/>
        <v/>
      </c>
      <c r="L544" s="19" t="str">
        <f t="shared" si="25"/>
        <v/>
      </c>
      <c r="M544" s="18" t="str">
        <f>IF(I544&lt;&gt;"Sí","",IF(YEAR(F544)&lt;&gt;2026,"",INDEX({"Enero","Febrero","Marzo","Abril","Mayo","Junio","Julio","Agosto","Septiembre","Octubre","Noviembre","Diciembre"},MONTH(F544))))</f>
        <v/>
      </c>
      <c r="N544" s="18" t="str">
        <f t="shared" si="26"/>
        <v/>
      </c>
    </row>
    <row r="545" spans="1:14" ht="14.5" x14ac:dyDescent="0.25">
      <c r="A545" s="19">
        <v>31</v>
      </c>
      <c r="B545" s="18" t="s">
        <v>38</v>
      </c>
      <c r="C545" s="18" t="s">
        <v>92</v>
      </c>
      <c r="D545" s="18" t="s">
        <v>1102</v>
      </c>
      <c r="E545" s="18" t="s">
        <v>1105</v>
      </c>
      <c r="F545" s="101"/>
      <c r="G545" s="101">
        <v>46164.418055555558</v>
      </c>
      <c r="H545" s="18" t="s">
        <v>1017</v>
      </c>
      <c r="I545" s="18" t="s">
        <v>555</v>
      </c>
      <c r="J545" s="18" t="s">
        <v>556</v>
      </c>
      <c r="K545" s="21" t="str">
        <f t="shared" si="24"/>
        <v/>
      </c>
      <c r="L545" s="19" t="str">
        <f t="shared" si="25"/>
        <v/>
      </c>
      <c r="M545" s="18" t="str">
        <f>IF(I545&lt;&gt;"Sí","",IF(YEAR(F545)&lt;&gt;2026,"",INDEX({"Enero","Febrero","Marzo","Abril","Mayo","Junio","Julio","Agosto","Septiembre","Octubre","Noviembre","Diciembre"},MONTH(F545))))</f>
        <v/>
      </c>
      <c r="N545" s="18" t="str">
        <f t="shared" si="26"/>
        <v/>
      </c>
    </row>
    <row r="546" spans="1:14" ht="14.5" x14ac:dyDescent="0.25">
      <c r="A546" s="19">
        <v>31</v>
      </c>
      <c r="B546" s="18" t="s">
        <v>38</v>
      </c>
      <c r="C546" s="18" t="s">
        <v>92</v>
      </c>
      <c r="D546" s="18" t="s">
        <v>1102</v>
      </c>
      <c r="E546" s="18" t="s">
        <v>1106</v>
      </c>
      <c r="F546" s="101"/>
      <c r="G546" s="101">
        <v>46164.419444444444</v>
      </c>
      <c r="H546" s="18" t="s">
        <v>1017</v>
      </c>
      <c r="I546" s="18" t="s">
        <v>555</v>
      </c>
      <c r="J546" s="18" t="s">
        <v>556</v>
      </c>
      <c r="K546" s="21" t="str">
        <f t="shared" si="24"/>
        <v/>
      </c>
      <c r="L546" s="19" t="str">
        <f t="shared" si="25"/>
        <v/>
      </c>
      <c r="M546" s="18" t="str">
        <f>IF(I546&lt;&gt;"Sí","",IF(YEAR(F546)&lt;&gt;2026,"",INDEX({"Enero","Febrero","Marzo","Abril","Mayo","Junio","Julio","Agosto","Septiembre","Octubre","Noviembre","Diciembre"},MONTH(F546))))</f>
        <v/>
      </c>
      <c r="N546" s="18" t="str">
        <f t="shared" si="26"/>
        <v/>
      </c>
    </row>
    <row r="547" spans="1:14" ht="14.5" x14ac:dyDescent="0.25">
      <c r="A547" s="19">
        <v>31</v>
      </c>
      <c r="B547" s="18" t="s">
        <v>38</v>
      </c>
      <c r="C547" s="18" t="s">
        <v>92</v>
      </c>
      <c r="D547" s="18" t="s">
        <v>1102</v>
      </c>
      <c r="E547" s="18" t="s">
        <v>1107</v>
      </c>
      <c r="F547" s="101"/>
      <c r="G547" s="101">
        <v>46164.420138888891</v>
      </c>
      <c r="H547" s="18" t="s">
        <v>1017</v>
      </c>
      <c r="I547" s="18" t="s">
        <v>555</v>
      </c>
      <c r="J547" s="18" t="s">
        <v>556</v>
      </c>
      <c r="K547" s="21" t="str">
        <f t="shared" si="24"/>
        <v/>
      </c>
      <c r="L547" s="19" t="str">
        <f t="shared" si="25"/>
        <v/>
      </c>
      <c r="M547" s="18" t="str">
        <f>IF(I547&lt;&gt;"Sí","",IF(YEAR(F547)&lt;&gt;2026,"",INDEX({"Enero","Febrero","Marzo","Abril","Mayo","Junio","Julio","Agosto","Septiembre","Octubre","Noviembre","Diciembre"},MONTH(F547))))</f>
        <v/>
      </c>
      <c r="N547" s="18" t="str">
        <f t="shared" si="26"/>
        <v/>
      </c>
    </row>
    <row r="548" spans="1:14" ht="14.5" x14ac:dyDescent="0.25">
      <c r="A548" s="19">
        <v>31</v>
      </c>
      <c r="B548" s="18" t="s">
        <v>38</v>
      </c>
      <c r="C548" s="18" t="s">
        <v>92</v>
      </c>
      <c r="D548" s="18" t="s">
        <v>1102</v>
      </c>
      <c r="E548" s="18" t="s">
        <v>1108</v>
      </c>
      <c r="F548" s="101"/>
      <c r="G548" s="101">
        <v>46164.42291666667</v>
      </c>
      <c r="H548" s="18" t="s">
        <v>1017</v>
      </c>
      <c r="I548" s="18" t="s">
        <v>555</v>
      </c>
      <c r="J548" s="18" t="s">
        <v>556</v>
      </c>
      <c r="K548" s="21" t="str">
        <f t="shared" si="24"/>
        <v/>
      </c>
      <c r="L548" s="19" t="str">
        <f t="shared" si="25"/>
        <v/>
      </c>
      <c r="M548" s="18" t="str">
        <f>IF(I548&lt;&gt;"Sí","",IF(YEAR(F548)&lt;&gt;2026,"",INDEX({"Enero","Febrero","Marzo","Abril","Mayo","Junio","Julio","Agosto","Septiembre","Octubre","Noviembre","Diciembre"},MONTH(F548))))</f>
        <v/>
      </c>
      <c r="N548" s="18" t="str">
        <f t="shared" si="26"/>
        <v/>
      </c>
    </row>
    <row r="549" spans="1:14" ht="14.5" x14ac:dyDescent="0.25">
      <c r="A549" s="19">
        <v>31</v>
      </c>
      <c r="B549" s="18" t="s">
        <v>38</v>
      </c>
      <c r="C549" s="18" t="s">
        <v>92</v>
      </c>
      <c r="D549" s="18" t="s">
        <v>1102</v>
      </c>
      <c r="E549" s="18" t="s">
        <v>1104</v>
      </c>
      <c r="F549" s="101">
        <v>46164.479166666664</v>
      </c>
      <c r="G549" s="101">
        <v>46167.538194444445</v>
      </c>
      <c r="H549" s="18" t="s">
        <v>1017</v>
      </c>
      <c r="I549" s="18" t="s">
        <v>508</v>
      </c>
      <c r="J549" s="18"/>
      <c r="K549" s="21">
        <f t="shared" si="24"/>
        <v>73.416666666744277</v>
      </c>
      <c r="L549" s="19">
        <f t="shared" si="25"/>
        <v>4</v>
      </c>
      <c r="M549" s="18" t="str">
        <f>IF(I549&lt;&gt;"Sí","",IF(YEAR(F549)&lt;&gt;2026,"",INDEX({"Enero","Febrero","Marzo","Abril","Mayo","Junio","Julio","Agosto","Septiembre","Octubre","Noviembre","Diciembre"},MONTH(F549))))</f>
        <v>Mayo</v>
      </c>
      <c r="N549" s="18" t="str">
        <f t="shared" si="26"/>
        <v>Mayo|4</v>
      </c>
    </row>
    <row r="550" spans="1:14" ht="14.5" x14ac:dyDescent="0.25">
      <c r="A550" s="19">
        <v>31</v>
      </c>
      <c r="B550" s="18" t="s">
        <v>38</v>
      </c>
      <c r="C550" s="18" t="s">
        <v>92</v>
      </c>
      <c r="D550" s="18" t="s">
        <v>1102</v>
      </c>
      <c r="E550" s="18" t="s">
        <v>1107</v>
      </c>
      <c r="F550" s="101">
        <v>46164.561111111114</v>
      </c>
      <c r="G550" s="101">
        <v>46167.664583333331</v>
      </c>
      <c r="H550" s="18" t="s">
        <v>1017</v>
      </c>
      <c r="I550" s="18" t="s">
        <v>508</v>
      </c>
      <c r="J550" s="18"/>
      <c r="K550" s="21">
        <f t="shared" si="24"/>
        <v>74.483333333220799</v>
      </c>
      <c r="L550" s="19">
        <f t="shared" si="25"/>
        <v>5</v>
      </c>
      <c r="M550" s="18" t="str">
        <f>IF(I550&lt;&gt;"Sí","",IF(YEAR(F550)&lt;&gt;2026,"",INDEX({"Enero","Febrero","Marzo","Abril","Mayo","Junio","Julio","Agosto","Septiembre","Octubre","Noviembre","Diciembre"},MONTH(F550))))</f>
        <v>Mayo</v>
      </c>
      <c r="N550" s="18" t="str">
        <f t="shared" si="26"/>
        <v>Mayo|5</v>
      </c>
    </row>
    <row r="551" spans="1:14" ht="14.5" x14ac:dyDescent="0.25">
      <c r="A551" s="19">
        <v>31</v>
      </c>
      <c r="B551" s="18" t="s">
        <v>38</v>
      </c>
      <c r="C551" s="18" t="s">
        <v>122</v>
      </c>
      <c r="D551" s="18" t="s">
        <v>1098</v>
      </c>
      <c r="E551" s="18" t="s">
        <v>1109</v>
      </c>
      <c r="F551" s="101"/>
      <c r="G551" s="101">
        <v>46166.054861111108</v>
      </c>
      <c r="H551" s="18" t="s">
        <v>1017</v>
      </c>
      <c r="I551" s="18" t="s">
        <v>555</v>
      </c>
      <c r="J551" s="18" t="s">
        <v>556</v>
      </c>
      <c r="K551" s="21" t="str">
        <f t="shared" si="24"/>
        <v/>
      </c>
      <c r="L551" s="19" t="str">
        <f t="shared" si="25"/>
        <v/>
      </c>
      <c r="M551" s="18" t="str">
        <f>IF(I551&lt;&gt;"Sí","",IF(YEAR(F551)&lt;&gt;2026,"",INDEX({"Enero","Febrero","Marzo","Abril","Mayo","Junio","Julio","Agosto","Septiembre","Octubre","Noviembre","Diciembre"},MONTH(F551))))</f>
        <v/>
      </c>
      <c r="N551" s="18" t="str">
        <f t="shared" si="26"/>
        <v/>
      </c>
    </row>
    <row r="552" spans="1:14" ht="14.5" x14ac:dyDescent="0.25">
      <c r="A552" s="19">
        <v>31</v>
      </c>
      <c r="B552" s="18" t="s">
        <v>38</v>
      </c>
      <c r="C552" s="18" t="s">
        <v>122</v>
      </c>
      <c r="D552" s="18" t="s">
        <v>1098</v>
      </c>
      <c r="E552" s="18" t="s">
        <v>1110</v>
      </c>
      <c r="F552" s="101">
        <v>46166.113888888889</v>
      </c>
      <c r="G552" s="101">
        <v>46169.379166666666</v>
      </c>
      <c r="H552" s="18" t="s">
        <v>1017</v>
      </c>
      <c r="I552" s="18" t="s">
        <v>508</v>
      </c>
      <c r="J552" s="18"/>
      <c r="K552" s="21">
        <f t="shared" si="24"/>
        <v>78.366666666639503</v>
      </c>
      <c r="L552" s="19">
        <f t="shared" si="25"/>
        <v>5</v>
      </c>
      <c r="M552" s="18" t="str">
        <f>IF(I552&lt;&gt;"Sí","",IF(YEAR(F552)&lt;&gt;2026,"",INDEX({"Enero","Febrero","Marzo","Abril","Mayo","Junio","Julio","Agosto","Septiembre","Octubre","Noviembre","Diciembre"},MONTH(F552))))</f>
        <v>Mayo</v>
      </c>
      <c r="N552" s="18" t="str">
        <f t="shared" si="26"/>
        <v>Mayo|5</v>
      </c>
    </row>
    <row r="553" spans="1:14" ht="14.5" x14ac:dyDescent="0.25">
      <c r="A553" s="19">
        <v>32</v>
      </c>
      <c r="B553" s="18" t="s">
        <v>39</v>
      </c>
      <c r="C553" s="18" t="s">
        <v>153</v>
      </c>
      <c r="D553" s="18" t="s">
        <v>1111</v>
      </c>
      <c r="E553" s="18" t="s">
        <v>1112</v>
      </c>
      <c r="F553" s="101">
        <v>46167.542361111111</v>
      </c>
      <c r="G553" s="101">
        <v>46174.129166666666</v>
      </c>
      <c r="H553" s="18" t="s">
        <v>507</v>
      </c>
      <c r="I553" s="18" t="s">
        <v>508</v>
      </c>
      <c r="J553" s="18"/>
      <c r="K553" s="21">
        <f t="shared" si="24"/>
        <v>158.08333333331393</v>
      </c>
      <c r="L553" s="19">
        <f t="shared" si="25"/>
        <v>3</v>
      </c>
      <c r="M553" s="18" t="str">
        <f>IF(I553&lt;&gt;"Sí","",IF(YEAR(F553)&lt;&gt;2026,"",INDEX({"Enero","Febrero","Marzo","Abril","Mayo","Junio","Julio","Agosto","Septiembre","Octubre","Noviembre","Diciembre"},MONTH(F553))))</f>
        <v>Mayo</v>
      </c>
      <c r="N553" s="18" t="str">
        <f t="shared" si="26"/>
        <v>Mayo|3</v>
      </c>
    </row>
    <row r="554" spans="1:14" ht="14.5" x14ac:dyDescent="0.25">
      <c r="A554" s="19">
        <v>31</v>
      </c>
      <c r="B554" s="18" t="s">
        <v>38</v>
      </c>
      <c r="C554" s="18" t="s">
        <v>106</v>
      </c>
      <c r="D554" s="18" t="s">
        <v>1113</v>
      </c>
      <c r="E554" s="18" t="s">
        <v>1114</v>
      </c>
      <c r="F554" s="101"/>
      <c r="G554" s="101">
        <v>46168.690972222219</v>
      </c>
      <c r="H554" s="18" t="s">
        <v>1017</v>
      </c>
      <c r="I554" s="18" t="s">
        <v>555</v>
      </c>
      <c r="J554" s="18" t="s">
        <v>556</v>
      </c>
      <c r="K554" s="21" t="str">
        <f t="shared" si="24"/>
        <v/>
      </c>
      <c r="L554" s="19" t="str">
        <f t="shared" si="25"/>
        <v/>
      </c>
      <c r="M554" s="18" t="str">
        <f>IF(I554&lt;&gt;"Sí","",IF(YEAR(F554)&lt;&gt;2026,"",INDEX({"Enero","Febrero","Marzo","Abril","Mayo","Junio","Julio","Agosto","Septiembre","Octubre","Noviembre","Diciembre"},MONTH(F554))))</f>
        <v/>
      </c>
      <c r="N554" s="18" t="str">
        <f t="shared" si="26"/>
        <v/>
      </c>
    </row>
    <row r="555" spans="1:14" ht="14.5" x14ac:dyDescent="0.25">
      <c r="A555" s="19">
        <v>31</v>
      </c>
      <c r="B555" s="18" t="s">
        <v>38</v>
      </c>
      <c r="C555" s="18" t="s">
        <v>106</v>
      </c>
      <c r="D555" s="18" t="s">
        <v>1113</v>
      </c>
      <c r="E555" s="18" t="s">
        <v>1115</v>
      </c>
      <c r="F555" s="101"/>
      <c r="G555" s="101">
        <v>46168.691666666666</v>
      </c>
      <c r="H555" s="18" t="s">
        <v>1017</v>
      </c>
      <c r="I555" s="18" t="s">
        <v>555</v>
      </c>
      <c r="J555" s="18" t="s">
        <v>556</v>
      </c>
      <c r="K555" s="21" t="str">
        <f t="shared" si="24"/>
        <v/>
      </c>
      <c r="L555" s="19" t="str">
        <f t="shared" si="25"/>
        <v/>
      </c>
      <c r="M555" s="18" t="str">
        <f>IF(I555&lt;&gt;"Sí","",IF(YEAR(F555)&lt;&gt;2026,"",INDEX({"Enero","Febrero","Marzo","Abril","Mayo","Junio","Julio","Agosto","Septiembre","Octubre","Noviembre","Diciembre"},MONTH(F555))))</f>
        <v/>
      </c>
      <c r="N555" s="18" t="str">
        <f t="shared" si="26"/>
        <v/>
      </c>
    </row>
    <row r="556" spans="1:14" ht="14.5" x14ac:dyDescent="0.25">
      <c r="A556" s="19">
        <v>31</v>
      </c>
      <c r="B556" s="18" t="s">
        <v>38</v>
      </c>
      <c r="C556" s="18" t="s">
        <v>106</v>
      </c>
      <c r="D556" s="18" t="s">
        <v>1113</v>
      </c>
      <c r="E556" s="18" t="s">
        <v>1116</v>
      </c>
      <c r="F556" s="101"/>
      <c r="G556" s="101">
        <v>46168.692361111112</v>
      </c>
      <c r="H556" s="18" t="s">
        <v>1017</v>
      </c>
      <c r="I556" s="18" t="s">
        <v>555</v>
      </c>
      <c r="J556" s="18" t="s">
        <v>556</v>
      </c>
      <c r="K556" s="21" t="str">
        <f t="shared" si="24"/>
        <v/>
      </c>
      <c r="L556" s="19" t="str">
        <f t="shared" si="25"/>
        <v/>
      </c>
      <c r="M556" s="18" t="str">
        <f>IF(I556&lt;&gt;"Sí","",IF(YEAR(F556)&lt;&gt;2026,"",INDEX({"Enero","Febrero","Marzo","Abril","Mayo","Junio","Julio","Agosto","Septiembre","Octubre","Noviembre","Diciembre"},MONTH(F556))))</f>
        <v/>
      </c>
      <c r="N556" s="18" t="str">
        <f t="shared" si="26"/>
        <v/>
      </c>
    </row>
    <row r="557" spans="1:14" ht="14.5" x14ac:dyDescent="0.25">
      <c r="A557" s="19">
        <v>31</v>
      </c>
      <c r="B557" s="18" t="s">
        <v>38</v>
      </c>
      <c r="C557" s="18" t="s">
        <v>106</v>
      </c>
      <c r="D557" s="18" t="s">
        <v>1113</v>
      </c>
      <c r="E557" s="18" t="s">
        <v>1117</v>
      </c>
      <c r="F557" s="101"/>
      <c r="G557" s="101">
        <v>46168.692361111112</v>
      </c>
      <c r="H557" s="18" t="s">
        <v>1017</v>
      </c>
      <c r="I557" s="18" t="s">
        <v>555</v>
      </c>
      <c r="J557" s="18" t="s">
        <v>556</v>
      </c>
      <c r="K557" s="21" t="str">
        <f t="shared" si="24"/>
        <v/>
      </c>
      <c r="L557" s="19" t="str">
        <f t="shared" si="25"/>
        <v/>
      </c>
      <c r="M557" s="18" t="str">
        <f>IF(I557&lt;&gt;"Sí","",IF(YEAR(F557)&lt;&gt;2026,"",INDEX({"Enero","Febrero","Marzo","Abril","Mayo","Junio","Julio","Agosto","Septiembre","Octubre","Noviembre","Diciembre"},MONTH(F557))))</f>
        <v/>
      </c>
      <c r="N557" s="18" t="str">
        <f t="shared" si="26"/>
        <v/>
      </c>
    </row>
    <row r="558" spans="1:14" ht="14.5" x14ac:dyDescent="0.25">
      <c r="A558" s="19">
        <v>32</v>
      </c>
      <c r="B558" s="18" t="s">
        <v>39</v>
      </c>
      <c r="C558" s="18" t="s">
        <v>106</v>
      </c>
      <c r="D558" s="18" t="s">
        <v>1113</v>
      </c>
      <c r="E558" s="18" t="s">
        <v>1116</v>
      </c>
      <c r="F558" s="101">
        <v>46168.71597222222</v>
      </c>
      <c r="G558" s="101">
        <v>46175.387499999997</v>
      </c>
      <c r="H558" s="18" t="s">
        <v>1067</v>
      </c>
      <c r="I558" s="18" t="s">
        <v>508</v>
      </c>
      <c r="J558" s="18"/>
      <c r="K558" s="21">
        <f t="shared" si="24"/>
        <v>160.1166666666395</v>
      </c>
      <c r="L558" s="19">
        <f t="shared" si="25"/>
        <v>3</v>
      </c>
      <c r="M558" s="18" t="str">
        <f>IF(I558&lt;&gt;"Sí","",IF(YEAR(F558)&lt;&gt;2026,"",INDEX({"Enero","Febrero","Marzo","Abril","Mayo","Junio","Julio","Agosto","Septiembre","Octubre","Noviembre","Diciembre"},MONTH(F558))))</f>
        <v>Mayo</v>
      </c>
      <c r="N558" s="18" t="str">
        <f t="shared" si="26"/>
        <v>Mayo|3</v>
      </c>
    </row>
    <row r="559" spans="1:14" ht="14.5" x14ac:dyDescent="0.25">
      <c r="A559" s="19">
        <v>31</v>
      </c>
      <c r="B559" s="18" t="s">
        <v>38</v>
      </c>
      <c r="C559" s="18" t="s">
        <v>95</v>
      </c>
      <c r="D559" s="18" t="s">
        <v>1118</v>
      </c>
      <c r="E559" s="18" t="s">
        <v>1119</v>
      </c>
      <c r="F559" s="101"/>
      <c r="G559" s="101">
        <v>46172</v>
      </c>
      <c r="H559" s="18" t="s">
        <v>1017</v>
      </c>
      <c r="I559" s="18" t="s">
        <v>555</v>
      </c>
      <c r="J559" s="18" t="s">
        <v>556</v>
      </c>
      <c r="K559" s="21" t="str">
        <f t="shared" si="24"/>
        <v/>
      </c>
      <c r="L559" s="19" t="str">
        <f t="shared" si="25"/>
        <v/>
      </c>
      <c r="M559" s="18" t="str">
        <f>IF(I559&lt;&gt;"Sí","",IF(YEAR(F559)&lt;&gt;2026,"",INDEX({"Enero","Febrero","Marzo","Abril","Mayo","Junio","Julio","Agosto","Septiembre","Octubre","Noviembre","Diciembre"},MONTH(F559))))</f>
        <v/>
      </c>
      <c r="N559" s="18" t="str">
        <f t="shared" si="26"/>
        <v/>
      </c>
    </row>
    <row r="560" spans="1:14" ht="14.5" x14ac:dyDescent="0.25">
      <c r="A560" s="19">
        <v>31</v>
      </c>
      <c r="B560" s="18" t="s">
        <v>38</v>
      </c>
      <c r="C560" s="18" t="s">
        <v>95</v>
      </c>
      <c r="D560" s="18" t="s">
        <v>1118</v>
      </c>
      <c r="E560" s="18" t="s">
        <v>1120</v>
      </c>
      <c r="F560" s="101"/>
      <c r="G560" s="101">
        <v>46172</v>
      </c>
      <c r="H560" s="18" t="s">
        <v>1017</v>
      </c>
      <c r="I560" s="18" t="s">
        <v>555</v>
      </c>
      <c r="J560" s="18" t="s">
        <v>556</v>
      </c>
      <c r="K560" s="21" t="str">
        <f t="shared" si="24"/>
        <v/>
      </c>
      <c r="L560" s="19" t="str">
        <f t="shared" si="25"/>
        <v/>
      </c>
      <c r="M560" s="18" t="str">
        <f>IF(I560&lt;&gt;"Sí","",IF(YEAR(F560)&lt;&gt;2026,"",INDEX({"Enero","Febrero","Marzo","Abril","Mayo","Junio","Julio","Agosto","Septiembre","Octubre","Noviembre","Diciembre"},MONTH(F560))))</f>
        <v/>
      </c>
      <c r="N560" s="18" t="str">
        <f t="shared" si="26"/>
        <v/>
      </c>
    </row>
    <row r="561" spans="1:14" ht="14.5" x14ac:dyDescent="0.25">
      <c r="A561" s="19">
        <v>32</v>
      </c>
      <c r="B561" s="18" t="s">
        <v>39</v>
      </c>
      <c r="C561" s="18" t="s">
        <v>158</v>
      </c>
      <c r="D561" s="18" t="s">
        <v>1121</v>
      </c>
      <c r="E561" s="18" t="s">
        <v>1122</v>
      </c>
      <c r="F561" s="101">
        <v>46179.537499999999</v>
      </c>
      <c r="G561" s="101">
        <v>46184.004861111112</v>
      </c>
      <c r="H561" s="18" t="s">
        <v>507</v>
      </c>
      <c r="I561" s="18" t="s">
        <v>508</v>
      </c>
      <c r="J561" s="18"/>
      <c r="K561" s="21">
        <f t="shared" si="24"/>
        <v>107.21666666673264</v>
      </c>
      <c r="L561" s="19">
        <f t="shared" si="25"/>
        <v>1</v>
      </c>
      <c r="M561" s="18" t="str">
        <f>IF(I561&lt;&gt;"Sí","",IF(YEAR(F561)&lt;&gt;2026,"",INDEX({"Enero","Febrero","Marzo","Abril","Mayo","Junio","Julio","Agosto","Septiembre","Octubre","Noviembre","Diciembre"},MONTH(F561))))</f>
        <v>Junio</v>
      </c>
      <c r="N561" s="18" t="str">
        <f t="shared" si="26"/>
        <v>Junio|1</v>
      </c>
    </row>
    <row r="562" spans="1:14" ht="14.5" x14ac:dyDescent="0.25">
      <c r="A562" s="19">
        <v>32</v>
      </c>
      <c r="B562" s="18" t="s">
        <v>39</v>
      </c>
      <c r="C562" s="18" t="s">
        <v>99</v>
      </c>
      <c r="D562" s="18" t="s">
        <v>1123</v>
      </c>
      <c r="E562" s="18" t="s">
        <v>1124</v>
      </c>
      <c r="F562" s="101">
        <v>46181.642361111109</v>
      </c>
      <c r="G562" s="101">
        <v>46186.102083333331</v>
      </c>
      <c r="H562" s="18" t="s">
        <v>507</v>
      </c>
      <c r="I562" s="18" t="s">
        <v>508</v>
      </c>
      <c r="J562" s="18"/>
      <c r="K562" s="21">
        <f t="shared" si="24"/>
        <v>107.03333333332557</v>
      </c>
      <c r="L562" s="19">
        <f t="shared" si="25"/>
        <v>4</v>
      </c>
      <c r="M562" s="18" t="str">
        <f>IF(I562&lt;&gt;"Sí","",IF(YEAR(F562)&lt;&gt;2026,"",INDEX({"Enero","Febrero","Marzo","Abril","Mayo","Junio","Julio","Agosto","Septiembre","Octubre","Noviembre","Diciembre"},MONTH(F562))))</f>
        <v>Junio</v>
      </c>
      <c r="N562" s="18" t="str">
        <f t="shared" si="26"/>
        <v>Junio|4</v>
      </c>
    </row>
    <row r="563" spans="1:14" ht="14.5" x14ac:dyDescent="0.25">
      <c r="A563" s="19">
        <v>32</v>
      </c>
      <c r="B563" s="18" t="s">
        <v>39</v>
      </c>
      <c r="C563" s="18" t="s">
        <v>99</v>
      </c>
      <c r="D563" s="18" t="s">
        <v>1123</v>
      </c>
      <c r="E563" s="18" t="s">
        <v>1125</v>
      </c>
      <c r="F563" s="101">
        <v>46181.642361111109</v>
      </c>
      <c r="G563" s="101">
        <v>46186.074305555558</v>
      </c>
      <c r="H563" s="18" t="s">
        <v>507</v>
      </c>
      <c r="I563" s="18" t="s">
        <v>508</v>
      </c>
      <c r="J563" s="18"/>
      <c r="K563" s="21">
        <f t="shared" si="24"/>
        <v>106.36666666675592</v>
      </c>
      <c r="L563" s="19">
        <f t="shared" si="25"/>
        <v>4</v>
      </c>
      <c r="M563" s="18" t="str">
        <f>IF(I563&lt;&gt;"Sí","",IF(YEAR(F563)&lt;&gt;2026,"",INDEX({"Enero","Febrero","Marzo","Abril","Mayo","Junio","Julio","Agosto","Septiembre","Octubre","Noviembre","Diciembre"},MONTH(F563))))</f>
        <v>Junio</v>
      </c>
      <c r="N563" s="18" t="str">
        <f t="shared" si="26"/>
        <v>Junio|4</v>
      </c>
    </row>
    <row r="564" spans="1:14" ht="14.5" x14ac:dyDescent="0.25">
      <c r="A564" s="19">
        <v>32</v>
      </c>
      <c r="B564" s="18" t="s">
        <v>39</v>
      </c>
      <c r="C564" s="18" t="s">
        <v>99</v>
      </c>
      <c r="D564" s="18" t="s">
        <v>1123</v>
      </c>
      <c r="E564" s="18" t="s">
        <v>1126</v>
      </c>
      <c r="F564" s="101">
        <v>46181.642361111109</v>
      </c>
      <c r="G564" s="101">
        <v>46186.071527777778</v>
      </c>
      <c r="H564" s="18" t="s">
        <v>507</v>
      </c>
      <c r="I564" s="18" t="s">
        <v>508</v>
      </c>
      <c r="J564" s="18"/>
      <c r="K564" s="21">
        <f t="shared" si="24"/>
        <v>106.30000000004657</v>
      </c>
      <c r="L564" s="19">
        <f t="shared" si="25"/>
        <v>4</v>
      </c>
      <c r="M564" s="18" t="str">
        <f>IF(I564&lt;&gt;"Sí","",IF(YEAR(F564)&lt;&gt;2026,"",INDEX({"Enero","Febrero","Marzo","Abril","Mayo","Junio","Julio","Agosto","Septiembre","Octubre","Noviembre","Diciembre"},MONTH(F564))))</f>
        <v>Junio</v>
      </c>
      <c r="N564" s="18" t="str">
        <f t="shared" si="26"/>
        <v>Junio|4</v>
      </c>
    </row>
    <row r="565" spans="1:14" ht="14.5" x14ac:dyDescent="0.25">
      <c r="A565" s="19">
        <v>32</v>
      </c>
      <c r="B565" s="18" t="s">
        <v>39</v>
      </c>
      <c r="C565" s="18" t="s">
        <v>106</v>
      </c>
      <c r="D565" s="18" t="s">
        <v>1113</v>
      </c>
      <c r="E565" s="18" t="s">
        <v>1127</v>
      </c>
      <c r="F565" s="101">
        <v>46181.741666666669</v>
      </c>
      <c r="G565" s="101">
        <v>46183.826388888891</v>
      </c>
      <c r="H565" s="18" t="s">
        <v>507</v>
      </c>
      <c r="I565" s="18" t="s">
        <v>508</v>
      </c>
      <c r="J565" s="18"/>
      <c r="K565" s="21">
        <f t="shared" si="24"/>
        <v>50.033333333325572</v>
      </c>
      <c r="L565" s="19">
        <f t="shared" si="25"/>
        <v>5</v>
      </c>
      <c r="M565" s="18" t="str">
        <f>IF(I565&lt;&gt;"Sí","",IF(YEAR(F565)&lt;&gt;2026,"",INDEX({"Enero","Febrero","Marzo","Abril","Mayo","Junio","Julio","Agosto","Septiembre","Octubre","Noviembre","Diciembre"},MONTH(F565))))</f>
        <v>Junio</v>
      </c>
      <c r="N565" s="18" t="str">
        <f t="shared" si="26"/>
        <v>Junio|5</v>
      </c>
    </row>
    <row r="566" spans="1:14" ht="14.5" x14ac:dyDescent="0.25">
      <c r="A566" s="19">
        <v>32</v>
      </c>
      <c r="B566" s="18" t="s">
        <v>39</v>
      </c>
      <c r="C566" s="18" t="s">
        <v>106</v>
      </c>
      <c r="D566" s="18" t="s">
        <v>1113</v>
      </c>
      <c r="E566" s="18" t="s">
        <v>1128</v>
      </c>
      <c r="F566" s="101">
        <v>46181.768750000003</v>
      </c>
      <c r="G566" s="101">
        <v>46183.81527777778</v>
      </c>
      <c r="H566" s="18" t="s">
        <v>507</v>
      </c>
      <c r="I566" s="18" t="s">
        <v>508</v>
      </c>
      <c r="J566" s="18"/>
      <c r="K566" s="21">
        <f t="shared" si="24"/>
        <v>49.116666666639503</v>
      </c>
      <c r="L566" s="19">
        <f t="shared" si="25"/>
        <v>6</v>
      </c>
      <c r="M566" s="18" t="str">
        <f>IF(I566&lt;&gt;"Sí","",IF(YEAR(F566)&lt;&gt;2026,"",INDEX({"Enero","Febrero","Marzo","Abril","Mayo","Junio","Julio","Agosto","Septiembre","Octubre","Noviembre","Diciembre"},MONTH(F566))))</f>
        <v>Junio</v>
      </c>
      <c r="N566" s="18" t="str">
        <f t="shared" si="26"/>
        <v>Junio|6</v>
      </c>
    </row>
    <row r="567" spans="1:14" ht="14.5" x14ac:dyDescent="0.25">
      <c r="A567" s="19">
        <v>32</v>
      </c>
      <c r="B567" s="18" t="s">
        <v>39</v>
      </c>
      <c r="C567" s="18" t="s">
        <v>106</v>
      </c>
      <c r="D567" s="18" t="s">
        <v>1113</v>
      </c>
      <c r="E567" s="18" t="s">
        <v>1129</v>
      </c>
      <c r="F567" s="101"/>
      <c r="G567" s="101">
        <v>46183.667361111111</v>
      </c>
      <c r="H567" s="18" t="s">
        <v>1067</v>
      </c>
      <c r="I567" s="18" t="s">
        <v>555</v>
      </c>
      <c r="J567" s="18" t="s">
        <v>556</v>
      </c>
      <c r="K567" s="21" t="str">
        <f t="shared" si="24"/>
        <v/>
      </c>
      <c r="L567" s="19" t="str">
        <f t="shared" si="25"/>
        <v/>
      </c>
      <c r="M567" s="18" t="str">
        <f>IF(I567&lt;&gt;"Sí","",IF(YEAR(F567)&lt;&gt;2026,"",INDEX({"Enero","Febrero","Marzo","Abril","Mayo","Junio","Julio","Agosto","Septiembre","Octubre","Noviembre","Diciembre"},MONTH(F567))))</f>
        <v/>
      </c>
      <c r="N567" s="18" t="str">
        <f t="shared" si="26"/>
        <v/>
      </c>
    </row>
    <row r="568" spans="1:14" ht="14.5" x14ac:dyDescent="0.25">
      <c r="A568" s="19">
        <v>32</v>
      </c>
      <c r="B568" s="18" t="s">
        <v>39</v>
      </c>
      <c r="C568" s="18" t="s">
        <v>106</v>
      </c>
      <c r="D568" s="18" t="s">
        <v>1113</v>
      </c>
      <c r="E568" s="18" t="s">
        <v>1130</v>
      </c>
      <c r="F568" s="101"/>
      <c r="G568" s="101">
        <v>46183.667361111111</v>
      </c>
      <c r="H568" s="18" t="s">
        <v>1067</v>
      </c>
      <c r="I568" s="18" t="s">
        <v>555</v>
      </c>
      <c r="J568" s="18" t="s">
        <v>556</v>
      </c>
      <c r="K568" s="21" t="str">
        <f t="shared" si="24"/>
        <v/>
      </c>
      <c r="L568" s="19" t="str">
        <f t="shared" si="25"/>
        <v/>
      </c>
      <c r="M568" s="18" t="str">
        <f>IF(I568&lt;&gt;"Sí","",IF(YEAR(F568)&lt;&gt;2026,"",INDEX({"Enero","Febrero","Marzo","Abril","Mayo","Junio","Julio","Agosto","Septiembre","Octubre","Noviembre","Diciembre"},MONTH(F568))))</f>
        <v/>
      </c>
      <c r="N568" s="18" t="str">
        <f t="shared" si="26"/>
        <v/>
      </c>
    </row>
    <row r="569" spans="1:14" ht="14.5" x14ac:dyDescent="0.25">
      <c r="A569" s="19">
        <v>32</v>
      </c>
      <c r="B569" s="18" t="s">
        <v>39</v>
      </c>
      <c r="C569" s="18" t="s">
        <v>106</v>
      </c>
      <c r="D569" s="18" t="s">
        <v>1113</v>
      </c>
      <c r="E569" s="18" t="s">
        <v>1130</v>
      </c>
      <c r="F569" s="101">
        <v>46183.667361111111</v>
      </c>
      <c r="G569" s="101">
        <v>46185.36041666667</v>
      </c>
      <c r="H569" s="18" t="s">
        <v>1067</v>
      </c>
      <c r="I569" s="18" t="s">
        <v>508</v>
      </c>
      <c r="J569" s="18"/>
      <c r="K569" s="21">
        <f t="shared" si="24"/>
        <v>40.633333333418705</v>
      </c>
      <c r="L569" s="19">
        <f t="shared" si="25"/>
        <v>7</v>
      </c>
      <c r="M569" s="18" t="str">
        <f>IF(I569&lt;&gt;"Sí","",IF(YEAR(F569)&lt;&gt;2026,"",INDEX({"Enero","Febrero","Marzo","Abril","Mayo","Junio","Julio","Agosto","Septiembre","Octubre","Noviembre","Diciembre"},MONTH(F569))))</f>
        <v>Junio</v>
      </c>
      <c r="N569" s="18" t="str">
        <f t="shared" si="26"/>
        <v>Junio|7</v>
      </c>
    </row>
    <row r="570" spans="1:14" ht="14.5" x14ac:dyDescent="0.25">
      <c r="A570" s="19">
        <v>32</v>
      </c>
      <c r="B570" s="18" t="s">
        <v>39</v>
      </c>
      <c r="C570" s="18" t="s">
        <v>126</v>
      </c>
      <c r="D570" s="18" t="s">
        <v>1131</v>
      </c>
      <c r="E570" s="18" t="s">
        <v>1132</v>
      </c>
      <c r="F570" s="101"/>
      <c r="G570" s="101">
        <v>46186.367361111108</v>
      </c>
      <c r="H570" s="18" t="s">
        <v>1067</v>
      </c>
      <c r="I570" s="18" t="s">
        <v>555</v>
      </c>
      <c r="J570" s="18" t="s">
        <v>556</v>
      </c>
      <c r="K570" s="21" t="str">
        <f t="shared" si="24"/>
        <v/>
      </c>
      <c r="L570" s="19" t="str">
        <f t="shared" si="25"/>
        <v/>
      </c>
      <c r="M570" s="18" t="str">
        <f>IF(I570&lt;&gt;"Sí","",IF(YEAR(F570)&lt;&gt;2026,"",INDEX({"Enero","Febrero","Marzo","Abril","Mayo","Junio","Julio","Agosto","Septiembre","Octubre","Noviembre","Diciembre"},MONTH(F570))))</f>
        <v/>
      </c>
      <c r="N570" s="18" t="str">
        <f t="shared" si="26"/>
        <v/>
      </c>
    </row>
    <row r="571" spans="1:14" ht="14.5" x14ac:dyDescent="0.25">
      <c r="A571" s="19">
        <v>32</v>
      </c>
      <c r="B571" s="18" t="s">
        <v>39</v>
      </c>
      <c r="C571" s="18" t="s">
        <v>126</v>
      </c>
      <c r="D571" s="18" t="s">
        <v>1131</v>
      </c>
      <c r="E571" s="18" t="s">
        <v>1133</v>
      </c>
      <c r="F571" s="101"/>
      <c r="G571" s="101">
        <v>46186.367361111108</v>
      </c>
      <c r="H571" s="18" t="s">
        <v>1067</v>
      </c>
      <c r="I571" s="18" t="s">
        <v>555</v>
      </c>
      <c r="J571" s="18" t="s">
        <v>556</v>
      </c>
      <c r="K571" s="21" t="str">
        <f t="shared" si="24"/>
        <v/>
      </c>
      <c r="L571" s="19" t="str">
        <f t="shared" si="25"/>
        <v/>
      </c>
      <c r="M571" s="18" t="str">
        <f>IF(I571&lt;&gt;"Sí","",IF(YEAR(F571)&lt;&gt;2026,"",INDEX({"Enero","Febrero","Marzo","Abril","Mayo","Junio","Julio","Agosto","Septiembre","Octubre","Noviembre","Diciembre"},MONTH(F571))))</f>
        <v/>
      </c>
      <c r="N571" s="18" t="str">
        <f t="shared" si="26"/>
        <v/>
      </c>
    </row>
    <row r="572" spans="1:14" ht="14.5" x14ac:dyDescent="0.25">
      <c r="A572" s="19">
        <v>32</v>
      </c>
      <c r="B572" s="18" t="s">
        <v>39</v>
      </c>
      <c r="C572" s="18" t="s">
        <v>126</v>
      </c>
      <c r="D572" s="18" t="s">
        <v>1131</v>
      </c>
      <c r="E572" s="18" t="s">
        <v>1132</v>
      </c>
      <c r="F572" s="101">
        <v>46186.470833333333</v>
      </c>
      <c r="G572" s="101">
        <v>46189.818055555559</v>
      </c>
      <c r="H572" s="18" t="s">
        <v>1067</v>
      </c>
      <c r="I572" s="18" t="s">
        <v>508</v>
      </c>
      <c r="J572" s="18"/>
      <c r="K572" s="21">
        <f t="shared" si="24"/>
        <v>80.333333333430346</v>
      </c>
      <c r="L572" s="19">
        <f t="shared" si="25"/>
        <v>2</v>
      </c>
      <c r="M572" s="18" t="str">
        <f>IF(I572&lt;&gt;"Sí","",IF(YEAR(F572)&lt;&gt;2026,"",INDEX({"Enero","Febrero","Marzo","Abril","Mayo","Junio","Julio","Agosto","Septiembre","Octubre","Noviembre","Diciembre"},MONTH(F572))))</f>
        <v>Junio</v>
      </c>
      <c r="N572" s="18" t="str">
        <f t="shared" si="26"/>
        <v>Junio|2</v>
      </c>
    </row>
    <row r="573" spans="1:14" ht="14.5" x14ac:dyDescent="0.25">
      <c r="A573" s="19">
        <v>32</v>
      </c>
      <c r="B573" s="18" t="s">
        <v>39</v>
      </c>
      <c r="C573" s="18" t="s">
        <v>126</v>
      </c>
      <c r="D573" s="18" t="s">
        <v>1131</v>
      </c>
      <c r="E573" s="18" t="s">
        <v>1133</v>
      </c>
      <c r="F573" s="101">
        <v>46186.470833333333</v>
      </c>
      <c r="G573" s="101">
        <v>46189.818055555559</v>
      </c>
      <c r="H573" s="18" t="s">
        <v>1067</v>
      </c>
      <c r="I573" s="18" t="s">
        <v>508</v>
      </c>
      <c r="J573" s="18"/>
      <c r="K573" s="21">
        <f t="shared" si="24"/>
        <v>80.333333333430346</v>
      </c>
      <c r="L573" s="19">
        <f t="shared" si="25"/>
        <v>2</v>
      </c>
      <c r="M573" s="18" t="str">
        <f>IF(I573&lt;&gt;"Sí","",IF(YEAR(F573)&lt;&gt;2026,"",INDEX({"Enero","Febrero","Marzo","Abril","Mayo","Junio","Julio","Agosto","Septiembre","Octubre","Noviembre","Diciembre"},MONTH(F573))))</f>
        <v>Junio</v>
      </c>
      <c r="N573" s="18" t="str">
        <f t="shared" si="26"/>
        <v>Junio|2</v>
      </c>
    </row>
    <row r="574" spans="1:14" ht="14.5" x14ac:dyDescent="0.25">
      <c r="A574" s="19">
        <v>32</v>
      </c>
      <c r="B574" s="18" t="s">
        <v>39</v>
      </c>
      <c r="C574" s="18" t="s">
        <v>126</v>
      </c>
      <c r="D574" s="18" t="s">
        <v>1131</v>
      </c>
      <c r="E574" s="18" t="s">
        <v>1134</v>
      </c>
      <c r="F574" s="101">
        <v>46186.638888888891</v>
      </c>
      <c r="G574" s="101">
        <v>46187.76666666667</v>
      </c>
      <c r="H574" s="18" t="s">
        <v>754</v>
      </c>
      <c r="I574" s="18" t="s">
        <v>508</v>
      </c>
      <c r="J574" s="18"/>
      <c r="K574" s="21">
        <f t="shared" si="24"/>
        <v>27.066666666709352</v>
      </c>
      <c r="L574" s="19">
        <f t="shared" si="25"/>
        <v>3</v>
      </c>
      <c r="M574" s="18" t="str">
        <f>IF(I574&lt;&gt;"Sí","",IF(YEAR(F574)&lt;&gt;2026,"",INDEX({"Enero","Febrero","Marzo","Abril","Mayo","Junio","Julio","Agosto","Septiembre","Octubre","Noviembre","Diciembre"},MONTH(F574))))</f>
        <v>Junio</v>
      </c>
      <c r="N574" s="18" t="str">
        <f t="shared" si="26"/>
        <v>Junio|3</v>
      </c>
    </row>
    <row r="575" spans="1:14" ht="14.5" x14ac:dyDescent="0.25">
      <c r="A575" s="19">
        <v>32</v>
      </c>
      <c r="B575" s="18" t="s">
        <v>39</v>
      </c>
      <c r="C575" s="18" t="s">
        <v>161</v>
      </c>
      <c r="D575" s="18" t="s">
        <v>1135</v>
      </c>
      <c r="E575" s="18" t="s">
        <v>1136</v>
      </c>
      <c r="F575" s="101">
        <v>46186.807638888888</v>
      </c>
      <c r="G575" s="101">
        <v>46191.895138888889</v>
      </c>
      <c r="H575" s="18" t="s">
        <v>507</v>
      </c>
      <c r="I575" s="18" t="s">
        <v>508</v>
      </c>
      <c r="J575" s="18"/>
      <c r="K575" s="21">
        <f t="shared" si="24"/>
        <v>122.10000000003492</v>
      </c>
      <c r="L575" s="19">
        <f t="shared" si="25"/>
        <v>4</v>
      </c>
      <c r="M575" s="18" t="str">
        <f>IF(I575&lt;&gt;"Sí","",IF(YEAR(F575)&lt;&gt;2026,"",INDEX({"Enero","Febrero","Marzo","Abril","Mayo","Junio","Julio","Agosto","Septiembre","Octubre","Noviembre","Diciembre"},MONTH(F575))))</f>
        <v>Junio</v>
      </c>
      <c r="N575" s="18" t="str">
        <f t="shared" si="26"/>
        <v>Junio|4</v>
      </c>
    </row>
    <row r="576" spans="1:14" ht="14.5" x14ac:dyDescent="0.25">
      <c r="A576" s="19">
        <v>32</v>
      </c>
      <c r="B576" s="18" t="s">
        <v>39</v>
      </c>
      <c r="C576" s="18" t="s">
        <v>126</v>
      </c>
      <c r="D576" s="18" t="s">
        <v>1131</v>
      </c>
      <c r="E576" s="18" t="s">
        <v>1134</v>
      </c>
      <c r="F576" s="101">
        <v>46187.76666666667</v>
      </c>
      <c r="G576" s="101">
        <v>46186.619444444441</v>
      </c>
      <c r="H576" s="18" t="s">
        <v>1137</v>
      </c>
      <c r="I576" s="18" t="s">
        <v>555</v>
      </c>
      <c r="J576" s="18" t="s">
        <v>755</v>
      </c>
      <c r="K576" s="21" t="str">
        <f t="shared" si="24"/>
        <v/>
      </c>
      <c r="L576" s="19" t="str">
        <f t="shared" si="25"/>
        <v/>
      </c>
      <c r="M576" s="18" t="str">
        <f>IF(I576&lt;&gt;"Sí","",IF(YEAR(F576)&lt;&gt;2026,"",INDEX({"Enero","Febrero","Marzo","Abril","Mayo","Junio","Julio","Agosto","Septiembre","Octubre","Noviembre","Diciembre"},MONTH(F576))))</f>
        <v/>
      </c>
      <c r="N576" s="18" t="str">
        <f t="shared" si="26"/>
        <v/>
      </c>
    </row>
    <row r="577" spans="1:14" ht="14.5" x14ac:dyDescent="0.25">
      <c r="A577" s="19">
        <v>32</v>
      </c>
      <c r="B577" s="18" t="s">
        <v>39</v>
      </c>
      <c r="C577" s="18" t="s">
        <v>92</v>
      </c>
      <c r="D577" s="18" t="s">
        <v>1138</v>
      </c>
      <c r="E577" s="18" t="s">
        <v>1139</v>
      </c>
      <c r="F577" s="101">
        <v>46191.990277777775</v>
      </c>
      <c r="G577" s="101">
        <v>46193.513194444444</v>
      </c>
      <c r="H577" s="18" t="s">
        <v>507</v>
      </c>
      <c r="I577" s="18" t="s">
        <v>508</v>
      </c>
      <c r="J577" s="18"/>
      <c r="K577" s="21">
        <f t="shared" si="24"/>
        <v>36.550000000046566</v>
      </c>
      <c r="L577" s="19">
        <f t="shared" si="25"/>
        <v>1</v>
      </c>
      <c r="M577" s="18" t="str">
        <f>IF(I577&lt;&gt;"Sí","",IF(YEAR(F577)&lt;&gt;2026,"",INDEX({"Enero","Febrero","Marzo","Abril","Mayo","Junio","Julio","Agosto","Septiembre","Octubre","Noviembre","Diciembre"},MONTH(F577))))</f>
        <v>Junio</v>
      </c>
      <c r="N577" s="18" t="str">
        <f t="shared" si="26"/>
        <v>Junio|1</v>
      </c>
    </row>
    <row r="578" spans="1:14" ht="14.5" x14ac:dyDescent="0.25">
      <c r="A578" s="19">
        <v>32</v>
      </c>
      <c r="B578" s="18" t="s">
        <v>39</v>
      </c>
      <c r="C578" s="18" t="s">
        <v>92</v>
      </c>
      <c r="D578" s="18" t="s">
        <v>1138</v>
      </c>
      <c r="E578" s="18" t="s">
        <v>1140</v>
      </c>
      <c r="F578" s="101">
        <v>46191.992361111108</v>
      </c>
      <c r="G578" s="101">
        <v>46193.497916666667</v>
      </c>
      <c r="H578" s="18" t="s">
        <v>507</v>
      </c>
      <c r="I578" s="18" t="s">
        <v>508</v>
      </c>
      <c r="J578" s="18"/>
      <c r="K578" s="21">
        <f t="shared" si="24"/>
        <v>36.133333333418705</v>
      </c>
      <c r="L578" s="19">
        <f t="shared" si="25"/>
        <v>2</v>
      </c>
      <c r="M578" s="18" t="str">
        <f>IF(I578&lt;&gt;"Sí","",IF(YEAR(F578)&lt;&gt;2026,"",INDEX({"Enero","Febrero","Marzo","Abril","Mayo","Junio","Julio","Agosto","Septiembre","Octubre","Noviembre","Diciembre"},MONTH(F578))))</f>
        <v>Junio</v>
      </c>
      <c r="N578" s="18" t="str">
        <f t="shared" si="26"/>
        <v>Junio|2</v>
      </c>
    </row>
    <row r="579" spans="1:14" ht="14.5" x14ac:dyDescent="0.25">
      <c r="A579" s="19">
        <v>32</v>
      </c>
      <c r="B579" s="18" t="s">
        <v>39</v>
      </c>
      <c r="C579" s="18" t="s">
        <v>92</v>
      </c>
      <c r="D579" s="18" t="s">
        <v>1138</v>
      </c>
      <c r="E579" s="18" t="s">
        <v>1141</v>
      </c>
      <c r="F579" s="101">
        <v>46191.994444444441</v>
      </c>
      <c r="G579" s="101">
        <v>46193.513194444444</v>
      </c>
      <c r="H579" s="18" t="s">
        <v>507</v>
      </c>
      <c r="I579" s="18" t="s">
        <v>508</v>
      </c>
      <c r="J579" s="18"/>
      <c r="K579" s="21">
        <f t="shared" si="24"/>
        <v>36.450000000069849</v>
      </c>
      <c r="L579" s="19">
        <f t="shared" si="25"/>
        <v>3</v>
      </c>
      <c r="M579" s="18" t="str">
        <f>IF(I579&lt;&gt;"Sí","",IF(YEAR(F579)&lt;&gt;2026,"",INDEX({"Enero","Febrero","Marzo","Abril","Mayo","Junio","Julio","Agosto","Septiembre","Octubre","Noviembre","Diciembre"},MONTH(F579))))</f>
        <v>Junio</v>
      </c>
      <c r="N579" s="18" t="str">
        <f t="shared" si="26"/>
        <v>Junio|3</v>
      </c>
    </row>
    <row r="580" spans="1:14" ht="14.5" x14ac:dyDescent="0.25">
      <c r="A580" s="19">
        <v>32</v>
      </c>
      <c r="B580" s="18" t="s">
        <v>39</v>
      </c>
      <c r="C580" s="18" t="s">
        <v>92</v>
      </c>
      <c r="D580" s="18" t="s">
        <v>1138</v>
      </c>
      <c r="E580" s="18" t="s">
        <v>1142</v>
      </c>
      <c r="F580" s="101">
        <v>46191.99722222222</v>
      </c>
      <c r="G580" s="101">
        <v>46193.513194444444</v>
      </c>
      <c r="H580" s="18" t="s">
        <v>507</v>
      </c>
      <c r="I580" s="18" t="s">
        <v>508</v>
      </c>
      <c r="J580" s="18"/>
      <c r="K580" s="21">
        <f t="shared" si="24"/>
        <v>36.383333333360497</v>
      </c>
      <c r="L580" s="19">
        <f t="shared" si="25"/>
        <v>4</v>
      </c>
      <c r="M580" s="18" t="str">
        <f>IF(I580&lt;&gt;"Sí","",IF(YEAR(F580)&lt;&gt;2026,"",INDEX({"Enero","Febrero","Marzo","Abril","Mayo","Junio","Julio","Agosto","Septiembre","Octubre","Noviembre","Diciembre"},MONTH(F580))))</f>
        <v>Junio</v>
      </c>
      <c r="N580" s="18" t="str">
        <f t="shared" si="26"/>
        <v>Junio|4</v>
      </c>
    </row>
    <row r="581" spans="1:14" ht="14.5" x14ac:dyDescent="0.25">
      <c r="A581" s="19">
        <v>32</v>
      </c>
      <c r="B581" s="18" t="s">
        <v>39</v>
      </c>
      <c r="C581" s="18" t="s">
        <v>92</v>
      </c>
      <c r="D581" s="18" t="s">
        <v>1138</v>
      </c>
      <c r="E581" s="18" t="s">
        <v>1143</v>
      </c>
      <c r="F581" s="101">
        <v>46192</v>
      </c>
      <c r="G581" s="101">
        <v>46193.497916666667</v>
      </c>
      <c r="H581" s="18" t="s">
        <v>507</v>
      </c>
      <c r="I581" s="18" t="s">
        <v>508</v>
      </c>
      <c r="J581" s="18"/>
      <c r="K581" s="21">
        <f t="shared" si="24"/>
        <v>35.950000000011642</v>
      </c>
      <c r="L581" s="19">
        <f t="shared" si="25"/>
        <v>5</v>
      </c>
      <c r="M581" s="18" t="str">
        <f>IF(I581&lt;&gt;"Sí","",IF(YEAR(F581)&lt;&gt;2026,"",INDEX({"Enero","Febrero","Marzo","Abril","Mayo","Junio","Julio","Agosto","Septiembre","Octubre","Noviembre","Diciembre"},MONTH(F581))))</f>
        <v>Junio</v>
      </c>
      <c r="N581" s="18" t="str">
        <f t="shared" si="26"/>
        <v>Junio|5</v>
      </c>
    </row>
    <row r="582" spans="1:14" ht="14.5" x14ac:dyDescent="0.25">
      <c r="A582" s="19">
        <v>32</v>
      </c>
      <c r="B582" s="18" t="s">
        <v>39</v>
      </c>
      <c r="C582" s="18" t="s">
        <v>92</v>
      </c>
      <c r="D582" s="18" t="s">
        <v>1138</v>
      </c>
      <c r="E582" s="18" t="s">
        <v>1144</v>
      </c>
      <c r="F582" s="101">
        <v>46192.001388888886</v>
      </c>
      <c r="G582" s="101">
        <v>46193.513194444444</v>
      </c>
      <c r="H582" s="18" t="s">
        <v>507</v>
      </c>
      <c r="I582" s="18" t="s">
        <v>508</v>
      </c>
      <c r="J582" s="18"/>
      <c r="K582" s="21">
        <f t="shared" si="24"/>
        <v>36.28333333338378</v>
      </c>
      <c r="L582" s="19">
        <f t="shared" si="25"/>
        <v>6</v>
      </c>
      <c r="M582" s="18" t="str">
        <f>IF(I582&lt;&gt;"Sí","",IF(YEAR(F582)&lt;&gt;2026,"",INDEX({"Enero","Febrero","Marzo","Abril","Mayo","Junio","Julio","Agosto","Septiembre","Octubre","Noviembre","Diciembre"},MONTH(F582))))</f>
        <v>Junio</v>
      </c>
      <c r="N582" s="18" t="str">
        <f t="shared" si="26"/>
        <v>Junio|6</v>
      </c>
    </row>
    <row r="583" spans="1:14" ht="14.5" x14ac:dyDescent="0.25">
      <c r="A583" s="19">
        <v>32</v>
      </c>
      <c r="B583" s="18" t="s">
        <v>39</v>
      </c>
      <c r="C583" s="18" t="s">
        <v>92</v>
      </c>
      <c r="D583" s="18" t="s">
        <v>1138</v>
      </c>
      <c r="E583" s="18" t="s">
        <v>1145</v>
      </c>
      <c r="F583" s="101">
        <v>46192.00277777778</v>
      </c>
      <c r="G583" s="101">
        <v>46193.513194444444</v>
      </c>
      <c r="H583" s="18" t="s">
        <v>507</v>
      </c>
      <c r="I583" s="18" t="s">
        <v>508</v>
      </c>
      <c r="J583" s="18"/>
      <c r="K583" s="21">
        <f t="shared" ref="K583:K646" si="27">IF(I583="Sí",(G583-F583)*24,"")</f>
        <v>36.249999999941792</v>
      </c>
      <c r="L583" s="19">
        <f t="shared" ref="L583:L646" si="28">IF(I583="Sí",COUNTIFS($F$7:$F$4000,"&lt;="&amp;F583,$G$7:$G$4000,"&gt;"&amp;F583,$I$7:$I$4000,"Sí"),"")</f>
        <v>7</v>
      </c>
      <c r="M583" s="18" t="str">
        <f>IF(I583&lt;&gt;"Sí","",IF(YEAR(F583)&lt;&gt;2026,"",INDEX({"Enero","Febrero","Marzo","Abril","Mayo","Junio","Julio","Agosto","Septiembre","Octubre","Noviembre","Diciembre"},MONTH(F583))))</f>
        <v>Junio</v>
      </c>
      <c r="N583" s="18" t="str">
        <f t="shared" ref="N583:N646" si="29">IF(M583="","",M583&amp;"|"&amp;L583)</f>
        <v>Junio|7</v>
      </c>
    </row>
    <row r="584" spans="1:14" ht="14.5" x14ac:dyDescent="0.25">
      <c r="A584" s="19">
        <v>32</v>
      </c>
      <c r="B584" s="18" t="s">
        <v>39</v>
      </c>
      <c r="C584" s="18" t="s">
        <v>92</v>
      </c>
      <c r="D584" s="18" t="s">
        <v>1138</v>
      </c>
      <c r="E584" s="18" t="s">
        <v>1146</v>
      </c>
      <c r="F584" s="101">
        <v>46192.003472222219</v>
      </c>
      <c r="G584" s="101">
        <v>46193.497916666667</v>
      </c>
      <c r="H584" s="18" t="s">
        <v>507</v>
      </c>
      <c r="I584" s="18" t="s">
        <v>508</v>
      </c>
      <c r="J584" s="18"/>
      <c r="K584" s="21">
        <f t="shared" si="27"/>
        <v>35.866666666755918</v>
      </c>
      <c r="L584" s="19">
        <f t="shared" si="28"/>
        <v>8</v>
      </c>
      <c r="M584" s="18" t="str">
        <f>IF(I584&lt;&gt;"Sí","",IF(YEAR(F584)&lt;&gt;2026,"",INDEX({"Enero","Febrero","Marzo","Abril","Mayo","Junio","Julio","Agosto","Septiembre","Octubre","Noviembre","Diciembre"},MONTH(F584))))</f>
        <v>Junio</v>
      </c>
      <c r="N584" s="18" t="str">
        <f t="shared" si="29"/>
        <v>Junio|8</v>
      </c>
    </row>
    <row r="585" spans="1:14" ht="14.5" x14ac:dyDescent="0.25">
      <c r="A585" s="19">
        <v>32</v>
      </c>
      <c r="B585" s="18" t="s">
        <v>39</v>
      </c>
      <c r="C585" s="18" t="s">
        <v>92</v>
      </c>
      <c r="D585" s="18" t="s">
        <v>1138</v>
      </c>
      <c r="E585" s="18" t="s">
        <v>1147</v>
      </c>
      <c r="F585" s="101">
        <v>46192.004861111112</v>
      </c>
      <c r="G585" s="101">
        <v>46193.472916666666</v>
      </c>
      <c r="H585" s="18" t="s">
        <v>507</v>
      </c>
      <c r="I585" s="18" t="s">
        <v>508</v>
      </c>
      <c r="J585" s="18"/>
      <c r="K585" s="21">
        <f t="shared" si="27"/>
        <v>35.233333333279006</v>
      </c>
      <c r="L585" s="19">
        <f t="shared" si="28"/>
        <v>9</v>
      </c>
      <c r="M585" s="18" t="str">
        <f>IF(I585&lt;&gt;"Sí","",IF(YEAR(F585)&lt;&gt;2026,"",INDEX({"Enero","Febrero","Marzo","Abril","Mayo","Junio","Julio","Agosto","Septiembre","Octubre","Noviembre","Diciembre"},MONTH(F585))))</f>
        <v>Junio</v>
      </c>
      <c r="N585" s="18" t="str">
        <f t="shared" si="29"/>
        <v>Junio|9</v>
      </c>
    </row>
    <row r="586" spans="1:14" ht="14.5" x14ac:dyDescent="0.25">
      <c r="A586" s="19">
        <v>32</v>
      </c>
      <c r="B586" s="18" t="s">
        <v>39</v>
      </c>
      <c r="C586" s="18" t="s">
        <v>92</v>
      </c>
      <c r="D586" s="18" t="s">
        <v>1138</v>
      </c>
      <c r="E586" s="18" t="s">
        <v>1148</v>
      </c>
      <c r="F586" s="101">
        <v>46192.006944444445</v>
      </c>
      <c r="G586" s="101">
        <v>46193.472916666666</v>
      </c>
      <c r="H586" s="18" t="s">
        <v>507</v>
      </c>
      <c r="I586" s="18" t="s">
        <v>508</v>
      </c>
      <c r="J586" s="18"/>
      <c r="K586" s="21">
        <f t="shared" si="27"/>
        <v>35.183333333290648</v>
      </c>
      <c r="L586" s="19">
        <f t="shared" si="28"/>
        <v>10</v>
      </c>
      <c r="M586" s="18" t="str">
        <f>IF(I586&lt;&gt;"Sí","",IF(YEAR(F586)&lt;&gt;2026,"",INDEX({"Enero","Febrero","Marzo","Abril","Mayo","Junio","Julio","Agosto","Septiembre","Octubre","Noviembre","Diciembre"},MONTH(F586))))</f>
        <v>Junio</v>
      </c>
      <c r="N586" s="18" t="str">
        <f t="shared" si="29"/>
        <v>Junio|10</v>
      </c>
    </row>
    <row r="587" spans="1:14" ht="14.5" x14ac:dyDescent="0.25">
      <c r="A587" s="19">
        <v>32</v>
      </c>
      <c r="B587" s="18" t="s">
        <v>39</v>
      </c>
      <c r="C587" s="18" t="s">
        <v>92</v>
      </c>
      <c r="D587" s="18" t="s">
        <v>1138</v>
      </c>
      <c r="E587" s="18" t="s">
        <v>1149</v>
      </c>
      <c r="F587" s="101">
        <v>46192.007638888892</v>
      </c>
      <c r="G587" s="101">
        <v>46193.474999999999</v>
      </c>
      <c r="H587" s="18" t="s">
        <v>507</v>
      </c>
      <c r="I587" s="18" t="s">
        <v>508</v>
      </c>
      <c r="J587" s="18"/>
      <c r="K587" s="21">
        <f t="shared" si="27"/>
        <v>35.216666666558012</v>
      </c>
      <c r="L587" s="19">
        <f t="shared" si="28"/>
        <v>11</v>
      </c>
      <c r="M587" s="18" t="str">
        <f>IF(I587&lt;&gt;"Sí","",IF(YEAR(F587)&lt;&gt;2026,"",INDEX({"Enero","Febrero","Marzo","Abril","Mayo","Junio","Julio","Agosto","Septiembre","Octubre","Noviembre","Diciembre"},MONTH(F587))))</f>
        <v>Junio</v>
      </c>
      <c r="N587" s="18" t="str">
        <f t="shared" si="29"/>
        <v>Junio|11</v>
      </c>
    </row>
    <row r="588" spans="1:14" ht="14.5" x14ac:dyDescent="0.25">
      <c r="A588" s="19">
        <v>32</v>
      </c>
      <c r="B588" s="18" t="s">
        <v>39</v>
      </c>
      <c r="C588" s="18" t="s">
        <v>92</v>
      </c>
      <c r="D588" s="18" t="s">
        <v>1138</v>
      </c>
      <c r="E588" s="18" t="s">
        <v>1150</v>
      </c>
      <c r="F588" s="101">
        <v>46192.009722222225</v>
      </c>
      <c r="G588" s="101">
        <v>46193.478472222225</v>
      </c>
      <c r="H588" s="18" t="s">
        <v>507</v>
      </c>
      <c r="I588" s="18" t="s">
        <v>508</v>
      </c>
      <c r="J588" s="18"/>
      <c r="K588" s="21">
        <f t="shared" si="27"/>
        <v>35.25</v>
      </c>
      <c r="L588" s="19">
        <f t="shared" si="28"/>
        <v>12</v>
      </c>
      <c r="M588" s="18" t="str">
        <f>IF(I588&lt;&gt;"Sí","",IF(YEAR(F588)&lt;&gt;2026,"",INDEX({"Enero","Febrero","Marzo","Abril","Mayo","Junio","Julio","Agosto","Septiembre","Octubre","Noviembre","Diciembre"},MONTH(F588))))</f>
        <v>Junio</v>
      </c>
      <c r="N588" s="18" t="str">
        <f t="shared" si="29"/>
        <v>Junio|12</v>
      </c>
    </row>
    <row r="589" spans="1:14" ht="14.5" x14ac:dyDescent="0.25">
      <c r="A589" s="19">
        <v>32</v>
      </c>
      <c r="B589" s="18" t="s">
        <v>39</v>
      </c>
      <c r="C589" s="18" t="s">
        <v>92</v>
      </c>
      <c r="D589" s="18" t="s">
        <v>1138</v>
      </c>
      <c r="E589" s="18" t="s">
        <v>1151</v>
      </c>
      <c r="F589" s="101">
        <v>46192.011805555558</v>
      </c>
      <c r="G589" s="101">
        <v>46193.488194444442</v>
      </c>
      <c r="H589" s="18" t="s">
        <v>507</v>
      </c>
      <c r="I589" s="18" t="s">
        <v>508</v>
      </c>
      <c r="J589" s="18"/>
      <c r="K589" s="21">
        <f t="shared" si="27"/>
        <v>35.43333333323244</v>
      </c>
      <c r="L589" s="19">
        <f t="shared" si="28"/>
        <v>13</v>
      </c>
      <c r="M589" s="18" t="str">
        <f>IF(I589&lt;&gt;"Sí","",IF(YEAR(F589)&lt;&gt;2026,"",INDEX({"Enero","Febrero","Marzo","Abril","Mayo","Junio","Julio","Agosto","Septiembre","Octubre","Noviembre","Diciembre"},MONTH(F589))))</f>
        <v>Junio</v>
      </c>
      <c r="N589" s="18" t="str">
        <f t="shared" si="29"/>
        <v>Junio|13</v>
      </c>
    </row>
    <row r="590" spans="1:14" ht="14.5" x14ac:dyDescent="0.25">
      <c r="A590" s="19">
        <v>32</v>
      </c>
      <c r="B590" s="18" t="s">
        <v>39</v>
      </c>
      <c r="C590" s="18" t="s">
        <v>92</v>
      </c>
      <c r="D590" s="18" t="s">
        <v>1138</v>
      </c>
      <c r="E590" s="18" t="s">
        <v>1152</v>
      </c>
      <c r="F590" s="101">
        <v>46192.013194444444</v>
      </c>
      <c r="G590" s="101">
        <v>46193.46875</v>
      </c>
      <c r="H590" s="18" t="s">
        <v>507</v>
      </c>
      <c r="I590" s="18" t="s">
        <v>508</v>
      </c>
      <c r="J590" s="18"/>
      <c r="K590" s="21">
        <f t="shared" si="27"/>
        <v>34.933333333348855</v>
      </c>
      <c r="L590" s="19">
        <f t="shared" si="28"/>
        <v>14</v>
      </c>
      <c r="M590" s="18" t="str">
        <f>IF(I590&lt;&gt;"Sí","",IF(YEAR(F590)&lt;&gt;2026,"",INDEX({"Enero","Febrero","Marzo","Abril","Mayo","Junio","Julio","Agosto","Septiembre","Octubre","Noviembre","Diciembre"},MONTH(F590))))</f>
        <v>Junio</v>
      </c>
      <c r="N590" s="18" t="str">
        <f t="shared" si="29"/>
        <v>Junio|14</v>
      </c>
    </row>
    <row r="591" spans="1:14" ht="14.5" x14ac:dyDescent="0.25">
      <c r="A591" s="19">
        <v>32</v>
      </c>
      <c r="B591" s="18" t="s">
        <v>39</v>
      </c>
      <c r="C591" s="18" t="s">
        <v>92</v>
      </c>
      <c r="D591" s="18" t="s">
        <v>1138</v>
      </c>
      <c r="E591" s="18" t="s">
        <v>1153</v>
      </c>
      <c r="F591" s="101">
        <v>46192.01458333333</v>
      </c>
      <c r="G591" s="101">
        <v>46193.46875</v>
      </c>
      <c r="H591" s="18" t="s">
        <v>507</v>
      </c>
      <c r="I591" s="18" t="s">
        <v>508</v>
      </c>
      <c r="J591" s="18"/>
      <c r="K591" s="21">
        <f t="shared" si="27"/>
        <v>34.900000000081491</v>
      </c>
      <c r="L591" s="19">
        <f t="shared" si="28"/>
        <v>15</v>
      </c>
      <c r="M591" s="18" t="str">
        <f>IF(I591&lt;&gt;"Sí","",IF(YEAR(F591)&lt;&gt;2026,"",INDEX({"Enero","Febrero","Marzo","Abril","Mayo","Junio","Julio","Agosto","Septiembre","Octubre","Noviembre","Diciembre"},MONTH(F591))))</f>
        <v>Junio</v>
      </c>
      <c r="N591" s="18" t="str">
        <f t="shared" si="29"/>
        <v>Junio|15</v>
      </c>
    </row>
    <row r="592" spans="1:14" ht="14.5" x14ac:dyDescent="0.25">
      <c r="A592" s="19">
        <v>32</v>
      </c>
      <c r="B592" s="18" t="s">
        <v>39</v>
      </c>
      <c r="C592" s="18" t="s">
        <v>92</v>
      </c>
      <c r="D592" s="18" t="s">
        <v>1138</v>
      </c>
      <c r="E592" s="18" t="s">
        <v>1154</v>
      </c>
      <c r="F592" s="101">
        <v>46192.01666666667</v>
      </c>
      <c r="G592" s="101">
        <v>46193.474999999999</v>
      </c>
      <c r="H592" s="18" t="s">
        <v>507</v>
      </c>
      <c r="I592" s="18" t="s">
        <v>508</v>
      </c>
      <c r="J592" s="18"/>
      <c r="K592" s="21">
        <f t="shared" si="27"/>
        <v>34.999999999883585</v>
      </c>
      <c r="L592" s="19">
        <f t="shared" si="28"/>
        <v>16</v>
      </c>
      <c r="M592" s="18" t="str">
        <f>IF(I592&lt;&gt;"Sí","",IF(YEAR(F592)&lt;&gt;2026,"",INDEX({"Enero","Febrero","Marzo","Abril","Mayo","Junio","Julio","Agosto","Septiembre","Octubre","Noviembre","Diciembre"},MONTH(F592))))</f>
        <v>Junio</v>
      </c>
      <c r="N592" s="18" t="str">
        <f t="shared" si="29"/>
        <v>Junio|16</v>
      </c>
    </row>
    <row r="593" spans="1:14" ht="14.5" x14ac:dyDescent="0.25">
      <c r="A593" s="19">
        <v>32</v>
      </c>
      <c r="B593" s="18" t="s">
        <v>39</v>
      </c>
      <c r="C593" s="18" t="s">
        <v>92</v>
      </c>
      <c r="D593" s="18" t="s">
        <v>1138</v>
      </c>
      <c r="E593" s="18" t="s">
        <v>1155</v>
      </c>
      <c r="F593" s="101">
        <v>46192.020138888889</v>
      </c>
      <c r="G593" s="101">
        <v>46193.478472222225</v>
      </c>
      <c r="H593" s="18" t="s">
        <v>507</v>
      </c>
      <c r="I593" s="18" t="s">
        <v>508</v>
      </c>
      <c r="J593" s="18"/>
      <c r="K593" s="21">
        <f t="shared" si="27"/>
        <v>35.000000000058208</v>
      </c>
      <c r="L593" s="19">
        <f t="shared" si="28"/>
        <v>17</v>
      </c>
      <c r="M593" s="18" t="str">
        <f>IF(I593&lt;&gt;"Sí","",IF(YEAR(F593)&lt;&gt;2026,"",INDEX({"Enero","Febrero","Marzo","Abril","Mayo","Junio","Julio","Agosto","Septiembre","Octubre","Noviembre","Diciembre"},MONTH(F593))))</f>
        <v>Junio</v>
      </c>
      <c r="N593" s="18" t="str">
        <f t="shared" si="29"/>
        <v>Junio|17</v>
      </c>
    </row>
    <row r="594" spans="1:14" ht="14.5" x14ac:dyDescent="0.25">
      <c r="A594" s="19">
        <v>32</v>
      </c>
      <c r="B594" s="18" t="s">
        <v>39</v>
      </c>
      <c r="C594" s="18" t="s">
        <v>92</v>
      </c>
      <c r="D594" s="18" t="s">
        <v>1138</v>
      </c>
      <c r="E594" s="18" t="s">
        <v>1156</v>
      </c>
      <c r="F594" s="101">
        <v>46192.020833333336</v>
      </c>
      <c r="G594" s="101">
        <v>46193.488194444442</v>
      </c>
      <c r="H594" s="18" t="s">
        <v>507</v>
      </c>
      <c r="I594" s="18" t="s">
        <v>508</v>
      </c>
      <c r="J594" s="18"/>
      <c r="K594" s="21">
        <f t="shared" si="27"/>
        <v>35.216666666558012</v>
      </c>
      <c r="L594" s="19">
        <f t="shared" si="28"/>
        <v>19</v>
      </c>
      <c r="M594" s="18" t="str">
        <f>IF(I594&lt;&gt;"Sí","",IF(YEAR(F594)&lt;&gt;2026,"",INDEX({"Enero","Febrero","Marzo","Abril","Mayo","Junio","Julio","Agosto","Septiembre","Octubre","Noviembre","Diciembre"},MONTH(F594))))</f>
        <v>Junio</v>
      </c>
      <c r="N594" s="18" t="str">
        <f t="shared" si="29"/>
        <v>Junio|19</v>
      </c>
    </row>
    <row r="595" spans="1:14" ht="14.5" x14ac:dyDescent="0.25">
      <c r="A595" s="19">
        <v>32</v>
      </c>
      <c r="B595" s="18" t="s">
        <v>39</v>
      </c>
      <c r="C595" s="18" t="s">
        <v>92</v>
      </c>
      <c r="D595" s="18" t="s">
        <v>1138</v>
      </c>
      <c r="E595" s="18" t="s">
        <v>1157</v>
      </c>
      <c r="F595" s="101">
        <v>46192.020833333336</v>
      </c>
      <c r="G595" s="101">
        <v>46193.488194444442</v>
      </c>
      <c r="H595" s="18" t="s">
        <v>507</v>
      </c>
      <c r="I595" s="18" t="s">
        <v>508</v>
      </c>
      <c r="J595" s="18"/>
      <c r="K595" s="21">
        <f t="shared" si="27"/>
        <v>35.216666666558012</v>
      </c>
      <c r="L595" s="19">
        <f t="shared" si="28"/>
        <v>19</v>
      </c>
      <c r="M595" s="18" t="str">
        <f>IF(I595&lt;&gt;"Sí","",IF(YEAR(F595)&lt;&gt;2026,"",INDEX({"Enero","Febrero","Marzo","Abril","Mayo","Junio","Julio","Agosto","Septiembre","Octubre","Noviembre","Diciembre"},MONTH(F595))))</f>
        <v>Junio</v>
      </c>
      <c r="N595" s="18" t="str">
        <f t="shared" si="29"/>
        <v>Junio|19</v>
      </c>
    </row>
    <row r="596" spans="1:14" ht="14.5" x14ac:dyDescent="0.25">
      <c r="A596" s="19">
        <v>32</v>
      </c>
      <c r="B596" s="18" t="s">
        <v>39</v>
      </c>
      <c r="C596" s="18" t="s">
        <v>92</v>
      </c>
      <c r="D596" s="18" t="s">
        <v>1138</v>
      </c>
      <c r="E596" s="18" t="s">
        <v>1158</v>
      </c>
      <c r="F596" s="101">
        <v>46192.022222222222</v>
      </c>
      <c r="G596" s="101">
        <v>46193.46875</v>
      </c>
      <c r="H596" s="18" t="s">
        <v>507</v>
      </c>
      <c r="I596" s="18" t="s">
        <v>508</v>
      </c>
      <c r="J596" s="18"/>
      <c r="K596" s="21">
        <f t="shared" si="27"/>
        <v>34.716666666674428</v>
      </c>
      <c r="L596" s="19">
        <f t="shared" si="28"/>
        <v>20</v>
      </c>
      <c r="M596" s="18" t="str">
        <f>IF(I596&lt;&gt;"Sí","",IF(YEAR(F596)&lt;&gt;2026,"",INDEX({"Enero","Febrero","Marzo","Abril","Mayo","Junio","Julio","Agosto","Septiembre","Octubre","Noviembre","Diciembre"},MONTH(F596))))</f>
        <v>Junio</v>
      </c>
      <c r="N596" s="18" t="str">
        <f t="shared" si="29"/>
        <v>Junio|20</v>
      </c>
    </row>
    <row r="597" spans="1:14" ht="14.5" x14ac:dyDescent="0.25">
      <c r="A597" s="19">
        <v>32</v>
      </c>
      <c r="B597" s="18" t="s">
        <v>39</v>
      </c>
      <c r="C597" s="18" t="s">
        <v>92</v>
      </c>
      <c r="D597" s="18" t="s">
        <v>1138</v>
      </c>
      <c r="E597" s="18" t="s">
        <v>1159</v>
      </c>
      <c r="F597" s="101">
        <v>46192.023611111108</v>
      </c>
      <c r="G597" s="101">
        <v>46193.46875</v>
      </c>
      <c r="H597" s="18" t="s">
        <v>507</v>
      </c>
      <c r="I597" s="18" t="s">
        <v>508</v>
      </c>
      <c r="J597" s="18"/>
      <c r="K597" s="21">
        <f t="shared" si="27"/>
        <v>34.683333333407063</v>
      </c>
      <c r="L597" s="19">
        <f t="shared" si="28"/>
        <v>21</v>
      </c>
      <c r="M597" s="18" t="str">
        <f>IF(I597&lt;&gt;"Sí","",IF(YEAR(F597)&lt;&gt;2026,"",INDEX({"Enero","Febrero","Marzo","Abril","Mayo","Junio","Julio","Agosto","Septiembre","Octubre","Noviembre","Diciembre"},MONTH(F597))))</f>
        <v>Junio</v>
      </c>
      <c r="N597" s="18" t="str">
        <f t="shared" si="29"/>
        <v>Junio|21</v>
      </c>
    </row>
    <row r="598" spans="1:14" ht="14.5" x14ac:dyDescent="0.25">
      <c r="A598" s="19">
        <v>32</v>
      </c>
      <c r="B598" s="18" t="s">
        <v>39</v>
      </c>
      <c r="C598" s="18" t="s">
        <v>92</v>
      </c>
      <c r="D598" s="18" t="s">
        <v>1138</v>
      </c>
      <c r="E598" s="18" t="s">
        <v>1160</v>
      </c>
      <c r="F598" s="101">
        <v>46192.024305555555</v>
      </c>
      <c r="G598" s="101">
        <v>46193.474999999999</v>
      </c>
      <c r="H598" s="18" t="s">
        <v>507</v>
      </c>
      <c r="I598" s="18" t="s">
        <v>508</v>
      </c>
      <c r="J598" s="18"/>
      <c r="K598" s="21">
        <f t="shared" si="27"/>
        <v>34.816666666651145</v>
      </c>
      <c r="L598" s="19">
        <f t="shared" si="28"/>
        <v>22</v>
      </c>
      <c r="M598" s="18" t="str">
        <f>IF(I598&lt;&gt;"Sí","",IF(YEAR(F598)&lt;&gt;2026,"",INDEX({"Enero","Febrero","Marzo","Abril","Mayo","Junio","Julio","Agosto","Septiembre","Octubre","Noviembre","Diciembre"},MONTH(F598))))</f>
        <v>Junio</v>
      </c>
      <c r="N598" s="18" t="str">
        <f t="shared" si="29"/>
        <v>Junio|22</v>
      </c>
    </row>
    <row r="599" spans="1:14" ht="14.5" x14ac:dyDescent="0.25">
      <c r="A599" s="19">
        <v>32</v>
      </c>
      <c r="B599" s="18" t="s">
        <v>39</v>
      </c>
      <c r="C599" s="18" t="s">
        <v>92</v>
      </c>
      <c r="D599" s="18" t="s">
        <v>1138</v>
      </c>
      <c r="E599" s="18" t="s">
        <v>1161</v>
      </c>
      <c r="F599" s="101">
        <v>46192.025694444441</v>
      </c>
      <c r="G599" s="101">
        <v>46193.478472222225</v>
      </c>
      <c r="H599" s="18" t="s">
        <v>507</v>
      </c>
      <c r="I599" s="18" t="s">
        <v>508</v>
      </c>
      <c r="J599" s="18"/>
      <c r="K599" s="21">
        <f t="shared" si="27"/>
        <v>34.866666666814126</v>
      </c>
      <c r="L599" s="19">
        <f t="shared" si="28"/>
        <v>23</v>
      </c>
      <c r="M599" s="18" t="str">
        <f>IF(I599&lt;&gt;"Sí","",IF(YEAR(F599)&lt;&gt;2026,"",INDEX({"Enero","Febrero","Marzo","Abril","Mayo","Junio","Julio","Agosto","Septiembre","Octubre","Noviembre","Diciembre"},MONTH(F599))))</f>
        <v>Junio</v>
      </c>
      <c r="N599" s="18" t="str">
        <f t="shared" si="29"/>
        <v>Junio|23</v>
      </c>
    </row>
    <row r="600" spans="1:14" ht="14.5" x14ac:dyDescent="0.25">
      <c r="A600" s="19">
        <v>32</v>
      </c>
      <c r="B600" s="18" t="s">
        <v>39</v>
      </c>
      <c r="C600" s="18" t="s">
        <v>92</v>
      </c>
      <c r="D600" s="18" t="s">
        <v>1138</v>
      </c>
      <c r="E600" s="18" t="s">
        <v>1162</v>
      </c>
      <c r="F600" s="101">
        <v>46192.027083333334</v>
      </c>
      <c r="G600" s="101">
        <v>46193.488194444442</v>
      </c>
      <c r="H600" s="18" t="s">
        <v>507</v>
      </c>
      <c r="I600" s="18" t="s">
        <v>508</v>
      </c>
      <c r="J600" s="18"/>
      <c r="K600" s="21">
        <f t="shared" si="27"/>
        <v>35.066666666592937</v>
      </c>
      <c r="L600" s="19">
        <f t="shared" si="28"/>
        <v>24</v>
      </c>
      <c r="M600" s="18" t="str">
        <f>IF(I600&lt;&gt;"Sí","",IF(YEAR(F600)&lt;&gt;2026,"",INDEX({"Enero","Febrero","Marzo","Abril","Mayo","Junio","Julio","Agosto","Septiembre","Octubre","Noviembre","Diciembre"},MONTH(F600))))</f>
        <v>Junio</v>
      </c>
      <c r="N600" s="18" t="str">
        <f t="shared" si="29"/>
        <v>Junio|24</v>
      </c>
    </row>
    <row r="601" spans="1:14" ht="14.5" x14ac:dyDescent="0.25">
      <c r="A601" s="19">
        <v>32</v>
      </c>
      <c r="B601" s="18" t="s">
        <v>39</v>
      </c>
      <c r="C601" s="18" t="s">
        <v>92</v>
      </c>
      <c r="D601" s="18" t="s">
        <v>1138</v>
      </c>
      <c r="E601" s="18" t="s">
        <v>1163</v>
      </c>
      <c r="F601" s="101">
        <v>46192.033333333333</v>
      </c>
      <c r="G601" s="101">
        <v>46193.488194444442</v>
      </c>
      <c r="H601" s="18" t="s">
        <v>507</v>
      </c>
      <c r="I601" s="18" t="s">
        <v>508</v>
      </c>
      <c r="J601" s="18"/>
      <c r="K601" s="21">
        <f t="shared" si="27"/>
        <v>34.916666666627862</v>
      </c>
      <c r="L601" s="19">
        <f t="shared" si="28"/>
        <v>25</v>
      </c>
      <c r="M601" s="18" t="str">
        <f>IF(I601&lt;&gt;"Sí","",IF(YEAR(F601)&lt;&gt;2026,"",INDEX({"Enero","Febrero","Marzo","Abril","Mayo","Junio","Julio","Agosto","Septiembre","Octubre","Noviembre","Diciembre"},MONTH(F601))))</f>
        <v>Junio</v>
      </c>
      <c r="N601" s="18" t="str">
        <f t="shared" si="29"/>
        <v>Junio|25</v>
      </c>
    </row>
    <row r="602" spans="1:14" ht="14.5" x14ac:dyDescent="0.25">
      <c r="A602" s="19">
        <v>32</v>
      </c>
      <c r="B602" s="18" t="s">
        <v>39</v>
      </c>
      <c r="C602" s="18" t="s">
        <v>92</v>
      </c>
      <c r="D602" s="18" t="s">
        <v>1138</v>
      </c>
      <c r="E602" s="18" t="s">
        <v>1164</v>
      </c>
      <c r="F602" s="101">
        <v>46192.03402777778</v>
      </c>
      <c r="G602" s="101">
        <v>46193.46875</v>
      </c>
      <c r="H602" s="18" t="s">
        <v>507</v>
      </c>
      <c r="I602" s="18" t="s">
        <v>508</v>
      </c>
      <c r="J602" s="18"/>
      <c r="K602" s="21">
        <f t="shared" si="27"/>
        <v>34.433333333290648</v>
      </c>
      <c r="L602" s="19">
        <f t="shared" si="28"/>
        <v>26</v>
      </c>
      <c r="M602" s="18" t="str">
        <f>IF(I602&lt;&gt;"Sí","",IF(YEAR(F602)&lt;&gt;2026,"",INDEX({"Enero","Febrero","Marzo","Abril","Mayo","Junio","Julio","Agosto","Septiembre","Octubre","Noviembre","Diciembre"},MONTH(F602))))</f>
        <v>Junio</v>
      </c>
      <c r="N602" s="18" t="str">
        <f t="shared" si="29"/>
        <v>Junio|26</v>
      </c>
    </row>
    <row r="603" spans="1:14" ht="14.5" x14ac:dyDescent="0.25">
      <c r="A603" s="19">
        <v>32</v>
      </c>
      <c r="B603" s="18" t="s">
        <v>39</v>
      </c>
      <c r="C603" s="18" t="s">
        <v>92</v>
      </c>
      <c r="D603" s="18" t="s">
        <v>1138</v>
      </c>
      <c r="E603" s="18" t="s">
        <v>1165</v>
      </c>
      <c r="F603" s="101">
        <v>46192.034722222219</v>
      </c>
      <c r="G603" s="101">
        <v>46193.46875</v>
      </c>
      <c r="H603" s="18" t="s">
        <v>507</v>
      </c>
      <c r="I603" s="18" t="s">
        <v>508</v>
      </c>
      <c r="J603" s="18"/>
      <c r="K603" s="21">
        <f t="shared" si="27"/>
        <v>34.416666666744277</v>
      </c>
      <c r="L603" s="19">
        <f t="shared" si="28"/>
        <v>27</v>
      </c>
      <c r="M603" s="18" t="str">
        <f>IF(I603&lt;&gt;"Sí","",IF(YEAR(F603)&lt;&gt;2026,"",INDEX({"Enero","Febrero","Marzo","Abril","Mayo","Junio","Julio","Agosto","Septiembre","Octubre","Noviembre","Diciembre"},MONTH(F603))))</f>
        <v>Junio</v>
      </c>
      <c r="N603" s="18" t="str">
        <f t="shared" si="29"/>
        <v>Junio|27</v>
      </c>
    </row>
    <row r="604" spans="1:14" ht="14.5" x14ac:dyDescent="0.25">
      <c r="A604" s="19">
        <v>32</v>
      </c>
      <c r="B604" s="18" t="s">
        <v>39</v>
      </c>
      <c r="C604" s="18" t="s">
        <v>92</v>
      </c>
      <c r="D604" s="18" t="s">
        <v>1138</v>
      </c>
      <c r="E604" s="18" t="s">
        <v>1166</v>
      </c>
      <c r="F604" s="101">
        <v>46192.036111111112</v>
      </c>
      <c r="G604" s="101">
        <v>46193.474999999999</v>
      </c>
      <c r="H604" s="18" t="s">
        <v>507</v>
      </c>
      <c r="I604" s="18" t="s">
        <v>508</v>
      </c>
      <c r="J604" s="18"/>
      <c r="K604" s="21">
        <f t="shared" si="27"/>
        <v>34.533333333267365</v>
      </c>
      <c r="L604" s="19">
        <f t="shared" si="28"/>
        <v>28</v>
      </c>
      <c r="M604" s="18" t="str">
        <f>IF(I604&lt;&gt;"Sí","",IF(YEAR(F604)&lt;&gt;2026,"",INDEX({"Enero","Febrero","Marzo","Abril","Mayo","Junio","Julio","Agosto","Septiembre","Octubre","Noviembre","Diciembre"},MONTH(F604))))</f>
        <v>Junio</v>
      </c>
      <c r="N604" s="18" t="str">
        <f t="shared" si="29"/>
        <v>Junio|28</v>
      </c>
    </row>
    <row r="605" spans="1:14" ht="14.5" x14ac:dyDescent="0.25">
      <c r="A605" s="19">
        <v>32</v>
      </c>
      <c r="B605" s="18" t="s">
        <v>39</v>
      </c>
      <c r="C605" s="18" t="s">
        <v>92</v>
      </c>
      <c r="D605" s="18" t="s">
        <v>1138</v>
      </c>
      <c r="E605" s="18" t="s">
        <v>1167</v>
      </c>
      <c r="F605" s="101">
        <v>46192.037499999999</v>
      </c>
      <c r="G605" s="101">
        <v>46193.478472222225</v>
      </c>
      <c r="H605" s="18" t="s">
        <v>507</v>
      </c>
      <c r="I605" s="18" t="s">
        <v>508</v>
      </c>
      <c r="J605" s="18"/>
      <c r="K605" s="21">
        <f t="shared" si="27"/>
        <v>34.583333333430346</v>
      </c>
      <c r="L605" s="19">
        <f t="shared" si="28"/>
        <v>29</v>
      </c>
      <c r="M605" s="18" t="str">
        <f>IF(I605&lt;&gt;"Sí","",IF(YEAR(F605)&lt;&gt;2026,"",INDEX({"Enero","Febrero","Marzo","Abril","Mayo","Junio","Julio","Agosto","Septiembre","Octubre","Noviembre","Diciembre"},MONTH(F605))))</f>
        <v>Junio</v>
      </c>
      <c r="N605" s="18" t="str">
        <f t="shared" si="29"/>
        <v>Junio|29</v>
      </c>
    </row>
    <row r="606" spans="1:14" ht="14.5" x14ac:dyDescent="0.25">
      <c r="A606" s="19">
        <v>32</v>
      </c>
      <c r="B606" s="18" t="s">
        <v>39</v>
      </c>
      <c r="C606" s="18" t="s">
        <v>92</v>
      </c>
      <c r="D606" s="18" t="s">
        <v>1138</v>
      </c>
      <c r="E606" s="18" t="s">
        <v>1168</v>
      </c>
      <c r="F606" s="101">
        <v>46192.041666666664</v>
      </c>
      <c r="G606" s="101">
        <v>46193.488194444442</v>
      </c>
      <c r="H606" s="18" t="s">
        <v>507</v>
      </c>
      <c r="I606" s="18" t="s">
        <v>508</v>
      </c>
      <c r="J606" s="18"/>
      <c r="K606" s="21">
        <f t="shared" si="27"/>
        <v>34.716666666674428</v>
      </c>
      <c r="L606" s="19">
        <f t="shared" si="28"/>
        <v>30</v>
      </c>
      <c r="M606" s="18" t="str">
        <f>IF(I606&lt;&gt;"Sí","",IF(YEAR(F606)&lt;&gt;2026,"",INDEX({"Enero","Febrero","Marzo","Abril","Mayo","Junio","Julio","Agosto","Septiembre","Octubre","Noviembre","Diciembre"},MONTH(F606))))</f>
        <v>Junio</v>
      </c>
      <c r="N606" s="18" t="str">
        <f t="shared" si="29"/>
        <v>Junio|30</v>
      </c>
    </row>
    <row r="607" spans="1:14" ht="14.5" x14ac:dyDescent="0.25">
      <c r="A607" s="19">
        <v>32</v>
      </c>
      <c r="B607" s="18" t="s">
        <v>39</v>
      </c>
      <c r="C607" s="18" t="s">
        <v>92</v>
      </c>
      <c r="D607" s="18" t="s">
        <v>1138</v>
      </c>
      <c r="E607" s="18" t="s">
        <v>1169</v>
      </c>
      <c r="F607" s="101">
        <v>46192.042361111111</v>
      </c>
      <c r="G607" s="101">
        <v>46193.488194444442</v>
      </c>
      <c r="H607" s="18" t="s">
        <v>507</v>
      </c>
      <c r="I607" s="18" t="s">
        <v>508</v>
      </c>
      <c r="J607" s="18"/>
      <c r="K607" s="21">
        <f t="shared" si="27"/>
        <v>34.699999999953434</v>
      </c>
      <c r="L607" s="19">
        <f t="shared" si="28"/>
        <v>31</v>
      </c>
      <c r="M607" s="18" t="str">
        <f>IF(I607&lt;&gt;"Sí","",IF(YEAR(F607)&lt;&gt;2026,"",INDEX({"Enero","Febrero","Marzo","Abril","Mayo","Junio","Julio","Agosto","Septiembre","Octubre","Noviembre","Diciembre"},MONTH(F607))))</f>
        <v>Junio</v>
      </c>
      <c r="N607" s="18" t="str">
        <f t="shared" si="29"/>
        <v>Junio|31</v>
      </c>
    </row>
    <row r="608" spans="1:14" ht="14.5" x14ac:dyDescent="0.25">
      <c r="A608" s="19">
        <v>32</v>
      </c>
      <c r="B608" s="18" t="s">
        <v>39</v>
      </c>
      <c r="C608" s="18" t="s">
        <v>92</v>
      </c>
      <c r="D608" s="18" t="s">
        <v>1138</v>
      </c>
      <c r="E608" s="18" t="s">
        <v>1170</v>
      </c>
      <c r="F608" s="101">
        <v>46192.043749999997</v>
      </c>
      <c r="G608" s="101">
        <v>46193.46875</v>
      </c>
      <c r="H608" s="18" t="s">
        <v>507</v>
      </c>
      <c r="I608" s="18" t="s">
        <v>508</v>
      </c>
      <c r="J608" s="18"/>
      <c r="K608" s="21">
        <f t="shared" si="27"/>
        <v>34.200000000069849</v>
      </c>
      <c r="L608" s="19">
        <f t="shared" si="28"/>
        <v>32</v>
      </c>
      <c r="M608" s="18" t="str">
        <f>IF(I608&lt;&gt;"Sí","",IF(YEAR(F608)&lt;&gt;2026,"",INDEX({"Enero","Febrero","Marzo","Abril","Mayo","Junio","Julio","Agosto","Septiembre","Octubre","Noviembre","Diciembre"},MONTH(F608))))</f>
        <v>Junio</v>
      </c>
      <c r="N608" s="18" t="str">
        <f t="shared" si="29"/>
        <v>Junio|32</v>
      </c>
    </row>
    <row r="609" spans="1:14" ht="14.5" x14ac:dyDescent="0.25">
      <c r="A609" s="19">
        <v>32</v>
      </c>
      <c r="B609" s="18" t="s">
        <v>39</v>
      </c>
      <c r="C609" s="18" t="s">
        <v>92</v>
      </c>
      <c r="D609" s="18" t="s">
        <v>1138</v>
      </c>
      <c r="E609" s="18" t="s">
        <v>1171</v>
      </c>
      <c r="F609" s="101">
        <v>46192.045138888891</v>
      </c>
      <c r="G609" s="101">
        <v>46193.474999999999</v>
      </c>
      <c r="H609" s="18" t="s">
        <v>507</v>
      </c>
      <c r="I609" s="18" t="s">
        <v>508</v>
      </c>
      <c r="J609" s="18"/>
      <c r="K609" s="21">
        <f t="shared" si="27"/>
        <v>34.316666666592937</v>
      </c>
      <c r="L609" s="19">
        <f t="shared" si="28"/>
        <v>33</v>
      </c>
      <c r="M609" s="18" t="str">
        <f>IF(I609&lt;&gt;"Sí","",IF(YEAR(F609)&lt;&gt;2026,"",INDEX({"Enero","Febrero","Marzo","Abril","Mayo","Junio","Julio","Agosto","Septiembre","Octubre","Noviembre","Diciembre"},MONTH(F609))))</f>
        <v>Junio</v>
      </c>
      <c r="N609" s="18" t="str">
        <f t="shared" si="29"/>
        <v>Junio|33</v>
      </c>
    </row>
    <row r="610" spans="1:14" ht="14.5" x14ac:dyDescent="0.25">
      <c r="A610" s="19">
        <v>32</v>
      </c>
      <c r="B610" s="18" t="s">
        <v>39</v>
      </c>
      <c r="C610" s="18" t="s">
        <v>92</v>
      </c>
      <c r="D610" s="18" t="s">
        <v>1138</v>
      </c>
      <c r="E610" s="18" t="s">
        <v>1172</v>
      </c>
      <c r="F610" s="101">
        <v>46192.04583333333</v>
      </c>
      <c r="G610" s="101">
        <v>46193.488194444442</v>
      </c>
      <c r="H610" s="18" t="s">
        <v>507</v>
      </c>
      <c r="I610" s="18" t="s">
        <v>508</v>
      </c>
      <c r="J610" s="18"/>
      <c r="K610" s="21">
        <f t="shared" si="27"/>
        <v>34.616666666697711</v>
      </c>
      <c r="L610" s="19">
        <f t="shared" si="28"/>
        <v>35</v>
      </c>
      <c r="M610" s="18" t="str">
        <f>IF(I610&lt;&gt;"Sí","",IF(YEAR(F610)&lt;&gt;2026,"",INDEX({"Enero","Febrero","Marzo","Abril","Mayo","Junio","Julio","Agosto","Septiembre","Octubre","Noviembre","Diciembre"},MONTH(F610))))</f>
        <v>Junio</v>
      </c>
      <c r="N610" s="18" t="str">
        <f t="shared" si="29"/>
        <v>Junio|35</v>
      </c>
    </row>
    <row r="611" spans="1:14" ht="14.5" x14ac:dyDescent="0.25">
      <c r="A611" s="19">
        <v>32</v>
      </c>
      <c r="B611" s="18" t="s">
        <v>39</v>
      </c>
      <c r="C611" s="18" t="s">
        <v>92</v>
      </c>
      <c r="D611" s="18" t="s">
        <v>1138</v>
      </c>
      <c r="E611" s="18" t="s">
        <v>1173</v>
      </c>
      <c r="F611" s="101">
        <v>46192.04583333333</v>
      </c>
      <c r="G611" s="101">
        <v>46193.46875</v>
      </c>
      <c r="H611" s="18" t="s">
        <v>507</v>
      </c>
      <c r="I611" s="18" t="s">
        <v>508</v>
      </c>
      <c r="J611" s="18"/>
      <c r="K611" s="21">
        <f t="shared" si="27"/>
        <v>34.150000000081491</v>
      </c>
      <c r="L611" s="19">
        <f t="shared" si="28"/>
        <v>35</v>
      </c>
      <c r="M611" s="18" t="str">
        <f>IF(I611&lt;&gt;"Sí","",IF(YEAR(F611)&lt;&gt;2026,"",INDEX({"Enero","Febrero","Marzo","Abril","Mayo","Junio","Julio","Agosto","Septiembre","Octubre","Noviembre","Diciembre"},MONTH(F611))))</f>
        <v>Junio</v>
      </c>
      <c r="N611" s="18" t="str">
        <f t="shared" si="29"/>
        <v>Junio|35</v>
      </c>
    </row>
    <row r="612" spans="1:14" ht="14.5" x14ac:dyDescent="0.25">
      <c r="A612" s="19">
        <v>32</v>
      </c>
      <c r="B612" s="18" t="s">
        <v>39</v>
      </c>
      <c r="C612" s="18" t="s">
        <v>92</v>
      </c>
      <c r="D612" s="18" t="s">
        <v>1138</v>
      </c>
      <c r="E612" s="18" t="s">
        <v>1174</v>
      </c>
      <c r="F612" s="101">
        <v>46192.047222222223</v>
      </c>
      <c r="G612" s="101">
        <v>46193.478472222225</v>
      </c>
      <c r="H612" s="18" t="s">
        <v>507</v>
      </c>
      <c r="I612" s="18" t="s">
        <v>508</v>
      </c>
      <c r="J612" s="18"/>
      <c r="K612" s="21">
        <f t="shared" si="27"/>
        <v>34.350000000034925</v>
      </c>
      <c r="L612" s="19">
        <f t="shared" si="28"/>
        <v>36</v>
      </c>
      <c r="M612" s="18" t="str">
        <f>IF(I612&lt;&gt;"Sí","",IF(YEAR(F612)&lt;&gt;2026,"",INDEX({"Enero","Febrero","Marzo","Abril","Mayo","Junio","Julio","Agosto","Septiembre","Octubre","Noviembre","Diciembre"},MONTH(F612))))</f>
        <v>Junio</v>
      </c>
      <c r="N612" s="18" t="str">
        <f t="shared" si="29"/>
        <v>Junio|36</v>
      </c>
    </row>
    <row r="613" spans="1:14" ht="14.5" x14ac:dyDescent="0.25">
      <c r="A613" s="19">
        <v>32</v>
      </c>
      <c r="B613" s="18" t="s">
        <v>39</v>
      </c>
      <c r="C613" s="18" t="s">
        <v>92</v>
      </c>
      <c r="D613" s="18" t="s">
        <v>1138</v>
      </c>
      <c r="E613" s="18" t="s">
        <v>1175</v>
      </c>
      <c r="F613" s="101">
        <v>46192.048611111109</v>
      </c>
      <c r="G613" s="101">
        <v>46193.425694444442</v>
      </c>
      <c r="H613" s="18" t="s">
        <v>507</v>
      </c>
      <c r="I613" s="18" t="s">
        <v>508</v>
      </c>
      <c r="J613" s="18"/>
      <c r="K613" s="21">
        <f t="shared" si="27"/>
        <v>33.049999999988358</v>
      </c>
      <c r="L613" s="19">
        <f t="shared" si="28"/>
        <v>37</v>
      </c>
      <c r="M613" s="18" t="str">
        <f>IF(I613&lt;&gt;"Sí","",IF(YEAR(F613)&lt;&gt;2026,"",INDEX({"Enero","Febrero","Marzo","Abril","Mayo","Junio","Julio","Agosto","Septiembre","Octubre","Noviembre","Diciembre"},MONTH(F613))))</f>
        <v>Junio</v>
      </c>
      <c r="N613" s="18" t="str">
        <f t="shared" si="29"/>
        <v>Junio|37</v>
      </c>
    </row>
    <row r="614" spans="1:14" ht="14.5" x14ac:dyDescent="0.25">
      <c r="A614" s="19">
        <v>32</v>
      </c>
      <c r="B614" s="18" t="s">
        <v>39</v>
      </c>
      <c r="C614" s="18" t="s">
        <v>92</v>
      </c>
      <c r="D614" s="18" t="s">
        <v>1138</v>
      </c>
      <c r="E614" s="18" t="s">
        <v>1176</v>
      </c>
      <c r="F614" s="101">
        <v>46192.05</v>
      </c>
      <c r="G614" s="101">
        <v>46193.425694444442</v>
      </c>
      <c r="H614" s="18" t="s">
        <v>507</v>
      </c>
      <c r="I614" s="18" t="s">
        <v>508</v>
      </c>
      <c r="J614" s="18"/>
      <c r="K614" s="21">
        <f t="shared" si="27"/>
        <v>33.016666666546371</v>
      </c>
      <c r="L614" s="19">
        <f t="shared" si="28"/>
        <v>38</v>
      </c>
      <c r="M614" s="18" t="str">
        <f>IF(I614&lt;&gt;"Sí","",IF(YEAR(F614)&lt;&gt;2026,"",INDEX({"Enero","Febrero","Marzo","Abril","Mayo","Junio","Julio","Agosto","Septiembre","Octubre","Noviembre","Diciembre"},MONTH(F614))))</f>
        <v>Junio</v>
      </c>
      <c r="N614" s="18" t="str">
        <f t="shared" si="29"/>
        <v>Junio|38</v>
      </c>
    </row>
    <row r="615" spans="1:14" ht="14.5" x14ac:dyDescent="0.25">
      <c r="A615" s="19">
        <v>32</v>
      </c>
      <c r="B615" s="18" t="s">
        <v>39</v>
      </c>
      <c r="C615" s="18" t="s">
        <v>92</v>
      </c>
      <c r="D615" s="18" t="s">
        <v>1138</v>
      </c>
      <c r="E615" s="18" t="s">
        <v>1177</v>
      </c>
      <c r="F615" s="101">
        <v>46192.051388888889</v>
      </c>
      <c r="G615" s="101">
        <v>46193.407638888886</v>
      </c>
      <c r="H615" s="18" t="s">
        <v>507</v>
      </c>
      <c r="I615" s="18" t="s">
        <v>508</v>
      </c>
      <c r="J615" s="18"/>
      <c r="K615" s="21">
        <f t="shared" si="27"/>
        <v>32.549999999930151</v>
      </c>
      <c r="L615" s="19">
        <f t="shared" si="28"/>
        <v>39</v>
      </c>
      <c r="M615" s="18" t="str">
        <f>IF(I615&lt;&gt;"Sí","",IF(YEAR(F615)&lt;&gt;2026,"",INDEX({"Enero","Febrero","Marzo","Abril","Mayo","Junio","Julio","Agosto","Septiembre","Octubre","Noviembre","Diciembre"},MONTH(F615))))</f>
        <v>Junio</v>
      </c>
      <c r="N615" s="18" t="str">
        <f t="shared" si="29"/>
        <v>Junio|39</v>
      </c>
    </row>
    <row r="616" spans="1:14" ht="14.5" x14ac:dyDescent="0.25">
      <c r="A616" s="19">
        <v>32</v>
      </c>
      <c r="B616" s="18" t="s">
        <v>39</v>
      </c>
      <c r="C616" s="18" t="s">
        <v>92</v>
      </c>
      <c r="D616" s="18" t="s">
        <v>1138</v>
      </c>
      <c r="E616" s="18" t="s">
        <v>1178</v>
      </c>
      <c r="F616" s="101">
        <v>46192.052777777775</v>
      </c>
      <c r="G616" s="101">
        <v>46193.402777777781</v>
      </c>
      <c r="H616" s="18" t="s">
        <v>507</v>
      </c>
      <c r="I616" s="18" t="s">
        <v>508</v>
      </c>
      <c r="J616" s="18"/>
      <c r="K616" s="21">
        <f t="shared" si="27"/>
        <v>32.400000000139698</v>
      </c>
      <c r="L616" s="19">
        <f t="shared" si="28"/>
        <v>40</v>
      </c>
      <c r="M616" s="18" t="str">
        <f>IF(I616&lt;&gt;"Sí","",IF(YEAR(F616)&lt;&gt;2026,"",INDEX({"Enero","Febrero","Marzo","Abril","Mayo","Junio","Julio","Agosto","Septiembre","Octubre","Noviembre","Diciembre"},MONTH(F616))))</f>
        <v>Junio</v>
      </c>
      <c r="N616" s="18" t="str">
        <f t="shared" si="29"/>
        <v>Junio|40</v>
      </c>
    </row>
    <row r="617" spans="1:14" ht="14.5" x14ac:dyDescent="0.25">
      <c r="A617" s="19">
        <v>32</v>
      </c>
      <c r="B617" s="18" t="s">
        <v>39</v>
      </c>
      <c r="C617" s="18" t="s">
        <v>92</v>
      </c>
      <c r="D617" s="18" t="s">
        <v>1138</v>
      </c>
      <c r="E617" s="18" t="s">
        <v>1179</v>
      </c>
      <c r="F617" s="101">
        <v>46192.054861111108</v>
      </c>
      <c r="G617" s="101">
        <v>46193.402777777781</v>
      </c>
      <c r="H617" s="18" t="s">
        <v>507</v>
      </c>
      <c r="I617" s="18" t="s">
        <v>508</v>
      </c>
      <c r="J617" s="18"/>
      <c r="K617" s="21">
        <f t="shared" si="27"/>
        <v>32.35000000015134</v>
      </c>
      <c r="L617" s="19">
        <f t="shared" si="28"/>
        <v>41</v>
      </c>
      <c r="M617" s="18" t="str">
        <f>IF(I617&lt;&gt;"Sí","",IF(YEAR(F617)&lt;&gt;2026,"",INDEX({"Enero","Febrero","Marzo","Abril","Mayo","Junio","Julio","Agosto","Septiembre","Octubre","Noviembre","Diciembre"},MONTH(F617))))</f>
        <v>Junio</v>
      </c>
      <c r="N617" s="18" t="str">
        <f t="shared" si="29"/>
        <v>Junio|41</v>
      </c>
    </row>
    <row r="618" spans="1:14" ht="14.5" x14ac:dyDescent="0.25">
      <c r="A618" s="19">
        <v>32</v>
      </c>
      <c r="B618" s="18" t="s">
        <v>39</v>
      </c>
      <c r="C618" s="18" t="s">
        <v>92</v>
      </c>
      <c r="D618" s="18" t="s">
        <v>1138</v>
      </c>
      <c r="E618" s="18" t="s">
        <v>1180</v>
      </c>
      <c r="F618" s="101">
        <v>46192.056250000001</v>
      </c>
      <c r="G618" s="101">
        <v>46193.402777777781</v>
      </c>
      <c r="H618" s="18" t="s">
        <v>507</v>
      </c>
      <c r="I618" s="18" t="s">
        <v>508</v>
      </c>
      <c r="J618" s="18"/>
      <c r="K618" s="21">
        <f t="shared" si="27"/>
        <v>32.316666666709352</v>
      </c>
      <c r="L618" s="19">
        <f t="shared" si="28"/>
        <v>42</v>
      </c>
      <c r="M618" s="18" t="str">
        <f>IF(I618&lt;&gt;"Sí","",IF(YEAR(F618)&lt;&gt;2026,"",INDEX({"Enero","Febrero","Marzo","Abril","Mayo","Junio","Julio","Agosto","Septiembre","Octubre","Noviembre","Diciembre"},MONTH(F618))))</f>
        <v>Junio</v>
      </c>
      <c r="N618" s="18" t="str">
        <f t="shared" si="29"/>
        <v>Junio|42</v>
      </c>
    </row>
    <row r="619" spans="1:14" ht="14.5" x14ac:dyDescent="0.25">
      <c r="A619" s="19">
        <v>32</v>
      </c>
      <c r="B619" s="18" t="s">
        <v>39</v>
      </c>
      <c r="C619" s="18" t="s">
        <v>92</v>
      </c>
      <c r="D619" s="18" t="s">
        <v>1138</v>
      </c>
      <c r="E619" s="18" t="s">
        <v>1181</v>
      </c>
      <c r="F619" s="101">
        <v>46192.057638888888</v>
      </c>
      <c r="G619" s="101">
        <v>46193.395138888889</v>
      </c>
      <c r="H619" s="18" t="s">
        <v>507</v>
      </c>
      <c r="I619" s="18" t="s">
        <v>508</v>
      </c>
      <c r="J619" s="18"/>
      <c r="K619" s="21">
        <f t="shared" si="27"/>
        <v>32.100000000034925</v>
      </c>
      <c r="L619" s="19">
        <f t="shared" si="28"/>
        <v>43</v>
      </c>
      <c r="M619" s="18" t="str">
        <f>IF(I619&lt;&gt;"Sí","",IF(YEAR(F619)&lt;&gt;2026,"",INDEX({"Enero","Febrero","Marzo","Abril","Mayo","Junio","Julio","Agosto","Septiembre","Octubre","Noviembre","Diciembre"},MONTH(F619))))</f>
        <v>Junio</v>
      </c>
      <c r="N619" s="18" t="str">
        <f t="shared" si="29"/>
        <v>Junio|43</v>
      </c>
    </row>
    <row r="620" spans="1:14" ht="14.5" x14ac:dyDescent="0.25">
      <c r="A620" s="19">
        <v>32</v>
      </c>
      <c r="B620" s="18" t="s">
        <v>39</v>
      </c>
      <c r="C620" s="18" t="s">
        <v>92</v>
      </c>
      <c r="D620" s="18" t="s">
        <v>1138</v>
      </c>
      <c r="E620" s="18" t="s">
        <v>1182</v>
      </c>
      <c r="F620" s="101">
        <v>46192.059027777781</v>
      </c>
      <c r="G620" s="101">
        <v>46193.416666666664</v>
      </c>
      <c r="H620" s="18" t="s">
        <v>507</v>
      </c>
      <c r="I620" s="18" t="s">
        <v>508</v>
      </c>
      <c r="J620" s="18"/>
      <c r="K620" s="21">
        <f t="shared" si="27"/>
        <v>32.583333333197515</v>
      </c>
      <c r="L620" s="19">
        <f t="shared" si="28"/>
        <v>44</v>
      </c>
      <c r="M620" s="18" t="str">
        <f>IF(I620&lt;&gt;"Sí","",IF(YEAR(F620)&lt;&gt;2026,"",INDEX({"Enero","Febrero","Marzo","Abril","Mayo","Junio","Julio","Agosto","Septiembre","Octubre","Noviembre","Diciembre"},MONTH(F620))))</f>
        <v>Junio</v>
      </c>
      <c r="N620" s="18" t="str">
        <f t="shared" si="29"/>
        <v>Junio|44</v>
      </c>
    </row>
    <row r="621" spans="1:14" ht="14.5" x14ac:dyDescent="0.25">
      <c r="A621" s="19">
        <v>32</v>
      </c>
      <c r="B621" s="18" t="s">
        <v>39</v>
      </c>
      <c r="C621" s="18" t="s">
        <v>92</v>
      </c>
      <c r="D621" s="18" t="s">
        <v>1138</v>
      </c>
      <c r="E621" s="18" t="s">
        <v>1183</v>
      </c>
      <c r="F621" s="101">
        <v>46192.063194444447</v>
      </c>
      <c r="G621" s="101">
        <v>46193.395138888889</v>
      </c>
      <c r="H621" s="18" t="s">
        <v>507</v>
      </c>
      <c r="I621" s="18" t="s">
        <v>508</v>
      </c>
      <c r="J621" s="18"/>
      <c r="K621" s="21">
        <f t="shared" si="27"/>
        <v>31.96666666661622</v>
      </c>
      <c r="L621" s="19">
        <f t="shared" si="28"/>
        <v>45</v>
      </c>
      <c r="M621" s="18" t="str">
        <f>IF(I621&lt;&gt;"Sí","",IF(YEAR(F621)&lt;&gt;2026,"",INDEX({"Enero","Febrero","Marzo","Abril","Mayo","Junio","Julio","Agosto","Septiembre","Octubre","Noviembre","Diciembre"},MONTH(F621))))</f>
        <v>Junio</v>
      </c>
      <c r="N621" s="18" t="str">
        <f t="shared" si="29"/>
        <v>Junio|45</v>
      </c>
    </row>
    <row r="622" spans="1:14" ht="14.5" x14ac:dyDescent="0.25">
      <c r="A622" s="19">
        <v>32</v>
      </c>
      <c r="B622" s="18" t="s">
        <v>39</v>
      </c>
      <c r="C622" s="18" t="s">
        <v>92</v>
      </c>
      <c r="D622" s="18" t="s">
        <v>1138</v>
      </c>
      <c r="E622" s="18" t="s">
        <v>1184</v>
      </c>
      <c r="F622" s="101">
        <v>46192.063888888886</v>
      </c>
      <c r="G622" s="101">
        <v>46193.395138888889</v>
      </c>
      <c r="H622" s="18" t="s">
        <v>507</v>
      </c>
      <c r="I622" s="18" t="s">
        <v>508</v>
      </c>
      <c r="J622" s="18"/>
      <c r="K622" s="21">
        <f t="shared" si="27"/>
        <v>31.950000000069849</v>
      </c>
      <c r="L622" s="19">
        <f t="shared" si="28"/>
        <v>46</v>
      </c>
      <c r="M622" s="18" t="str">
        <f>IF(I622&lt;&gt;"Sí","",IF(YEAR(F622)&lt;&gt;2026,"",INDEX({"Enero","Febrero","Marzo","Abril","Mayo","Junio","Julio","Agosto","Septiembre","Octubre","Noviembre","Diciembre"},MONTH(F622))))</f>
        <v>Junio</v>
      </c>
      <c r="N622" s="18" t="str">
        <f t="shared" si="29"/>
        <v>Junio|46</v>
      </c>
    </row>
    <row r="623" spans="1:14" ht="14.5" x14ac:dyDescent="0.25">
      <c r="A623" s="19">
        <v>32</v>
      </c>
      <c r="B623" s="18" t="s">
        <v>39</v>
      </c>
      <c r="C623" s="18" t="s">
        <v>92</v>
      </c>
      <c r="D623" s="18" t="s">
        <v>1138</v>
      </c>
      <c r="E623" s="18" t="s">
        <v>1185</v>
      </c>
      <c r="F623" s="101">
        <v>46192.06527777778</v>
      </c>
      <c r="G623" s="101">
        <v>46193.568055555559</v>
      </c>
      <c r="H623" s="18" t="s">
        <v>507</v>
      </c>
      <c r="I623" s="18" t="s">
        <v>508</v>
      </c>
      <c r="J623" s="18"/>
      <c r="K623" s="21">
        <f t="shared" si="27"/>
        <v>36.066666666709352</v>
      </c>
      <c r="L623" s="19">
        <f t="shared" si="28"/>
        <v>47</v>
      </c>
      <c r="M623" s="18" t="str">
        <f>IF(I623&lt;&gt;"Sí","",IF(YEAR(F623)&lt;&gt;2026,"",INDEX({"Enero","Febrero","Marzo","Abril","Mayo","Junio","Julio","Agosto","Septiembre","Octubre","Noviembre","Diciembre"},MONTH(F623))))</f>
        <v>Junio</v>
      </c>
      <c r="N623" s="18" t="str">
        <f t="shared" si="29"/>
        <v>Junio|47</v>
      </c>
    </row>
    <row r="624" spans="1:14" ht="14.5" x14ac:dyDescent="0.25">
      <c r="A624" s="19">
        <v>32</v>
      </c>
      <c r="B624" s="18" t="s">
        <v>39</v>
      </c>
      <c r="C624" s="18" t="s">
        <v>92</v>
      </c>
      <c r="D624" s="18" t="s">
        <v>1138</v>
      </c>
      <c r="E624" s="18" t="s">
        <v>1186</v>
      </c>
      <c r="F624" s="101">
        <v>46192.068055555559</v>
      </c>
      <c r="G624" s="101">
        <v>46193.395138888889</v>
      </c>
      <c r="H624" s="18" t="s">
        <v>507</v>
      </c>
      <c r="I624" s="18" t="s">
        <v>508</v>
      </c>
      <c r="J624" s="18"/>
      <c r="K624" s="21">
        <f t="shared" si="27"/>
        <v>31.849999999918509</v>
      </c>
      <c r="L624" s="19">
        <f t="shared" si="28"/>
        <v>48</v>
      </c>
      <c r="M624" s="18" t="str">
        <f>IF(I624&lt;&gt;"Sí","",IF(YEAR(F624)&lt;&gt;2026,"",INDEX({"Enero","Febrero","Marzo","Abril","Mayo","Junio","Julio","Agosto","Septiembre","Octubre","Noviembre","Diciembre"},MONTH(F624))))</f>
        <v>Junio</v>
      </c>
      <c r="N624" s="18" t="str">
        <f t="shared" si="29"/>
        <v>Junio|48</v>
      </c>
    </row>
    <row r="625" spans="1:14" ht="14.5" x14ac:dyDescent="0.25">
      <c r="A625" s="19">
        <v>32</v>
      </c>
      <c r="B625" s="18" t="s">
        <v>39</v>
      </c>
      <c r="C625" s="18" t="s">
        <v>92</v>
      </c>
      <c r="D625" s="18" t="s">
        <v>1138</v>
      </c>
      <c r="E625" s="18" t="s">
        <v>1187</v>
      </c>
      <c r="F625" s="101">
        <v>46192.070138888892</v>
      </c>
      <c r="G625" s="101">
        <v>46192.911805555559</v>
      </c>
      <c r="H625" s="18" t="s">
        <v>507</v>
      </c>
      <c r="I625" s="18" t="s">
        <v>508</v>
      </c>
      <c r="J625" s="18"/>
      <c r="K625" s="21">
        <f t="shared" si="27"/>
        <v>20.200000000011642</v>
      </c>
      <c r="L625" s="19">
        <f t="shared" si="28"/>
        <v>49</v>
      </c>
      <c r="M625" s="18" t="str">
        <f>IF(I625&lt;&gt;"Sí","",IF(YEAR(F625)&lt;&gt;2026,"",INDEX({"Enero","Febrero","Marzo","Abril","Mayo","Junio","Julio","Agosto","Septiembre","Octubre","Noviembre","Diciembre"},MONTH(F625))))</f>
        <v>Junio</v>
      </c>
      <c r="N625" s="18" t="str">
        <f t="shared" si="29"/>
        <v>Junio|49</v>
      </c>
    </row>
    <row r="626" spans="1:14" ht="14.5" x14ac:dyDescent="0.25">
      <c r="A626" s="19">
        <v>32</v>
      </c>
      <c r="B626" s="18" t="s">
        <v>39</v>
      </c>
      <c r="C626" s="18" t="s">
        <v>92</v>
      </c>
      <c r="D626" s="18" t="s">
        <v>1138</v>
      </c>
      <c r="E626" s="18" t="s">
        <v>1188</v>
      </c>
      <c r="F626" s="101">
        <v>46192.071527777778</v>
      </c>
      <c r="G626" s="101">
        <v>46193.395138888889</v>
      </c>
      <c r="H626" s="18" t="s">
        <v>507</v>
      </c>
      <c r="I626" s="18" t="s">
        <v>508</v>
      </c>
      <c r="J626" s="18"/>
      <c r="K626" s="21">
        <f t="shared" si="27"/>
        <v>31.766666666662786</v>
      </c>
      <c r="L626" s="19">
        <f t="shared" si="28"/>
        <v>50</v>
      </c>
      <c r="M626" s="18" t="str">
        <f>IF(I626&lt;&gt;"Sí","",IF(YEAR(F626)&lt;&gt;2026,"",INDEX({"Enero","Febrero","Marzo","Abril","Mayo","Junio","Julio","Agosto","Septiembre","Octubre","Noviembre","Diciembre"},MONTH(F626))))</f>
        <v>Junio</v>
      </c>
      <c r="N626" s="18" t="str">
        <f t="shared" si="29"/>
        <v>Junio|50</v>
      </c>
    </row>
    <row r="627" spans="1:14" ht="14.5" x14ac:dyDescent="0.25">
      <c r="A627" s="19">
        <v>32</v>
      </c>
      <c r="B627" s="18" t="s">
        <v>39</v>
      </c>
      <c r="C627" s="18" t="s">
        <v>92</v>
      </c>
      <c r="D627" s="18" t="s">
        <v>1138</v>
      </c>
      <c r="E627" s="18" t="s">
        <v>1189</v>
      </c>
      <c r="F627" s="101">
        <v>46192.073611111111</v>
      </c>
      <c r="G627" s="101">
        <v>46192.909722222219</v>
      </c>
      <c r="H627" s="18" t="s">
        <v>507</v>
      </c>
      <c r="I627" s="18" t="s">
        <v>508</v>
      </c>
      <c r="J627" s="18"/>
      <c r="K627" s="21">
        <f t="shared" si="27"/>
        <v>20.066666666592937</v>
      </c>
      <c r="L627" s="19">
        <f t="shared" si="28"/>
        <v>51</v>
      </c>
      <c r="M627" s="18" t="str">
        <f>IF(I627&lt;&gt;"Sí","",IF(YEAR(F627)&lt;&gt;2026,"",INDEX({"Enero","Febrero","Marzo","Abril","Mayo","Junio","Julio","Agosto","Septiembre","Octubre","Noviembre","Diciembre"},MONTH(F627))))</f>
        <v>Junio</v>
      </c>
      <c r="N627" s="18" t="str">
        <f t="shared" si="29"/>
        <v>Junio|51</v>
      </c>
    </row>
    <row r="628" spans="1:14" ht="14.5" x14ac:dyDescent="0.25">
      <c r="A628" s="19">
        <v>32</v>
      </c>
      <c r="B628" s="18" t="s">
        <v>39</v>
      </c>
      <c r="C628" s="18" t="s">
        <v>92</v>
      </c>
      <c r="D628" s="18" t="s">
        <v>1138</v>
      </c>
      <c r="E628" s="18" t="s">
        <v>1190</v>
      </c>
      <c r="F628" s="101">
        <v>46192.074999999997</v>
      </c>
      <c r="G628" s="101">
        <v>46192.905555555553</v>
      </c>
      <c r="H628" s="18" t="s">
        <v>507</v>
      </c>
      <c r="I628" s="18" t="s">
        <v>508</v>
      </c>
      <c r="J628" s="18"/>
      <c r="K628" s="21">
        <f t="shared" si="27"/>
        <v>19.933333333348855</v>
      </c>
      <c r="L628" s="19">
        <f t="shared" si="28"/>
        <v>52</v>
      </c>
      <c r="M628" s="18" t="str">
        <f>IF(I628&lt;&gt;"Sí","",IF(YEAR(F628)&lt;&gt;2026,"",INDEX({"Enero","Febrero","Marzo","Abril","Mayo","Junio","Julio","Agosto","Septiembre","Octubre","Noviembre","Diciembre"},MONTH(F628))))</f>
        <v>Junio</v>
      </c>
      <c r="N628" s="18" t="str">
        <f t="shared" si="29"/>
        <v>Junio|52</v>
      </c>
    </row>
    <row r="629" spans="1:14" ht="14.5" x14ac:dyDescent="0.25">
      <c r="A629" s="19">
        <v>32</v>
      </c>
      <c r="B629" s="18" t="s">
        <v>39</v>
      </c>
      <c r="C629" s="18" t="s">
        <v>92</v>
      </c>
      <c r="D629" s="18" t="s">
        <v>1138</v>
      </c>
      <c r="E629" s="18" t="s">
        <v>1191</v>
      </c>
      <c r="F629" s="101">
        <v>46192.076388888891</v>
      </c>
      <c r="G629" s="101">
        <v>46192.899305555555</v>
      </c>
      <c r="H629" s="18" t="s">
        <v>507</v>
      </c>
      <c r="I629" s="18" t="s">
        <v>508</v>
      </c>
      <c r="J629" s="18"/>
      <c r="K629" s="21">
        <f t="shared" si="27"/>
        <v>19.749999999941792</v>
      </c>
      <c r="L629" s="19">
        <f t="shared" si="28"/>
        <v>53</v>
      </c>
      <c r="M629" s="18" t="str">
        <f>IF(I629&lt;&gt;"Sí","",IF(YEAR(F629)&lt;&gt;2026,"",INDEX({"Enero","Febrero","Marzo","Abril","Mayo","Junio","Julio","Agosto","Septiembre","Octubre","Noviembre","Diciembre"},MONTH(F629))))</f>
        <v>Junio</v>
      </c>
      <c r="N629" s="18" t="str">
        <f t="shared" si="29"/>
        <v>Junio|53</v>
      </c>
    </row>
    <row r="630" spans="1:14" ht="14.5" x14ac:dyDescent="0.25">
      <c r="A630" s="19">
        <v>32</v>
      </c>
      <c r="B630" s="18" t="s">
        <v>39</v>
      </c>
      <c r="C630" s="18" t="s">
        <v>92</v>
      </c>
      <c r="D630" s="18" t="s">
        <v>1138</v>
      </c>
      <c r="E630" s="18" t="s">
        <v>1192</v>
      </c>
      <c r="F630" s="101">
        <v>46192.077777777777</v>
      </c>
      <c r="G630" s="101">
        <v>46192.902083333334</v>
      </c>
      <c r="H630" s="18" t="s">
        <v>507</v>
      </c>
      <c r="I630" s="18" t="s">
        <v>508</v>
      </c>
      <c r="J630" s="18"/>
      <c r="K630" s="21">
        <f t="shared" si="27"/>
        <v>19.78333333338378</v>
      </c>
      <c r="L630" s="19">
        <f t="shared" si="28"/>
        <v>54</v>
      </c>
      <c r="M630" s="18" t="str">
        <f>IF(I630&lt;&gt;"Sí","",IF(YEAR(F630)&lt;&gt;2026,"",INDEX({"Enero","Febrero","Marzo","Abril","Mayo","Junio","Julio","Agosto","Septiembre","Octubre","Noviembre","Diciembre"},MONTH(F630))))</f>
        <v>Junio</v>
      </c>
      <c r="N630" s="18" t="str">
        <f t="shared" si="29"/>
        <v>Junio|54</v>
      </c>
    </row>
    <row r="631" spans="1:14" ht="14.5" x14ac:dyDescent="0.25">
      <c r="A631" s="19">
        <v>32</v>
      </c>
      <c r="B631" s="18" t="s">
        <v>39</v>
      </c>
      <c r="C631" s="18" t="s">
        <v>92</v>
      </c>
      <c r="D631" s="18" t="s">
        <v>1138</v>
      </c>
      <c r="E631" s="18" t="s">
        <v>1193</v>
      </c>
      <c r="F631" s="101">
        <v>46192.081250000003</v>
      </c>
      <c r="G631" s="101">
        <v>46192.759027777778</v>
      </c>
      <c r="H631" s="18" t="s">
        <v>507</v>
      </c>
      <c r="I631" s="18" t="s">
        <v>508</v>
      </c>
      <c r="J631" s="18"/>
      <c r="K631" s="21">
        <f t="shared" si="27"/>
        <v>16.266666666604578</v>
      </c>
      <c r="L631" s="19">
        <f t="shared" si="28"/>
        <v>55</v>
      </c>
      <c r="M631" s="18" t="str">
        <f>IF(I631&lt;&gt;"Sí","",IF(YEAR(F631)&lt;&gt;2026,"",INDEX({"Enero","Febrero","Marzo","Abril","Mayo","Junio","Julio","Agosto","Septiembre","Octubre","Noviembre","Diciembre"},MONTH(F631))))</f>
        <v>Junio</v>
      </c>
      <c r="N631" s="18" t="str">
        <f t="shared" si="29"/>
        <v>Junio|55</v>
      </c>
    </row>
    <row r="632" spans="1:14" ht="14.5" x14ac:dyDescent="0.25">
      <c r="A632" s="19">
        <v>32</v>
      </c>
      <c r="B632" s="18" t="s">
        <v>39</v>
      </c>
      <c r="C632" s="18" t="s">
        <v>92</v>
      </c>
      <c r="D632" s="18" t="s">
        <v>1138</v>
      </c>
      <c r="E632" s="18" t="s">
        <v>1194</v>
      </c>
      <c r="F632" s="101">
        <v>46192.084027777775</v>
      </c>
      <c r="G632" s="101">
        <v>46192.896527777775</v>
      </c>
      <c r="H632" s="18" t="s">
        <v>507</v>
      </c>
      <c r="I632" s="18" t="s">
        <v>508</v>
      </c>
      <c r="J632" s="18"/>
      <c r="K632" s="21">
        <f t="shared" si="27"/>
        <v>19.5</v>
      </c>
      <c r="L632" s="19">
        <f t="shared" si="28"/>
        <v>56</v>
      </c>
      <c r="M632" s="18" t="str">
        <f>IF(I632&lt;&gt;"Sí","",IF(YEAR(F632)&lt;&gt;2026,"",INDEX({"Enero","Febrero","Marzo","Abril","Mayo","Junio","Julio","Agosto","Septiembre","Octubre","Noviembre","Diciembre"},MONTH(F632))))</f>
        <v>Junio</v>
      </c>
      <c r="N632" s="18" t="str">
        <f t="shared" si="29"/>
        <v>Junio|56</v>
      </c>
    </row>
    <row r="633" spans="1:14" ht="14.5" x14ac:dyDescent="0.25">
      <c r="A633" s="19">
        <v>32</v>
      </c>
      <c r="B633" s="18" t="s">
        <v>39</v>
      </c>
      <c r="C633" s="18" t="s">
        <v>92</v>
      </c>
      <c r="D633" s="18" t="s">
        <v>1138</v>
      </c>
      <c r="E633" s="18" t="s">
        <v>1195</v>
      </c>
      <c r="F633" s="101">
        <v>46192.084722222222</v>
      </c>
      <c r="G633" s="101">
        <v>46192.892361111109</v>
      </c>
      <c r="H633" s="18" t="s">
        <v>507</v>
      </c>
      <c r="I633" s="18" t="s">
        <v>508</v>
      </c>
      <c r="J633" s="18"/>
      <c r="K633" s="21">
        <f t="shared" si="27"/>
        <v>19.383333333302289</v>
      </c>
      <c r="L633" s="19">
        <f t="shared" si="28"/>
        <v>58</v>
      </c>
      <c r="M633" s="18" t="str">
        <f>IF(I633&lt;&gt;"Sí","",IF(YEAR(F633)&lt;&gt;2026,"",INDEX({"Enero","Febrero","Marzo","Abril","Mayo","Junio","Julio","Agosto","Septiembre","Octubre","Noviembre","Diciembre"},MONTH(F633))))</f>
        <v>Junio</v>
      </c>
      <c r="N633" s="18" t="str">
        <f t="shared" si="29"/>
        <v>Junio|58</v>
      </c>
    </row>
    <row r="634" spans="1:14" ht="14.5" x14ac:dyDescent="0.25">
      <c r="A634" s="19">
        <v>32</v>
      </c>
      <c r="B634" s="18" t="s">
        <v>39</v>
      </c>
      <c r="C634" s="18" t="s">
        <v>92</v>
      </c>
      <c r="D634" s="18" t="s">
        <v>1138</v>
      </c>
      <c r="E634" s="18" t="s">
        <v>1196</v>
      </c>
      <c r="F634" s="101">
        <v>46192.084722222222</v>
      </c>
      <c r="G634" s="101">
        <v>46192.757638888892</v>
      </c>
      <c r="H634" s="18" t="s">
        <v>507</v>
      </c>
      <c r="I634" s="18" t="s">
        <v>508</v>
      </c>
      <c r="J634" s="18"/>
      <c r="K634" s="21">
        <f t="shared" si="27"/>
        <v>16.150000000081491</v>
      </c>
      <c r="L634" s="19">
        <f t="shared" si="28"/>
        <v>58</v>
      </c>
      <c r="M634" s="18" t="str">
        <f>IF(I634&lt;&gt;"Sí","",IF(YEAR(F634)&lt;&gt;2026,"",INDEX({"Enero","Febrero","Marzo","Abril","Mayo","Junio","Julio","Agosto","Septiembre","Octubre","Noviembre","Diciembre"},MONTH(F634))))</f>
        <v>Junio</v>
      </c>
      <c r="N634" s="18" t="str">
        <f t="shared" si="29"/>
        <v>Junio|58</v>
      </c>
    </row>
    <row r="635" spans="1:14" ht="14.5" x14ac:dyDescent="0.25">
      <c r="A635" s="19">
        <v>32</v>
      </c>
      <c r="B635" s="18" t="s">
        <v>39</v>
      </c>
      <c r="C635" s="18" t="s">
        <v>92</v>
      </c>
      <c r="D635" s="18" t="s">
        <v>1138</v>
      </c>
      <c r="E635" s="18" t="s">
        <v>1197</v>
      </c>
      <c r="F635" s="101">
        <v>46192.085416666669</v>
      </c>
      <c r="G635" s="101">
        <v>46192.755555555559</v>
      </c>
      <c r="H635" s="18" t="s">
        <v>507</v>
      </c>
      <c r="I635" s="18" t="s">
        <v>508</v>
      </c>
      <c r="J635" s="18"/>
      <c r="K635" s="21">
        <f t="shared" si="27"/>
        <v>16.083333333372138</v>
      </c>
      <c r="L635" s="19">
        <f t="shared" si="28"/>
        <v>59</v>
      </c>
      <c r="M635" s="18" t="str">
        <f>IF(I635&lt;&gt;"Sí","",IF(YEAR(F635)&lt;&gt;2026,"",INDEX({"Enero","Febrero","Marzo","Abril","Mayo","Junio","Julio","Agosto","Septiembre","Octubre","Noviembre","Diciembre"},MONTH(F635))))</f>
        <v>Junio</v>
      </c>
      <c r="N635" s="18" t="str">
        <f t="shared" si="29"/>
        <v>Junio|59</v>
      </c>
    </row>
    <row r="636" spans="1:14" ht="14.5" x14ac:dyDescent="0.25">
      <c r="A636" s="19">
        <v>32</v>
      </c>
      <c r="B636" s="18" t="s">
        <v>39</v>
      </c>
      <c r="C636" s="18" t="s">
        <v>92</v>
      </c>
      <c r="D636" s="18" t="s">
        <v>1138</v>
      </c>
      <c r="E636" s="18" t="s">
        <v>1198</v>
      </c>
      <c r="F636" s="101">
        <v>46192.088194444441</v>
      </c>
      <c r="G636" s="101">
        <v>46192.751388888886</v>
      </c>
      <c r="H636" s="18" t="s">
        <v>507</v>
      </c>
      <c r="I636" s="18" t="s">
        <v>508</v>
      </c>
      <c r="J636" s="18"/>
      <c r="K636" s="21">
        <f t="shared" si="27"/>
        <v>15.916666666686069</v>
      </c>
      <c r="L636" s="19">
        <f t="shared" si="28"/>
        <v>60</v>
      </c>
      <c r="M636" s="18" t="str">
        <f>IF(I636&lt;&gt;"Sí","",IF(YEAR(F636)&lt;&gt;2026,"",INDEX({"Enero","Febrero","Marzo","Abril","Mayo","Junio","Julio","Agosto","Septiembre","Octubre","Noviembre","Diciembre"},MONTH(F636))))</f>
        <v>Junio</v>
      </c>
      <c r="N636" s="18" t="str">
        <f t="shared" si="29"/>
        <v>Junio|60</v>
      </c>
    </row>
    <row r="637" spans="1:14" ht="14.5" x14ac:dyDescent="0.25">
      <c r="A637" s="19">
        <v>32</v>
      </c>
      <c r="B637" s="18" t="s">
        <v>39</v>
      </c>
      <c r="C637" s="18" t="s">
        <v>92</v>
      </c>
      <c r="D637" s="18" t="s">
        <v>1138</v>
      </c>
      <c r="E637" s="18" t="s">
        <v>1199</v>
      </c>
      <c r="F637" s="101">
        <v>46192.089583333334</v>
      </c>
      <c r="G637" s="101">
        <v>46192.753472222219</v>
      </c>
      <c r="H637" s="18" t="s">
        <v>507</v>
      </c>
      <c r="I637" s="18" t="s">
        <v>508</v>
      </c>
      <c r="J637" s="18"/>
      <c r="K637" s="21">
        <f t="shared" si="27"/>
        <v>15.93333333323244</v>
      </c>
      <c r="L637" s="19">
        <f t="shared" si="28"/>
        <v>61</v>
      </c>
      <c r="M637" s="18" t="str">
        <f>IF(I637&lt;&gt;"Sí","",IF(YEAR(F637)&lt;&gt;2026,"",INDEX({"Enero","Febrero","Marzo","Abril","Mayo","Junio","Julio","Agosto","Septiembre","Octubre","Noviembre","Diciembre"},MONTH(F637))))</f>
        <v>Junio</v>
      </c>
      <c r="N637" s="18" t="str">
        <f t="shared" si="29"/>
        <v>Junio|61</v>
      </c>
    </row>
    <row r="638" spans="1:14" ht="14.5" x14ac:dyDescent="0.25">
      <c r="A638" s="19">
        <v>32</v>
      </c>
      <c r="B638" s="18" t="s">
        <v>39</v>
      </c>
      <c r="C638" s="18" t="s">
        <v>92</v>
      </c>
      <c r="D638" s="18" t="s">
        <v>1138</v>
      </c>
      <c r="E638" s="18" t="s">
        <v>1200</v>
      </c>
      <c r="F638" s="101">
        <v>46192.090277777781</v>
      </c>
      <c r="G638" s="101">
        <v>46192.749305555553</v>
      </c>
      <c r="H638" s="18" t="s">
        <v>507</v>
      </c>
      <c r="I638" s="18" t="s">
        <v>508</v>
      </c>
      <c r="J638" s="18"/>
      <c r="K638" s="21">
        <f t="shared" si="27"/>
        <v>15.816666666534729</v>
      </c>
      <c r="L638" s="19">
        <f t="shared" si="28"/>
        <v>62</v>
      </c>
      <c r="M638" s="18" t="str">
        <f>IF(I638&lt;&gt;"Sí","",IF(YEAR(F638)&lt;&gt;2026,"",INDEX({"Enero","Febrero","Marzo","Abril","Mayo","Junio","Julio","Agosto","Septiembre","Octubre","Noviembre","Diciembre"},MONTH(F638))))</f>
        <v>Junio</v>
      </c>
      <c r="N638" s="18" t="str">
        <f t="shared" si="29"/>
        <v>Junio|62</v>
      </c>
    </row>
    <row r="639" spans="1:14" ht="14.5" x14ac:dyDescent="0.25">
      <c r="A639" s="19">
        <v>32</v>
      </c>
      <c r="B639" s="18" t="s">
        <v>39</v>
      </c>
      <c r="C639" s="18" t="s">
        <v>92</v>
      </c>
      <c r="D639" s="18" t="s">
        <v>1138</v>
      </c>
      <c r="E639" s="18" t="s">
        <v>1201</v>
      </c>
      <c r="F639" s="101">
        <v>46192.092361111114</v>
      </c>
      <c r="G639" s="101">
        <v>46192.74722222222</v>
      </c>
      <c r="H639" s="18" t="s">
        <v>507</v>
      </c>
      <c r="I639" s="18" t="s">
        <v>508</v>
      </c>
      <c r="J639" s="18"/>
      <c r="K639" s="21">
        <f t="shared" si="27"/>
        <v>15.716666666558012</v>
      </c>
      <c r="L639" s="19">
        <f t="shared" si="28"/>
        <v>63</v>
      </c>
      <c r="M639" s="18" t="str">
        <f>IF(I639&lt;&gt;"Sí","",IF(YEAR(F639)&lt;&gt;2026,"",INDEX({"Enero","Febrero","Marzo","Abril","Mayo","Junio","Julio","Agosto","Septiembre","Octubre","Noviembre","Diciembre"},MONTH(F639))))</f>
        <v>Junio</v>
      </c>
      <c r="N639" s="18" t="str">
        <f t="shared" si="29"/>
        <v>Junio|63</v>
      </c>
    </row>
    <row r="640" spans="1:14" ht="14.5" x14ac:dyDescent="0.25">
      <c r="A640" s="19">
        <v>32</v>
      </c>
      <c r="B640" s="18" t="s">
        <v>39</v>
      </c>
      <c r="C640" s="18" t="s">
        <v>92</v>
      </c>
      <c r="D640" s="18" t="s">
        <v>1138</v>
      </c>
      <c r="E640" s="18" t="s">
        <v>1202</v>
      </c>
      <c r="F640" s="101">
        <v>46192.097916666666</v>
      </c>
      <c r="G640" s="101">
        <v>46192.744444444441</v>
      </c>
      <c r="H640" s="18" t="s">
        <v>507</v>
      </c>
      <c r="I640" s="18" t="s">
        <v>508</v>
      </c>
      <c r="J640" s="18"/>
      <c r="K640" s="21">
        <f t="shared" si="27"/>
        <v>15.516666666604578</v>
      </c>
      <c r="L640" s="19">
        <f t="shared" si="28"/>
        <v>65</v>
      </c>
      <c r="M640" s="18" t="str">
        <f>IF(I640&lt;&gt;"Sí","",IF(YEAR(F640)&lt;&gt;2026,"",INDEX({"Enero","Febrero","Marzo","Abril","Mayo","Junio","Julio","Agosto","Septiembre","Octubre","Noviembre","Diciembre"},MONTH(F640))))</f>
        <v>Junio</v>
      </c>
      <c r="N640" s="18" t="str">
        <f t="shared" si="29"/>
        <v>Junio|65</v>
      </c>
    </row>
    <row r="641" spans="1:14" ht="14.5" x14ac:dyDescent="0.25">
      <c r="A641" s="19">
        <v>32</v>
      </c>
      <c r="B641" s="18" t="s">
        <v>39</v>
      </c>
      <c r="C641" s="18" t="s">
        <v>92</v>
      </c>
      <c r="D641" s="18" t="s">
        <v>1138</v>
      </c>
      <c r="E641" s="18" t="s">
        <v>1203</v>
      </c>
      <c r="F641" s="101">
        <v>46192.097916666666</v>
      </c>
      <c r="G641" s="101">
        <v>46192.734027777777</v>
      </c>
      <c r="H641" s="18" t="s">
        <v>507</v>
      </c>
      <c r="I641" s="18" t="s">
        <v>508</v>
      </c>
      <c r="J641" s="18"/>
      <c r="K641" s="21">
        <f t="shared" si="27"/>
        <v>15.266666666662786</v>
      </c>
      <c r="L641" s="19">
        <f t="shared" si="28"/>
        <v>65</v>
      </c>
      <c r="M641" s="18" t="str">
        <f>IF(I641&lt;&gt;"Sí","",IF(YEAR(F641)&lt;&gt;2026,"",INDEX({"Enero","Febrero","Marzo","Abril","Mayo","Junio","Julio","Agosto","Septiembre","Octubre","Noviembre","Diciembre"},MONTH(F641))))</f>
        <v>Junio</v>
      </c>
      <c r="N641" s="18" t="str">
        <f t="shared" si="29"/>
        <v>Junio|65</v>
      </c>
    </row>
    <row r="642" spans="1:14" ht="14.5" x14ac:dyDescent="0.25">
      <c r="A642" s="19">
        <v>32</v>
      </c>
      <c r="B642" s="18" t="s">
        <v>39</v>
      </c>
      <c r="C642" s="18" t="s">
        <v>92</v>
      </c>
      <c r="D642" s="18" t="s">
        <v>1138</v>
      </c>
      <c r="E642" s="18" t="s">
        <v>1204</v>
      </c>
      <c r="F642" s="101">
        <v>46192.098611111112</v>
      </c>
      <c r="G642" s="101">
        <v>46192.736111111109</v>
      </c>
      <c r="H642" s="18" t="s">
        <v>507</v>
      </c>
      <c r="I642" s="18" t="s">
        <v>508</v>
      </c>
      <c r="J642" s="18"/>
      <c r="K642" s="21">
        <f t="shared" si="27"/>
        <v>15.299999999930151</v>
      </c>
      <c r="L642" s="19">
        <f t="shared" si="28"/>
        <v>66</v>
      </c>
      <c r="M642" s="18" t="str">
        <f>IF(I642&lt;&gt;"Sí","",IF(YEAR(F642)&lt;&gt;2026,"",INDEX({"Enero","Febrero","Marzo","Abril","Mayo","Junio","Julio","Agosto","Septiembre","Octubre","Noviembre","Diciembre"},MONTH(F642))))</f>
        <v>Junio</v>
      </c>
      <c r="N642" s="18" t="str">
        <f t="shared" si="29"/>
        <v>Junio|66</v>
      </c>
    </row>
    <row r="643" spans="1:14" ht="14.5" x14ac:dyDescent="0.25">
      <c r="A643" s="19">
        <v>32</v>
      </c>
      <c r="B643" s="18" t="s">
        <v>39</v>
      </c>
      <c r="C643" s="18" t="s">
        <v>92</v>
      </c>
      <c r="D643" s="18" t="s">
        <v>1138</v>
      </c>
      <c r="E643" s="18" t="s">
        <v>1205</v>
      </c>
      <c r="F643" s="101">
        <v>46192.099305555559</v>
      </c>
      <c r="G643" s="101">
        <v>46192.738888888889</v>
      </c>
      <c r="H643" s="18" t="s">
        <v>507</v>
      </c>
      <c r="I643" s="18" t="s">
        <v>508</v>
      </c>
      <c r="J643" s="18"/>
      <c r="K643" s="21">
        <f t="shared" si="27"/>
        <v>15.349999999918509</v>
      </c>
      <c r="L643" s="19">
        <f t="shared" si="28"/>
        <v>67</v>
      </c>
      <c r="M643" s="18" t="str">
        <f>IF(I643&lt;&gt;"Sí","",IF(YEAR(F643)&lt;&gt;2026,"",INDEX({"Enero","Febrero","Marzo","Abril","Mayo","Junio","Julio","Agosto","Septiembre","Octubre","Noviembre","Diciembre"},MONTH(F643))))</f>
        <v>Junio</v>
      </c>
      <c r="N643" s="18" t="str">
        <f t="shared" si="29"/>
        <v>Junio|67</v>
      </c>
    </row>
    <row r="644" spans="1:14" ht="14.5" x14ac:dyDescent="0.25">
      <c r="A644" s="19">
        <v>32</v>
      </c>
      <c r="B644" s="18" t="s">
        <v>39</v>
      </c>
      <c r="C644" s="18" t="s">
        <v>92</v>
      </c>
      <c r="D644" s="18" t="s">
        <v>1138</v>
      </c>
      <c r="E644" s="18" t="s">
        <v>1206</v>
      </c>
      <c r="F644" s="101">
        <v>46192.1</v>
      </c>
      <c r="G644" s="101">
        <v>46192.741666666669</v>
      </c>
      <c r="H644" s="18" t="s">
        <v>507</v>
      </c>
      <c r="I644" s="18" t="s">
        <v>508</v>
      </c>
      <c r="J644" s="18"/>
      <c r="K644" s="21">
        <f t="shared" si="27"/>
        <v>15.400000000081491</v>
      </c>
      <c r="L644" s="19">
        <f t="shared" si="28"/>
        <v>68</v>
      </c>
      <c r="M644" s="18" t="str">
        <f>IF(I644&lt;&gt;"Sí","",IF(YEAR(F644)&lt;&gt;2026,"",INDEX({"Enero","Febrero","Marzo","Abril","Mayo","Junio","Julio","Agosto","Septiembre","Octubre","Noviembre","Diciembre"},MONTH(F644))))</f>
        <v>Junio</v>
      </c>
      <c r="N644" s="18" t="str">
        <f t="shared" si="29"/>
        <v>Junio|68</v>
      </c>
    </row>
    <row r="645" spans="1:14" ht="14.5" x14ac:dyDescent="0.25">
      <c r="A645" s="19">
        <v>32</v>
      </c>
      <c r="B645" s="18" t="s">
        <v>39</v>
      </c>
      <c r="C645" s="18" t="s">
        <v>92</v>
      </c>
      <c r="D645" s="18" t="s">
        <v>1138</v>
      </c>
      <c r="E645" s="18" t="s">
        <v>1207</v>
      </c>
      <c r="F645" s="101">
        <v>46192.100694444445</v>
      </c>
      <c r="G645" s="101">
        <v>46192.731944444444</v>
      </c>
      <c r="H645" s="18" t="s">
        <v>507</v>
      </c>
      <c r="I645" s="18" t="s">
        <v>508</v>
      </c>
      <c r="J645" s="18"/>
      <c r="K645" s="21">
        <f t="shared" si="27"/>
        <v>15.149999999965075</v>
      </c>
      <c r="L645" s="19">
        <f t="shared" si="28"/>
        <v>69</v>
      </c>
      <c r="M645" s="18" t="str">
        <f>IF(I645&lt;&gt;"Sí","",IF(YEAR(F645)&lt;&gt;2026,"",INDEX({"Enero","Febrero","Marzo","Abril","Mayo","Junio","Julio","Agosto","Septiembre","Octubre","Noviembre","Diciembre"},MONTH(F645))))</f>
        <v>Junio</v>
      </c>
      <c r="N645" s="18" t="str">
        <f t="shared" si="29"/>
        <v>Junio|69</v>
      </c>
    </row>
    <row r="646" spans="1:14" ht="14.5" x14ac:dyDescent="0.25">
      <c r="A646" s="19">
        <v>32</v>
      </c>
      <c r="B646" s="18" t="s">
        <v>39</v>
      </c>
      <c r="C646" s="18" t="s">
        <v>92</v>
      </c>
      <c r="D646" s="18" t="s">
        <v>1138</v>
      </c>
      <c r="E646" s="18" t="s">
        <v>1208</v>
      </c>
      <c r="F646" s="101">
        <v>46192.101388888892</v>
      </c>
      <c r="G646" s="101">
        <v>46192.729861111111</v>
      </c>
      <c r="H646" s="18" t="s">
        <v>507</v>
      </c>
      <c r="I646" s="18" t="s">
        <v>508</v>
      </c>
      <c r="J646" s="18"/>
      <c r="K646" s="21">
        <f t="shared" si="27"/>
        <v>15.083333333255723</v>
      </c>
      <c r="L646" s="19">
        <f t="shared" si="28"/>
        <v>70</v>
      </c>
      <c r="M646" s="18" t="str">
        <f>IF(I646&lt;&gt;"Sí","",IF(YEAR(F646)&lt;&gt;2026,"",INDEX({"Enero","Febrero","Marzo","Abril","Mayo","Junio","Julio","Agosto","Septiembre","Octubre","Noviembre","Diciembre"},MONTH(F646))))</f>
        <v>Junio</v>
      </c>
      <c r="N646" s="18" t="str">
        <f t="shared" si="29"/>
        <v>Junio|70</v>
      </c>
    </row>
    <row r="647" spans="1:14" ht="14.5" x14ac:dyDescent="0.25">
      <c r="A647" s="19">
        <v>32</v>
      </c>
      <c r="B647" s="18" t="s">
        <v>39</v>
      </c>
      <c r="C647" s="18" t="s">
        <v>92</v>
      </c>
      <c r="D647" s="18" t="s">
        <v>1138</v>
      </c>
      <c r="E647" s="18" t="s">
        <v>1209</v>
      </c>
      <c r="F647" s="101">
        <v>46192.102083333331</v>
      </c>
      <c r="G647" s="101">
        <v>46192.727777777778</v>
      </c>
      <c r="H647" s="18" t="s">
        <v>507</v>
      </c>
      <c r="I647" s="18" t="s">
        <v>508</v>
      </c>
      <c r="J647" s="18"/>
      <c r="K647" s="21">
        <f t="shared" ref="K647:K710" si="30">IF(I647="Sí",(G647-F647)*24,"")</f>
        <v>15.016666666720994</v>
      </c>
      <c r="L647" s="19">
        <f t="shared" ref="L647:L710" si="31">IF(I647="Sí",COUNTIFS($F$7:$F$4000,"&lt;="&amp;F647,$G$7:$G$4000,"&gt;"&amp;F647,$I$7:$I$4000,"Sí"),"")</f>
        <v>71</v>
      </c>
      <c r="M647" s="18" t="str">
        <f>IF(I647&lt;&gt;"Sí","",IF(YEAR(F647)&lt;&gt;2026,"",INDEX({"Enero","Febrero","Marzo","Abril","Mayo","Junio","Julio","Agosto","Septiembre","Octubre","Noviembre","Diciembre"},MONTH(F647))))</f>
        <v>Junio</v>
      </c>
      <c r="N647" s="18" t="str">
        <f t="shared" ref="N647:N710" si="32">IF(M647="","",M647&amp;"|"&amp;L647)</f>
        <v>Junio|71</v>
      </c>
    </row>
    <row r="648" spans="1:14" ht="14.5" x14ac:dyDescent="0.25">
      <c r="A648" s="19">
        <v>32</v>
      </c>
      <c r="B648" s="18" t="s">
        <v>39</v>
      </c>
      <c r="C648" s="18" t="s">
        <v>92</v>
      </c>
      <c r="D648" s="18" t="s">
        <v>1138</v>
      </c>
      <c r="E648" s="18" t="s">
        <v>1210</v>
      </c>
      <c r="F648" s="101">
        <v>46192.102777777778</v>
      </c>
      <c r="G648" s="101">
        <v>46192.725694444445</v>
      </c>
      <c r="H648" s="18" t="s">
        <v>507</v>
      </c>
      <c r="I648" s="18" t="s">
        <v>508</v>
      </c>
      <c r="J648" s="18"/>
      <c r="K648" s="21">
        <f t="shared" si="30"/>
        <v>14.950000000011642</v>
      </c>
      <c r="L648" s="19">
        <f t="shared" si="31"/>
        <v>72</v>
      </c>
      <c r="M648" s="18" t="str">
        <f>IF(I648&lt;&gt;"Sí","",IF(YEAR(F648)&lt;&gt;2026,"",INDEX({"Enero","Febrero","Marzo","Abril","Mayo","Junio","Julio","Agosto","Septiembre","Octubre","Noviembre","Diciembre"},MONTH(F648))))</f>
        <v>Junio</v>
      </c>
      <c r="N648" s="18" t="str">
        <f t="shared" si="32"/>
        <v>Junio|72</v>
      </c>
    </row>
    <row r="649" spans="1:14" ht="14.5" x14ac:dyDescent="0.25">
      <c r="A649" s="19">
        <v>32</v>
      </c>
      <c r="B649" s="18" t="s">
        <v>39</v>
      </c>
      <c r="C649" s="18" t="s">
        <v>92</v>
      </c>
      <c r="D649" s="18" t="s">
        <v>1138</v>
      </c>
      <c r="E649" s="18" t="s">
        <v>1211</v>
      </c>
      <c r="F649" s="101">
        <v>46192.104166666664</v>
      </c>
      <c r="G649" s="101">
        <v>46193.513194444444</v>
      </c>
      <c r="H649" s="18" t="s">
        <v>507</v>
      </c>
      <c r="I649" s="18" t="s">
        <v>508</v>
      </c>
      <c r="J649" s="18"/>
      <c r="K649" s="21">
        <f t="shared" si="30"/>
        <v>33.816666666709352</v>
      </c>
      <c r="L649" s="19">
        <f t="shared" si="31"/>
        <v>73</v>
      </c>
      <c r="M649" s="18" t="str">
        <f>IF(I649&lt;&gt;"Sí","",IF(YEAR(F649)&lt;&gt;2026,"",INDEX({"Enero","Febrero","Marzo","Abril","Mayo","Junio","Julio","Agosto","Septiembre","Octubre","Noviembre","Diciembre"},MONTH(F649))))</f>
        <v>Junio</v>
      </c>
      <c r="N649" s="18" t="str">
        <f t="shared" si="32"/>
        <v>Junio|73</v>
      </c>
    </row>
    <row r="650" spans="1:14" ht="14.5" x14ac:dyDescent="0.25">
      <c r="A650" s="19">
        <v>32</v>
      </c>
      <c r="B650" s="18" t="s">
        <v>39</v>
      </c>
      <c r="C650" s="18" t="s">
        <v>92</v>
      </c>
      <c r="D650" s="18" t="s">
        <v>1138</v>
      </c>
      <c r="E650" s="18" t="s">
        <v>1212</v>
      </c>
      <c r="F650" s="101">
        <v>46192.104861111111</v>
      </c>
      <c r="G650" s="101">
        <v>46193.497916666667</v>
      </c>
      <c r="H650" s="18" t="s">
        <v>507</v>
      </c>
      <c r="I650" s="18" t="s">
        <v>508</v>
      </c>
      <c r="J650" s="18"/>
      <c r="K650" s="21">
        <f t="shared" si="30"/>
        <v>33.433333333348855</v>
      </c>
      <c r="L650" s="19">
        <f t="shared" si="31"/>
        <v>74</v>
      </c>
      <c r="M650" s="18" t="str">
        <f>IF(I650&lt;&gt;"Sí","",IF(YEAR(F650)&lt;&gt;2026,"",INDEX({"Enero","Febrero","Marzo","Abril","Mayo","Junio","Julio","Agosto","Septiembre","Octubre","Noviembre","Diciembre"},MONTH(F650))))</f>
        <v>Junio</v>
      </c>
      <c r="N650" s="18" t="str">
        <f t="shared" si="32"/>
        <v>Junio|74</v>
      </c>
    </row>
    <row r="651" spans="1:14" ht="14.5" x14ac:dyDescent="0.25">
      <c r="A651" s="19">
        <v>32</v>
      </c>
      <c r="B651" s="18" t="s">
        <v>39</v>
      </c>
      <c r="C651" s="18" t="s">
        <v>92</v>
      </c>
      <c r="D651" s="18" t="s">
        <v>1138</v>
      </c>
      <c r="E651" s="18" t="s">
        <v>1213</v>
      </c>
      <c r="F651" s="101">
        <v>46192.105555555558</v>
      </c>
      <c r="G651" s="101">
        <v>46193.513194444444</v>
      </c>
      <c r="H651" s="18" t="s">
        <v>507</v>
      </c>
      <c r="I651" s="18" t="s">
        <v>508</v>
      </c>
      <c r="J651" s="18"/>
      <c r="K651" s="21">
        <f t="shared" si="30"/>
        <v>33.783333333267365</v>
      </c>
      <c r="L651" s="19">
        <f t="shared" si="31"/>
        <v>75</v>
      </c>
      <c r="M651" s="18" t="str">
        <f>IF(I651&lt;&gt;"Sí","",IF(YEAR(F651)&lt;&gt;2026,"",INDEX({"Enero","Febrero","Marzo","Abril","Mayo","Junio","Julio","Agosto","Septiembre","Octubre","Noviembre","Diciembre"},MONTH(F651))))</f>
        <v>Junio</v>
      </c>
      <c r="N651" s="18" t="str">
        <f t="shared" si="32"/>
        <v>Junio|75</v>
      </c>
    </row>
    <row r="652" spans="1:14" ht="14.5" x14ac:dyDescent="0.25">
      <c r="A652" s="19">
        <v>32</v>
      </c>
      <c r="B652" s="18" t="s">
        <v>39</v>
      </c>
      <c r="C652" s="18" t="s">
        <v>92</v>
      </c>
      <c r="D652" s="18" t="s">
        <v>1138</v>
      </c>
      <c r="E652" s="18" t="s">
        <v>1214</v>
      </c>
      <c r="F652" s="101">
        <v>46192.106944444444</v>
      </c>
      <c r="G652" s="101">
        <v>46193.068055555559</v>
      </c>
      <c r="H652" s="18" t="s">
        <v>507</v>
      </c>
      <c r="I652" s="18" t="s">
        <v>508</v>
      </c>
      <c r="J652" s="18"/>
      <c r="K652" s="21">
        <f t="shared" si="30"/>
        <v>23.06666666676756</v>
      </c>
      <c r="L652" s="19">
        <f t="shared" si="31"/>
        <v>76</v>
      </c>
      <c r="M652" s="18" t="str">
        <f>IF(I652&lt;&gt;"Sí","",IF(YEAR(F652)&lt;&gt;2026,"",INDEX({"Enero","Febrero","Marzo","Abril","Mayo","Junio","Julio","Agosto","Septiembre","Octubre","Noviembre","Diciembre"},MONTH(F652))))</f>
        <v>Junio</v>
      </c>
      <c r="N652" s="18" t="str">
        <f t="shared" si="32"/>
        <v>Junio|76</v>
      </c>
    </row>
    <row r="653" spans="1:14" ht="14.5" x14ac:dyDescent="0.25">
      <c r="A653" s="19">
        <v>32</v>
      </c>
      <c r="B653" s="18" t="s">
        <v>39</v>
      </c>
      <c r="C653" s="18" t="s">
        <v>92</v>
      </c>
      <c r="D653" s="18" t="s">
        <v>1138</v>
      </c>
      <c r="E653" s="18" t="s">
        <v>1215</v>
      </c>
      <c r="F653" s="101">
        <v>46192.109027777777</v>
      </c>
      <c r="G653" s="101">
        <v>46193.06527777778</v>
      </c>
      <c r="H653" s="18" t="s">
        <v>507</v>
      </c>
      <c r="I653" s="18" t="s">
        <v>508</v>
      </c>
      <c r="J653" s="18"/>
      <c r="K653" s="21">
        <f t="shared" si="30"/>
        <v>22.950000000069849</v>
      </c>
      <c r="L653" s="19">
        <f t="shared" si="31"/>
        <v>77</v>
      </c>
      <c r="M653" s="18" t="str">
        <f>IF(I653&lt;&gt;"Sí","",IF(YEAR(F653)&lt;&gt;2026,"",INDEX({"Enero","Febrero","Marzo","Abril","Mayo","Junio","Julio","Agosto","Septiembre","Octubre","Noviembre","Diciembre"},MONTH(F653))))</f>
        <v>Junio</v>
      </c>
      <c r="N653" s="18" t="str">
        <f t="shared" si="32"/>
        <v>Junio|77</v>
      </c>
    </row>
    <row r="654" spans="1:14" ht="14.5" x14ac:dyDescent="0.25">
      <c r="A654" s="19">
        <v>32</v>
      </c>
      <c r="B654" s="18" t="s">
        <v>39</v>
      </c>
      <c r="C654" s="18" t="s">
        <v>92</v>
      </c>
      <c r="D654" s="18" t="s">
        <v>1138</v>
      </c>
      <c r="E654" s="18" t="s">
        <v>1216</v>
      </c>
      <c r="F654" s="101">
        <v>46192.111805555556</v>
      </c>
      <c r="G654" s="101">
        <v>46193.0625</v>
      </c>
      <c r="H654" s="18" t="s">
        <v>507</v>
      </c>
      <c r="I654" s="18" t="s">
        <v>508</v>
      </c>
      <c r="J654" s="18"/>
      <c r="K654" s="21">
        <f t="shared" si="30"/>
        <v>22.816666666651145</v>
      </c>
      <c r="L654" s="19">
        <f t="shared" si="31"/>
        <v>78</v>
      </c>
      <c r="M654" s="18" t="str">
        <f>IF(I654&lt;&gt;"Sí","",IF(YEAR(F654)&lt;&gt;2026,"",INDEX({"Enero","Febrero","Marzo","Abril","Mayo","Junio","Julio","Agosto","Septiembre","Octubre","Noviembre","Diciembre"},MONTH(F654))))</f>
        <v>Junio</v>
      </c>
      <c r="N654" s="18" t="str">
        <f t="shared" si="32"/>
        <v>Junio|78</v>
      </c>
    </row>
    <row r="655" spans="1:14" ht="14.5" x14ac:dyDescent="0.25">
      <c r="A655" s="19">
        <v>32</v>
      </c>
      <c r="B655" s="18" t="s">
        <v>39</v>
      </c>
      <c r="C655" s="18" t="s">
        <v>92</v>
      </c>
      <c r="D655" s="18" t="s">
        <v>1138</v>
      </c>
      <c r="E655" s="18" t="s">
        <v>1217</v>
      </c>
      <c r="F655" s="101">
        <v>46192.113194444442</v>
      </c>
      <c r="G655" s="101">
        <v>46193.061111111114</v>
      </c>
      <c r="H655" s="18" t="s">
        <v>507</v>
      </c>
      <c r="I655" s="18" t="s">
        <v>508</v>
      </c>
      <c r="J655" s="18"/>
      <c r="K655" s="21">
        <f t="shared" si="30"/>
        <v>22.750000000116415</v>
      </c>
      <c r="L655" s="19">
        <f t="shared" si="31"/>
        <v>79</v>
      </c>
      <c r="M655" s="18" t="str">
        <f>IF(I655&lt;&gt;"Sí","",IF(YEAR(F655)&lt;&gt;2026,"",INDEX({"Enero","Febrero","Marzo","Abril","Mayo","Junio","Julio","Agosto","Septiembre","Octubre","Noviembre","Diciembre"},MONTH(F655))))</f>
        <v>Junio</v>
      </c>
      <c r="N655" s="18" t="str">
        <f t="shared" si="32"/>
        <v>Junio|79</v>
      </c>
    </row>
    <row r="656" spans="1:14" ht="14.5" x14ac:dyDescent="0.25">
      <c r="A656" s="19">
        <v>32</v>
      </c>
      <c r="B656" s="18" t="s">
        <v>39</v>
      </c>
      <c r="C656" s="18" t="s">
        <v>92</v>
      </c>
      <c r="D656" s="18" t="s">
        <v>1138</v>
      </c>
      <c r="E656" s="18" t="s">
        <v>1218</v>
      </c>
      <c r="F656" s="101">
        <v>46192.115277777775</v>
      </c>
      <c r="G656" s="101">
        <v>46193.056250000001</v>
      </c>
      <c r="H656" s="18" t="s">
        <v>507</v>
      </c>
      <c r="I656" s="18" t="s">
        <v>508</v>
      </c>
      <c r="J656" s="18"/>
      <c r="K656" s="21">
        <f t="shared" si="30"/>
        <v>22.583333333430346</v>
      </c>
      <c r="L656" s="19">
        <f t="shared" si="31"/>
        <v>80</v>
      </c>
      <c r="M656" s="18" t="str">
        <f>IF(I656&lt;&gt;"Sí","",IF(YEAR(F656)&lt;&gt;2026,"",INDEX({"Enero","Febrero","Marzo","Abril","Mayo","Junio","Julio","Agosto","Septiembre","Octubre","Noviembre","Diciembre"},MONTH(F656))))</f>
        <v>Junio</v>
      </c>
      <c r="N656" s="18" t="str">
        <f t="shared" si="32"/>
        <v>Junio|80</v>
      </c>
    </row>
    <row r="657" spans="1:14" ht="14.5" x14ac:dyDescent="0.25">
      <c r="A657" s="19">
        <v>32</v>
      </c>
      <c r="B657" s="18" t="s">
        <v>39</v>
      </c>
      <c r="C657" s="18" t="s">
        <v>92</v>
      </c>
      <c r="D657" s="18" t="s">
        <v>1138</v>
      </c>
      <c r="E657" s="18" t="s">
        <v>1219</v>
      </c>
      <c r="F657" s="101">
        <v>46192.116666666669</v>
      </c>
      <c r="G657" s="101">
        <v>46193.054861111108</v>
      </c>
      <c r="H657" s="18" t="s">
        <v>507</v>
      </c>
      <c r="I657" s="18" t="s">
        <v>508</v>
      </c>
      <c r="J657" s="18"/>
      <c r="K657" s="21">
        <f t="shared" si="30"/>
        <v>22.516666666546371</v>
      </c>
      <c r="L657" s="19">
        <f t="shared" si="31"/>
        <v>81</v>
      </c>
      <c r="M657" s="18" t="str">
        <f>IF(I657&lt;&gt;"Sí","",IF(YEAR(F657)&lt;&gt;2026,"",INDEX({"Enero","Febrero","Marzo","Abril","Mayo","Junio","Julio","Agosto","Septiembre","Octubre","Noviembre","Diciembre"},MONTH(F657))))</f>
        <v>Junio</v>
      </c>
      <c r="N657" s="18" t="str">
        <f t="shared" si="32"/>
        <v>Junio|81</v>
      </c>
    </row>
    <row r="658" spans="1:14" ht="14.5" x14ac:dyDescent="0.25">
      <c r="A658" s="19">
        <v>32</v>
      </c>
      <c r="B658" s="18" t="s">
        <v>39</v>
      </c>
      <c r="C658" s="18" t="s">
        <v>92</v>
      </c>
      <c r="D658" s="18" t="s">
        <v>1138</v>
      </c>
      <c r="E658" s="18" t="s">
        <v>1220</v>
      </c>
      <c r="F658" s="101">
        <v>46192.117361111108</v>
      </c>
      <c r="G658" s="101">
        <v>46193.052083333336</v>
      </c>
      <c r="H658" s="18" t="s">
        <v>507</v>
      </c>
      <c r="I658" s="18" t="s">
        <v>508</v>
      </c>
      <c r="J658" s="18"/>
      <c r="K658" s="21">
        <f t="shared" si="30"/>
        <v>22.433333333465271</v>
      </c>
      <c r="L658" s="19">
        <f t="shared" si="31"/>
        <v>82</v>
      </c>
      <c r="M658" s="18" t="str">
        <f>IF(I658&lt;&gt;"Sí","",IF(YEAR(F658)&lt;&gt;2026,"",INDEX({"Enero","Febrero","Marzo","Abril","Mayo","Junio","Julio","Agosto","Septiembre","Octubre","Noviembre","Diciembre"},MONTH(F658))))</f>
        <v>Junio</v>
      </c>
      <c r="N658" s="18" t="str">
        <f t="shared" si="32"/>
        <v>Junio|82</v>
      </c>
    </row>
    <row r="659" spans="1:14" ht="14.5" x14ac:dyDescent="0.25">
      <c r="A659" s="19">
        <v>32</v>
      </c>
      <c r="B659" s="18" t="s">
        <v>39</v>
      </c>
      <c r="C659" s="18" t="s">
        <v>92</v>
      </c>
      <c r="D659" s="18" t="s">
        <v>1138</v>
      </c>
      <c r="E659" s="18" t="s">
        <v>1221</v>
      </c>
      <c r="F659" s="101">
        <v>46192.119444444441</v>
      </c>
      <c r="G659" s="101">
        <v>46193.05</v>
      </c>
      <c r="H659" s="18" t="s">
        <v>507</v>
      </c>
      <c r="I659" s="18" t="s">
        <v>508</v>
      </c>
      <c r="J659" s="18"/>
      <c r="K659" s="21">
        <f t="shared" si="30"/>
        <v>22.333333333488554</v>
      </c>
      <c r="L659" s="19">
        <f t="shared" si="31"/>
        <v>83</v>
      </c>
      <c r="M659" s="18" t="str">
        <f>IF(I659&lt;&gt;"Sí","",IF(YEAR(F659)&lt;&gt;2026,"",INDEX({"Enero","Febrero","Marzo","Abril","Mayo","Junio","Julio","Agosto","Septiembre","Octubre","Noviembre","Diciembre"},MONTH(F659))))</f>
        <v>Junio</v>
      </c>
      <c r="N659" s="18" t="str">
        <f t="shared" si="32"/>
        <v>Junio|83</v>
      </c>
    </row>
    <row r="660" spans="1:14" ht="14.5" x14ac:dyDescent="0.25">
      <c r="A660" s="19">
        <v>32</v>
      </c>
      <c r="B660" s="18" t="s">
        <v>39</v>
      </c>
      <c r="C660" s="18" t="s">
        <v>92</v>
      </c>
      <c r="D660" s="18" t="s">
        <v>1138</v>
      </c>
      <c r="E660" s="18" t="s">
        <v>1222</v>
      </c>
      <c r="F660" s="101">
        <v>46192.120833333334</v>
      </c>
      <c r="G660" s="101">
        <v>46192.993055555555</v>
      </c>
      <c r="H660" s="18" t="s">
        <v>507</v>
      </c>
      <c r="I660" s="18" t="s">
        <v>508</v>
      </c>
      <c r="J660" s="18"/>
      <c r="K660" s="21">
        <f t="shared" si="30"/>
        <v>20.933333333290648</v>
      </c>
      <c r="L660" s="19">
        <f t="shared" si="31"/>
        <v>84</v>
      </c>
      <c r="M660" s="18" t="str">
        <f>IF(I660&lt;&gt;"Sí","",IF(YEAR(F660)&lt;&gt;2026,"",INDEX({"Enero","Febrero","Marzo","Abril","Mayo","Junio","Julio","Agosto","Septiembre","Octubre","Noviembre","Diciembre"},MONTH(F660))))</f>
        <v>Junio</v>
      </c>
      <c r="N660" s="18" t="str">
        <f t="shared" si="32"/>
        <v>Junio|84</v>
      </c>
    </row>
    <row r="661" spans="1:14" ht="14.5" x14ac:dyDescent="0.25">
      <c r="A661" s="19">
        <v>32</v>
      </c>
      <c r="B661" s="18" t="s">
        <v>39</v>
      </c>
      <c r="C661" s="18" t="s">
        <v>92</v>
      </c>
      <c r="D661" s="18" t="s">
        <v>1138</v>
      </c>
      <c r="E661" s="18" t="s">
        <v>1223</v>
      </c>
      <c r="F661" s="101">
        <v>46192.12222222222</v>
      </c>
      <c r="G661" s="101">
        <v>46192.993055555555</v>
      </c>
      <c r="H661" s="18" t="s">
        <v>507</v>
      </c>
      <c r="I661" s="18" t="s">
        <v>508</v>
      </c>
      <c r="J661" s="18"/>
      <c r="K661" s="21">
        <f t="shared" si="30"/>
        <v>20.900000000023283</v>
      </c>
      <c r="L661" s="19">
        <f t="shared" si="31"/>
        <v>85</v>
      </c>
      <c r="M661" s="18" t="str">
        <f>IF(I661&lt;&gt;"Sí","",IF(YEAR(F661)&lt;&gt;2026,"",INDEX({"Enero","Febrero","Marzo","Abril","Mayo","Junio","Julio","Agosto","Septiembre","Octubre","Noviembre","Diciembre"},MONTH(F661))))</f>
        <v>Junio</v>
      </c>
      <c r="N661" s="18" t="str">
        <f t="shared" si="32"/>
        <v>Junio|85</v>
      </c>
    </row>
    <row r="662" spans="1:14" ht="14.5" x14ac:dyDescent="0.25">
      <c r="A662" s="19">
        <v>32</v>
      </c>
      <c r="B662" s="18" t="s">
        <v>39</v>
      </c>
      <c r="C662" s="18" t="s">
        <v>92</v>
      </c>
      <c r="D662" s="18" t="s">
        <v>1138</v>
      </c>
      <c r="E662" s="18" t="s">
        <v>1224</v>
      </c>
      <c r="F662" s="101">
        <v>46192.123611111114</v>
      </c>
      <c r="G662" s="101">
        <v>46192.938888888886</v>
      </c>
      <c r="H662" s="18" t="s">
        <v>507</v>
      </c>
      <c r="I662" s="18" t="s">
        <v>508</v>
      </c>
      <c r="J662" s="18"/>
      <c r="K662" s="21">
        <f t="shared" si="30"/>
        <v>19.566666666534729</v>
      </c>
      <c r="L662" s="19">
        <f t="shared" si="31"/>
        <v>86</v>
      </c>
      <c r="M662" s="18" t="str">
        <f>IF(I662&lt;&gt;"Sí","",IF(YEAR(F662)&lt;&gt;2026,"",INDEX({"Enero","Febrero","Marzo","Abril","Mayo","Junio","Julio","Agosto","Septiembre","Octubre","Noviembre","Diciembre"},MONTH(F662))))</f>
        <v>Junio</v>
      </c>
      <c r="N662" s="18" t="str">
        <f t="shared" si="32"/>
        <v>Junio|86</v>
      </c>
    </row>
    <row r="663" spans="1:14" ht="14.5" x14ac:dyDescent="0.25">
      <c r="A663" s="19">
        <v>32</v>
      </c>
      <c r="B663" s="18" t="s">
        <v>39</v>
      </c>
      <c r="C663" s="18" t="s">
        <v>92</v>
      </c>
      <c r="D663" s="18" t="s">
        <v>1138</v>
      </c>
      <c r="E663" s="18" t="s">
        <v>1225</v>
      </c>
      <c r="F663" s="101">
        <v>46192.138194444444</v>
      </c>
      <c r="G663" s="101">
        <v>46192.932638888888</v>
      </c>
      <c r="H663" s="18" t="s">
        <v>507</v>
      </c>
      <c r="I663" s="18" t="s">
        <v>508</v>
      </c>
      <c r="J663" s="18"/>
      <c r="K663" s="21">
        <f t="shared" si="30"/>
        <v>19.066666666651145</v>
      </c>
      <c r="L663" s="19">
        <f t="shared" si="31"/>
        <v>87</v>
      </c>
      <c r="M663" s="18" t="str">
        <f>IF(I663&lt;&gt;"Sí","",IF(YEAR(F663)&lt;&gt;2026,"",INDEX({"Enero","Febrero","Marzo","Abril","Mayo","Junio","Julio","Agosto","Septiembre","Octubre","Noviembre","Diciembre"},MONTH(F663))))</f>
        <v>Junio</v>
      </c>
      <c r="N663" s="18" t="str">
        <f t="shared" si="32"/>
        <v>Junio|87</v>
      </c>
    </row>
    <row r="664" spans="1:14" ht="14.5" x14ac:dyDescent="0.25">
      <c r="A664" s="19">
        <v>32</v>
      </c>
      <c r="B664" s="18" t="s">
        <v>39</v>
      </c>
      <c r="C664" s="18" t="s">
        <v>92</v>
      </c>
      <c r="D664" s="18" t="s">
        <v>1138</v>
      </c>
      <c r="E664" s="18" t="s">
        <v>1226</v>
      </c>
      <c r="F664" s="101">
        <v>46192.13958333333</v>
      </c>
      <c r="G664" s="101">
        <v>46192.929861111108</v>
      </c>
      <c r="H664" s="18" t="s">
        <v>507</v>
      </c>
      <c r="I664" s="18" t="s">
        <v>508</v>
      </c>
      <c r="J664" s="18"/>
      <c r="K664" s="21">
        <f t="shared" si="30"/>
        <v>18.966666666674428</v>
      </c>
      <c r="L664" s="19">
        <f t="shared" si="31"/>
        <v>88</v>
      </c>
      <c r="M664" s="18" t="str">
        <f>IF(I664&lt;&gt;"Sí","",IF(YEAR(F664)&lt;&gt;2026,"",INDEX({"Enero","Febrero","Marzo","Abril","Mayo","Junio","Julio","Agosto","Septiembre","Octubre","Noviembre","Diciembre"},MONTH(F664))))</f>
        <v>Junio</v>
      </c>
      <c r="N664" s="18" t="str">
        <f t="shared" si="32"/>
        <v>Junio|88</v>
      </c>
    </row>
    <row r="665" spans="1:14" ht="14.5" x14ac:dyDescent="0.25">
      <c r="A665" s="19">
        <v>32</v>
      </c>
      <c r="B665" s="18" t="s">
        <v>39</v>
      </c>
      <c r="C665" s="18" t="s">
        <v>92</v>
      </c>
      <c r="D665" s="18" t="s">
        <v>1138</v>
      </c>
      <c r="E665" s="18" t="s">
        <v>1227</v>
      </c>
      <c r="F665" s="101">
        <v>46192.140972222223</v>
      </c>
      <c r="G665" s="101">
        <v>46192.925000000003</v>
      </c>
      <c r="H665" s="18" t="s">
        <v>507</v>
      </c>
      <c r="I665" s="18" t="s">
        <v>508</v>
      </c>
      <c r="J665" s="18"/>
      <c r="K665" s="21">
        <f t="shared" si="30"/>
        <v>18.816666666709352</v>
      </c>
      <c r="L665" s="19">
        <f t="shared" si="31"/>
        <v>89</v>
      </c>
      <c r="M665" s="18" t="str">
        <f>IF(I665&lt;&gt;"Sí","",IF(YEAR(F665)&lt;&gt;2026,"",INDEX({"Enero","Febrero","Marzo","Abril","Mayo","Junio","Julio","Agosto","Septiembre","Octubre","Noviembre","Diciembre"},MONTH(F665))))</f>
        <v>Junio</v>
      </c>
      <c r="N665" s="18" t="str">
        <f t="shared" si="32"/>
        <v>Junio|89</v>
      </c>
    </row>
    <row r="666" spans="1:14" ht="14.5" x14ac:dyDescent="0.25">
      <c r="A666" s="19">
        <v>32</v>
      </c>
      <c r="B666" s="18" t="s">
        <v>39</v>
      </c>
      <c r="C666" s="18" t="s">
        <v>92</v>
      </c>
      <c r="D666" s="18" t="s">
        <v>1138</v>
      </c>
      <c r="E666" s="18" t="s">
        <v>1228</v>
      </c>
      <c r="F666" s="101">
        <v>46192.142361111109</v>
      </c>
      <c r="G666" s="101">
        <v>46192.922222222223</v>
      </c>
      <c r="H666" s="18" t="s">
        <v>507</v>
      </c>
      <c r="I666" s="18" t="s">
        <v>508</v>
      </c>
      <c r="J666" s="18"/>
      <c r="K666" s="21">
        <f t="shared" si="30"/>
        <v>18.716666666732635</v>
      </c>
      <c r="L666" s="19">
        <f t="shared" si="31"/>
        <v>90</v>
      </c>
      <c r="M666" s="18" t="str">
        <f>IF(I666&lt;&gt;"Sí","",IF(YEAR(F666)&lt;&gt;2026,"",INDEX({"Enero","Febrero","Marzo","Abril","Mayo","Junio","Julio","Agosto","Septiembre","Octubre","Noviembre","Diciembre"},MONTH(F666))))</f>
        <v>Junio</v>
      </c>
      <c r="N666" s="18" t="str">
        <f t="shared" si="32"/>
        <v>Junio|90</v>
      </c>
    </row>
    <row r="667" spans="1:14" ht="14.5" x14ac:dyDescent="0.25">
      <c r="A667" s="19">
        <v>32</v>
      </c>
      <c r="B667" s="18" t="s">
        <v>39</v>
      </c>
      <c r="C667" s="18" t="s">
        <v>92</v>
      </c>
      <c r="D667" s="18" t="s">
        <v>1138</v>
      </c>
      <c r="E667" s="18" t="s">
        <v>1229</v>
      </c>
      <c r="F667" s="101">
        <v>46192.144444444442</v>
      </c>
      <c r="G667" s="101">
        <v>46192.918055555558</v>
      </c>
      <c r="H667" s="18" t="s">
        <v>507</v>
      </c>
      <c r="I667" s="18" t="s">
        <v>508</v>
      </c>
      <c r="J667" s="18"/>
      <c r="K667" s="21">
        <f t="shared" si="30"/>
        <v>18.56666666676756</v>
      </c>
      <c r="L667" s="19">
        <f t="shared" si="31"/>
        <v>91</v>
      </c>
      <c r="M667" s="18" t="str">
        <f>IF(I667&lt;&gt;"Sí","",IF(YEAR(F667)&lt;&gt;2026,"",INDEX({"Enero","Febrero","Marzo","Abril","Mayo","Junio","Julio","Agosto","Septiembre","Octubre","Noviembre","Diciembre"},MONTH(F667))))</f>
        <v>Junio</v>
      </c>
      <c r="N667" s="18" t="str">
        <f t="shared" si="32"/>
        <v>Junio|91</v>
      </c>
    </row>
    <row r="668" spans="1:14" ht="14.5" x14ac:dyDescent="0.25">
      <c r="A668" s="19">
        <v>32</v>
      </c>
      <c r="B668" s="18" t="s">
        <v>39</v>
      </c>
      <c r="C668" s="18" t="s">
        <v>92</v>
      </c>
      <c r="D668" s="18" t="s">
        <v>1138</v>
      </c>
      <c r="E668" s="18" t="s">
        <v>1230</v>
      </c>
      <c r="F668" s="101">
        <v>46192.145833333336</v>
      </c>
      <c r="G668" s="101">
        <v>46192.915277777778</v>
      </c>
      <c r="H668" s="18" t="s">
        <v>507</v>
      </c>
      <c r="I668" s="18" t="s">
        <v>508</v>
      </c>
      <c r="J668" s="18"/>
      <c r="K668" s="21">
        <f t="shared" si="30"/>
        <v>18.46666666661622</v>
      </c>
      <c r="L668" s="19">
        <f t="shared" si="31"/>
        <v>92</v>
      </c>
      <c r="M668" s="18" t="str">
        <f>IF(I668&lt;&gt;"Sí","",IF(YEAR(F668)&lt;&gt;2026,"",INDEX({"Enero","Febrero","Marzo","Abril","Mayo","Junio","Julio","Agosto","Septiembre","Octubre","Noviembre","Diciembre"},MONTH(F668))))</f>
        <v>Junio</v>
      </c>
      <c r="N668" s="18" t="str">
        <f t="shared" si="32"/>
        <v>Junio|92</v>
      </c>
    </row>
    <row r="669" spans="1:14" ht="14.5" x14ac:dyDescent="0.25">
      <c r="A669" s="19">
        <v>32</v>
      </c>
      <c r="B669" s="18" t="s">
        <v>39</v>
      </c>
      <c r="C669" s="18" t="s">
        <v>92</v>
      </c>
      <c r="D669" s="18" t="s">
        <v>1138</v>
      </c>
      <c r="E669" s="18" t="s">
        <v>1231</v>
      </c>
      <c r="F669" s="101">
        <v>46192.15</v>
      </c>
      <c r="G669" s="101">
        <v>46193.568055555559</v>
      </c>
      <c r="H669" s="18" t="s">
        <v>507</v>
      </c>
      <c r="I669" s="18" t="s">
        <v>508</v>
      </c>
      <c r="J669" s="18"/>
      <c r="K669" s="21">
        <f t="shared" si="30"/>
        <v>34.03333333338378</v>
      </c>
      <c r="L669" s="19">
        <f t="shared" si="31"/>
        <v>93</v>
      </c>
      <c r="M669" s="18" t="str">
        <f>IF(I669&lt;&gt;"Sí","",IF(YEAR(F669)&lt;&gt;2026,"",INDEX({"Enero","Febrero","Marzo","Abril","Mayo","Junio","Julio","Agosto","Septiembre","Octubre","Noviembre","Diciembre"},MONTH(F669))))</f>
        <v>Junio</v>
      </c>
      <c r="N669" s="18" t="str">
        <f t="shared" si="32"/>
        <v>Junio|93</v>
      </c>
    </row>
    <row r="670" spans="1:14" ht="14.5" x14ac:dyDescent="0.25">
      <c r="A670" s="19">
        <v>32</v>
      </c>
      <c r="B670" s="18" t="s">
        <v>39</v>
      </c>
      <c r="C670" s="18" t="s">
        <v>92</v>
      </c>
      <c r="D670" s="18" t="s">
        <v>1138</v>
      </c>
      <c r="E670" s="18" t="s">
        <v>1232</v>
      </c>
      <c r="F670" s="101">
        <v>46192.150694444441</v>
      </c>
      <c r="G670" s="101">
        <v>46193.568055555559</v>
      </c>
      <c r="H670" s="18" t="s">
        <v>507</v>
      </c>
      <c r="I670" s="18" t="s">
        <v>508</v>
      </c>
      <c r="J670" s="18"/>
      <c r="K670" s="21">
        <f t="shared" si="30"/>
        <v>34.016666666837409</v>
      </c>
      <c r="L670" s="19">
        <f t="shared" si="31"/>
        <v>94</v>
      </c>
      <c r="M670" s="18" t="str">
        <f>IF(I670&lt;&gt;"Sí","",IF(YEAR(F670)&lt;&gt;2026,"",INDEX({"Enero","Febrero","Marzo","Abril","Mayo","Junio","Julio","Agosto","Septiembre","Octubre","Noviembre","Diciembre"},MONTH(F670))))</f>
        <v>Junio</v>
      </c>
      <c r="N670" s="18" t="str">
        <f t="shared" si="32"/>
        <v>Junio|94</v>
      </c>
    </row>
    <row r="671" spans="1:14" ht="14.5" x14ac:dyDescent="0.25">
      <c r="A671" s="19">
        <v>32</v>
      </c>
      <c r="B671" s="18" t="s">
        <v>39</v>
      </c>
      <c r="C671" s="18" t="s">
        <v>92</v>
      </c>
      <c r="D671" s="18" t="s">
        <v>1138</v>
      </c>
      <c r="E671" s="18" t="s">
        <v>1233</v>
      </c>
      <c r="F671" s="101">
        <v>46192.152083333334</v>
      </c>
      <c r="G671" s="101">
        <v>46193.568055555559</v>
      </c>
      <c r="H671" s="18" t="s">
        <v>507</v>
      </c>
      <c r="I671" s="18" t="s">
        <v>508</v>
      </c>
      <c r="J671" s="18"/>
      <c r="K671" s="21">
        <f t="shared" si="30"/>
        <v>33.983333333395422</v>
      </c>
      <c r="L671" s="19">
        <f t="shared" si="31"/>
        <v>95</v>
      </c>
      <c r="M671" s="18" t="str">
        <f>IF(I671&lt;&gt;"Sí","",IF(YEAR(F671)&lt;&gt;2026,"",INDEX({"Enero","Febrero","Marzo","Abril","Mayo","Junio","Julio","Agosto","Septiembre","Octubre","Noviembre","Diciembre"},MONTH(F671))))</f>
        <v>Junio</v>
      </c>
      <c r="N671" s="18" t="str">
        <f t="shared" si="32"/>
        <v>Junio|95</v>
      </c>
    </row>
    <row r="672" spans="1:14" ht="14.5" x14ac:dyDescent="0.25">
      <c r="A672" s="19">
        <v>32</v>
      </c>
      <c r="B672" s="18" t="s">
        <v>39</v>
      </c>
      <c r="C672" s="18" t="s">
        <v>92</v>
      </c>
      <c r="D672" s="18" t="s">
        <v>1138</v>
      </c>
      <c r="E672" s="18" t="s">
        <v>1234</v>
      </c>
      <c r="F672" s="101">
        <v>46192.152777777781</v>
      </c>
      <c r="G672" s="101">
        <v>46193.568055555559</v>
      </c>
      <c r="H672" s="18" t="s">
        <v>507</v>
      </c>
      <c r="I672" s="18" t="s">
        <v>508</v>
      </c>
      <c r="J672" s="18"/>
      <c r="K672" s="21">
        <f t="shared" si="30"/>
        <v>33.966666666674428</v>
      </c>
      <c r="L672" s="19">
        <f t="shared" si="31"/>
        <v>96</v>
      </c>
      <c r="M672" s="18" t="str">
        <f>IF(I672&lt;&gt;"Sí","",IF(YEAR(F672)&lt;&gt;2026,"",INDEX({"Enero","Febrero","Marzo","Abril","Mayo","Junio","Julio","Agosto","Septiembre","Octubre","Noviembre","Diciembre"},MONTH(F672))))</f>
        <v>Junio</v>
      </c>
      <c r="N672" s="18" t="str">
        <f t="shared" si="32"/>
        <v>Junio|96</v>
      </c>
    </row>
    <row r="673" spans="1:14" ht="14.5" x14ac:dyDescent="0.25">
      <c r="A673" s="19">
        <v>32</v>
      </c>
      <c r="B673" s="18" t="s">
        <v>39</v>
      </c>
      <c r="C673" s="18" t="s">
        <v>92</v>
      </c>
      <c r="D673" s="18" t="s">
        <v>1138</v>
      </c>
      <c r="E673" s="18" t="s">
        <v>1235</v>
      </c>
      <c r="F673" s="101">
        <v>46192.154166666667</v>
      </c>
      <c r="G673" s="101">
        <v>46193.568055555559</v>
      </c>
      <c r="H673" s="18" t="s">
        <v>507</v>
      </c>
      <c r="I673" s="18" t="s">
        <v>508</v>
      </c>
      <c r="J673" s="18"/>
      <c r="K673" s="21">
        <f t="shared" si="30"/>
        <v>33.933333333407063</v>
      </c>
      <c r="L673" s="19">
        <f t="shared" si="31"/>
        <v>97</v>
      </c>
      <c r="M673" s="18" t="str">
        <f>IF(I673&lt;&gt;"Sí","",IF(YEAR(F673)&lt;&gt;2026,"",INDEX({"Enero","Febrero","Marzo","Abril","Mayo","Junio","Julio","Agosto","Septiembre","Octubre","Noviembre","Diciembre"},MONTH(F673))))</f>
        <v>Junio</v>
      </c>
      <c r="N673" s="18" t="str">
        <f t="shared" si="32"/>
        <v>Junio|97</v>
      </c>
    </row>
    <row r="674" spans="1:14" ht="14.5" x14ac:dyDescent="0.25">
      <c r="A674" s="19">
        <v>32</v>
      </c>
      <c r="B674" s="18" t="s">
        <v>39</v>
      </c>
      <c r="C674" s="18" t="s">
        <v>92</v>
      </c>
      <c r="D674" s="18" t="s">
        <v>1138</v>
      </c>
      <c r="E674" s="18" t="s">
        <v>1236</v>
      </c>
      <c r="F674" s="101">
        <v>46192.157638888886</v>
      </c>
      <c r="G674" s="101">
        <v>46193.568055555559</v>
      </c>
      <c r="H674" s="18" t="s">
        <v>507</v>
      </c>
      <c r="I674" s="18" t="s">
        <v>508</v>
      </c>
      <c r="J674" s="18"/>
      <c r="K674" s="21">
        <f t="shared" si="30"/>
        <v>33.85000000015134</v>
      </c>
      <c r="L674" s="19">
        <f t="shared" si="31"/>
        <v>98</v>
      </c>
      <c r="M674" s="18" t="str">
        <f>IF(I674&lt;&gt;"Sí","",IF(YEAR(F674)&lt;&gt;2026,"",INDEX({"Enero","Febrero","Marzo","Abril","Mayo","Junio","Julio","Agosto","Septiembre","Octubre","Noviembre","Diciembre"},MONTH(F674))))</f>
        <v>Junio</v>
      </c>
      <c r="N674" s="18" t="str">
        <f t="shared" si="32"/>
        <v>Junio|98</v>
      </c>
    </row>
    <row r="675" spans="1:14" ht="14.5" x14ac:dyDescent="0.25">
      <c r="A675" s="19">
        <v>32</v>
      </c>
      <c r="B675" s="18" t="s">
        <v>39</v>
      </c>
      <c r="C675" s="18" t="s">
        <v>92</v>
      </c>
      <c r="D675" s="18" t="s">
        <v>1138</v>
      </c>
      <c r="E675" s="18" t="s">
        <v>1237</v>
      </c>
      <c r="F675" s="101">
        <v>46192.158333333333</v>
      </c>
      <c r="G675" s="101">
        <v>46193.568055555559</v>
      </c>
      <c r="H675" s="18" t="s">
        <v>507</v>
      </c>
      <c r="I675" s="18" t="s">
        <v>508</v>
      </c>
      <c r="J675" s="18"/>
      <c r="K675" s="21">
        <f t="shared" si="30"/>
        <v>33.833333333430346</v>
      </c>
      <c r="L675" s="19">
        <f t="shared" si="31"/>
        <v>99</v>
      </c>
      <c r="M675" s="18" t="str">
        <f>IF(I675&lt;&gt;"Sí","",IF(YEAR(F675)&lt;&gt;2026,"",INDEX({"Enero","Febrero","Marzo","Abril","Mayo","Junio","Julio","Agosto","Septiembre","Octubre","Noviembre","Diciembre"},MONTH(F675))))</f>
        <v>Junio</v>
      </c>
      <c r="N675" s="18" t="str">
        <f t="shared" si="32"/>
        <v>Junio|99</v>
      </c>
    </row>
    <row r="676" spans="1:14" ht="14.5" x14ac:dyDescent="0.25">
      <c r="A676" s="19">
        <v>32</v>
      </c>
      <c r="B676" s="18" t="s">
        <v>39</v>
      </c>
      <c r="C676" s="18" t="s">
        <v>92</v>
      </c>
      <c r="D676" s="18" t="s">
        <v>1138</v>
      </c>
      <c r="E676" s="18" t="s">
        <v>1238</v>
      </c>
      <c r="F676" s="101">
        <v>46192.159722222219</v>
      </c>
      <c r="G676" s="101">
        <v>46193.568055555559</v>
      </c>
      <c r="H676" s="18" t="s">
        <v>507</v>
      </c>
      <c r="I676" s="18" t="s">
        <v>508</v>
      </c>
      <c r="J676" s="18"/>
      <c r="K676" s="21">
        <f t="shared" si="30"/>
        <v>33.800000000162981</v>
      </c>
      <c r="L676" s="19">
        <f t="shared" si="31"/>
        <v>100</v>
      </c>
      <c r="M676" s="18" t="str">
        <f>IF(I676&lt;&gt;"Sí","",IF(YEAR(F676)&lt;&gt;2026,"",INDEX({"Enero","Febrero","Marzo","Abril","Mayo","Junio","Julio","Agosto","Septiembre","Octubre","Noviembre","Diciembre"},MONTH(F676))))</f>
        <v>Junio</v>
      </c>
      <c r="N676" s="18" t="str">
        <f t="shared" si="32"/>
        <v>Junio|100</v>
      </c>
    </row>
    <row r="677" spans="1:14" ht="14.5" x14ac:dyDescent="0.25">
      <c r="A677" s="19">
        <v>32</v>
      </c>
      <c r="B677" s="18" t="s">
        <v>39</v>
      </c>
      <c r="C677" s="18" t="s">
        <v>92</v>
      </c>
      <c r="D677" s="18" t="s">
        <v>1138</v>
      </c>
      <c r="E677" s="18" t="s">
        <v>1239</v>
      </c>
      <c r="F677" s="101">
        <v>46192.384722222225</v>
      </c>
      <c r="G677" s="101">
        <v>46193.568055555559</v>
      </c>
      <c r="H677" s="18" t="s">
        <v>507</v>
      </c>
      <c r="I677" s="18" t="s">
        <v>508</v>
      </c>
      <c r="J677" s="18"/>
      <c r="K677" s="21">
        <f t="shared" si="30"/>
        <v>28.400000000023283</v>
      </c>
      <c r="L677" s="19">
        <f t="shared" si="31"/>
        <v>102</v>
      </c>
      <c r="M677" s="18" t="str">
        <f>IF(I677&lt;&gt;"Sí","",IF(YEAR(F677)&lt;&gt;2026,"",INDEX({"Enero","Febrero","Marzo","Abril","Mayo","Junio","Julio","Agosto","Septiembre","Octubre","Noviembre","Diciembre"},MONTH(F677))))</f>
        <v>Junio</v>
      </c>
      <c r="N677" s="18" t="str">
        <f t="shared" si="32"/>
        <v>Junio|102</v>
      </c>
    </row>
    <row r="678" spans="1:14" ht="14.5" x14ac:dyDescent="0.25">
      <c r="A678" s="19">
        <v>32</v>
      </c>
      <c r="B678" s="18" t="s">
        <v>39</v>
      </c>
      <c r="C678" s="18" t="s">
        <v>92</v>
      </c>
      <c r="D678" s="18" t="s">
        <v>1138</v>
      </c>
      <c r="E678" s="18" t="s">
        <v>1240</v>
      </c>
      <c r="F678" s="101">
        <v>46192.384722222225</v>
      </c>
      <c r="G678" s="101">
        <v>46193.568055555559</v>
      </c>
      <c r="H678" s="18" t="s">
        <v>507</v>
      </c>
      <c r="I678" s="18" t="s">
        <v>508</v>
      </c>
      <c r="J678" s="18"/>
      <c r="K678" s="21">
        <f t="shared" si="30"/>
        <v>28.400000000023283</v>
      </c>
      <c r="L678" s="19">
        <f t="shared" si="31"/>
        <v>102</v>
      </c>
      <c r="M678" s="18" t="str">
        <f>IF(I678&lt;&gt;"Sí","",IF(YEAR(F678)&lt;&gt;2026,"",INDEX({"Enero","Febrero","Marzo","Abril","Mayo","Junio","Julio","Agosto","Septiembre","Octubre","Noviembre","Diciembre"},MONTH(F678))))</f>
        <v>Junio</v>
      </c>
      <c r="N678" s="18" t="str">
        <f t="shared" si="32"/>
        <v>Junio|102</v>
      </c>
    </row>
    <row r="679" spans="1:14" ht="14.5" x14ac:dyDescent="0.25">
      <c r="A679" s="19">
        <v>32</v>
      </c>
      <c r="B679" s="18" t="s">
        <v>39</v>
      </c>
      <c r="C679" s="18" t="s">
        <v>92</v>
      </c>
      <c r="D679" s="18" t="s">
        <v>1138</v>
      </c>
      <c r="E679" s="18" t="s">
        <v>1241</v>
      </c>
      <c r="F679" s="101">
        <v>46192.386805555558</v>
      </c>
      <c r="G679" s="101">
        <v>46193.568055555559</v>
      </c>
      <c r="H679" s="18" t="s">
        <v>507</v>
      </c>
      <c r="I679" s="18" t="s">
        <v>508</v>
      </c>
      <c r="J679" s="18"/>
      <c r="K679" s="21">
        <f t="shared" si="30"/>
        <v>28.350000000034925</v>
      </c>
      <c r="L679" s="19">
        <f t="shared" si="31"/>
        <v>103</v>
      </c>
      <c r="M679" s="18" t="str">
        <f>IF(I679&lt;&gt;"Sí","",IF(YEAR(F679)&lt;&gt;2026,"",INDEX({"Enero","Febrero","Marzo","Abril","Mayo","Junio","Julio","Agosto","Septiembre","Octubre","Noviembre","Diciembre"},MONTH(F679))))</f>
        <v>Junio</v>
      </c>
      <c r="N679" s="18" t="str">
        <f t="shared" si="32"/>
        <v>Junio|103</v>
      </c>
    </row>
    <row r="680" spans="1:14" ht="14.5" x14ac:dyDescent="0.25">
      <c r="A680" s="19">
        <v>32</v>
      </c>
      <c r="B680" s="18" t="s">
        <v>39</v>
      </c>
      <c r="C680" s="18" t="s">
        <v>92</v>
      </c>
      <c r="D680" s="18" t="s">
        <v>1138</v>
      </c>
      <c r="E680" s="18" t="s">
        <v>1242</v>
      </c>
      <c r="F680" s="101">
        <v>46192.387499999997</v>
      </c>
      <c r="G680" s="101">
        <v>46193.568055555559</v>
      </c>
      <c r="H680" s="18" t="s">
        <v>507</v>
      </c>
      <c r="I680" s="18" t="s">
        <v>508</v>
      </c>
      <c r="J680" s="18"/>
      <c r="K680" s="21">
        <f t="shared" si="30"/>
        <v>28.333333333488554</v>
      </c>
      <c r="L680" s="19">
        <f t="shared" si="31"/>
        <v>104</v>
      </c>
      <c r="M680" s="18" t="str">
        <f>IF(I680&lt;&gt;"Sí","",IF(YEAR(F680)&lt;&gt;2026,"",INDEX({"Enero","Febrero","Marzo","Abril","Mayo","Junio","Julio","Agosto","Septiembre","Octubre","Noviembre","Diciembre"},MONTH(F680))))</f>
        <v>Junio</v>
      </c>
      <c r="N680" s="18" t="str">
        <f t="shared" si="32"/>
        <v>Junio|104</v>
      </c>
    </row>
    <row r="681" spans="1:14" ht="14.5" x14ac:dyDescent="0.25">
      <c r="A681" s="19">
        <v>32</v>
      </c>
      <c r="B681" s="18" t="s">
        <v>39</v>
      </c>
      <c r="C681" s="18" t="s">
        <v>92</v>
      </c>
      <c r="D681" s="18" t="s">
        <v>1138</v>
      </c>
      <c r="E681" s="18" t="s">
        <v>1243</v>
      </c>
      <c r="F681" s="101">
        <v>46192.388888888891</v>
      </c>
      <c r="G681" s="101">
        <v>46193.568055555559</v>
      </c>
      <c r="H681" s="18" t="s">
        <v>507</v>
      </c>
      <c r="I681" s="18" t="s">
        <v>508</v>
      </c>
      <c r="J681" s="18"/>
      <c r="K681" s="21">
        <f t="shared" si="30"/>
        <v>28.300000000046566</v>
      </c>
      <c r="L681" s="19">
        <f t="shared" si="31"/>
        <v>105</v>
      </c>
      <c r="M681" s="18" t="str">
        <f>IF(I681&lt;&gt;"Sí","",IF(YEAR(F681)&lt;&gt;2026,"",INDEX({"Enero","Febrero","Marzo","Abril","Mayo","Junio","Julio","Agosto","Septiembre","Octubre","Noviembre","Diciembre"},MONTH(F681))))</f>
        <v>Junio</v>
      </c>
      <c r="N681" s="18" t="str">
        <f t="shared" si="32"/>
        <v>Junio|105</v>
      </c>
    </row>
    <row r="682" spans="1:14" ht="14.5" x14ac:dyDescent="0.25">
      <c r="A682" s="19">
        <v>32</v>
      </c>
      <c r="B682" s="18" t="s">
        <v>39</v>
      </c>
      <c r="C682" s="18" t="s">
        <v>92</v>
      </c>
      <c r="D682" s="18" t="s">
        <v>1138</v>
      </c>
      <c r="E682" s="18" t="s">
        <v>1244</v>
      </c>
      <c r="F682" s="101">
        <v>46192.38958333333</v>
      </c>
      <c r="G682" s="101">
        <v>46193.568055555559</v>
      </c>
      <c r="H682" s="18" t="s">
        <v>507</v>
      </c>
      <c r="I682" s="18" t="s">
        <v>508</v>
      </c>
      <c r="J682" s="18"/>
      <c r="K682" s="21">
        <f t="shared" si="30"/>
        <v>28.283333333500195</v>
      </c>
      <c r="L682" s="19">
        <f t="shared" si="31"/>
        <v>106</v>
      </c>
      <c r="M682" s="18" t="str">
        <f>IF(I682&lt;&gt;"Sí","",IF(YEAR(F682)&lt;&gt;2026,"",INDEX({"Enero","Febrero","Marzo","Abril","Mayo","Junio","Julio","Agosto","Septiembre","Octubre","Noviembre","Diciembre"},MONTH(F682))))</f>
        <v>Junio</v>
      </c>
      <c r="N682" s="18" t="str">
        <f t="shared" si="32"/>
        <v>Junio|106</v>
      </c>
    </row>
    <row r="683" spans="1:14" ht="14.5" x14ac:dyDescent="0.25">
      <c r="A683" s="19">
        <v>32</v>
      </c>
      <c r="B683" s="18" t="s">
        <v>39</v>
      </c>
      <c r="C683" s="18" t="s">
        <v>92</v>
      </c>
      <c r="D683" s="18" t="s">
        <v>1138</v>
      </c>
      <c r="E683" s="18" t="s">
        <v>1245</v>
      </c>
      <c r="F683" s="101">
        <v>46192.393055555556</v>
      </c>
      <c r="G683" s="101">
        <v>46193.568055555559</v>
      </c>
      <c r="H683" s="18" t="s">
        <v>507</v>
      </c>
      <c r="I683" s="18" t="s">
        <v>508</v>
      </c>
      <c r="J683" s="18"/>
      <c r="K683" s="21">
        <f t="shared" si="30"/>
        <v>28.200000000069849</v>
      </c>
      <c r="L683" s="19">
        <f t="shared" si="31"/>
        <v>107</v>
      </c>
      <c r="M683" s="18" t="str">
        <f>IF(I683&lt;&gt;"Sí","",IF(YEAR(F683)&lt;&gt;2026,"",INDEX({"Enero","Febrero","Marzo","Abril","Mayo","Junio","Julio","Agosto","Septiembre","Octubre","Noviembre","Diciembre"},MONTH(F683))))</f>
        <v>Junio</v>
      </c>
      <c r="N683" s="18" t="str">
        <f t="shared" si="32"/>
        <v>Junio|107</v>
      </c>
    </row>
    <row r="684" spans="1:14" ht="14.5" x14ac:dyDescent="0.25">
      <c r="A684" s="19">
        <v>32</v>
      </c>
      <c r="B684" s="18" t="s">
        <v>39</v>
      </c>
      <c r="C684" s="18" t="s">
        <v>92</v>
      </c>
      <c r="D684" s="18" t="s">
        <v>1138</v>
      </c>
      <c r="E684" s="18" t="s">
        <v>1246</v>
      </c>
      <c r="F684" s="101">
        <v>46192.395138888889</v>
      </c>
      <c r="G684" s="101">
        <v>46193.568055555559</v>
      </c>
      <c r="H684" s="18" t="s">
        <v>507</v>
      </c>
      <c r="I684" s="18" t="s">
        <v>508</v>
      </c>
      <c r="J684" s="18"/>
      <c r="K684" s="21">
        <f t="shared" si="30"/>
        <v>28.150000000081491</v>
      </c>
      <c r="L684" s="19">
        <f t="shared" si="31"/>
        <v>108</v>
      </c>
      <c r="M684" s="18" t="str">
        <f>IF(I684&lt;&gt;"Sí","",IF(YEAR(F684)&lt;&gt;2026,"",INDEX({"Enero","Febrero","Marzo","Abril","Mayo","Junio","Julio","Agosto","Septiembre","Octubre","Noviembre","Diciembre"},MONTH(F684))))</f>
        <v>Junio</v>
      </c>
      <c r="N684" s="18" t="str">
        <f t="shared" si="32"/>
        <v>Junio|108</v>
      </c>
    </row>
    <row r="685" spans="1:14" ht="14.5" x14ac:dyDescent="0.25">
      <c r="A685" s="19">
        <v>32</v>
      </c>
      <c r="B685" s="18" t="s">
        <v>39</v>
      </c>
      <c r="C685" s="18" t="s">
        <v>92</v>
      </c>
      <c r="D685" s="18" t="s">
        <v>1138</v>
      </c>
      <c r="E685" s="18" t="s">
        <v>1247</v>
      </c>
      <c r="F685" s="101">
        <v>46192.397222222222</v>
      </c>
      <c r="G685" s="101">
        <v>46193.568055555559</v>
      </c>
      <c r="H685" s="18" t="s">
        <v>507</v>
      </c>
      <c r="I685" s="18" t="s">
        <v>508</v>
      </c>
      <c r="J685" s="18"/>
      <c r="K685" s="21">
        <f t="shared" si="30"/>
        <v>28.100000000093132</v>
      </c>
      <c r="L685" s="19">
        <f t="shared" si="31"/>
        <v>109</v>
      </c>
      <c r="M685" s="18" t="str">
        <f>IF(I685&lt;&gt;"Sí","",IF(YEAR(F685)&lt;&gt;2026,"",INDEX({"Enero","Febrero","Marzo","Abril","Mayo","Junio","Julio","Agosto","Septiembre","Octubre","Noviembre","Diciembre"},MONTH(F685))))</f>
        <v>Junio</v>
      </c>
      <c r="N685" s="18" t="str">
        <f t="shared" si="32"/>
        <v>Junio|109</v>
      </c>
    </row>
    <row r="686" spans="1:14" ht="14.5" x14ac:dyDescent="0.25">
      <c r="A686" s="19">
        <v>32</v>
      </c>
      <c r="B686" s="18" t="s">
        <v>39</v>
      </c>
      <c r="C686" s="18" t="s">
        <v>92</v>
      </c>
      <c r="D686" s="18" t="s">
        <v>1138</v>
      </c>
      <c r="E686" s="18" t="s">
        <v>1248</v>
      </c>
      <c r="F686" s="101">
        <v>46192.398611111108</v>
      </c>
      <c r="G686" s="101">
        <v>46193.568055555559</v>
      </c>
      <c r="H686" s="18" t="s">
        <v>507</v>
      </c>
      <c r="I686" s="18" t="s">
        <v>508</v>
      </c>
      <c r="J686" s="18"/>
      <c r="K686" s="21">
        <f t="shared" si="30"/>
        <v>28.066666666825768</v>
      </c>
      <c r="L686" s="19">
        <f t="shared" si="31"/>
        <v>110</v>
      </c>
      <c r="M686" s="18" t="str">
        <f>IF(I686&lt;&gt;"Sí","",IF(YEAR(F686)&lt;&gt;2026,"",INDEX({"Enero","Febrero","Marzo","Abril","Mayo","Junio","Julio","Agosto","Septiembre","Octubre","Noviembre","Diciembre"},MONTH(F686))))</f>
        <v>Junio</v>
      </c>
      <c r="N686" s="18" t="str">
        <f t="shared" si="32"/>
        <v>Junio|110</v>
      </c>
    </row>
    <row r="687" spans="1:14" ht="14.5" x14ac:dyDescent="0.25">
      <c r="A687" s="19">
        <v>32</v>
      </c>
      <c r="B687" s="18" t="s">
        <v>39</v>
      </c>
      <c r="C687" s="18" t="s">
        <v>92</v>
      </c>
      <c r="D687" s="18" t="s">
        <v>1138</v>
      </c>
      <c r="E687" s="18" t="s">
        <v>1249</v>
      </c>
      <c r="F687" s="101">
        <v>46192.4</v>
      </c>
      <c r="G687" s="101">
        <v>46193.568055555559</v>
      </c>
      <c r="H687" s="18" t="s">
        <v>507</v>
      </c>
      <c r="I687" s="18" t="s">
        <v>508</v>
      </c>
      <c r="J687" s="18"/>
      <c r="K687" s="21">
        <f t="shared" si="30"/>
        <v>28.03333333338378</v>
      </c>
      <c r="L687" s="19">
        <f t="shared" si="31"/>
        <v>111</v>
      </c>
      <c r="M687" s="18" t="str">
        <f>IF(I687&lt;&gt;"Sí","",IF(YEAR(F687)&lt;&gt;2026,"",INDEX({"Enero","Febrero","Marzo","Abril","Mayo","Junio","Julio","Agosto","Septiembre","Octubre","Noviembre","Diciembre"},MONTH(F687))))</f>
        <v>Junio</v>
      </c>
      <c r="N687" s="18" t="str">
        <f t="shared" si="32"/>
        <v>Junio|111</v>
      </c>
    </row>
    <row r="688" spans="1:14" ht="14.5" x14ac:dyDescent="0.25">
      <c r="A688" s="19">
        <v>32</v>
      </c>
      <c r="B688" s="18" t="s">
        <v>39</v>
      </c>
      <c r="C688" s="18" t="s">
        <v>92</v>
      </c>
      <c r="D688" s="18" t="s">
        <v>1138</v>
      </c>
      <c r="E688" s="18" t="s">
        <v>1250</v>
      </c>
      <c r="F688" s="101">
        <v>46192.401388888888</v>
      </c>
      <c r="G688" s="101">
        <v>46193.568055555559</v>
      </c>
      <c r="H688" s="18" t="s">
        <v>507</v>
      </c>
      <c r="I688" s="18" t="s">
        <v>508</v>
      </c>
      <c r="J688" s="18"/>
      <c r="K688" s="21">
        <f t="shared" si="30"/>
        <v>28.000000000116415</v>
      </c>
      <c r="L688" s="19">
        <f t="shared" si="31"/>
        <v>112</v>
      </c>
      <c r="M688" s="18" t="str">
        <f>IF(I688&lt;&gt;"Sí","",IF(YEAR(F688)&lt;&gt;2026,"",INDEX({"Enero","Febrero","Marzo","Abril","Mayo","Junio","Julio","Agosto","Septiembre","Octubre","Noviembre","Diciembre"},MONTH(F688))))</f>
        <v>Junio</v>
      </c>
      <c r="N688" s="18" t="str">
        <f t="shared" si="32"/>
        <v>Junio|112</v>
      </c>
    </row>
    <row r="689" spans="1:14" ht="14.5" x14ac:dyDescent="0.25">
      <c r="A689" s="19">
        <v>32</v>
      </c>
      <c r="B689" s="18" t="s">
        <v>39</v>
      </c>
      <c r="C689" s="18" t="s">
        <v>92</v>
      </c>
      <c r="D689" s="18" t="s">
        <v>1138</v>
      </c>
      <c r="E689" s="18" t="s">
        <v>1251</v>
      </c>
      <c r="F689" s="101">
        <v>46192.404166666667</v>
      </c>
      <c r="G689" s="101">
        <v>46193.568055555559</v>
      </c>
      <c r="H689" s="18" t="s">
        <v>507</v>
      </c>
      <c r="I689" s="18" t="s">
        <v>508</v>
      </c>
      <c r="J689" s="18"/>
      <c r="K689" s="21">
        <f t="shared" si="30"/>
        <v>27.933333333407063</v>
      </c>
      <c r="L689" s="19">
        <f t="shared" si="31"/>
        <v>113</v>
      </c>
      <c r="M689" s="18" t="str">
        <f>IF(I689&lt;&gt;"Sí","",IF(YEAR(F689)&lt;&gt;2026,"",INDEX({"Enero","Febrero","Marzo","Abril","Mayo","Junio","Julio","Agosto","Septiembre","Octubre","Noviembre","Diciembre"},MONTH(F689))))</f>
        <v>Junio</v>
      </c>
      <c r="N689" s="18" t="str">
        <f t="shared" si="32"/>
        <v>Junio|113</v>
      </c>
    </row>
    <row r="690" spans="1:14" ht="14.5" x14ac:dyDescent="0.25">
      <c r="A690" s="19">
        <v>32</v>
      </c>
      <c r="B690" s="18" t="s">
        <v>39</v>
      </c>
      <c r="C690" s="18" t="s">
        <v>92</v>
      </c>
      <c r="D690" s="18" t="s">
        <v>1138</v>
      </c>
      <c r="E690" s="18" t="s">
        <v>1252</v>
      </c>
      <c r="F690" s="101">
        <v>46192.408333333333</v>
      </c>
      <c r="G690" s="101">
        <v>46193.568055555559</v>
      </c>
      <c r="H690" s="18" t="s">
        <v>507</v>
      </c>
      <c r="I690" s="18" t="s">
        <v>508</v>
      </c>
      <c r="J690" s="18"/>
      <c r="K690" s="21">
        <f t="shared" si="30"/>
        <v>27.833333333430346</v>
      </c>
      <c r="L690" s="19">
        <f t="shared" si="31"/>
        <v>114</v>
      </c>
      <c r="M690" s="18" t="str">
        <f>IF(I690&lt;&gt;"Sí","",IF(YEAR(F690)&lt;&gt;2026,"",INDEX({"Enero","Febrero","Marzo","Abril","Mayo","Junio","Julio","Agosto","Septiembre","Octubre","Noviembre","Diciembre"},MONTH(F690))))</f>
        <v>Junio</v>
      </c>
      <c r="N690" s="18" t="str">
        <f t="shared" si="32"/>
        <v>Junio|114</v>
      </c>
    </row>
    <row r="691" spans="1:14" ht="14.5" x14ac:dyDescent="0.25">
      <c r="A691" s="19">
        <v>32</v>
      </c>
      <c r="B691" s="18" t="s">
        <v>39</v>
      </c>
      <c r="C691" s="18" t="s">
        <v>92</v>
      </c>
      <c r="D691" s="18" t="s">
        <v>1138</v>
      </c>
      <c r="E691" s="18" t="s">
        <v>1253</v>
      </c>
      <c r="F691" s="101">
        <v>46192.40902777778</v>
      </c>
      <c r="G691" s="101">
        <v>46193.568055555559</v>
      </c>
      <c r="H691" s="18" t="s">
        <v>507</v>
      </c>
      <c r="I691" s="18" t="s">
        <v>508</v>
      </c>
      <c r="J691" s="18"/>
      <c r="K691" s="21">
        <f t="shared" si="30"/>
        <v>27.816666666709352</v>
      </c>
      <c r="L691" s="19">
        <f t="shared" si="31"/>
        <v>115</v>
      </c>
      <c r="M691" s="18" t="str">
        <f>IF(I691&lt;&gt;"Sí","",IF(YEAR(F691)&lt;&gt;2026,"",INDEX({"Enero","Febrero","Marzo","Abril","Mayo","Junio","Julio","Agosto","Septiembre","Octubre","Noviembre","Diciembre"},MONTH(F691))))</f>
        <v>Junio</v>
      </c>
      <c r="N691" s="18" t="str">
        <f t="shared" si="32"/>
        <v>Junio|115</v>
      </c>
    </row>
    <row r="692" spans="1:14" ht="14.5" x14ac:dyDescent="0.25">
      <c r="A692" s="19">
        <v>32</v>
      </c>
      <c r="B692" s="18" t="s">
        <v>39</v>
      </c>
      <c r="C692" s="18" t="s">
        <v>92</v>
      </c>
      <c r="D692" s="18" t="s">
        <v>1138</v>
      </c>
      <c r="E692" s="18" t="s">
        <v>1254</v>
      </c>
      <c r="F692" s="101">
        <v>46192.412499999999</v>
      </c>
      <c r="G692" s="101">
        <v>46193.568055555559</v>
      </c>
      <c r="H692" s="18" t="s">
        <v>507</v>
      </c>
      <c r="I692" s="18" t="s">
        <v>508</v>
      </c>
      <c r="J692" s="18"/>
      <c r="K692" s="21">
        <f t="shared" si="30"/>
        <v>27.733333333453629</v>
      </c>
      <c r="L692" s="19">
        <f t="shared" si="31"/>
        <v>116</v>
      </c>
      <c r="M692" s="18" t="str">
        <f>IF(I692&lt;&gt;"Sí","",IF(YEAR(F692)&lt;&gt;2026,"",INDEX({"Enero","Febrero","Marzo","Abril","Mayo","Junio","Julio","Agosto","Septiembre","Octubre","Noviembre","Diciembre"},MONTH(F692))))</f>
        <v>Junio</v>
      </c>
      <c r="N692" s="18" t="str">
        <f t="shared" si="32"/>
        <v>Junio|116</v>
      </c>
    </row>
    <row r="693" spans="1:14" ht="14.5" x14ac:dyDescent="0.25">
      <c r="A693" s="19">
        <v>32</v>
      </c>
      <c r="B693" s="18" t="s">
        <v>39</v>
      </c>
      <c r="C693" s="18" t="s">
        <v>92</v>
      </c>
      <c r="D693" s="18" t="s">
        <v>1138</v>
      </c>
      <c r="E693" s="18" t="s">
        <v>1255</v>
      </c>
      <c r="F693" s="101">
        <v>46192.414583333331</v>
      </c>
      <c r="G693" s="101">
        <v>46193.568055555559</v>
      </c>
      <c r="H693" s="18" t="s">
        <v>507</v>
      </c>
      <c r="I693" s="18" t="s">
        <v>508</v>
      </c>
      <c r="J693" s="18"/>
      <c r="K693" s="21">
        <f t="shared" si="30"/>
        <v>27.683333333465271</v>
      </c>
      <c r="L693" s="19">
        <f t="shared" si="31"/>
        <v>118</v>
      </c>
      <c r="M693" s="18" t="str">
        <f>IF(I693&lt;&gt;"Sí","",IF(YEAR(F693)&lt;&gt;2026,"",INDEX({"Enero","Febrero","Marzo","Abril","Mayo","Junio","Julio","Agosto","Septiembre","Octubre","Noviembre","Diciembre"},MONTH(F693))))</f>
        <v>Junio</v>
      </c>
      <c r="N693" s="18" t="str">
        <f t="shared" si="32"/>
        <v>Junio|118</v>
      </c>
    </row>
    <row r="694" spans="1:14" ht="14.5" x14ac:dyDescent="0.25">
      <c r="A694" s="19">
        <v>32</v>
      </c>
      <c r="B694" s="18" t="s">
        <v>39</v>
      </c>
      <c r="C694" s="18" t="s">
        <v>92</v>
      </c>
      <c r="D694" s="18" t="s">
        <v>1138</v>
      </c>
      <c r="E694" s="18" t="s">
        <v>1256</v>
      </c>
      <c r="F694" s="101">
        <v>46192.414583333331</v>
      </c>
      <c r="G694" s="101">
        <v>46193.568055555559</v>
      </c>
      <c r="H694" s="18" t="s">
        <v>507</v>
      </c>
      <c r="I694" s="18" t="s">
        <v>508</v>
      </c>
      <c r="J694" s="18"/>
      <c r="K694" s="21">
        <f t="shared" si="30"/>
        <v>27.683333333465271</v>
      </c>
      <c r="L694" s="19">
        <f t="shared" si="31"/>
        <v>118</v>
      </c>
      <c r="M694" s="18" t="str">
        <f>IF(I694&lt;&gt;"Sí","",IF(YEAR(F694)&lt;&gt;2026,"",INDEX({"Enero","Febrero","Marzo","Abril","Mayo","Junio","Julio","Agosto","Septiembre","Octubre","Noviembre","Diciembre"},MONTH(F694))))</f>
        <v>Junio</v>
      </c>
      <c r="N694" s="18" t="str">
        <f t="shared" si="32"/>
        <v>Junio|118</v>
      </c>
    </row>
    <row r="695" spans="1:14" ht="14.5" x14ac:dyDescent="0.25">
      <c r="A695" s="19">
        <v>32</v>
      </c>
      <c r="B695" s="18" t="s">
        <v>39</v>
      </c>
      <c r="C695" s="18" t="s">
        <v>92</v>
      </c>
      <c r="D695" s="18" t="s">
        <v>1138</v>
      </c>
      <c r="E695" s="18" t="s">
        <v>1257</v>
      </c>
      <c r="F695" s="101">
        <v>46192.42083333333</v>
      </c>
      <c r="G695" s="101">
        <v>46193.568055555559</v>
      </c>
      <c r="H695" s="18" t="s">
        <v>507</v>
      </c>
      <c r="I695" s="18" t="s">
        <v>508</v>
      </c>
      <c r="J695" s="18"/>
      <c r="K695" s="21">
        <f t="shared" si="30"/>
        <v>27.533333333500195</v>
      </c>
      <c r="L695" s="19">
        <f t="shared" si="31"/>
        <v>119</v>
      </c>
      <c r="M695" s="18" t="str">
        <f>IF(I695&lt;&gt;"Sí","",IF(YEAR(F695)&lt;&gt;2026,"",INDEX({"Enero","Febrero","Marzo","Abril","Mayo","Junio","Julio","Agosto","Septiembre","Octubre","Noviembre","Diciembre"},MONTH(F695))))</f>
        <v>Junio</v>
      </c>
      <c r="N695" s="18" t="str">
        <f t="shared" si="32"/>
        <v>Junio|119</v>
      </c>
    </row>
    <row r="696" spans="1:14" ht="14.5" x14ac:dyDescent="0.25">
      <c r="A696" s="19">
        <v>32</v>
      </c>
      <c r="B696" s="18" t="s">
        <v>39</v>
      </c>
      <c r="C696" s="18" t="s">
        <v>92</v>
      </c>
      <c r="D696" s="18" t="s">
        <v>1138</v>
      </c>
      <c r="E696" s="18" t="s">
        <v>1258</v>
      </c>
      <c r="F696" s="101">
        <v>46192.422222222223</v>
      </c>
      <c r="G696" s="101">
        <v>46193.568055555559</v>
      </c>
      <c r="H696" s="18" t="s">
        <v>507</v>
      </c>
      <c r="I696" s="18" t="s">
        <v>508</v>
      </c>
      <c r="J696" s="18"/>
      <c r="K696" s="21">
        <f t="shared" si="30"/>
        <v>27.500000000058208</v>
      </c>
      <c r="L696" s="19">
        <f t="shared" si="31"/>
        <v>120</v>
      </c>
      <c r="M696" s="18" t="str">
        <f>IF(I696&lt;&gt;"Sí","",IF(YEAR(F696)&lt;&gt;2026,"",INDEX({"Enero","Febrero","Marzo","Abril","Mayo","Junio","Julio","Agosto","Septiembre","Octubre","Noviembre","Diciembre"},MONTH(F696))))</f>
        <v>Junio</v>
      </c>
      <c r="N696" s="18" t="str">
        <f t="shared" si="32"/>
        <v>Junio|120</v>
      </c>
    </row>
    <row r="697" spans="1:14" ht="14.5" x14ac:dyDescent="0.25">
      <c r="A697" s="19">
        <v>32</v>
      </c>
      <c r="B697" s="18" t="s">
        <v>39</v>
      </c>
      <c r="C697" s="18" t="s">
        <v>92</v>
      </c>
      <c r="D697" s="18" t="s">
        <v>1138</v>
      </c>
      <c r="E697" s="18" t="s">
        <v>1259</v>
      </c>
      <c r="F697" s="101">
        <v>46192.42291666667</v>
      </c>
      <c r="G697" s="101">
        <v>46193.568055555559</v>
      </c>
      <c r="H697" s="18" t="s">
        <v>507</v>
      </c>
      <c r="I697" s="18" t="s">
        <v>508</v>
      </c>
      <c r="J697" s="18"/>
      <c r="K697" s="21">
        <f t="shared" si="30"/>
        <v>27.483333333337214</v>
      </c>
      <c r="L697" s="19">
        <f t="shared" si="31"/>
        <v>121</v>
      </c>
      <c r="M697" s="18" t="str">
        <f>IF(I697&lt;&gt;"Sí","",IF(YEAR(F697)&lt;&gt;2026,"",INDEX({"Enero","Febrero","Marzo","Abril","Mayo","Junio","Julio","Agosto","Septiembre","Octubre","Noviembre","Diciembre"},MONTH(F697))))</f>
        <v>Junio</v>
      </c>
      <c r="N697" s="18" t="str">
        <f t="shared" si="32"/>
        <v>Junio|121</v>
      </c>
    </row>
    <row r="698" spans="1:14" ht="14.5" x14ac:dyDescent="0.25">
      <c r="A698" s="19">
        <v>32</v>
      </c>
      <c r="B698" s="18" t="s">
        <v>39</v>
      </c>
      <c r="C698" s="18" t="s">
        <v>92</v>
      </c>
      <c r="D698" s="18" t="s">
        <v>1138</v>
      </c>
      <c r="E698" s="18" t="s">
        <v>1260</v>
      </c>
      <c r="F698" s="101">
        <v>46192.425694444442</v>
      </c>
      <c r="G698" s="101">
        <v>46193.568055555559</v>
      </c>
      <c r="H698" s="18" t="s">
        <v>507</v>
      </c>
      <c r="I698" s="18" t="s">
        <v>508</v>
      </c>
      <c r="J698" s="18"/>
      <c r="K698" s="21">
        <f t="shared" si="30"/>
        <v>27.416666666802485</v>
      </c>
      <c r="L698" s="19">
        <f t="shared" si="31"/>
        <v>122</v>
      </c>
      <c r="M698" s="18" t="str">
        <f>IF(I698&lt;&gt;"Sí","",IF(YEAR(F698)&lt;&gt;2026,"",INDEX({"Enero","Febrero","Marzo","Abril","Mayo","Junio","Julio","Agosto","Septiembre","Octubre","Noviembre","Diciembre"},MONTH(F698))))</f>
        <v>Junio</v>
      </c>
      <c r="N698" s="18" t="str">
        <f t="shared" si="32"/>
        <v>Junio|122</v>
      </c>
    </row>
    <row r="699" spans="1:14" ht="14.5" x14ac:dyDescent="0.25">
      <c r="A699" s="19">
        <v>32</v>
      </c>
      <c r="B699" s="18" t="s">
        <v>39</v>
      </c>
      <c r="C699" s="18" t="s">
        <v>92</v>
      </c>
      <c r="D699" s="18" t="s">
        <v>1138</v>
      </c>
      <c r="E699" s="18" t="s">
        <v>1261</v>
      </c>
      <c r="F699" s="101">
        <v>46192.428472222222</v>
      </c>
      <c r="G699" s="101">
        <v>46193.568055555559</v>
      </c>
      <c r="H699" s="18" t="s">
        <v>507</v>
      </c>
      <c r="I699" s="18" t="s">
        <v>508</v>
      </c>
      <c r="J699" s="18"/>
      <c r="K699" s="21">
        <f t="shared" si="30"/>
        <v>27.350000000093132</v>
      </c>
      <c r="L699" s="19">
        <f t="shared" si="31"/>
        <v>123</v>
      </c>
      <c r="M699" s="18" t="str">
        <f>IF(I699&lt;&gt;"Sí","",IF(YEAR(F699)&lt;&gt;2026,"",INDEX({"Enero","Febrero","Marzo","Abril","Mayo","Junio","Julio","Agosto","Septiembre","Octubre","Noviembre","Diciembre"},MONTH(F699))))</f>
        <v>Junio</v>
      </c>
      <c r="N699" s="18" t="str">
        <f t="shared" si="32"/>
        <v>Junio|123</v>
      </c>
    </row>
    <row r="700" spans="1:14" ht="14.5" x14ac:dyDescent="0.25">
      <c r="A700" s="19">
        <v>32</v>
      </c>
      <c r="B700" s="18" t="s">
        <v>39</v>
      </c>
      <c r="C700" s="18" t="s">
        <v>92</v>
      </c>
      <c r="D700" s="18" t="s">
        <v>1138</v>
      </c>
      <c r="E700" s="18" t="s">
        <v>1262</v>
      </c>
      <c r="F700" s="101">
        <v>46192.43472222222</v>
      </c>
      <c r="G700" s="101">
        <v>46193.549305555556</v>
      </c>
      <c r="H700" s="18" t="s">
        <v>507</v>
      </c>
      <c r="I700" s="18" t="s">
        <v>508</v>
      </c>
      <c r="J700" s="18"/>
      <c r="K700" s="21">
        <f t="shared" si="30"/>
        <v>26.750000000058208</v>
      </c>
      <c r="L700" s="19">
        <f t="shared" si="31"/>
        <v>124</v>
      </c>
      <c r="M700" s="18" t="str">
        <f>IF(I700&lt;&gt;"Sí","",IF(YEAR(F700)&lt;&gt;2026,"",INDEX({"Enero","Febrero","Marzo","Abril","Mayo","Junio","Julio","Agosto","Septiembre","Octubre","Noviembre","Diciembre"},MONTH(F700))))</f>
        <v>Junio</v>
      </c>
      <c r="N700" s="18" t="str">
        <f t="shared" si="32"/>
        <v>Junio|124</v>
      </c>
    </row>
    <row r="701" spans="1:14" ht="14.5" x14ac:dyDescent="0.25">
      <c r="A701" s="19">
        <v>32</v>
      </c>
      <c r="B701" s="18" t="s">
        <v>39</v>
      </c>
      <c r="C701" s="18" t="s">
        <v>92</v>
      </c>
      <c r="D701" s="18" t="s">
        <v>1138</v>
      </c>
      <c r="E701" s="18" t="s">
        <v>1263</v>
      </c>
      <c r="F701" s="101">
        <v>46192.436111111114</v>
      </c>
      <c r="G701" s="101">
        <v>46193.549305555556</v>
      </c>
      <c r="H701" s="18" t="s">
        <v>507</v>
      </c>
      <c r="I701" s="18" t="s">
        <v>508</v>
      </c>
      <c r="J701" s="18"/>
      <c r="K701" s="21">
        <f t="shared" si="30"/>
        <v>26.71666666661622</v>
      </c>
      <c r="L701" s="19">
        <f t="shared" si="31"/>
        <v>125</v>
      </c>
      <c r="M701" s="18" t="str">
        <f>IF(I701&lt;&gt;"Sí","",IF(YEAR(F701)&lt;&gt;2026,"",INDEX({"Enero","Febrero","Marzo","Abril","Mayo","Junio","Julio","Agosto","Septiembre","Octubre","Noviembre","Diciembre"},MONTH(F701))))</f>
        <v>Junio</v>
      </c>
      <c r="N701" s="18" t="str">
        <f t="shared" si="32"/>
        <v>Junio|125</v>
      </c>
    </row>
    <row r="702" spans="1:14" ht="14.5" x14ac:dyDescent="0.25">
      <c r="A702" s="19">
        <v>32</v>
      </c>
      <c r="B702" s="18" t="s">
        <v>39</v>
      </c>
      <c r="C702" s="18" t="s">
        <v>92</v>
      </c>
      <c r="D702" s="18" t="s">
        <v>1138</v>
      </c>
      <c r="E702" s="18" t="s">
        <v>1264</v>
      </c>
      <c r="F702" s="101">
        <v>46192.438888888886</v>
      </c>
      <c r="G702" s="101">
        <v>46193.54791666667</v>
      </c>
      <c r="H702" s="18" t="s">
        <v>507</v>
      </c>
      <c r="I702" s="18" t="s">
        <v>508</v>
      </c>
      <c r="J702" s="18"/>
      <c r="K702" s="21">
        <f t="shared" si="30"/>
        <v>26.616666666814126</v>
      </c>
      <c r="L702" s="19">
        <f t="shared" si="31"/>
        <v>126</v>
      </c>
      <c r="M702" s="18" t="str">
        <f>IF(I702&lt;&gt;"Sí","",IF(YEAR(F702)&lt;&gt;2026,"",INDEX({"Enero","Febrero","Marzo","Abril","Mayo","Junio","Julio","Agosto","Septiembre","Octubre","Noviembre","Diciembre"},MONTH(F702))))</f>
        <v>Junio</v>
      </c>
      <c r="N702" s="18" t="str">
        <f t="shared" si="32"/>
        <v>Junio|126</v>
      </c>
    </row>
    <row r="703" spans="1:14" ht="14.5" x14ac:dyDescent="0.25">
      <c r="A703" s="19">
        <v>32</v>
      </c>
      <c r="B703" s="18" t="s">
        <v>39</v>
      </c>
      <c r="C703" s="18" t="s">
        <v>92</v>
      </c>
      <c r="D703" s="18" t="s">
        <v>1138</v>
      </c>
      <c r="E703" s="18" t="s">
        <v>1265</v>
      </c>
      <c r="F703" s="101">
        <v>46192.444444444445</v>
      </c>
      <c r="G703" s="101">
        <v>46193.54791666667</v>
      </c>
      <c r="H703" s="18" t="s">
        <v>507</v>
      </c>
      <c r="I703" s="18" t="s">
        <v>508</v>
      </c>
      <c r="J703" s="18"/>
      <c r="K703" s="21">
        <f t="shared" si="30"/>
        <v>26.483333333395422</v>
      </c>
      <c r="L703" s="19">
        <f t="shared" si="31"/>
        <v>127</v>
      </c>
      <c r="M703" s="18" t="str">
        <f>IF(I703&lt;&gt;"Sí","",IF(YEAR(F703)&lt;&gt;2026,"",INDEX({"Enero","Febrero","Marzo","Abril","Mayo","Junio","Julio","Agosto","Septiembre","Octubre","Noviembre","Diciembre"},MONTH(F703))))</f>
        <v>Junio</v>
      </c>
      <c r="N703" s="18" t="str">
        <f t="shared" si="32"/>
        <v>Junio|127</v>
      </c>
    </row>
    <row r="704" spans="1:14" ht="14.5" x14ac:dyDescent="0.25">
      <c r="A704" s="19">
        <v>32</v>
      </c>
      <c r="B704" s="18" t="s">
        <v>39</v>
      </c>
      <c r="C704" s="18" t="s">
        <v>92</v>
      </c>
      <c r="D704" s="18" t="s">
        <v>1138</v>
      </c>
      <c r="E704" s="18" t="s">
        <v>1266</v>
      </c>
      <c r="F704" s="101">
        <v>46192.445833333331</v>
      </c>
      <c r="G704" s="101">
        <v>46193.546527777777</v>
      </c>
      <c r="H704" s="18" t="s">
        <v>507</v>
      </c>
      <c r="I704" s="18" t="s">
        <v>508</v>
      </c>
      <c r="J704" s="18"/>
      <c r="K704" s="21">
        <f t="shared" si="30"/>
        <v>26.416666666686069</v>
      </c>
      <c r="L704" s="19">
        <f t="shared" si="31"/>
        <v>128</v>
      </c>
      <c r="M704" s="18" t="str">
        <f>IF(I704&lt;&gt;"Sí","",IF(YEAR(F704)&lt;&gt;2026,"",INDEX({"Enero","Febrero","Marzo","Abril","Mayo","Junio","Julio","Agosto","Septiembre","Octubre","Noviembre","Diciembre"},MONTH(F704))))</f>
        <v>Junio</v>
      </c>
      <c r="N704" s="18" t="str">
        <f t="shared" si="32"/>
        <v>Junio|128</v>
      </c>
    </row>
    <row r="705" spans="1:14" ht="14.5" x14ac:dyDescent="0.25">
      <c r="A705" s="19">
        <v>32</v>
      </c>
      <c r="B705" s="18" t="s">
        <v>39</v>
      </c>
      <c r="C705" s="18" t="s">
        <v>92</v>
      </c>
      <c r="D705" s="18" t="s">
        <v>1138</v>
      </c>
      <c r="E705" s="18" t="s">
        <v>1267</v>
      </c>
      <c r="F705" s="101">
        <v>46192.446527777778</v>
      </c>
      <c r="G705" s="101">
        <v>46193.546527777777</v>
      </c>
      <c r="H705" s="18" t="s">
        <v>507</v>
      </c>
      <c r="I705" s="18" t="s">
        <v>508</v>
      </c>
      <c r="J705" s="18"/>
      <c r="K705" s="21">
        <f t="shared" si="30"/>
        <v>26.399999999965075</v>
      </c>
      <c r="L705" s="19">
        <f t="shared" si="31"/>
        <v>129</v>
      </c>
      <c r="M705" s="18" t="str">
        <f>IF(I705&lt;&gt;"Sí","",IF(YEAR(F705)&lt;&gt;2026,"",INDEX({"Enero","Febrero","Marzo","Abril","Mayo","Junio","Julio","Agosto","Septiembre","Octubre","Noviembre","Diciembre"},MONTH(F705))))</f>
        <v>Junio</v>
      </c>
      <c r="N705" s="18" t="str">
        <f t="shared" si="32"/>
        <v>Junio|129</v>
      </c>
    </row>
    <row r="706" spans="1:14" ht="14.5" x14ac:dyDescent="0.25">
      <c r="A706" s="19">
        <v>32</v>
      </c>
      <c r="B706" s="18" t="s">
        <v>39</v>
      </c>
      <c r="C706" s="18" t="s">
        <v>92</v>
      </c>
      <c r="D706" s="18" t="s">
        <v>1138</v>
      </c>
      <c r="E706" s="18" t="s">
        <v>1268</v>
      </c>
      <c r="F706" s="101">
        <v>46192.447916666664</v>
      </c>
      <c r="G706" s="101">
        <v>46193.545138888891</v>
      </c>
      <c r="H706" s="18" t="s">
        <v>507</v>
      </c>
      <c r="I706" s="18" t="s">
        <v>508</v>
      </c>
      <c r="J706" s="18"/>
      <c r="K706" s="21">
        <f t="shared" si="30"/>
        <v>26.333333333430346</v>
      </c>
      <c r="L706" s="19">
        <f t="shared" si="31"/>
        <v>130</v>
      </c>
      <c r="M706" s="18" t="str">
        <f>IF(I706&lt;&gt;"Sí","",IF(YEAR(F706)&lt;&gt;2026,"",INDEX({"Enero","Febrero","Marzo","Abril","Mayo","Junio","Julio","Agosto","Septiembre","Octubre","Noviembre","Diciembre"},MONTH(F706))))</f>
        <v>Junio</v>
      </c>
      <c r="N706" s="18" t="str">
        <f t="shared" si="32"/>
        <v>Junio|130</v>
      </c>
    </row>
    <row r="707" spans="1:14" ht="14.5" x14ac:dyDescent="0.25">
      <c r="A707" s="19">
        <v>32</v>
      </c>
      <c r="B707" s="18" t="s">
        <v>39</v>
      </c>
      <c r="C707" s="18" t="s">
        <v>92</v>
      </c>
      <c r="D707" s="18" t="s">
        <v>1138</v>
      </c>
      <c r="E707" s="18" t="s">
        <v>1269</v>
      </c>
      <c r="F707" s="101">
        <v>46192.45</v>
      </c>
      <c r="G707" s="101">
        <v>46193.545138888891</v>
      </c>
      <c r="H707" s="18" t="s">
        <v>507</v>
      </c>
      <c r="I707" s="18" t="s">
        <v>508</v>
      </c>
      <c r="J707" s="18"/>
      <c r="K707" s="21">
        <f t="shared" si="30"/>
        <v>26.283333333441988</v>
      </c>
      <c r="L707" s="19">
        <f t="shared" si="31"/>
        <v>131</v>
      </c>
      <c r="M707" s="18" t="str">
        <f>IF(I707&lt;&gt;"Sí","",IF(YEAR(F707)&lt;&gt;2026,"",INDEX({"Enero","Febrero","Marzo","Abril","Mayo","Junio","Julio","Agosto","Septiembre","Octubre","Noviembre","Diciembre"},MONTH(F707))))</f>
        <v>Junio</v>
      </c>
      <c r="N707" s="18" t="str">
        <f t="shared" si="32"/>
        <v>Junio|131</v>
      </c>
    </row>
    <row r="708" spans="1:14" ht="14.5" x14ac:dyDescent="0.25">
      <c r="A708" s="19">
        <v>32</v>
      </c>
      <c r="B708" s="18" t="s">
        <v>39</v>
      </c>
      <c r="C708" s="18" t="s">
        <v>92</v>
      </c>
      <c r="D708" s="18" t="s">
        <v>1138</v>
      </c>
      <c r="E708" s="18" t="s">
        <v>1270</v>
      </c>
      <c r="F708" s="101">
        <v>46192.455555555556</v>
      </c>
      <c r="G708" s="101">
        <v>46193.543749999997</v>
      </c>
      <c r="H708" s="18" t="s">
        <v>507</v>
      </c>
      <c r="I708" s="18" t="s">
        <v>508</v>
      </c>
      <c r="J708" s="18"/>
      <c r="K708" s="21">
        <f t="shared" si="30"/>
        <v>26.116666666581295</v>
      </c>
      <c r="L708" s="19">
        <f t="shared" si="31"/>
        <v>132</v>
      </c>
      <c r="M708" s="18" t="str">
        <f>IF(I708&lt;&gt;"Sí","",IF(YEAR(F708)&lt;&gt;2026,"",INDEX({"Enero","Febrero","Marzo","Abril","Mayo","Junio","Julio","Agosto","Septiembre","Octubre","Noviembre","Diciembre"},MONTH(F708))))</f>
        <v>Junio</v>
      </c>
      <c r="N708" s="18" t="str">
        <f t="shared" si="32"/>
        <v>Junio|132</v>
      </c>
    </row>
    <row r="709" spans="1:14" ht="14.5" x14ac:dyDescent="0.25">
      <c r="A709" s="19">
        <v>32</v>
      </c>
      <c r="B709" s="18" t="s">
        <v>39</v>
      </c>
      <c r="C709" s="18" t="s">
        <v>92</v>
      </c>
      <c r="D709" s="18" t="s">
        <v>1138</v>
      </c>
      <c r="E709" s="18" t="s">
        <v>1271</v>
      </c>
      <c r="F709" s="101">
        <v>46192.458333333336</v>
      </c>
      <c r="G709" s="101">
        <v>46193.543749999997</v>
      </c>
      <c r="H709" s="18" t="s">
        <v>507</v>
      </c>
      <c r="I709" s="18" t="s">
        <v>508</v>
      </c>
      <c r="J709" s="18"/>
      <c r="K709" s="21">
        <f t="shared" si="30"/>
        <v>26.049999999871943</v>
      </c>
      <c r="L709" s="19">
        <f t="shared" si="31"/>
        <v>133</v>
      </c>
      <c r="M709" s="18" t="str">
        <f>IF(I709&lt;&gt;"Sí","",IF(YEAR(F709)&lt;&gt;2026,"",INDEX({"Enero","Febrero","Marzo","Abril","Mayo","Junio","Julio","Agosto","Septiembre","Octubre","Noviembre","Diciembre"},MONTH(F709))))</f>
        <v>Junio</v>
      </c>
      <c r="N709" s="18" t="str">
        <f t="shared" si="32"/>
        <v>Junio|133</v>
      </c>
    </row>
    <row r="710" spans="1:14" ht="14.5" x14ac:dyDescent="0.25">
      <c r="A710" s="19">
        <v>32</v>
      </c>
      <c r="B710" s="18" t="s">
        <v>39</v>
      </c>
      <c r="C710" s="18" t="s">
        <v>92</v>
      </c>
      <c r="D710" s="18" t="s">
        <v>1138</v>
      </c>
      <c r="E710" s="18" t="s">
        <v>1272</v>
      </c>
      <c r="F710" s="101">
        <v>46192.459722222222</v>
      </c>
      <c r="G710" s="101">
        <v>46193.541666666664</v>
      </c>
      <c r="H710" s="18" t="s">
        <v>507</v>
      </c>
      <c r="I710" s="18" t="s">
        <v>508</v>
      </c>
      <c r="J710" s="18"/>
      <c r="K710" s="21">
        <f t="shared" si="30"/>
        <v>25.96666666661622</v>
      </c>
      <c r="L710" s="19">
        <f t="shared" si="31"/>
        <v>134</v>
      </c>
      <c r="M710" s="18" t="str">
        <f>IF(I710&lt;&gt;"Sí","",IF(YEAR(F710)&lt;&gt;2026,"",INDEX({"Enero","Febrero","Marzo","Abril","Mayo","Junio","Julio","Agosto","Septiembre","Octubre","Noviembre","Diciembre"},MONTH(F710))))</f>
        <v>Junio</v>
      </c>
      <c r="N710" s="18" t="str">
        <f t="shared" si="32"/>
        <v>Junio|134</v>
      </c>
    </row>
    <row r="711" spans="1:14" ht="14.5" x14ac:dyDescent="0.25">
      <c r="A711" s="19">
        <v>32</v>
      </c>
      <c r="B711" s="18" t="s">
        <v>39</v>
      </c>
      <c r="C711" s="18" t="s">
        <v>92</v>
      </c>
      <c r="D711" s="18" t="s">
        <v>1138</v>
      </c>
      <c r="E711" s="18" t="s">
        <v>1273</v>
      </c>
      <c r="F711" s="101">
        <v>46192.461111111108</v>
      </c>
      <c r="G711" s="101">
        <v>46193.541666666664</v>
      </c>
      <c r="H711" s="18" t="s">
        <v>507</v>
      </c>
      <c r="I711" s="18" t="s">
        <v>508</v>
      </c>
      <c r="J711" s="18"/>
      <c r="K711" s="21">
        <f t="shared" ref="K711:K774" si="33">IF(I711="Sí",(G711-F711)*24,"")</f>
        <v>25.933333333348855</v>
      </c>
      <c r="L711" s="19">
        <f t="shared" ref="L711:L774" si="34">IF(I711="Sí",COUNTIFS($F$7:$F$4000,"&lt;="&amp;F711,$G$7:$G$4000,"&gt;"&amp;F711,$I$7:$I$4000,"Sí"),"")</f>
        <v>135</v>
      </c>
      <c r="M711" s="18" t="str">
        <f>IF(I711&lt;&gt;"Sí","",IF(YEAR(F711)&lt;&gt;2026,"",INDEX({"Enero","Febrero","Marzo","Abril","Mayo","Junio","Julio","Agosto","Septiembre","Octubre","Noviembre","Diciembre"},MONTH(F711))))</f>
        <v>Junio</v>
      </c>
      <c r="N711" s="18" t="str">
        <f t="shared" ref="N711:N774" si="35">IF(M711="","",M711&amp;"|"&amp;L711)</f>
        <v>Junio|135</v>
      </c>
    </row>
    <row r="712" spans="1:14" ht="14.5" x14ac:dyDescent="0.25">
      <c r="A712" s="19">
        <v>32</v>
      </c>
      <c r="B712" s="18" t="s">
        <v>39</v>
      </c>
      <c r="C712" s="18" t="s">
        <v>92</v>
      </c>
      <c r="D712" s="18" t="s">
        <v>1138</v>
      </c>
      <c r="E712" s="18" t="s">
        <v>1274</v>
      </c>
      <c r="F712" s="101">
        <v>46192.463888888888</v>
      </c>
      <c r="G712" s="101">
        <v>46193.513194444444</v>
      </c>
      <c r="H712" s="18" t="s">
        <v>507</v>
      </c>
      <c r="I712" s="18" t="s">
        <v>508</v>
      </c>
      <c r="J712" s="18"/>
      <c r="K712" s="21">
        <f t="shared" si="33"/>
        <v>25.183333333348855</v>
      </c>
      <c r="L712" s="19">
        <f t="shared" si="34"/>
        <v>136</v>
      </c>
      <c r="M712" s="18" t="str">
        <f>IF(I712&lt;&gt;"Sí","",IF(YEAR(F712)&lt;&gt;2026,"",INDEX({"Enero","Febrero","Marzo","Abril","Mayo","Junio","Julio","Agosto","Septiembre","Octubre","Noviembre","Diciembre"},MONTH(F712))))</f>
        <v>Junio</v>
      </c>
      <c r="N712" s="18" t="str">
        <f t="shared" si="35"/>
        <v>Junio|136</v>
      </c>
    </row>
    <row r="713" spans="1:14" ht="14.5" x14ac:dyDescent="0.25">
      <c r="A713" s="19">
        <v>32</v>
      </c>
      <c r="B713" s="18" t="s">
        <v>39</v>
      </c>
      <c r="C713" s="18" t="s">
        <v>92</v>
      </c>
      <c r="D713" s="18" t="s">
        <v>1138</v>
      </c>
      <c r="E713" s="18" t="s">
        <v>1275</v>
      </c>
      <c r="F713" s="101">
        <v>46192.465277777781</v>
      </c>
      <c r="G713" s="101">
        <v>46193.513194444444</v>
      </c>
      <c r="H713" s="18" t="s">
        <v>507</v>
      </c>
      <c r="I713" s="18" t="s">
        <v>508</v>
      </c>
      <c r="J713" s="18"/>
      <c r="K713" s="21">
        <f t="shared" si="33"/>
        <v>25.149999999906868</v>
      </c>
      <c r="L713" s="19">
        <f t="shared" si="34"/>
        <v>137</v>
      </c>
      <c r="M713" s="18" t="str">
        <f>IF(I713&lt;&gt;"Sí","",IF(YEAR(F713)&lt;&gt;2026,"",INDEX({"Enero","Febrero","Marzo","Abril","Mayo","Junio","Julio","Agosto","Septiembre","Octubre","Noviembre","Diciembre"},MONTH(F713))))</f>
        <v>Junio</v>
      </c>
      <c r="N713" s="18" t="str">
        <f t="shared" si="35"/>
        <v>Junio|137</v>
      </c>
    </row>
    <row r="714" spans="1:14" ht="14.5" x14ac:dyDescent="0.25">
      <c r="A714" s="19">
        <v>32</v>
      </c>
      <c r="B714" s="18" t="s">
        <v>39</v>
      </c>
      <c r="C714" s="18" t="s">
        <v>92</v>
      </c>
      <c r="D714" s="18" t="s">
        <v>1138</v>
      </c>
      <c r="E714" s="18" t="s">
        <v>1276</v>
      </c>
      <c r="F714" s="101">
        <v>46192.466666666667</v>
      </c>
      <c r="G714" s="101">
        <v>46193.513194444444</v>
      </c>
      <c r="H714" s="18" t="s">
        <v>507</v>
      </c>
      <c r="I714" s="18" t="s">
        <v>508</v>
      </c>
      <c r="J714" s="18"/>
      <c r="K714" s="21">
        <f t="shared" si="33"/>
        <v>25.116666666639503</v>
      </c>
      <c r="L714" s="19">
        <f t="shared" si="34"/>
        <v>138</v>
      </c>
      <c r="M714" s="18" t="str">
        <f>IF(I714&lt;&gt;"Sí","",IF(YEAR(F714)&lt;&gt;2026,"",INDEX({"Enero","Febrero","Marzo","Abril","Mayo","Junio","Julio","Agosto","Septiembre","Octubre","Noviembre","Diciembre"},MONTH(F714))))</f>
        <v>Junio</v>
      </c>
      <c r="N714" s="18" t="str">
        <f t="shared" si="35"/>
        <v>Junio|138</v>
      </c>
    </row>
    <row r="715" spans="1:14" ht="14.5" x14ac:dyDescent="0.25">
      <c r="A715" s="19">
        <v>32</v>
      </c>
      <c r="B715" s="18" t="s">
        <v>39</v>
      </c>
      <c r="C715" s="18" t="s">
        <v>92</v>
      </c>
      <c r="D715" s="18" t="s">
        <v>1138</v>
      </c>
      <c r="E715" s="18" t="s">
        <v>1277</v>
      </c>
      <c r="F715" s="101">
        <v>46192.473611111112</v>
      </c>
      <c r="G715" s="101">
        <v>46193.513194444444</v>
      </c>
      <c r="H715" s="18" t="s">
        <v>507</v>
      </c>
      <c r="I715" s="18" t="s">
        <v>508</v>
      </c>
      <c r="J715" s="18"/>
      <c r="K715" s="21">
        <f t="shared" si="33"/>
        <v>24.949999999953434</v>
      </c>
      <c r="L715" s="19">
        <f t="shared" si="34"/>
        <v>139</v>
      </c>
      <c r="M715" s="18" t="str">
        <f>IF(I715&lt;&gt;"Sí","",IF(YEAR(F715)&lt;&gt;2026,"",INDEX({"Enero","Febrero","Marzo","Abril","Mayo","Junio","Julio","Agosto","Septiembre","Octubre","Noviembre","Diciembre"},MONTH(F715))))</f>
        <v>Junio</v>
      </c>
      <c r="N715" s="18" t="str">
        <f t="shared" si="35"/>
        <v>Junio|139</v>
      </c>
    </row>
    <row r="716" spans="1:14" ht="14.5" x14ac:dyDescent="0.25">
      <c r="A716" s="19">
        <v>32</v>
      </c>
      <c r="B716" s="18" t="s">
        <v>39</v>
      </c>
      <c r="C716" s="18" t="s">
        <v>92</v>
      </c>
      <c r="D716" s="18" t="s">
        <v>1138</v>
      </c>
      <c r="E716" s="18" t="s">
        <v>1278</v>
      </c>
      <c r="F716" s="101">
        <v>46192.474999999999</v>
      </c>
      <c r="G716" s="101">
        <v>46193.04791666667</v>
      </c>
      <c r="H716" s="18" t="s">
        <v>507</v>
      </c>
      <c r="I716" s="18" t="s">
        <v>508</v>
      </c>
      <c r="J716" s="18"/>
      <c r="K716" s="21">
        <f t="shared" si="33"/>
        <v>13.750000000116415</v>
      </c>
      <c r="L716" s="19">
        <f t="shared" si="34"/>
        <v>140</v>
      </c>
      <c r="M716" s="18" t="str">
        <f>IF(I716&lt;&gt;"Sí","",IF(YEAR(F716)&lt;&gt;2026,"",INDEX({"Enero","Febrero","Marzo","Abril","Mayo","Junio","Julio","Agosto","Septiembre","Octubre","Noviembre","Diciembre"},MONTH(F716))))</f>
        <v>Junio</v>
      </c>
      <c r="N716" s="18" t="str">
        <f t="shared" si="35"/>
        <v>Junio|140</v>
      </c>
    </row>
    <row r="717" spans="1:14" ht="14.5" x14ac:dyDescent="0.25">
      <c r="A717" s="19">
        <v>32</v>
      </c>
      <c r="B717" s="18" t="s">
        <v>39</v>
      </c>
      <c r="C717" s="18" t="s">
        <v>92</v>
      </c>
      <c r="D717" s="18" t="s">
        <v>1138</v>
      </c>
      <c r="E717" s="18" t="s">
        <v>1279</v>
      </c>
      <c r="F717" s="101">
        <v>46192.475694444445</v>
      </c>
      <c r="G717" s="101">
        <v>46193.047222222223</v>
      </c>
      <c r="H717" s="18" t="s">
        <v>507</v>
      </c>
      <c r="I717" s="18" t="s">
        <v>508</v>
      </c>
      <c r="J717" s="18"/>
      <c r="K717" s="21">
        <f t="shared" si="33"/>
        <v>13.716666666674428</v>
      </c>
      <c r="L717" s="19">
        <f t="shared" si="34"/>
        <v>141</v>
      </c>
      <c r="M717" s="18" t="str">
        <f>IF(I717&lt;&gt;"Sí","",IF(YEAR(F717)&lt;&gt;2026,"",INDEX({"Enero","Febrero","Marzo","Abril","Mayo","Junio","Julio","Agosto","Septiembre","Octubre","Noviembre","Diciembre"},MONTH(F717))))</f>
        <v>Junio</v>
      </c>
      <c r="N717" s="18" t="str">
        <f t="shared" si="35"/>
        <v>Junio|141</v>
      </c>
    </row>
    <row r="718" spans="1:14" ht="14.5" x14ac:dyDescent="0.25">
      <c r="A718" s="19">
        <v>32</v>
      </c>
      <c r="B718" s="18" t="s">
        <v>39</v>
      </c>
      <c r="C718" s="18" t="s">
        <v>92</v>
      </c>
      <c r="D718" s="18" t="s">
        <v>1138</v>
      </c>
      <c r="E718" s="18" t="s">
        <v>1280</v>
      </c>
      <c r="F718" s="101">
        <v>46192.477083333331</v>
      </c>
      <c r="G718" s="101">
        <v>46193.045138888891</v>
      </c>
      <c r="H718" s="18" t="s">
        <v>507</v>
      </c>
      <c r="I718" s="18" t="s">
        <v>508</v>
      </c>
      <c r="J718" s="18"/>
      <c r="K718" s="21">
        <f t="shared" si="33"/>
        <v>13.633333333418705</v>
      </c>
      <c r="L718" s="19">
        <f t="shared" si="34"/>
        <v>142</v>
      </c>
      <c r="M718" s="18" t="str">
        <f>IF(I718&lt;&gt;"Sí","",IF(YEAR(F718)&lt;&gt;2026,"",INDEX({"Enero","Febrero","Marzo","Abril","Mayo","Junio","Julio","Agosto","Septiembre","Octubre","Noviembre","Diciembre"},MONTH(F718))))</f>
        <v>Junio</v>
      </c>
      <c r="N718" s="18" t="str">
        <f t="shared" si="35"/>
        <v>Junio|142</v>
      </c>
    </row>
    <row r="719" spans="1:14" ht="14.5" x14ac:dyDescent="0.25">
      <c r="A719" s="19">
        <v>32</v>
      </c>
      <c r="B719" s="18" t="s">
        <v>39</v>
      </c>
      <c r="C719" s="18" t="s">
        <v>92</v>
      </c>
      <c r="D719" s="18" t="s">
        <v>1138</v>
      </c>
      <c r="E719" s="18" t="s">
        <v>1281</v>
      </c>
      <c r="F719" s="101">
        <v>46192.479166666664</v>
      </c>
      <c r="G719" s="101">
        <v>46193.043055555558</v>
      </c>
      <c r="H719" s="18" t="s">
        <v>507</v>
      </c>
      <c r="I719" s="18" t="s">
        <v>508</v>
      </c>
      <c r="J719" s="18"/>
      <c r="K719" s="21">
        <f t="shared" si="33"/>
        <v>13.533333333441988</v>
      </c>
      <c r="L719" s="19">
        <f t="shared" si="34"/>
        <v>143</v>
      </c>
      <c r="M719" s="18" t="str">
        <f>IF(I719&lt;&gt;"Sí","",IF(YEAR(F719)&lt;&gt;2026,"",INDEX({"Enero","Febrero","Marzo","Abril","Mayo","Junio","Julio","Agosto","Septiembre","Octubre","Noviembre","Diciembre"},MONTH(F719))))</f>
        <v>Junio</v>
      </c>
      <c r="N719" s="18" t="str">
        <f t="shared" si="35"/>
        <v>Junio|143</v>
      </c>
    </row>
    <row r="720" spans="1:14" ht="14.5" x14ac:dyDescent="0.25">
      <c r="A720" s="19">
        <v>32</v>
      </c>
      <c r="B720" s="18" t="s">
        <v>39</v>
      </c>
      <c r="C720" s="18" t="s">
        <v>92</v>
      </c>
      <c r="D720" s="18" t="s">
        <v>1138</v>
      </c>
      <c r="E720" s="18" t="s">
        <v>1282</v>
      </c>
      <c r="F720" s="101">
        <v>46192.480555555558</v>
      </c>
      <c r="G720" s="101">
        <v>46193.040277777778</v>
      </c>
      <c r="H720" s="18" t="s">
        <v>507</v>
      </c>
      <c r="I720" s="18" t="s">
        <v>508</v>
      </c>
      <c r="J720" s="18"/>
      <c r="K720" s="21">
        <f t="shared" si="33"/>
        <v>13.433333333290648</v>
      </c>
      <c r="L720" s="19">
        <f t="shared" si="34"/>
        <v>144</v>
      </c>
      <c r="M720" s="18" t="str">
        <f>IF(I720&lt;&gt;"Sí","",IF(YEAR(F720)&lt;&gt;2026,"",INDEX({"Enero","Febrero","Marzo","Abril","Mayo","Junio","Julio","Agosto","Septiembre","Octubre","Noviembre","Diciembre"},MONTH(F720))))</f>
        <v>Junio</v>
      </c>
      <c r="N720" s="18" t="str">
        <f t="shared" si="35"/>
        <v>Junio|144</v>
      </c>
    </row>
    <row r="721" spans="1:14" ht="14.5" x14ac:dyDescent="0.25">
      <c r="A721" s="19">
        <v>32</v>
      </c>
      <c r="B721" s="18" t="s">
        <v>39</v>
      </c>
      <c r="C721" s="18" t="s">
        <v>92</v>
      </c>
      <c r="D721" s="18" t="s">
        <v>1138</v>
      </c>
      <c r="E721" s="18" t="s">
        <v>1283</v>
      </c>
      <c r="F721" s="101">
        <v>46192.48333333333</v>
      </c>
      <c r="G721" s="101">
        <v>46193.036111111112</v>
      </c>
      <c r="H721" s="18" t="s">
        <v>507</v>
      </c>
      <c r="I721" s="18" t="s">
        <v>508</v>
      </c>
      <c r="J721" s="18"/>
      <c r="K721" s="21">
        <f t="shared" si="33"/>
        <v>13.266666666779201</v>
      </c>
      <c r="L721" s="19">
        <f t="shared" si="34"/>
        <v>145</v>
      </c>
      <c r="M721" s="18" t="str">
        <f>IF(I721&lt;&gt;"Sí","",IF(YEAR(F721)&lt;&gt;2026,"",INDEX({"Enero","Febrero","Marzo","Abril","Mayo","Junio","Julio","Agosto","Septiembre","Octubre","Noviembre","Diciembre"},MONTH(F721))))</f>
        <v>Junio</v>
      </c>
      <c r="N721" s="18" t="str">
        <f t="shared" si="35"/>
        <v>Junio|145</v>
      </c>
    </row>
    <row r="722" spans="1:14" ht="14.5" x14ac:dyDescent="0.25">
      <c r="A722" s="19">
        <v>32</v>
      </c>
      <c r="B722" s="18" t="s">
        <v>39</v>
      </c>
      <c r="C722" s="18" t="s">
        <v>92</v>
      </c>
      <c r="D722" s="18" t="s">
        <v>1138</v>
      </c>
      <c r="E722" s="18" t="s">
        <v>1284</v>
      </c>
      <c r="F722" s="101">
        <v>46192.484722222223</v>
      </c>
      <c r="G722" s="101">
        <v>46193.03402777778</v>
      </c>
      <c r="H722" s="18" t="s">
        <v>507</v>
      </c>
      <c r="I722" s="18" t="s">
        <v>508</v>
      </c>
      <c r="J722" s="18"/>
      <c r="K722" s="21">
        <f t="shared" si="33"/>
        <v>13.183333333348855</v>
      </c>
      <c r="L722" s="19">
        <f t="shared" si="34"/>
        <v>146</v>
      </c>
      <c r="M722" s="18" t="str">
        <f>IF(I722&lt;&gt;"Sí","",IF(YEAR(F722)&lt;&gt;2026,"",INDEX({"Enero","Febrero","Marzo","Abril","Mayo","Junio","Julio","Agosto","Septiembre","Octubre","Noviembre","Diciembre"},MONTH(F722))))</f>
        <v>Junio</v>
      </c>
      <c r="N722" s="18" t="str">
        <f t="shared" si="35"/>
        <v>Junio|146</v>
      </c>
    </row>
    <row r="723" spans="1:14" ht="14.5" x14ac:dyDescent="0.25">
      <c r="A723" s="19">
        <v>32</v>
      </c>
      <c r="B723" s="18" t="s">
        <v>39</v>
      </c>
      <c r="C723" s="18" t="s">
        <v>92</v>
      </c>
      <c r="D723" s="18" t="s">
        <v>1138</v>
      </c>
      <c r="E723" s="18" t="s">
        <v>1285</v>
      </c>
      <c r="F723" s="101">
        <v>46192.486111111109</v>
      </c>
      <c r="G723" s="101">
        <v>46193.027777777781</v>
      </c>
      <c r="H723" s="18" t="s">
        <v>507</v>
      </c>
      <c r="I723" s="18" t="s">
        <v>508</v>
      </c>
      <c r="J723" s="18"/>
      <c r="K723" s="21">
        <f t="shared" si="33"/>
        <v>13.000000000116415</v>
      </c>
      <c r="L723" s="19">
        <f t="shared" si="34"/>
        <v>147</v>
      </c>
      <c r="M723" s="18" t="str">
        <f>IF(I723&lt;&gt;"Sí","",IF(YEAR(F723)&lt;&gt;2026,"",INDEX({"Enero","Febrero","Marzo","Abril","Mayo","Junio","Julio","Agosto","Septiembre","Octubre","Noviembre","Diciembre"},MONTH(F723))))</f>
        <v>Junio</v>
      </c>
      <c r="N723" s="18" t="str">
        <f t="shared" si="35"/>
        <v>Junio|147</v>
      </c>
    </row>
    <row r="724" spans="1:14" ht="14.5" x14ac:dyDescent="0.25">
      <c r="A724" s="19">
        <v>32</v>
      </c>
      <c r="B724" s="18" t="s">
        <v>39</v>
      </c>
      <c r="C724" s="18" t="s">
        <v>92</v>
      </c>
      <c r="D724" s="18" t="s">
        <v>1138</v>
      </c>
      <c r="E724" s="18" t="s">
        <v>1286</v>
      </c>
      <c r="F724" s="101">
        <v>46192.488194444442</v>
      </c>
      <c r="G724" s="101">
        <v>46193.025000000001</v>
      </c>
      <c r="H724" s="18" t="s">
        <v>507</v>
      </c>
      <c r="I724" s="18" t="s">
        <v>508</v>
      </c>
      <c r="J724" s="18"/>
      <c r="K724" s="21">
        <f t="shared" si="33"/>
        <v>12.883333333418705</v>
      </c>
      <c r="L724" s="19">
        <f t="shared" si="34"/>
        <v>148</v>
      </c>
      <c r="M724" s="18" t="str">
        <f>IF(I724&lt;&gt;"Sí","",IF(YEAR(F724)&lt;&gt;2026,"",INDEX({"Enero","Febrero","Marzo","Abril","Mayo","Junio","Julio","Agosto","Septiembre","Octubre","Noviembre","Diciembre"},MONTH(F724))))</f>
        <v>Junio</v>
      </c>
      <c r="N724" s="18" t="str">
        <f t="shared" si="35"/>
        <v>Junio|148</v>
      </c>
    </row>
    <row r="725" spans="1:14" ht="14.5" x14ac:dyDescent="0.25">
      <c r="A725" s="19">
        <v>32</v>
      </c>
      <c r="B725" s="18" t="s">
        <v>39</v>
      </c>
      <c r="C725" s="18" t="s">
        <v>92</v>
      </c>
      <c r="D725" s="18" t="s">
        <v>1138</v>
      </c>
      <c r="E725" s="18" t="s">
        <v>1287</v>
      </c>
      <c r="F725" s="101">
        <v>46192.490972222222</v>
      </c>
      <c r="G725" s="101">
        <v>46193</v>
      </c>
      <c r="H725" s="18" t="s">
        <v>507</v>
      </c>
      <c r="I725" s="18" t="s">
        <v>508</v>
      </c>
      <c r="J725" s="18"/>
      <c r="K725" s="21">
        <f t="shared" si="33"/>
        <v>12.216666666674428</v>
      </c>
      <c r="L725" s="19">
        <f t="shared" si="34"/>
        <v>149</v>
      </c>
      <c r="M725" s="18" t="str">
        <f>IF(I725&lt;&gt;"Sí","",IF(YEAR(F725)&lt;&gt;2026,"",INDEX({"Enero","Febrero","Marzo","Abril","Mayo","Junio","Julio","Agosto","Septiembre","Octubre","Noviembre","Diciembre"},MONTH(F725))))</f>
        <v>Junio</v>
      </c>
      <c r="N725" s="18" t="str">
        <f t="shared" si="35"/>
        <v>Junio|149</v>
      </c>
    </row>
    <row r="726" spans="1:14" ht="14.5" x14ac:dyDescent="0.25">
      <c r="A726" s="19">
        <v>32</v>
      </c>
      <c r="B726" s="18" t="s">
        <v>39</v>
      </c>
      <c r="C726" s="18" t="s">
        <v>92</v>
      </c>
      <c r="D726" s="18" t="s">
        <v>1138</v>
      </c>
      <c r="E726" s="18" t="s">
        <v>1288</v>
      </c>
      <c r="F726" s="101">
        <v>46192.491666666669</v>
      </c>
      <c r="G726" s="101">
        <v>46193.020833333336</v>
      </c>
      <c r="H726" s="18" t="s">
        <v>507</v>
      </c>
      <c r="I726" s="18" t="s">
        <v>508</v>
      </c>
      <c r="J726" s="18"/>
      <c r="K726" s="21">
        <f t="shared" si="33"/>
        <v>12.700000000011642</v>
      </c>
      <c r="L726" s="19">
        <f t="shared" si="34"/>
        <v>150</v>
      </c>
      <c r="M726" s="18" t="str">
        <f>IF(I726&lt;&gt;"Sí","",IF(YEAR(F726)&lt;&gt;2026,"",INDEX({"Enero","Febrero","Marzo","Abril","Mayo","Junio","Julio","Agosto","Septiembre","Octubre","Noviembre","Diciembre"},MONTH(F726))))</f>
        <v>Junio</v>
      </c>
      <c r="N726" s="18" t="str">
        <f t="shared" si="35"/>
        <v>Junio|150</v>
      </c>
    </row>
    <row r="727" spans="1:14" ht="14.5" x14ac:dyDescent="0.25">
      <c r="A727" s="19">
        <v>32</v>
      </c>
      <c r="B727" s="18" t="s">
        <v>39</v>
      </c>
      <c r="C727" s="18" t="s">
        <v>92</v>
      </c>
      <c r="D727" s="18" t="s">
        <v>1138</v>
      </c>
      <c r="E727" s="18" t="s">
        <v>1289</v>
      </c>
      <c r="F727" s="101">
        <v>46192.495138888888</v>
      </c>
      <c r="G727" s="101">
        <v>46193.018750000003</v>
      </c>
      <c r="H727" s="18" t="s">
        <v>507</v>
      </c>
      <c r="I727" s="18" t="s">
        <v>508</v>
      </c>
      <c r="J727" s="18"/>
      <c r="K727" s="21">
        <f t="shared" si="33"/>
        <v>12.56666666676756</v>
      </c>
      <c r="L727" s="19">
        <f t="shared" si="34"/>
        <v>151</v>
      </c>
      <c r="M727" s="18" t="str">
        <f>IF(I727&lt;&gt;"Sí","",IF(YEAR(F727)&lt;&gt;2026,"",INDEX({"Enero","Febrero","Marzo","Abril","Mayo","Junio","Julio","Agosto","Septiembre","Octubre","Noviembre","Diciembre"},MONTH(F727))))</f>
        <v>Junio</v>
      </c>
      <c r="N727" s="18" t="str">
        <f t="shared" si="35"/>
        <v>Junio|151</v>
      </c>
    </row>
    <row r="728" spans="1:14" ht="14.5" x14ac:dyDescent="0.25">
      <c r="A728" s="19">
        <v>32</v>
      </c>
      <c r="B728" s="18" t="s">
        <v>39</v>
      </c>
      <c r="C728" s="18" t="s">
        <v>92</v>
      </c>
      <c r="D728" s="18" t="s">
        <v>1138</v>
      </c>
      <c r="E728" s="18" t="s">
        <v>1290</v>
      </c>
      <c r="F728" s="101">
        <v>46192.496527777781</v>
      </c>
      <c r="G728" s="101">
        <v>46193.01666666667</v>
      </c>
      <c r="H728" s="18" t="s">
        <v>507</v>
      </c>
      <c r="I728" s="18" t="s">
        <v>508</v>
      </c>
      <c r="J728" s="18"/>
      <c r="K728" s="21">
        <f t="shared" si="33"/>
        <v>12.483333333337214</v>
      </c>
      <c r="L728" s="19">
        <f t="shared" si="34"/>
        <v>152</v>
      </c>
      <c r="M728" s="18" t="str">
        <f>IF(I728&lt;&gt;"Sí","",IF(YEAR(F728)&lt;&gt;2026,"",INDEX({"Enero","Febrero","Marzo","Abril","Mayo","Junio","Julio","Agosto","Septiembre","Octubre","Noviembre","Diciembre"},MONTH(F728))))</f>
        <v>Junio</v>
      </c>
      <c r="N728" s="18" t="str">
        <f t="shared" si="35"/>
        <v>Junio|152</v>
      </c>
    </row>
    <row r="729" spans="1:14" ht="14.5" x14ac:dyDescent="0.25">
      <c r="A729" s="19">
        <v>32</v>
      </c>
      <c r="B729" s="18" t="s">
        <v>39</v>
      </c>
      <c r="C729" s="18" t="s">
        <v>92</v>
      </c>
      <c r="D729" s="18" t="s">
        <v>1138</v>
      </c>
      <c r="E729" s="18" t="s">
        <v>1291</v>
      </c>
      <c r="F729" s="101">
        <v>46192.497916666667</v>
      </c>
      <c r="G729" s="101">
        <v>46193.01458333333</v>
      </c>
      <c r="H729" s="18" t="s">
        <v>507</v>
      </c>
      <c r="I729" s="18" t="s">
        <v>508</v>
      </c>
      <c r="J729" s="18"/>
      <c r="K729" s="21">
        <f t="shared" si="33"/>
        <v>12.399999999906868</v>
      </c>
      <c r="L729" s="19">
        <f t="shared" si="34"/>
        <v>153</v>
      </c>
      <c r="M729" s="18" t="str">
        <f>IF(I729&lt;&gt;"Sí","",IF(YEAR(F729)&lt;&gt;2026,"",INDEX({"Enero","Febrero","Marzo","Abril","Mayo","Junio","Julio","Agosto","Septiembre","Octubre","Noviembre","Diciembre"},MONTH(F729))))</f>
        <v>Junio</v>
      </c>
      <c r="N729" s="18" t="str">
        <f t="shared" si="35"/>
        <v>Junio|153</v>
      </c>
    </row>
    <row r="730" spans="1:14" ht="14.5" x14ac:dyDescent="0.25">
      <c r="A730" s="19">
        <v>32</v>
      </c>
      <c r="B730" s="18" t="s">
        <v>39</v>
      </c>
      <c r="C730" s="18" t="s">
        <v>92</v>
      </c>
      <c r="D730" s="18" t="s">
        <v>1138</v>
      </c>
      <c r="E730" s="18" t="s">
        <v>1292</v>
      </c>
      <c r="F730" s="101">
        <v>46192.5</v>
      </c>
      <c r="G730" s="101">
        <v>46193.011111111111</v>
      </c>
      <c r="H730" s="18" t="s">
        <v>507</v>
      </c>
      <c r="I730" s="18" t="s">
        <v>508</v>
      </c>
      <c r="J730" s="18"/>
      <c r="K730" s="21">
        <f t="shared" si="33"/>
        <v>12.266666666662786</v>
      </c>
      <c r="L730" s="19">
        <f t="shared" si="34"/>
        <v>154</v>
      </c>
      <c r="M730" s="18" t="str">
        <f>IF(I730&lt;&gt;"Sí","",IF(YEAR(F730)&lt;&gt;2026,"",INDEX({"Enero","Febrero","Marzo","Abril","Mayo","Junio","Julio","Agosto","Septiembre","Octubre","Noviembre","Diciembre"},MONTH(F730))))</f>
        <v>Junio</v>
      </c>
      <c r="N730" s="18" t="str">
        <f t="shared" si="35"/>
        <v>Junio|154</v>
      </c>
    </row>
    <row r="731" spans="1:14" ht="14.5" x14ac:dyDescent="0.25">
      <c r="A731" s="19">
        <v>32</v>
      </c>
      <c r="B731" s="18" t="s">
        <v>39</v>
      </c>
      <c r="C731" s="18" t="s">
        <v>92</v>
      </c>
      <c r="D731" s="18" t="s">
        <v>1138</v>
      </c>
      <c r="E731" s="18" t="s">
        <v>1293</v>
      </c>
      <c r="F731" s="101">
        <v>46192.502083333333</v>
      </c>
      <c r="G731" s="101">
        <v>46193.009722222225</v>
      </c>
      <c r="H731" s="18" t="s">
        <v>507</v>
      </c>
      <c r="I731" s="18" t="s">
        <v>508</v>
      </c>
      <c r="J731" s="18"/>
      <c r="K731" s="21">
        <f t="shared" si="33"/>
        <v>12.183333333407063</v>
      </c>
      <c r="L731" s="19">
        <f t="shared" si="34"/>
        <v>155</v>
      </c>
      <c r="M731" s="18" t="str">
        <f>IF(I731&lt;&gt;"Sí","",IF(YEAR(F731)&lt;&gt;2026,"",INDEX({"Enero","Febrero","Marzo","Abril","Mayo","Junio","Julio","Agosto","Septiembre","Octubre","Noviembre","Diciembre"},MONTH(F731))))</f>
        <v>Junio</v>
      </c>
      <c r="N731" s="18" t="str">
        <f t="shared" si="35"/>
        <v>Junio|155</v>
      </c>
    </row>
    <row r="732" spans="1:14" ht="14.5" x14ac:dyDescent="0.25">
      <c r="A732" s="19">
        <v>32</v>
      </c>
      <c r="B732" s="18" t="s">
        <v>39</v>
      </c>
      <c r="C732" s="18" t="s">
        <v>92</v>
      </c>
      <c r="D732" s="18" t="s">
        <v>1138</v>
      </c>
      <c r="E732" s="18" t="s">
        <v>1294</v>
      </c>
      <c r="F732" s="101">
        <v>46192.503472222219</v>
      </c>
      <c r="G732" s="101">
        <v>46193.006944444445</v>
      </c>
      <c r="H732" s="18" t="s">
        <v>507</v>
      </c>
      <c r="I732" s="18" t="s">
        <v>508</v>
      </c>
      <c r="J732" s="18"/>
      <c r="K732" s="21">
        <f t="shared" si="33"/>
        <v>12.083333333430346</v>
      </c>
      <c r="L732" s="19">
        <f t="shared" si="34"/>
        <v>156</v>
      </c>
      <c r="M732" s="18" t="str">
        <f>IF(I732&lt;&gt;"Sí","",IF(YEAR(F732)&lt;&gt;2026,"",INDEX({"Enero","Febrero","Marzo","Abril","Mayo","Junio","Julio","Agosto","Septiembre","Octubre","Noviembre","Diciembre"},MONTH(F732))))</f>
        <v>Junio</v>
      </c>
      <c r="N732" s="18" t="str">
        <f t="shared" si="35"/>
        <v>Junio|156</v>
      </c>
    </row>
    <row r="733" spans="1:14" ht="14.5" x14ac:dyDescent="0.25">
      <c r="A733" s="19">
        <v>32</v>
      </c>
      <c r="B733" s="18" t="s">
        <v>39</v>
      </c>
      <c r="C733" s="18" t="s">
        <v>92</v>
      </c>
      <c r="D733" s="18" t="s">
        <v>1138</v>
      </c>
      <c r="E733" s="18" t="s">
        <v>1295</v>
      </c>
      <c r="F733" s="101">
        <v>46192.506249999999</v>
      </c>
      <c r="G733" s="101">
        <v>46193.003472222219</v>
      </c>
      <c r="H733" s="18" t="s">
        <v>507</v>
      </c>
      <c r="I733" s="18" t="s">
        <v>508</v>
      </c>
      <c r="J733" s="18"/>
      <c r="K733" s="21">
        <f t="shared" si="33"/>
        <v>11.933333333290648</v>
      </c>
      <c r="L733" s="19">
        <f t="shared" si="34"/>
        <v>157</v>
      </c>
      <c r="M733" s="18" t="str">
        <f>IF(I733&lt;&gt;"Sí","",IF(YEAR(F733)&lt;&gt;2026,"",INDEX({"Enero","Febrero","Marzo","Abril","Mayo","Junio","Julio","Agosto","Septiembre","Octubre","Noviembre","Diciembre"},MONTH(F733))))</f>
        <v>Junio</v>
      </c>
      <c r="N733" s="18" t="str">
        <f t="shared" si="35"/>
        <v>Junio|157</v>
      </c>
    </row>
    <row r="734" spans="1:14" ht="14.5" x14ac:dyDescent="0.25">
      <c r="A734" s="19">
        <v>32</v>
      </c>
      <c r="B734" s="18" t="s">
        <v>39</v>
      </c>
      <c r="C734" s="18" t="s">
        <v>92</v>
      </c>
      <c r="D734" s="18" t="s">
        <v>1138</v>
      </c>
      <c r="E734" s="18" t="s">
        <v>1296</v>
      </c>
      <c r="F734" s="101">
        <v>46192.506944444445</v>
      </c>
      <c r="G734" s="101">
        <v>46193.001388888886</v>
      </c>
      <c r="H734" s="18" t="s">
        <v>507</v>
      </c>
      <c r="I734" s="18" t="s">
        <v>508</v>
      </c>
      <c r="J734" s="18"/>
      <c r="K734" s="21">
        <f t="shared" si="33"/>
        <v>11.866666666581295</v>
      </c>
      <c r="L734" s="19">
        <f t="shared" si="34"/>
        <v>158</v>
      </c>
      <c r="M734" s="18" t="str">
        <f>IF(I734&lt;&gt;"Sí","",IF(YEAR(F734)&lt;&gt;2026,"",INDEX({"Enero","Febrero","Marzo","Abril","Mayo","Junio","Julio","Agosto","Septiembre","Octubre","Noviembre","Diciembre"},MONTH(F734))))</f>
        <v>Junio</v>
      </c>
      <c r="N734" s="18" t="str">
        <f t="shared" si="35"/>
        <v>Junio|158</v>
      </c>
    </row>
    <row r="735" spans="1:14" ht="14.5" x14ac:dyDescent="0.25">
      <c r="A735" s="19">
        <v>32</v>
      </c>
      <c r="B735" s="18" t="s">
        <v>39</v>
      </c>
      <c r="C735" s="18" t="s">
        <v>92</v>
      </c>
      <c r="D735" s="18" t="s">
        <v>1138</v>
      </c>
      <c r="E735" s="18" t="s">
        <v>1297</v>
      </c>
      <c r="F735" s="101">
        <v>46192.508333333331</v>
      </c>
      <c r="G735" s="101">
        <v>46192.99722222222</v>
      </c>
      <c r="H735" s="18" t="s">
        <v>507</v>
      </c>
      <c r="I735" s="18" t="s">
        <v>508</v>
      </c>
      <c r="J735" s="18"/>
      <c r="K735" s="21">
        <f t="shared" si="33"/>
        <v>11.733333333337214</v>
      </c>
      <c r="L735" s="19">
        <f t="shared" si="34"/>
        <v>159</v>
      </c>
      <c r="M735" s="18" t="str">
        <f>IF(I735&lt;&gt;"Sí","",IF(YEAR(F735)&lt;&gt;2026,"",INDEX({"Enero","Febrero","Marzo","Abril","Mayo","Junio","Julio","Agosto","Septiembre","Octubre","Noviembre","Diciembre"},MONTH(F735))))</f>
        <v>Junio</v>
      </c>
      <c r="N735" s="18" t="str">
        <f t="shared" si="35"/>
        <v>Junio|159</v>
      </c>
    </row>
    <row r="736" spans="1:14" ht="14.5" x14ac:dyDescent="0.25">
      <c r="A736" s="19">
        <v>32</v>
      </c>
      <c r="B736" s="18" t="s">
        <v>39</v>
      </c>
      <c r="C736" s="18" t="s">
        <v>92</v>
      </c>
      <c r="D736" s="18" t="s">
        <v>1138</v>
      </c>
      <c r="E736" s="18" t="s">
        <v>1298</v>
      </c>
      <c r="F736" s="101">
        <v>46192.511111111111</v>
      </c>
      <c r="G736" s="101">
        <v>46192.99722222222</v>
      </c>
      <c r="H736" s="18" t="s">
        <v>507</v>
      </c>
      <c r="I736" s="18" t="s">
        <v>508</v>
      </c>
      <c r="J736" s="18"/>
      <c r="K736" s="21">
        <f t="shared" si="33"/>
        <v>11.666666666627862</v>
      </c>
      <c r="L736" s="19">
        <f t="shared" si="34"/>
        <v>160</v>
      </c>
      <c r="M736" s="18" t="str">
        <f>IF(I736&lt;&gt;"Sí","",IF(YEAR(F736)&lt;&gt;2026,"",INDEX({"Enero","Febrero","Marzo","Abril","Mayo","Junio","Julio","Agosto","Septiembre","Octubre","Noviembre","Diciembre"},MONTH(F736))))</f>
        <v>Junio</v>
      </c>
      <c r="N736" s="18" t="str">
        <f t="shared" si="35"/>
        <v>Junio|160</v>
      </c>
    </row>
    <row r="737" spans="1:14" ht="14.5" x14ac:dyDescent="0.25">
      <c r="A737" s="19">
        <v>32</v>
      </c>
      <c r="B737" s="18" t="s">
        <v>39</v>
      </c>
      <c r="C737" s="18" t="s">
        <v>92</v>
      </c>
      <c r="D737" s="18" t="s">
        <v>1138</v>
      </c>
      <c r="E737" s="18" t="s">
        <v>1299</v>
      </c>
      <c r="F737" s="101">
        <v>46192.513194444444</v>
      </c>
      <c r="G737" s="101">
        <v>46193.568055555559</v>
      </c>
      <c r="H737" s="18" t="s">
        <v>507</v>
      </c>
      <c r="I737" s="18" t="s">
        <v>508</v>
      </c>
      <c r="J737" s="18"/>
      <c r="K737" s="21">
        <f t="shared" si="33"/>
        <v>25.31666666676756</v>
      </c>
      <c r="L737" s="19">
        <f t="shared" si="34"/>
        <v>161</v>
      </c>
      <c r="M737" s="18" t="str">
        <f>IF(I737&lt;&gt;"Sí","",IF(YEAR(F737)&lt;&gt;2026,"",INDEX({"Enero","Febrero","Marzo","Abril","Mayo","Junio","Julio","Agosto","Septiembre","Octubre","Noviembre","Diciembre"},MONTH(F737))))</f>
        <v>Junio</v>
      </c>
      <c r="N737" s="18" t="str">
        <f t="shared" si="35"/>
        <v>Junio|161</v>
      </c>
    </row>
    <row r="738" spans="1:14" ht="14.5" x14ac:dyDescent="0.25">
      <c r="A738" s="19">
        <v>32</v>
      </c>
      <c r="B738" s="18" t="s">
        <v>39</v>
      </c>
      <c r="C738" s="18" t="s">
        <v>92</v>
      </c>
      <c r="D738" s="18" t="s">
        <v>1138</v>
      </c>
      <c r="E738" s="18" t="s">
        <v>1300</v>
      </c>
      <c r="F738" s="101">
        <v>46192.51458333333</v>
      </c>
      <c r="G738" s="101">
        <v>46193.451388888891</v>
      </c>
      <c r="H738" s="18" t="s">
        <v>507</v>
      </c>
      <c r="I738" s="18" t="s">
        <v>508</v>
      </c>
      <c r="J738" s="18"/>
      <c r="K738" s="21">
        <f t="shared" si="33"/>
        <v>22.483333333453629</v>
      </c>
      <c r="L738" s="19">
        <f t="shared" si="34"/>
        <v>162</v>
      </c>
      <c r="M738" s="18" t="str">
        <f>IF(I738&lt;&gt;"Sí","",IF(YEAR(F738)&lt;&gt;2026,"",INDEX({"Enero","Febrero","Marzo","Abril","Mayo","Junio","Julio","Agosto","Septiembre","Octubre","Noviembre","Diciembre"},MONTH(F738))))</f>
        <v>Junio</v>
      </c>
      <c r="N738" s="18" t="str">
        <f t="shared" si="35"/>
        <v>Junio|162</v>
      </c>
    </row>
    <row r="739" spans="1:14" ht="14.5" x14ac:dyDescent="0.25">
      <c r="A739" s="19">
        <v>32</v>
      </c>
      <c r="B739" s="18" t="s">
        <v>39</v>
      </c>
      <c r="C739" s="18" t="s">
        <v>92</v>
      </c>
      <c r="D739" s="18" t="s">
        <v>1138</v>
      </c>
      <c r="E739" s="18" t="s">
        <v>1301</v>
      </c>
      <c r="F739" s="101">
        <v>46192.517361111109</v>
      </c>
      <c r="G739" s="101">
        <v>46193.449305555558</v>
      </c>
      <c r="H739" s="18" t="s">
        <v>507</v>
      </c>
      <c r="I739" s="18" t="s">
        <v>508</v>
      </c>
      <c r="J739" s="18"/>
      <c r="K739" s="21">
        <f t="shared" si="33"/>
        <v>22.366666666755918</v>
      </c>
      <c r="L739" s="19">
        <f t="shared" si="34"/>
        <v>163</v>
      </c>
      <c r="M739" s="18" t="str">
        <f>IF(I739&lt;&gt;"Sí","",IF(YEAR(F739)&lt;&gt;2026,"",INDEX({"Enero","Febrero","Marzo","Abril","Mayo","Junio","Julio","Agosto","Septiembre","Octubre","Noviembre","Diciembre"},MONTH(F739))))</f>
        <v>Junio</v>
      </c>
      <c r="N739" s="18" t="str">
        <f t="shared" si="35"/>
        <v>Junio|163</v>
      </c>
    </row>
    <row r="740" spans="1:14" ht="14.5" x14ac:dyDescent="0.25">
      <c r="A740" s="19">
        <v>32</v>
      </c>
      <c r="B740" s="18" t="s">
        <v>39</v>
      </c>
      <c r="C740" s="18" t="s">
        <v>92</v>
      </c>
      <c r="D740" s="18" t="s">
        <v>1138</v>
      </c>
      <c r="E740" s="18" t="s">
        <v>1302</v>
      </c>
      <c r="F740" s="101">
        <v>46192.522222222222</v>
      </c>
      <c r="G740" s="101">
        <v>46193.449305555558</v>
      </c>
      <c r="H740" s="18" t="s">
        <v>507</v>
      </c>
      <c r="I740" s="18" t="s">
        <v>508</v>
      </c>
      <c r="J740" s="18"/>
      <c r="K740" s="21">
        <f t="shared" si="33"/>
        <v>22.250000000058208</v>
      </c>
      <c r="L740" s="19">
        <f t="shared" si="34"/>
        <v>164</v>
      </c>
      <c r="M740" s="18" t="str">
        <f>IF(I740&lt;&gt;"Sí","",IF(YEAR(F740)&lt;&gt;2026,"",INDEX({"Enero","Febrero","Marzo","Abril","Mayo","Junio","Julio","Agosto","Septiembre","Octubre","Noviembre","Diciembre"},MONTH(F740))))</f>
        <v>Junio</v>
      </c>
      <c r="N740" s="18" t="str">
        <f t="shared" si="35"/>
        <v>Junio|164</v>
      </c>
    </row>
    <row r="741" spans="1:14" ht="14.5" x14ac:dyDescent="0.25">
      <c r="A741" s="19">
        <v>32</v>
      </c>
      <c r="B741" s="18" t="s">
        <v>39</v>
      </c>
      <c r="C741" s="18" t="s">
        <v>92</v>
      </c>
      <c r="D741" s="18" t="s">
        <v>1138</v>
      </c>
      <c r="E741" s="18" t="s">
        <v>1303</v>
      </c>
      <c r="F741" s="101">
        <v>46192.524305555555</v>
      </c>
      <c r="G741" s="101">
        <v>46193.447222222225</v>
      </c>
      <c r="H741" s="18" t="s">
        <v>507</v>
      </c>
      <c r="I741" s="18" t="s">
        <v>508</v>
      </c>
      <c r="J741" s="18"/>
      <c r="K741" s="21">
        <f t="shared" si="33"/>
        <v>22.150000000081491</v>
      </c>
      <c r="L741" s="19">
        <f t="shared" si="34"/>
        <v>166</v>
      </c>
      <c r="M741" s="18" t="str">
        <f>IF(I741&lt;&gt;"Sí","",IF(YEAR(F741)&lt;&gt;2026,"",INDEX({"Enero","Febrero","Marzo","Abril","Mayo","Junio","Julio","Agosto","Septiembre","Octubre","Noviembre","Diciembre"},MONTH(F741))))</f>
        <v>Junio</v>
      </c>
      <c r="N741" s="18" t="str">
        <f t="shared" si="35"/>
        <v>Junio|166</v>
      </c>
    </row>
    <row r="742" spans="1:14" ht="14.5" x14ac:dyDescent="0.25">
      <c r="A742" s="19">
        <v>32</v>
      </c>
      <c r="B742" s="18" t="s">
        <v>39</v>
      </c>
      <c r="C742" s="18" t="s">
        <v>92</v>
      </c>
      <c r="D742" s="18" t="s">
        <v>1138</v>
      </c>
      <c r="E742" s="18" t="s">
        <v>1304</v>
      </c>
      <c r="F742" s="101">
        <v>46192.524305555555</v>
      </c>
      <c r="G742" s="101">
        <v>46193.434027777781</v>
      </c>
      <c r="H742" s="18" t="s">
        <v>507</v>
      </c>
      <c r="I742" s="18" t="s">
        <v>508</v>
      </c>
      <c r="J742" s="18"/>
      <c r="K742" s="21">
        <f t="shared" si="33"/>
        <v>21.833333333430346</v>
      </c>
      <c r="L742" s="19">
        <f t="shared" si="34"/>
        <v>166</v>
      </c>
      <c r="M742" s="18" t="str">
        <f>IF(I742&lt;&gt;"Sí","",IF(YEAR(F742)&lt;&gt;2026,"",INDEX({"Enero","Febrero","Marzo","Abril","Mayo","Junio","Julio","Agosto","Septiembre","Octubre","Noviembre","Diciembre"},MONTH(F742))))</f>
        <v>Junio</v>
      </c>
      <c r="N742" s="18" t="str">
        <f t="shared" si="35"/>
        <v>Junio|166</v>
      </c>
    </row>
    <row r="743" spans="1:14" ht="14.5" x14ac:dyDescent="0.25">
      <c r="A743" s="19">
        <v>32</v>
      </c>
      <c r="B743" s="18" t="s">
        <v>39</v>
      </c>
      <c r="C743" s="18" t="s">
        <v>92</v>
      </c>
      <c r="D743" s="18" t="s">
        <v>1138</v>
      </c>
      <c r="E743" s="18" t="s">
        <v>1305</v>
      </c>
      <c r="F743" s="101">
        <v>46192.525694444441</v>
      </c>
      <c r="G743" s="101">
        <v>46193.434027777781</v>
      </c>
      <c r="H743" s="18" t="s">
        <v>507</v>
      </c>
      <c r="I743" s="18" t="s">
        <v>508</v>
      </c>
      <c r="J743" s="18"/>
      <c r="K743" s="21">
        <f t="shared" si="33"/>
        <v>21.800000000162981</v>
      </c>
      <c r="L743" s="19">
        <f t="shared" si="34"/>
        <v>167</v>
      </c>
      <c r="M743" s="18" t="str">
        <f>IF(I743&lt;&gt;"Sí","",IF(YEAR(F743)&lt;&gt;2026,"",INDEX({"Enero","Febrero","Marzo","Abril","Mayo","Junio","Julio","Agosto","Septiembre","Octubre","Noviembre","Diciembre"},MONTH(F743))))</f>
        <v>Junio</v>
      </c>
      <c r="N743" s="18" t="str">
        <f t="shared" si="35"/>
        <v>Junio|167</v>
      </c>
    </row>
    <row r="744" spans="1:14" ht="14.5" x14ac:dyDescent="0.25">
      <c r="A744" s="19">
        <v>32</v>
      </c>
      <c r="B744" s="18" t="s">
        <v>39</v>
      </c>
      <c r="C744" s="18" t="s">
        <v>92</v>
      </c>
      <c r="D744" s="18" t="s">
        <v>1138</v>
      </c>
      <c r="E744" s="18" t="s">
        <v>1306</v>
      </c>
      <c r="F744" s="101">
        <v>46192.526388888888</v>
      </c>
      <c r="G744" s="101">
        <v>46193.425694444442</v>
      </c>
      <c r="H744" s="18" t="s">
        <v>507</v>
      </c>
      <c r="I744" s="18" t="s">
        <v>508</v>
      </c>
      <c r="J744" s="18"/>
      <c r="K744" s="21">
        <f t="shared" si="33"/>
        <v>21.583333333313931</v>
      </c>
      <c r="L744" s="19">
        <f t="shared" si="34"/>
        <v>168</v>
      </c>
      <c r="M744" s="18" t="str">
        <f>IF(I744&lt;&gt;"Sí","",IF(YEAR(F744)&lt;&gt;2026,"",INDEX({"Enero","Febrero","Marzo","Abril","Mayo","Junio","Julio","Agosto","Septiembre","Octubre","Noviembre","Diciembre"},MONTH(F744))))</f>
        <v>Junio</v>
      </c>
      <c r="N744" s="18" t="str">
        <f t="shared" si="35"/>
        <v>Junio|168</v>
      </c>
    </row>
    <row r="745" spans="1:14" ht="14.5" x14ac:dyDescent="0.25">
      <c r="A745" s="19">
        <v>32</v>
      </c>
      <c r="B745" s="18" t="s">
        <v>39</v>
      </c>
      <c r="C745" s="18" t="s">
        <v>92</v>
      </c>
      <c r="D745" s="18" t="s">
        <v>1138</v>
      </c>
      <c r="E745" s="18" t="s">
        <v>1307</v>
      </c>
      <c r="F745" s="101">
        <v>46192.530555555553</v>
      </c>
      <c r="G745" s="101">
        <v>46193.425694444442</v>
      </c>
      <c r="H745" s="18" t="s">
        <v>507</v>
      </c>
      <c r="I745" s="18" t="s">
        <v>508</v>
      </c>
      <c r="J745" s="18"/>
      <c r="K745" s="21">
        <f t="shared" si="33"/>
        <v>21.483333333337214</v>
      </c>
      <c r="L745" s="19">
        <f t="shared" si="34"/>
        <v>169</v>
      </c>
      <c r="M745" s="18" t="str">
        <f>IF(I745&lt;&gt;"Sí","",IF(YEAR(F745)&lt;&gt;2026,"",INDEX({"Enero","Febrero","Marzo","Abril","Mayo","Junio","Julio","Agosto","Septiembre","Octubre","Noviembre","Diciembre"},MONTH(F745))))</f>
        <v>Junio</v>
      </c>
      <c r="N745" s="18" t="str">
        <f t="shared" si="35"/>
        <v>Junio|169</v>
      </c>
    </row>
    <row r="746" spans="1:14" ht="14.5" x14ac:dyDescent="0.25">
      <c r="A746" s="19">
        <v>32</v>
      </c>
      <c r="B746" s="18" t="s">
        <v>39</v>
      </c>
      <c r="C746" s="18" t="s">
        <v>92</v>
      </c>
      <c r="D746" s="18" t="s">
        <v>1138</v>
      </c>
      <c r="E746" s="18" t="s">
        <v>1308</v>
      </c>
      <c r="F746" s="101">
        <v>46192.532638888886</v>
      </c>
      <c r="G746" s="101">
        <v>46193.425694444442</v>
      </c>
      <c r="H746" s="18" t="s">
        <v>507</v>
      </c>
      <c r="I746" s="18" t="s">
        <v>508</v>
      </c>
      <c r="J746" s="18"/>
      <c r="K746" s="21">
        <f t="shared" si="33"/>
        <v>21.433333333348855</v>
      </c>
      <c r="L746" s="19">
        <f t="shared" si="34"/>
        <v>170</v>
      </c>
      <c r="M746" s="18" t="str">
        <f>IF(I746&lt;&gt;"Sí","",IF(YEAR(F746)&lt;&gt;2026,"",INDEX({"Enero","Febrero","Marzo","Abril","Mayo","Junio","Julio","Agosto","Septiembre","Octubre","Noviembre","Diciembre"},MONTH(F746))))</f>
        <v>Junio</v>
      </c>
      <c r="N746" s="18" t="str">
        <f t="shared" si="35"/>
        <v>Junio|170</v>
      </c>
    </row>
    <row r="747" spans="1:14" ht="14.5" x14ac:dyDescent="0.25">
      <c r="A747" s="19">
        <v>32</v>
      </c>
      <c r="B747" s="18" t="s">
        <v>39</v>
      </c>
      <c r="C747" s="18" t="s">
        <v>92</v>
      </c>
      <c r="D747" s="18" t="s">
        <v>1138</v>
      </c>
      <c r="E747" s="18" t="s">
        <v>1309</v>
      </c>
      <c r="F747" s="101">
        <v>46192.535416666666</v>
      </c>
      <c r="G747" s="101">
        <v>46193.425694444442</v>
      </c>
      <c r="H747" s="18" t="s">
        <v>507</v>
      </c>
      <c r="I747" s="18" t="s">
        <v>508</v>
      </c>
      <c r="J747" s="18"/>
      <c r="K747" s="21">
        <f t="shared" si="33"/>
        <v>21.366666666639503</v>
      </c>
      <c r="L747" s="19">
        <f t="shared" si="34"/>
        <v>171</v>
      </c>
      <c r="M747" s="18" t="str">
        <f>IF(I747&lt;&gt;"Sí","",IF(YEAR(F747)&lt;&gt;2026,"",INDEX({"Enero","Febrero","Marzo","Abril","Mayo","Junio","Julio","Agosto","Septiembre","Octubre","Noviembre","Diciembre"},MONTH(F747))))</f>
        <v>Junio</v>
      </c>
      <c r="N747" s="18" t="str">
        <f t="shared" si="35"/>
        <v>Junio|171</v>
      </c>
    </row>
    <row r="748" spans="1:14" ht="14.5" x14ac:dyDescent="0.25">
      <c r="A748" s="19">
        <v>32</v>
      </c>
      <c r="B748" s="18" t="s">
        <v>39</v>
      </c>
      <c r="C748" s="18" t="s">
        <v>92</v>
      </c>
      <c r="D748" s="18" t="s">
        <v>1138</v>
      </c>
      <c r="E748" s="18" t="s">
        <v>1310</v>
      </c>
      <c r="F748" s="101">
        <v>46192.536805555559</v>
      </c>
      <c r="G748" s="101">
        <v>46193.425694444442</v>
      </c>
      <c r="H748" s="18" t="s">
        <v>507</v>
      </c>
      <c r="I748" s="18" t="s">
        <v>508</v>
      </c>
      <c r="J748" s="18"/>
      <c r="K748" s="21">
        <f t="shared" si="33"/>
        <v>21.333333333197515</v>
      </c>
      <c r="L748" s="19">
        <f t="shared" si="34"/>
        <v>172</v>
      </c>
      <c r="M748" s="18" t="str">
        <f>IF(I748&lt;&gt;"Sí","",IF(YEAR(F748)&lt;&gt;2026,"",INDEX({"Enero","Febrero","Marzo","Abril","Mayo","Junio","Julio","Agosto","Septiembre","Octubre","Noviembre","Diciembre"},MONTH(F748))))</f>
        <v>Junio</v>
      </c>
      <c r="N748" s="18" t="str">
        <f t="shared" si="35"/>
        <v>Junio|172</v>
      </c>
    </row>
    <row r="749" spans="1:14" ht="14.5" x14ac:dyDescent="0.25">
      <c r="A749" s="19">
        <v>32</v>
      </c>
      <c r="B749" s="18" t="s">
        <v>39</v>
      </c>
      <c r="C749" s="18" t="s">
        <v>92</v>
      </c>
      <c r="D749" s="18" t="s">
        <v>1138</v>
      </c>
      <c r="E749" s="18" t="s">
        <v>1311</v>
      </c>
      <c r="F749" s="101">
        <v>46192.538888888892</v>
      </c>
      <c r="G749" s="101">
        <v>46193.550694444442</v>
      </c>
      <c r="H749" s="18" t="s">
        <v>507</v>
      </c>
      <c r="I749" s="18" t="s">
        <v>508</v>
      </c>
      <c r="J749" s="18"/>
      <c r="K749" s="21">
        <f t="shared" si="33"/>
        <v>24.283333333209157</v>
      </c>
      <c r="L749" s="19">
        <f t="shared" si="34"/>
        <v>173</v>
      </c>
      <c r="M749" s="18" t="str">
        <f>IF(I749&lt;&gt;"Sí","",IF(YEAR(F749)&lt;&gt;2026,"",INDEX({"Enero","Febrero","Marzo","Abril","Mayo","Junio","Julio","Agosto","Septiembre","Octubre","Noviembre","Diciembre"},MONTH(F749))))</f>
        <v>Junio</v>
      </c>
      <c r="N749" s="18" t="str">
        <f t="shared" si="35"/>
        <v>Junio|173</v>
      </c>
    </row>
    <row r="750" spans="1:14" ht="14.5" x14ac:dyDescent="0.25">
      <c r="A750" s="19">
        <v>32</v>
      </c>
      <c r="B750" s="18" t="s">
        <v>39</v>
      </c>
      <c r="C750" s="18" t="s">
        <v>92</v>
      </c>
      <c r="D750" s="18" t="s">
        <v>1138</v>
      </c>
      <c r="E750" s="18" t="s">
        <v>1312</v>
      </c>
      <c r="F750" s="101">
        <v>46192.539583333331</v>
      </c>
      <c r="G750" s="101">
        <v>46193.425694444442</v>
      </c>
      <c r="H750" s="18" t="s">
        <v>507</v>
      </c>
      <c r="I750" s="18" t="s">
        <v>508</v>
      </c>
      <c r="J750" s="18"/>
      <c r="K750" s="21">
        <f t="shared" si="33"/>
        <v>21.266666666662786</v>
      </c>
      <c r="L750" s="19">
        <f t="shared" si="34"/>
        <v>174</v>
      </c>
      <c r="M750" s="18" t="str">
        <f>IF(I750&lt;&gt;"Sí","",IF(YEAR(F750)&lt;&gt;2026,"",INDEX({"Enero","Febrero","Marzo","Abril","Mayo","Junio","Julio","Agosto","Septiembre","Octubre","Noviembre","Diciembre"},MONTH(F750))))</f>
        <v>Junio</v>
      </c>
      <c r="N750" s="18" t="str">
        <f t="shared" si="35"/>
        <v>Junio|174</v>
      </c>
    </row>
    <row r="751" spans="1:14" ht="14.5" x14ac:dyDescent="0.25">
      <c r="A751" s="19">
        <v>32</v>
      </c>
      <c r="B751" s="18" t="s">
        <v>39</v>
      </c>
      <c r="C751" s="18" t="s">
        <v>92</v>
      </c>
      <c r="D751" s="18" t="s">
        <v>1138</v>
      </c>
      <c r="E751" s="18" t="s">
        <v>1313</v>
      </c>
      <c r="F751" s="101"/>
      <c r="G751" s="101">
        <v>46193.104861111111</v>
      </c>
      <c r="H751" s="18" t="s">
        <v>1067</v>
      </c>
      <c r="I751" s="18" t="s">
        <v>555</v>
      </c>
      <c r="J751" s="18" t="s">
        <v>556</v>
      </c>
      <c r="K751" s="21" t="str">
        <f t="shared" si="33"/>
        <v/>
      </c>
      <c r="L751" s="19" t="str">
        <f t="shared" si="34"/>
        <v/>
      </c>
      <c r="M751" s="18" t="str">
        <f>IF(I751&lt;&gt;"Sí","",IF(YEAR(F751)&lt;&gt;2026,"",INDEX({"Enero","Febrero","Marzo","Abril","Mayo","Junio","Julio","Agosto","Septiembre","Octubre","Noviembre","Diciembre"},MONTH(F751))))</f>
        <v/>
      </c>
      <c r="N751" s="18" t="str">
        <f t="shared" si="35"/>
        <v/>
      </c>
    </row>
    <row r="752" spans="1:14" ht="14.5" x14ac:dyDescent="0.25">
      <c r="A752" s="19">
        <v>32</v>
      </c>
      <c r="B752" s="18" t="s">
        <v>39</v>
      </c>
      <c r="C752" s="18" t="s">
        <v>92</v>
      </c>
      <c r="D752" s="18" t="s">
        <v>1138</v>
      </c>
      <c r="E752" s="18" t="s">
        <v>1314</v>
      </c>
      <c r="F752" s="101"/>
      <c r="G752" s="101">
        <v>46193.106249999997</v>
      </c>
      <c r="H752" s="18" t="s">
        <v>1067</v>
      </c>
      <c r="I752" s="18" t="s">
        <v>555</v>
      </c>
      <c r="J752" s="18" t="s">
        <v>556</v>
      </c>
      <c r="K752" s="21" t="str">
        <f t="shared" si="33"/>
        <v/>
      </c>
      <c r="L752" s="19" t="str">
        <f t="shared" si="34"/>
        <v/>
      </c>
      <c r="M752" s="18" t="str">
        <f>IF(I752&lt;&gt;"Sí","",IF(YEAR(F752)&lt;&gt;2026,"",INDEX({"Enero","Febrero","Marzo","Abril","Mayo","Junio","Julio","Agosto","Septiembre","Octubre","Noviembre","Diciembre"},MONTH(F752))))</f>
        <v/>
      </c>
      <c r="N752" s="18" t="str">
        <f t="shared" si="35"/>
        <v/>
      </c>
    </row>
    <row r="753" spans="1:14" ht="14.5" x14ac:dyDescent="0.25">
      <c r="A753" s="19">
        <v>32</v>
      </c>
      <c r="B753" s="18" t="s">
        <v>39</v>
      </c>
      <c r="C753" s="18" t="s">
        <v>1315</v>
      </c>
      <c r="D753" s="18" t="s">
        <v>1316</v>
      </c>
      <c r="E753" s="18" t="s">
        <v>1317</v>
      </c>
      <c r="F753" s="101">
        <v>46193.47152777778</v>
      </c>
      <c r="G753" s="101">
        <v>46198.054166666669</v>
      </c>
      <c r="H753" s="18" t="s">
        <v>507</v>
      </c>
      <c r="I753" s="18" t="s">
        <v>508</v>
      </c>
      <c r="J753" s="18"/>
      <c r="K753" s="21">
        <f t="shared" si="33"/>
        <v>109.98333333333721</v>
      </c>
      <c r="L753" s="19">
        <f t="shared" si="34"/>
        <v>83</v>
      </c>
      <c r="M753" s="18" t="str">
        <f>IF(I753&lt;&gt;"Sí","",IF(YEAR(F753)&lt;&gt;2026,"",INDEX({"Enero","Febrero","Marzo","Abril","Mayo","Junio","Julio","Agosto","Septiembre","Octubre","Noviembre","Diciembre"},MONTH(F753))))</f>
        <v>Junio</v>
      </c>
      <c r="N753" s="18" t="str">
        <f t="shared" si="35"/>
        <v>Junio|83</v>
      </c>
    </row>
    <row r="754" spans="1:14" ht="14.5" x14ac:dyDescent="0.25">
      <c r="A754" s="19">
        <v>32</v>
      </c>
      <c r="B754" s="18" t="s">
        <v>39</v>
      </c>
      <c r="C754" s="18" t="s">
        <v>85</v>
      </c>
      <c r="D754" s="18" t="s">
        <v>1318</v>
      </c>
      <c r="E754" s="18" t="s">
        <v>1319</v>
      </c>
      <c r="F754" s="101">
        <v>46193.47152777778</v>
      </c>
      <c r="G754" s="101">
        <v>46203.109027777777</v>
      </c>
      <c r="H754" s="18" t="s">
        <v>507</v>
      </c>
      <c r="I754" s="18" t="s">
        <v>508</v>
      </c>
      <c r="J754" s="18"/>
      <c r="K754" s="21">
        <f t="shared" si="33"/>
        <v>231.29999999993015</v>
      </c>
      <c r="L754" s="19">
        <f t="shared" si="34"/>
        <v>83</v>
      </c>
      <c r="M754" s="18" t="str">
        <f>IF(I754&lt;&gt;"Sí","",IF(YEAR(F754)&lt;&gt;2026,"",INDEX({"Enero","Febrero","Marzo","Abril","Mayo","Junio","Julio","Agosto","Septiembre","Octubre","Noviembre","Diciembre"},MONTH(F754))))</f>
        <v>Junio</v>
      </c>
      <c r="N754" s="18" t="str">
        <f t="shared" si="35"/>
        <v>Junio|83</v>
      </c>
    </row>
    <row r="755" spans="1:14" ht="14.5" x14ac:dyDescent="0.25">
      <c r="A755" s="19">
        <v>32</v>
      </c>
      <c r="B755" s="18" t="s">
        <v>39</v>
      </c>
      <c r="C755" s="18" t="s">
        <v>975</v>
      </c>
      <c r="D755" s="18" t="s">
        <v>1320</v>
      </c>
      <c r="E755" s="18" t="s">
        <v>1321</v>
      </c>
      <c r="F755" s="101"/>
      <c r="G755" s="101">
        <v>46195.068749999999</v>
      </c>
      <c r="H755" s="18" t="s">
        <v>1067</v>
      </c>
      <c r="I755" s="18" t="s">
        <v>555</v>
      </c>
      <c r="J755" s="18" t="s">
        <v>556</v>
      </c>
      <c r="K755" s="21" t="str">
        <f t="shared" si="33"/>
        <v/>
      </c>
      <c r="L755" s="19" t="str">
        <f t="shared" si="34"/>
        <v/>
      </c>
      <c r="M755" s="18" t="str">
        <f>IF(I755&lt;&gt;"Sí","",IF(YEAR(F755)&lt;&gt;2026,"",INDEX({"Enero","Febrero","Marzo","Abril","Mayo","Junio","Julio","Agosto","Septiembre","Octubre","Noviembre","Diciembre"},MONTH(F755))))</f>
        <v/>
      </c>
      <c r="N755" s="18" t="str">
        <f t="shared" si="35"/>
        <v/>
      </c>
    </row>
    <row r="756" spans="1:14" ht="14.5" x14ac:dyDescent="0.25">
      <c r="A756" s="19">
        <v>32</v>
      </c>
      <c r="B756" s="18" t="s">
        <v>39</v>
      </c>
      <c r="C756" s="18" t="s">
        <v>975</v>
      </c>
      <c r="D756" s="18" t="s">
        <v>1320</v>
      </c>
      <c r="E756" s="18" t="s">
        <v>1322</v>
      </c>
      <c r="F756" s="101"/>
      <c r="G756" s="101">
        <v>46195.068749999999</v>
      </c>
      <c r="H756" s="18" t="s">
        <v>1067</v>
      </c>
      <c r="I756" s="18" t="s">
        <v>555</v>
      </c>
      <c r="J756" s="18" t="s">
        <v>556</v>
      </c>
      <c r="K756" s="21" t="str">
        <f t="shared" si="33"/>
        <v/>
      </c>
      <c r="L756" s="19" t="str">
        <f t="shared" si="34"/>
        <v/>
      </c>
      <c r="M756" s="18" t="str">
        <f>IF(I756&lt;&gt;"Sí","",IF(YEAR(F756)&lt;&gt;2026,"",INDEX({"Enero","Febrero","Marzo","Abril","Mayo","Junio","Julio","Agosto","Septiembre","Octubre","Noviembre","Diciembre"},MONTH(F756))))</f>
        <v/>
      </c>
      <c r="N756" s="18" t="str">
        <f t="shared" si="35"/>
        <v/>
      </c>
    </row>
    <row r="757" spans="1:14" ht="14.5" x14ac:dyDescent="0.25">
      <c r="A757" s="19">
        <v>32</v>
      </c>
      <c r="B757" s="18" t="s">
        <v>39</v>
      </c>
      <c r="C757" s="18" t="s">
        <v>975</v>
      </c>
      <c r="D757" s="18" t="s">
        <v>1320</v>
      </c>
      <c r="E757" s="18" t="s">
        <v>1323</v>
      </c>
      <c r="F757" s="101"/>
      <c r="G757" s="101">
        <v>46195.068749999999</v>
      </c>
      <c r="H757" s="18" t="s">
        <v>1067</v>
      </c>
      <c r="I757" s="18" t="s">
        <v>555</v>
      </c>
      <c r="J757" s="18" t="s">
        <v>556</v>
      </c>
      <c r="K757" s="21" t="str">
        <f t="shared" si="33"/>
        <v/>
      </c>
      <c r="L757" s="19" t="str">
        <f t="shared" si="34"/>
        <v/>
      </c>
      <c r="M757" s="18" t="str">
        <f>IF(I757&lt;&gt;"Sí","",IF(YEAR(F757)&lt;&gt;2026,"",INDEX({"Enero","Febrero","Marzo","Abril","Mayo","Junio","Julio","Agosto","Septiembre","Octubre","Noviembre","Diciembre"},MONTH(F757))))</f>
        <v/>
      </c>
      <c r="N757" s="18" t="str">
        <f t="shared" si="35"/>
        <v/>
      </c>
    </row>
    <row r="758" spans="1:14" ht="14.5" x14ac:dyDescent="0.25">
      <c r="A758" s="19">
        <v>32</v>
      </c>
      <c r="B758" s="18" t="s">
        <v>39</v>
      </c>
      <c r="C758" s="18" t="s">
        <v>975</v>
      </c>
      <c r="D758" s="18" t="s">
        <v>1320</v>
      </c>
      <c r="E758" s="18" t="s">
        <v>1321</v>
      </c>
      <c r="F758" s="101">
        <v>46195.116666666669</v>
      </c>
      <c r="G758" s="101">
        <v>46195.68472222222</v>
      </c>
      <c r="H758" s="18" t="s">
        <v>1067</v>
      </c>
      <c r="I758" s="18" t="s">
        <v>508</v>
      </c>
      <c r="J758" s="18"/>
      <c r="K758" s="21">
        <f t="shared" si="33"/>
        <v>13.633333333244082</v>
      </c>
      <c r="L758" s="19">
        <f t="shared" si="34"/>
        <v>3</v>
      </c>
      <c r="M758" s="18" t="str">
        <f>IF(I758&lt;&gt;"Sí","",IF(YEAR(F758)&lt;&gt;2026,"",INDEX({"Enero","Febrero","Marzo","Abril","Mayo","Junio","Julio","Agosto","Septiembre","Octubre","Noviembre","Diciembre"},MONTH(F758))))</f>
        <v>Junio</v>
      </c>
      <c r="N758" s="18" t="str">
        <f t="shared" si="35"/>
        <v>Junio|3</v>
      </c>
    </row>
    <row r="759" spans="1:14" ht="14.5" x14ac:dyDescent="0.25">
      <c r="A759" s="19">
        <v>32</v>
      </c>
      <c r="B759" s="18" t="s">
        <v>39</v>
      </c>
      <c r="C759" s="18" t="s">
        <v>975</v>
      </c>
      <c r="D759" s="18" t="s">
        <v>1320</v>
      </c>
      <c r="E759" s="18" t="s">
        <v>1322</v>
      </c>
      <c r="F759" s="101">
        <v>46195.120138888888</v>
      </c>
      <c r="G759" s="101">
        <v>46196.681944444441</v>
      </c>
      <c r="H759" s="18" t="s">
        <v>1067</v>
      </c>
      <c r="I759" s="18" t="s">
        <v>508</v>
      </c>
      <c r="J759" s="18"/>
      <c r="K759" s="21">
        <f t="shared" si="33"/>
        <v>37.483333333279006</v>
      </c>
      <c r="L759" s="19">
        <f t="shared" si="34"/>
        <v>4</v>
      </c>
      <c r="M759" s="18" t="str">
        <f>IF(I759&lt;&gt;"Sí","",IF(YEAR(F759)&lt;&gt;2026,"",INDEX({"Enero","Febrero","Marzo","Abril","Mayo","Junio","Julio","Agosto","Septiembre","Octubre","Noviembre","Diciembre"},MONTH(F759))))</f>
        <v>Junio</v>
      </c>
      <c r="N759" s="18" t="str">
        <f t="shared" si="35"/>
        <v>Junio|4</v>
      </c>
    </row>
    <row r="760" spans="1:14" ht="14.5" x14ac:dyDescent="0.25">
      <c r="A760" s="19">
        <v>33</v>
      </c>
      <c r="B760" s="18" t="s">
        <v>40</v>
      </c>
      <c r="C760" s="18" t="s">
        <v>167</v>
      </c>
      <c r="D760" s="18" t="s">
        <v>1324</v>
      </c>
      <c r="E760" s="18" t="s">
        <v>1325</v>
      </c>
      <c r="F760" s="101">
        <v>46195.529166666667</v>
      </c>
      <c r="G760" s="101">
        <v>46209.864583333336</v>
      </c>
      <c r="H760" s="18" t="s">
        <v>507</v>
      </c>
      <c r="I760" s="18" t="s">
        <v>508</v>
      </c>
      <c r="J760" s="18"/>
      <c r="K760" s="21">
        <f t="shared" si="33"/>
        <v>344.05000000004657</v>
      </c>
      <c r="L760" s="19">
        <f t="shared" si="34"/>
        <v>5</v>
      </c>
      <c r="M760" s="18" t="str">
        <f>IF(I760&lt;&gt;"Sí","",IF(YEAR(F760)&lt;&gt;2026,"",INDEX({"Enero","Febrero","Marzo","Abril","Mayo","Junio","Julio","Agosto","Septiembre","Octubre","Noviembre","Diciembre"},MONTH(F760))))</f>
        <v>Junio</v>
      </c>
      <c r="N760" s="18" t="str">
        <f t="shared" si="35"/>
        <v>Junio|5</v>
      </c>
    </row>
    <row r="761" spans="1:14" ht="14.5" x14ac:dyDescent="0.25">
      <c r="A761" s="19">
        <v>32</v>
      </c>
      <c r="B761" s="18" t="s">
        <v>39</v>
      </c>
      <c r="C761" s="18" t="s">
        <v>95</v>
      </c>
      <c r="D761" s="18" t="s">
        <v>1326</v>
      </c>
      <c r="E761" s="18" t="s">
        <v>1327</v>
      </c>
      <c r="F761" s="101">
        <v>46195.560416666667</v>
      </c>
      <c r="G761" s="101">
        <v>46200.495138888888</v>
      </c>
      <c r="H761" s="18" t="s">
        <v>507</v>
      </c>
      <c r="I761" s="18" t="s">
        <v>508</v>
      </c>
      <c r="J761" s="18"/>
      <c r="K761" s="21">
        <f t="shared" si="33"/>
        <v>118.43333333329065</v>
      </c>
      <c r="L761" s="19">
        <f t="shared" si="34"/>
        <v>9</v>
      </c>
      <c r="M761" s="18" t="str">
        <f>IF(I761&lt;&gt;"Sí","",IF(YEAR(F761)&lt;&gt;2026,"",INDEX({"Enero","Febrero","Marzo","Abril","Mayo","Junio","Julio","Agosto","Septiembre","Octubre","Noviembre","Diciembre"},MONTH(F761))))</f>
        <v>Junio</v>
      </c>
      <c r="N761" s="18" t="str">
        <f t="shared" si="35"/>
        <v>Junio|9</v>
      </c>
    </row>
    <row r="762" spans="1:14" ht="14.5" x14ac:dyDescent="0.25">
      <c r="A762" s="19">
        <v>32</v>
      </c>
      <c r="B762" s="18" t="s">
        <v>39</v>
      </c>
      <c r="C762" s="18" t="s">
        <v>95</v>
      </c>
      <c r="D762" s="18" t="s">
        <v>1326</v>
      </c>
      <c r="E762" s="18" t="s">
        <v>1328</v>
      </c>
      <c r="F762" s="101">
        <v>46195.560416666667</v>
      </c>
      <c r="G762" s="101">
        <v>46200.495138888888</v>
      </c>
      <c r="H762" s="18" t="s">
        <v>507</v>
      </c>
      <c r="I762" s="18" t="s">
        <v>508</v>
      </c>
      <c r="J762" s="18"/>
      <c r="K762" s="21">
        <f t="shared" si="33"/>
        <v>118.43333333329065</v>
      </c>
      <c r="L762" s="19">
        <f t="shared" si="34"/>
        <v>9</v>
      </c>
      <c r="M762" s="18" t="str">
        <f>IF(I762&lt;&gt;"Sí","",IF(YEAR(F762)&lt;&gt;2026,"",INDEX({"Enero","Febrero","Marzo","Abril","Mayo","Junio","Julio","Agosto","Septiembre","Octubre","Noviembre","Diciembre"},MONTH(F762))))</f>
        <v>Junio</v>
      </c>
      <c r="N762" s="18" t="str">
        <f t="shared" si="35"/>
        <v>Junio|9</v>
      </c>
    </row>
    <row r="763" spans="1:14" ht="14.5" x14ac:dyDescent="0.25">
      <c r="A763" s="19">
        <v>32</v>
      </c>
      <c r="B763" s="18" t="s">
        <v>39</v>
      </c>
      <c r="C763" s="18" t="s">
        <v>85</v>
      </c>
      <c r="D763" s="18" t="s">
        <v>1318</v>
      </c>
      <c r="E763" s="18" t="s">
        <v>1329</v>
      </c>
      <c r="F763" s="101">
        <v>46195.560416666667</v>
      </c>
      <c r="G763" s="101">
        <v>46203.180555555555</v>
      </c>
      <c r="H763" s="18" t="s">
        <v>507</v>
      </c>
      <c r="I763" s="18" t="s">
        <v>508</v>
      </c>
      <c r="J763" s="18"/>
      <c r="K763" s="21">
        <f t="shared" si="33"/>
        <v>182.88333333330229</v>
      </c>
      <c r="L763" s="19">
        <f t="shared" si="34"/>
        <v>9</v>
      </c>
      <c r="M763" s="18" t="str">
        <f>IF(I763&lt;&gt;"Sí","",IF(YEAR(F763)&lt;&gt;2026,"",INDEX({"Enero","Febrero","Marzo","Abril","Mayo","Junio","Julio","Agosto","Septiembre","Octubre","Noviembre","Diciembre"},MONTH(F763))))</f>
        <v>Junio</v>
      </c>
      <c r="N763" s="18" t="str">
        <f t="shared" si="35"/>
        <v>Junio|9</v>
      </c>
    </row>
    <row r="764" spans="1:14" ht="14.5" x14ac:dyDescent="0.25">
      <c r="A764" s="19">
        <v>32</v>
      </c>
      <c r="B764" s="18" t="s">
        <v>39</v>
      </c>
      <c r="C764" s="18" t="s">
        <v>85</v>
      </c>
      <c r="D764" s="18" t="s">
        <v>1318</v>
      </c>
      <c r="E764" s="18" t="s">
        <v>1330</v>
      </c>
      <c r="F764" s="101">
        <v>46195.560416666667</v>
      </c>
      <c r="G764" s="101">
        <v>46203.109027777777</v>
      </c>
      <c r="H764" s="18" t="s">
        <v>507</v>
      </c>
      <c r="I764" s="18" t="s">
        <v>508</v>
      </c>
      <c r="J764" s="18"/>
      <c r="K764" s="21">
        <f t="shared" si="33"/>
        <v>181.16666666662786</v>
      </c>
      <c r="L764" s="19">
        <f t="shared" si="34"/>
        <v>9</v>
      </c>
      <c r="M764" s="18" t="str">
        <f>IF(I764&lt;&gt;"Sí","",IF(YEAR(F764)&lt;&gt;2026,"",INDEX({"Enero","Febrero","Marzo","Abril","Mayo","Junio","Julio","Agosto","Septiembre","Octubre","Noviembre","Diciembre"},MONTH(F764))))</f>
        <v>Junio</v>
      </c>
      <c r="N764" s="18" t="str">
        <f t="shared" si="35"/>
        <v>Junio|9</v>
      </c>
    </row>
    <row r="765" spans="1:14" ht="14.5" x14ac:dyDescent="0.25">
      <c r="A765" s="19">
        <v>32</v>
      </c>
      <c r="B765" s="18" t="s">
        <v>39</v>
      </c>
      <c r="C765" s="18" t="s">
        <v>95</v>
      </c>
      <c r="D765" s="18" t="s">
        <v>1326</v>
      </c>
      <c r="E765" s="18" t="s">
        <v>1331</v>
      </c>
      <c r="F765" s="101">
        <v>46195.619444444441</v>
      </c>
      <c r="G765" s="101">
        <v>46200.495138888888</v>
      </c>
      <c r="H765" s="18" t="s">
        <v>507</v>
      </c>
      <c r="I765" s="18" t="s">
        <v>508</v>
      </c>
      <c r="J765" s="18"/>
      <c r="K765" s="21">
        <f t="shared" si="33"/>
        <v>117.01666666672099</v>
      </c>
      <c r="L765" s="19">
        <f t="shared" si="34"/>
        <v>14</v>
      </c>
      <c r="M765" s="18" t="str">
        <f>IF(I765&lt;&gt;"Sí","",IF(YEAR(F765)&lt;&gt;2026,"",INDEX({"Enero","Febrero","Marzo","Abril","Mayo","Junio","Julio","Agosto","Septiembre","Octubre","Noviembre","Diciembre"},MONTH(F765))))</f>
        <v>Junio</v>
      </c>
      <c r="N765" s="18" t="str">
        <f t="shared" si="35"/>
        <v>Junio|14</v>
      </c>
    </row>
    <row r="766" spans="1:14" ht="14.5" x14ac:dyDescent="0.25">
      <c r="A766" s="19">
        <v>32</v>
      </c>
      <c r="B766" s="18" t="s">
        <v>39</v>
      </c>
      <c r="C766" s="18" t="s">
        <v>95</v>
      </c>
      <c r="D766" s="18" t="s">
        <v>1326</v>
      </c>
      <c r="E766" s="18" t="s">
        <v>1332</v>
      </c>
      <c r="F766" s="101">
        <v>46195.619444444441</v>
      </c>
      <c r="G766" s="101">
        <v>46200.495138888888</v>
      </c>
      <c r="H766" s="18" t="s">
        <v>507</v>
      </c>
      <c r="I766" s="18" t="s">
        <v>508</v>
      </c>
      <c r="J766" s="18"/>
      <c r="K766" s="21">
        <f t="shared" si="33"/>
        <v>117.01666666672099</v>
      </c>
      <c r="L766" s="19">
        <f t="shared" si="34"/>
        <v>14</v>
      </c>
      <c r="M766" s="18" t="str">
        <f>IF(I766&lt;&gt;"Sí","",IF(YEAR(F766)&lt;&gt;2026,"",INDEX({"Enero","Febrero","Marzo","Abril","Mayo","Junio","Julio","Agosto","Septiembre","Octubre","Noviembre","Diciembre"},MONTH(F766))))</f>
        <v>Junio</v>
      </c>
      <c r="N766" s="18" t="str">
        <f t="shared" si="35"/>
        <v>Junio|14</v>
      </c>
    </row>
    <row r="767" spans="1:14" ht="14.5" x14ac:dyDescent="0.25">
      <c r="A767" s="19">
        <v>32</v>
      </c>
      <c r="B767" s="18" t="s">
        <v>39</v>
      </c>
      <c r="C767" s="18" t="s">
        <v>95</v>
      </c>
      <c r="D767" s="18" t="s">
        <v>1326</v>
      </c>
      <c r="E767" s="18" t="s">
        <v>1333</v>
      </c>
      <c r="F767" s="101">
        <v>46195.619444444441</v>
      </c>
      <c r="G767" s="101">
        <v>46200.495138888888</v>
      </c>
      <c r="H767" s="18" t="s">
        <v>507</v>
      </c>
      <c r="I767" s="18" t="s">
        <v>508</v>
      </c>
      <c r="J767" s="18"/>
      <c r="K767" s="21">
        <f t="shared" si="33"/>
        <v>117.01666666672099</v>
      </c>
      <c r="L767" s="19">
        <f t="shared" si="34"/>
        <v>14</v>
      </c>
      <c r="M767" s="18" t="str">
        <f>IF(I767&lt;&gt;"Sí","",IF(YEAR(F767)&lt;&gt;2026,"",INDEX({"Enero","Febrero","Marzo","Abril","Mayo","Junio","Julio","Agosto","Septiembre","Octubre","Noviembre","Diciembre"},MONTH(F767))))</f>
        <v>Junio</v>
      </c>
      <c r="N767" s="18" t="str">
        <f t="shared" si="35"/>
        <v>Junio|14</v>
      </c>
    </row>
    <row r="768" spans="1:14" ht="14.5" x14ac:dyDescent="0.25">
      <c r="A768" s="19">
        <v>32</v>
      </c>
      <c r="B768" s="18" t="s">
        <v>39</v>
      </c>
      <c r="C768" s="18" t="s">
        <v>95</v>
      </c>
      <c r="D768" s="18" t="s">
        <v>1326</v>
      </c>
      <c r="E768" s="18" t="s">
        <v>1334</v>
      </c>
      <c r="F768" s="101">
        <v>46195.619444444441</v>
      </c>
      <c r="G768" s="101">
        <v>46200.495138888888</v>
      </c>
      <c r="H768" s="18" t="s">
        <v>507</v>
      </c>
      <c r="I768" s="18" t="s">
        <v>508</v>
      </c>
      <c r="J768" s="18"/>
      <c r="K768" s="21">
        <f t="shared" si="33"/>
        <v>117.01666666672099</v>
      </c>
      <c r="L768" s="19">
        <f t="shared" si="34"/>
        <v>14</v>
      </c>
      <c r="M768" s="18" t="str">
        <f>IF(I768&lt;&gt;"Sí","",IF(YEAR(F768)&lt;&gt;2026,"",INDEX({"Enero","Febrero","Marzo","Abril","Mayo","Junio","Julio","Agosto","Septiembre","Octubre","Noviembre","Diciembre"},MONTH(F768))))</f>
        <v>Junio</v>
      </c>
      <c r="N768" s="18" t="str">
        <f t="shared" si="35"/>
        <v>Junio|14</v>
      </c>
    </row>
    <row r="769" spans="1:14" ht="14.5" x14ac:dyDescent="0.25">
      <c r="A769" s="19">
        <v>32</v>
      </c>
      <c r="B769" s="18" t="s">
        <v>39</v>
      </c>
      <c r="C769" s="18" t="s">
        <v>95</v>
      </c>
      <c r="D769" s="18" t="s">
        <v>1326</v>
      </c>
      <c r="E769" s="18" t="s">
        <v>1335</v>
      </c>
      <c r="F769" s="101">
        <v>46195.619444444441</v>
      </c>
      <c r="G769" s="101">
        <v>46200.495138888888</v>
      </c>
      <c r="H769" s="18" t="s">
        <v>507</v>
      </c>
      <c r="I769" s="18" t="s">
        <v>508</v>
      </c>
      <c r="J769" s="18"/>
      <c r="K769" s="21">
        <f t="shared" si="33"/>
        <v>117.01666666672099</v>
      </c>
      <c r="L769" s="19">
        <f t="shared" si="34"/>
        <v>14</v>
      </c>
      <c r="M769" s="18" t="str">
        <f>IF(I769&lt;&gt;"Sí","",IF(YEAR(F769)&lt;&gt;2026,"",INDEX({"Enero","Febrero","Marzo","Abril","Mayo","Junio","Julio","Agosto","Septiembre","Octubre","Noviembre","Diciembre"},MONTH(F769))))</f>
        <v>Junio</v>
      </c>
      <c r="N769" s="18" t="str">
        <f t="shared" si="35"/>
        <v>Junio|14</v>
      </c>
    </row>
    <row r="770" spans="1:14" ht="14.5" x14ac:dyDescent="0.25">
      <c r="A770" s="19">
        <v>32</v>
      </c>
      <c r="B770" s="18" t="s">
        <v>39</v>
      </c>
      <c r="C770" s="18" t="s">
        <v>95</v>
      </c>
      <c r="D770" s="18" t="s">
        <v>1326</v>
      </c>
      <c r="E770" s="18" t="s">
        <v>1336</v>
      </c>
      <c r="F770" s="101">
        <v>46195.621527777781</v>
      </c>
      <c r="G770" s="101">
        <v>46200.495138888888</v>
      </c>
      <c r="H770" s="18" t="s">
        <v>507</v>
      </c>
      <c r="I770" s="18" t="s">
        <v>508</v>
      </c>
      <c r="J770" s="18"/>
      <c r="K770" s="21">
        <f t="shared" si="33"/>
        <v>116.96666666655801</v>
      </c>
      <c r="L770" s="19">
        <f t="shared" si="34"/>
        <v>15</v>
      </c>
      <c r="M770" s="18" t="str">
        <f>IF(I770&lt;&gt;"Sí","",IF(YEAR(F770)&lt;&gt;2026,"",INDEX({"Enero","Febrero","Marzo","Abril","Mayo","Junio","Julio","Agosto","Septiembre","Octubre","Noviembre","Diciembre"},MONTH(F770))))</f>
        <v>Junio</v>
      </c>
      <c r="N770" s="18" t="str">
        <f t="shared" si="35"/>
        <v>Junio|15</v>
      </c>
    </row>
    <row r="771" spans="1:14" ht="14.5" x14ac:dyDescent="0.25">
      <c r="A771" s="19">
        <v>32</v>
      </c>
      <c r="B771" s="18" t="s">
        <v>39</v>
      </c>
      <c r="C771" s="18" t="s">
        <v>95</v>
      </c>
      <c r="D771" s="18" t="s">
        <v>1326</v>
      </c>
      <c r="E771" s="18" t="s">
        <v>1337</v>
      </c>
      <c r="F771" s="101">
        <v>46195.64166666667</v>
      </c>
      <c r="G771" s="101">
        <v>46200.495138888888</v>
      </c>
      <c r="H771" s="18" t="s">
        <v>507</v>
      </c>
      <c r="I771" s="18" t="s">
        <v>508</v>
      </c>
      <c r="J771" s="18"/>
      <c r="K771" s="21">
        <f t="shared" si="33"/>
        <v>116.4833333332208</v>
      </c>
      <c r="L771" s="19">
        <f t="shared" si="34"/>
        <v>23</v>
      </c>
      <c r="M771" s="18" t="str">
        <f>IF(I771&lt;&gt;"Sí","",IF(YEAR(F771)&lt;&gt;2026,"",INDEX({"Enero","Febrero","Marzo","Abril","Mayo","Junio","Julio","Agosto","Septiembre","Octubre","Noviembre","Diciembre"},MONTH(F771))))</f>
        <v>Junio</v>
      </c>
      <c r="N771" s="18" t="str">
        <f t="shared" si="35"/>
        <v>Junio|23</v>
      </c>
    </row>
    <row r="772" spans="1:14" ht="14.5" x14ac:dyDescent="0.25">
      <c r="A772" s="19">
        <v>32</v>
      </c>
      <c r="B772" s="18" t="s">
        <v>39</v>
      </c>
      <c r="C772" s="18" t="s">
        <v>95</v>
      </c>
      <c r="D772" s="18" t="s">
        <v>1326</v>
      </c>
      <c r="E772" s="18" t="s">
        <v>1338</v>
      </c>
      <c r="F772" s="101">
        <v>46195.64166666667</v>
      </c>
      <c r="G772" s="101">
        <v>46200.495138888888</v>
      </c>
      <c r="H772" s="18" t="s">
        <v>507</v>
      </c>
      <c r="I772" s="18" t="s">
        <v>508</v>
      </c>
      <c r="J772" s="18"/>
      <c r="K772" s="21">
        <f t="shared" si="33"/>
        <v>116.4833333332208</v>
      </c>
      <c r="L772" s="19">
        <f t="shared" si="34"/>
        <v>23</v>
      </c>
      <c r="M772" s="18" t="str">
        <f>IF(I772&lt;&gt;"Sí","",IF(YEAR(F772)&lt;&gt;2026,"",INDEX({"Enero","Febrero","Marzo","Abril","Mayo","Junio","Julio","Agosto","Septiembre","Octubre","Noviembre","Diciembre"},MONTH(F772))))</f>
        <v>Junio</v>
      </c>
      <c r="N772" s="18" t="str">
        <f t="shared" si="35"/>
        <v>Junio|23</v>
      </c>
    </row>
    <row r="773" spans="1:14" ht="14.5" x14ac:dyDescent="0.25">
      <c r="A773" s="19">
        <v>32</v>
      </c>
      <c r="B773" s="18" t="s">
        <v>39</v>
      </c>
      <c r="C773" s="18" t="s">
        <v>95</v>
      </c>
      <c r="D773" s="18" t="s">
        <v>1326</v>
      </c>
      <c r="E773" s="18" t="s">
        <v>1339</v>
      </c>
      <c r="F773" s="101">
        <v>46195.64166666667</v>
      </c>
      <c r="G773" s="101">
        <v>46200.495138888888</v>
      </c>
      <c r="H773" s="18" t="s">
        <v>507</v>
      </c>
      <c r="I773" s="18" t="s">
        <v>508</v>
      </c>
      <c r="J773" s="18"/>
      <c r="K773" s="21">
        <f t="shared" si="33"/>
        <v>116.4833333332208</v>
      </c>
      <c r="L773" s="19">
        <f t="shared" si="34"/>
        <v>23</v>
      </c>
      <c r="M773" s="18" t="str">
        <f>IF(I773&lt;&gt;"Sí","",IF(YEAR(F773)&lt;&gt;2026,"",INDEX({"Enero","Febrero","Marzo","Abril","Mayo","Junio","Julio","Agosto","Septiembre","Octubre","Noviembre","Diciembre"},MONTH(F773))))</f>
        <v>Junio</v>
      </c>
      <c r="N773" s="18" t="str">
        <f t="shared" si="35"/>
        <v>Junio|23</v>
      </c>
    </row>
    <row r="774" spans="1:14" ht="14.5" x14ac:dyDescent="0.25">
      <c r="A774" s="19">
        <v>32</v>
      </c>
      <c r="B774" s="18" t="s">
        <v>39</v>
      </c>
      <c r="C774" s="18" t="s">
        <v>95</v>
      </c>
      <c r="D774" s="18" t="s">
        <v>1326</v>
      </c>
      <c r="E774" s="18" t="s">
        <v>1340</v>
      </c>
      <c r="F774" s="101">
        <v>46195.64166666667</v>
      </c>
      <c r="G774" s="101">
        <v>46200.495138888888</v>
      </c>
      <c r="H774" s="18" t="s">
        <v>507</v>
      </c>
      <c r="I774" s="18" t="s">
        <v>508</v>
      </c>
      <c r="J774" s="18"/>
      <c r="K774" s="21">
        <f t="shared" si="33"/>
        <v>116.4833333332208</v>
      </c>
      <c r="L774" s="19">
        <f t="shared" si="34"/>
        <v>23</v>
      </c>
      <c r="M774" s="18" t="str">
        <f>IF(I774&lt;&gt;"Sí","",IF(YEAR(F774)&lt;&gt;2026,"",INDEX({"Enero","Febrero","Marzo","Abril","Mayo","Junio","Julio","Agosto","Septiembre","Octubre","Noviembre","Diciembre"},MONTH(F774))))</f>
        <v>Junio</v>
      </c>
      <c r="N774" s="18" t="str">
        <f t="shared" si="35"/>
        <v>Junio|23</v>
      </c>
    </row>
    <row r="775" spans="1:14" ht="14.5" x14ac:dyDescent="0.25">
      <c r="A775" s="19">
        <v>32</v>
      </c>
      <c r="B775" s="18" t="s">
        <v>39</v>
      </c>
      <c r="C775" s="18" t="s">
        <v>95</v>
      </c>
      <c r="D775" s="18" t="s">
        <v>1326</v>
      </c>
      <c r="E775" s="18" t="s">
        <v>1341</v>
      </c>
      <c r="F775" s="101">
        <v>46195.64166666667</v>
      </c>
      <c r="G775" s="101">
        <v>46200.495138888888</v>
      </c>
      <c r="H775" s="18" t="s">
        <v>507</v>
      </c>
      <c r="I775" s="18" t="s">
        <v>508</v>
      </c>
      <c r="J775" s="18"/>
      <c r="K775" s="21">
        <f t="shared" ref="K775:K838" si="36">IF(I775="Sí",(G775-F775)*24,"")</f>
        <v>116.4833333332208</v>
      </c>
      <c r="L775" s="19">
        <f t="shared" ref="L775:L838" si="37">IF(I775="Sí",COUNTIFS($F$7:$F$4000,"&lt;="&amp;F775,$G$7:$G$4000,"&gt;"&amp;F775,$I$7:$I$4000,"Sí"),"")</f>
        <v>23</v>
      </c>
      <c r="M775" s="18" t="str">
        <f>IF(I775&lt;&gt;"Sí","",IF(YEAR(F775)&lt;&gt;2026,"",INDEX({"Enero","Febrero","Marzo","Abril","Mayo","Junio","Julio","Agosto","Septiembre","Octubre","Noviembre","Diciembre"},MONTH(F775))))</f>
        <v>Junio</v>
      </c>
      <c r="N775" s="18" t="str">
        <f t="shared" ref="N775:N838" si="38">IF(M775="","",M775&amp;"|"&amp;L775)</f>
        <v>Junio|23</v>
      </c>
    </row>
    <row r="776" spans="1:14" ht="14.5" x14ac:dyDescent="0.25">
      <c r="A776" s="19">
        <v>32</v>
      </c>
      <c r="B776" s="18" t="s">
        <v>39</v>
      </c>
      <c r="C776" s="18" t="s">
        <v>95</v>
      </c>
      <c r="D776" s="18" t="s">
        <v>1326</v>
      </c>
      <c r="E776" s="18" t="s">
        <v>1342</v>
      </c>
      <c r="F776" s="101">
        <v>46195.64166666667</v>
      </c>
      <c r="G776" s="101">
        <v>46199.936111111114</v>
      </c>
      <c r="H776" s="18" t="s">
        <v>507</v>
      </c>
      <c r="I776" s="18" t="s">
        <v>508</v>
      </c>
      <c r="J776" s="18"/>
      <c r="K776" s="21">
        <f t="shared" si="36"/>
        <v>103.06666666665114</v>
      </c>
      <c r="L776" s="19">
        <f t="shared" si="37"/>
        <v>23</v>
      </c>
      <c r="M776" s="18" t="str">
        <f>IF(I776&lt;&gt;"Sí","",IF(YEAR(F776)&lt;&gt;2026,"",INDEX({"Enero","Febrero","Marzo","Abril","Mayo","Junio","Julio","Agosto","Septiembre","Octubre","Noviembre","Diciembre"},MONTH(F776))))</f>
        <v>Junio</v>
      </c>
      <c r="N776" s="18" t="str">
        <f t="shared" si="38"/>
        <v>Junio|23</v>
      </c>
    </row>
    <row r="777" spans="1:14" ht="14.5" x14ac:dyDescent="0.25">
      <c r="A777" s="19">
        <v>32</v>
      </c>
      <c r="B777" s="18" t="s">
        <v>39</v>
      </c>
      <c r="C777" s="18" t="s">
        <v>95</v>
      </c>
      <c r="D777" s="18" t="s">
        <v>1326</v>
      </c>
      <c r="E777" s="18" t="s">
        <v>1343</v>
      </c>
      <c r="F777" s="101">
        <v>46195.64166666667</v>
      </c>
      <c r="G777" s="101">
        <v>46200.495138888888</v>
      </c>
      <c r="H777" s="18" t="s">
        <v>507</v>
      </c>
      <c r="I777" s="18" t="s">
        <v>508</v>
      </c>
      <c r="J777" s="18"/>
      <c r="K777" s="21">
        <f t="shared" si="36"/>
        <v>116.4833333332208</v>
      </c>
      <c r="L777" s="19">
        <f t="shared" si="37"/>
        <v>23</v>
      </c>
      <c r="M777" s="18" t="str">
        <f>IF(I777&lt;&gt;"Sí","",IF(YEAR(F777)&lt;&gt;2026,"",INDEX({"Enero","Febrero","Marzo","Abril","Mayo","Junio","Julio","Agosto","Septiembre","Octubre","Noviembre","Diciembre"},MONTH(F777))))</f>
        <v>Junio</v>
      </c>
      <c r="N777" s="18" t="str">
        <f t="shared" si="38"/>
        <v>Junio|23</v>
      </c>
    </row>
    <row r="778" spans="1:14" ht="14.5" x14ac:dyDescent="0.25">
      <c r="A778" s="19">
        <v>32</v>
      </c>
      <c r="B778" s="18" t="s">
        <v>39</v>
      </c>
      <c r="C778" s="18" t="s">
        <v>95</v>
      </c>
      <c r="D778" s="18" t="s">
        <v>1326</v>
      </c>
      <c r="E778" s="18" t="s">
        <v>1105</v>
      </c>
      <c r="F778" s="101">
        <v>46195.64166666667</v>
      </c>
      <c r="G778" s="101">
        <v>46200.495138888888</v>
      </c>
      <c r="H778" s="18" t="s">
        <v>507</v>
      </c>
      <c r="I778" s="18" t="s">
        <v>508</v>
      </c>
      <c r="J778" s="18"/>
      <c r="K778" s="21">
        <f t="shared" si="36"/>
        <v>116.4833333332208</v>
      </c>
      <c r="L778" s="19">
        <f t="shared" si="37"/>
        <v>23</v>
      </c>
      <c r="M778" s="18" t="str">
        <f>IF(I778&lt;&gt;"Sí","",IF(YEAR(F778)&lt;&gt;2026,"",INDEX({"Enero","Febrero","Marzo","Abril","Mayo","Junio","Julio","Agosto","Septiembre","Octubre","Noviembre","Diciembre"},MONTH(F778))))</f>
        <v>Junio</v>
      </c>
      <c r="N778" s="18" t="str">
        <f t="shared" si="38"/>
        <v>Junio|23</v>
      </c>
    </row>
    <row r="779" spans="1:14" ht="14.5" x14ac:dyDescent="0.25">
      <c r="A779" s="19">
        <v>33</v>
      </c>
      <c r="B779" s="18" t="s">
        <v>40</v>
      </c>
      <c r="C779" s="18" t="s">
        <v>106</v>
      </c>
      <c r="D779" s="18" t="s">
        <v>1344</v>
      </c>
      <c r="E779" s="18" t="s">
        <v>1345</v>
      </c>
      <c r="F779" s="101">
        <v>46195.642361111109</v>
      </c>
      <c r="G779" s="101">
        <v>46211.588888888888</v>
      </c>
      <c r="H779" s="18" t="s">
        <v>507</v>
      </c>
      <c r="I779" s="18" t="s">
        <v>508</v>
      </c>
      <c r="J779" s="18"/>
      <c r="K779" s="21">
        <f t="shared" si="36"/>
        <v>382.71666666667443</v>
      </c>
      <c r="L779" s="19">
        <f t="shared" si="37"/>
        <v>24</v>
      </c>
      <c r="M779" s="18" t="str">
        <f>IF(I779&lt;&gt;"Sí","",IF(YEAR(F779)&lt;&gt;2026,"",INDEX({"Enero","Febrero","Marzo","Abril","Mayo","Junio","Julio","Agosto","Septiembre","Octubre","Noviembre","Diciembre"},MONTH(F779))))</f>
        <v>Junio</v>
      </c>
      <c r="N779" s="18" t="str">
        <f t="shared" si="38"/>
        <v>Junio|24</v>
      </c>
    </row>
    <row r="780" spans="1:14" ht="14.5" x14ac:dyDescent="0.25">
      <c r="A780" s="19">
        <v>33</v>
      </c>
      <c r="B780" s="18" t="s">
        <v>40</v>
      </c>
      <c r="C780" s="18" t="s">
        <v>167</v>
      </c>
      <c r="D780" s="18" t="s">
        <v>1324</v>
      </c>
      <c r="E780" s="18" t="s">
        <v>1346</v>
      </c>
      <c r="F780" s="101">
        <v>46195.647916666669</v>
      </c>
      <c r="G780" s="101">
        <v>46209.864583333336</v>
      </c>
      <c r="H780" s="18" t="s">
        <v>507</v>
      </c>
      <c r="I780" s="18" t="s">
        <v>508</v>
      </c>
      <c r="J780" s="18"/>
      <c r="K780" s="21">
        <f t="shared" si="36"/>
        <v>341.20000000001164</v>
      </c>
      <c r="L780" s="19">
        <f t="shared" si="37"/>
        <v>25</v>
      </c>
      <c r="M780" s="18" t="str">
        <f>IF(I780&lt;&gt;"Sí","",IF(YEAR(F780)&lt;&gt;2026,"",INDEX({"Enero","Febrero","Marzo","Abril","Mayo","Junio","Julio","Agosto","Septiembre","Octubre","Noviembre","Diciembre"},MONTH(F780))))</f>
        <v>Junio</v>
      </c>
      <c r="N780" s="18" t="str">
        <f t="shared" si="38"/>
        <v>Junio|25</v>
      </c>
    </row>
    <row r="781" spans="1:14" ht="14.5" x14ac:dyDescent="0.25">
      <c r="A781" s="19">
        <v>32</v>
      </c>
      <c r="B781" s="18" t="s">
        <v>39</v>
      </c>
      <c r="C781" s="18" t="s">
        <v>85</v>
      </c>
      <c r="D781" s="18" t="s">
        <v>1318</v>
      </c>
      <c r="E781" s="18" t="s">
        <v>1347</v>
      </c>
      <c r="F781" s="101">
        <v>46195.651388888888</v>
      </c>
      <c r="G781" s="101">
        <v>46203.109027777777</v>
      </c>
      <c r="H781" s="18" t="s">
        <v>507</v>
      </c>
      <c r="I781" s="18" t="s">
        <v>508</v>
      </c>
      <c r="J781" s="18"/>
      <c r="K781" s="21">
        <f t="shared" si="36"/>
        <v>178.98333333333721</v>
      </c>
      <c r="L781" s="19">
        <f t="shared" si="37"/>
        <v>26</v>
      </c>
      <c r="M781" s="18" t="str">
        <f>IF(I781&lt;&gt;"Sí","",IF(YEAR(F781)&lt;&gt;2026,"",INDEX({"Enero","Febrero","Marzo","Abril","Mayo","Junio","Julio","Agosto","Septiembre","Octubre","Noviembre","Diciembre"},MONTH(F781))))</f>
        <v>Junio</v>
      </c>
      <c r="N781" s="18" t="str">
        <f t="shared" si="38"/>
        <v>Junio|26</v>
      </c>
    </row>
    <row r="782" spans="1:14" ht="14.5" x14ac:dyDescent="0.25">
      <c r="A782" s="19">
        <v>32</v>
      </c>
      <c r="B782" s="18" t="s">
        <v>39</v>
      </c>
      <c r="C782" s="18" t="s">
        <v>95</v>
      </c>
      <c r="D782" s="18" t="s">
        <v>1326</v>
      </c>
      <c r="E782" s="18" t="s">
        <v>1348</v>
      </c>
      <c r="F782" s="101">
        <v>46196.475694444445</v>
      </c>
      <c r="G782" s="101">
        <v>46200.458333333336</v>
      </c>
      <c r="H782" s="18" t="s">
        <v>507</v>
      </c>
      <c r="I782" s="18" t="s">
        <v>508</v>
      </c>
      <c r="J782" s="18"/>
      <c r="K782" s="21">
        <f t="shared" si="36"/>
        <v>95.583333333372138</v>
      </c>
      <c r="L782" s="19">
        <f t="shared" si="37"/>
        <v>26</v>
      </c>
      <c r="M782" s="18" t="str">
        <f>IF(I782&lt;&gt;"Sí","",IF(YEAR(F782)&lt;&gt;2026,"",INDEX({"Enero","Febrero","Marzo","Abril","Mayo","Junio","Julio","Agosto","Septiembre","Octubre","Noviembre","Diciembre"},MONTH(F782))))</f>
        <v>Junio</v>
      </c>
      <c r="N782" s="18" t="str">
        <f t="shared" si="38"/>
        <v>Junio|26</v>
      </c>
    </row>
    <row r="783" spans="1:14" ht="14.5" x14ac:dyDescent="0.25">
      <c r="A783" s="19">
        <v>32</v>
      </c>
      <c r="B783" s="18" t="s">
        <v>39</v>
      </c>
      <c r="C783" s="18" t="s">
        <v>85</v>
      </c>
      <c r="D783" s="18" t="s">
        <v>1318</v>
      </c>
      <c r="E783" s="18" t="s">
        <v>1349</v>
      </c>
      <c r="F783" s="101">
        <v>46197.499305555553</v>
      </c>
      <c r="G783" s="101">
        <v>46203.178472222222</v>
      </c>
      <c r="H783" s="18" t="s">
        <v>507</v>
      </c>
      <c r="I783" s="18" t="s">
        <v>508</v>
      </c>
      <c r="J783" s="18"/>
      <c r="K783" s="21">
        <f t="shared" si="36"/>
        <v>136.30000000004657</v>
      </c>
      <c r="L783" s="19">
        <f t="shared" si="37"/>
        <v>27</v>
      </c>
      <c r="M783" s="18" t="str">
        <f>IF(I783&lt;&gt;"Sí","",IF(YEAR(F783)&lt;&gt;2026,"",INDEX({"Enero","Febrero","Marzo","Abril","Mayo","Junio","Julio","Agosto","Septiembre","Octubre","Noviembre","Diciembre"},MONTH(F783))))</f>
        <v>Junio</v>
      </c>
      <c r="N783" s="18" t="str">
        <f t="shared" si="38"/>
        <v>Junio|27</v>
      </c>
    </row>
    <row r="784" spans="1:14" ht="14.5" x14ac:dyDescent="0.25">
      <c r="A784" s="19">
        <v>32</v>
      </c>
      <c r="B784" s="18" t="s">
        <v>39</v>
      </c>
      <c r="C784" s="18" t="s">
        <v>85</v>
      </c>
      <c r="D784" s="18" t="s">
        <v>1318</v>
      </c>
      <c r="E784" s="18" t="s">
        <v>1350</v>
      </c>
      <c r="F784" s="101">
        <v>46197.499305555553</v>
      </c>
      <c r="G784" s="101">
        <v>46203.109027777777</v>
      </c>
      <c r="H784" s="18" t="s">
        <v>507</v>
      </c>
      <c r="I784" s="18" t="s">
        <v>508</v>
      </c>
      <c r="J784" s="18"/>
      <c r="K784" s="21">
        <f t="shared" si="36"/>
        <v>134.6333333333605</v>
      </c>
      <c r="L784" s="19">
        <f t="shared" si="37"/>
        <v>27</v>
      </c>
      <c r="M784" s="18" t="str">
        <f>IF(I784&lt;&gt;"Sí","",IF(YEAR(F784)&lt;&gt;2026,"",INDEX({"Enero","Febrero","Marzo","Abril","Mayo","Junio","Julio","Agosto","Septiembre","Octubre","Noviembre","Diciembre"},MONTH(F784))))</f>
        <v>Junio</v>
      </c>
      <c r="N784" s="18" t="str">
        <f t="shared" si="38"/>
        <v>Junio|27</v>
      </c>
    </row>
    <row r="785" spans="1:14" ht="14.5" x14ac:dyDescent="0.25">
      <c r="A785" s="19">
        <v>32</v>
      </c>
      <c r="B785" s="18" t="s">
        <v>39</v>
      </c>
      <c r="C785" s="18" t="s">
        <v>85</v>
      </c>
      <c r="D785" s="18" t="s">
        <v>1318</v>
      </c>
      <c r="E785" s="18" t="s">
        <v>1351</v>
      </c>
      <c r="F785" s="101">
        <v>46197.511805555558</v>
      </c>
      <c r="G785" s="101">
        <v>46203.109027777777</v>
      </c>
      <c r="H785" s="18" t="s">
        <v>507</v>
      </c>
      <c r="I785" s="18" t="s">
        <v>508</v>
      </c>
      <c r="J785" s="18"/>
      <c r="K785" s="21">
        <f t="shared" si="36"/>
        <v>134.33333333325572</v>
      </c>
      <c r="L785" s="19">
        <f t="shared" si="37"/>
        <v>28</v>
      </c>
      <c r="M785" s="18" t="str">
        <f>IF(I785&lt;&gt;"Sí","",IF(YEAR(F785)&lt;&gt;2026,"",INDEX({"Enero","Febrero","Marzo","Abril","Mayo","Junio","Julio","Agosto","Septiembre","Octubre","Noviembre","Diciembre"},MONTH(F785))))</f>
        <v>Junio</v>
      </c>
      <c r="N785" s="18" t="str">
        <f t="shared" si="38"/>
        <v>Junio|28</v>
      </c>
    </row>
    <row r="786" spans="1:14" ht="14.5" x14ac:dyDescent="0.25">
      <c r="A786" s="19">
        <v>32</v>
      </c>
      <c r="B786" s="18" t="s">
        <v>39</v>
      </c>
      <c r="C786" s="18" t="s">
        <v>85</v>
      </c>
      <c r="D786" s="18" t="s">
        <v>1318</v>
      </c>
      <c r="E786" s="18" t="s">
        <v>1352</v>
      </c>
      <c r="F786" s="101">
        <v>46197.519444444442</v>
      </c>
      <c r="G786" s="101">
        <v>46203.109027777777</v>
      </c>
      <c r="H786" s="18" t="s">
        <v>507</v>
      </c>
      <c r="I786" s="18" t="s">
        <v>508</v>
      </c>
      <c r="J786" s="18"/>
      <c r="K786" s="21">
        <f t="shared" si="36"/>
        <v>134.15000000002328</v>
      </c>
      <c r="L786" s="19">
        <f t="shared" si="37"/>
        <v>30</v>
      </c>
      <c r="M786" s="18" t="str">
        <f>IF(I786&lt;&gt;"Sí","",IF(YEAR(F786)&lt;&gt;2026,"",INDEX({"Enero","Febrero","Marzo","Abril","Mayo","Junio","Julio","Agosto","Septiembre","Octubre","Noviembre","Diciembre"},MONTH(F786))))</f>
        <v>Junio</v>
      </c>
      <c r="N786" s="18" t="str">
        <f t="shared" si="38"/>
        <v>Junio|30</v>
      </c>
    </row>
    <row r="787" spans="1:14" ht="14.5" x14ac:dyDescent="0.25">
      <c r="A787" s="19">
        <v>32</v>
      </c>
      <c r="B787" s="18" t="s">
        <v>39</v>
      </c>
      <c r="C787" s="18" t="s">
        <v>85</v>
      </c>
      <c r="D787" s="18" t="s">
        <v>1318</v>
      </c>
      <c r="E787" s="18" t="s">
        <v>1353</v>
      </c>
      <c r="F787" s="101">
        <v>46197.519444444442</v>
      </c>
      <c r="G787" s="101">
        <v>46203.178472222222</v>
      </c>
      <c r="H787" s="18" t="s">
        <v>507</v>
      </c>
      <c r="I787" s="18" t="s">
        <v>508</v>
      </c>
      <c r="J787" s="18"/>
      <c r="K787" s="21">
        <f t="shared" si="36"/>
        <v>135.81666666670935</v>
      </c>
      <c r="L787" s="19">
        <f t="shared" si="37"/>
        <v>30</v>
      </c>
      <c r="M787" s="18" t="str">
        <f>IF(I787&lt;&gt;"Sí","",IF(YEAR(F787)&lt;&gt;2026,"",INDEX({"Enero","Febrero","Marzo","Abril","Mayo","Junio","Julio","Agosto","Septiembre","Octubre","Noviembre","Diciembre"},MONTH(F787))))</f>
        <v>Junio</v>
      </c>
      <c r="N787" s="18" t="str">
        <f t="shared" si="38"/>
        <v>Junio|30</v>
      </c>
    </row>
    <row r="788" spans="1:14" ht="14.5" x14ac:dyDescent="0.25">
      <c r="A788" s="19">
        <v>32</v>
      </c>
      <c r="B788" s="18" t="s">
        <v>39</v>
      </c>
      <c r="C788" s="18" t="s">
        <v>95</v>
      </c>
      <c r="D788" s="18" t="s">
        <v>1326</v>
      </c>
      <c r="E788" s="18" t="s">
        <v>1354</v>
      </c>
      <c r="F788" s="101">
        <v>46197.550694444442</v>
      </c>
      <c r="G788" s="101">
        <v>46199.936111111114</v>
      </c>
      <c r="H788" s="18" t="s">
        <v>507</v>
      </c>
      <c r="I788" s="18" t="s">
        <v>508</v>
      </c>
      <c r="J788" s="18"/>
      <c r="K788" s="21">
        <f t="shared" si="36"/>
        <v>57.250000000116415</v>
      </c>
      <c r="L788" s="19">
        <f t="shared" si="37"/>
        <v>31</v>
      </c>
      <c r="M788" s="18" t="str">
        <f>IF(I788&lt;&gt;"Sí","",IF(YEAR(F788)&lt;&gt;2026,"",INDEX({"Enero","Febrero","Marzo","Abril","Mayo","Junio","Julio","Agosto","Septiembre","Octubre","Noviembre","Diciembre"},MONTH(F788))))</f>
        <v>Junio</v>
      </c>
      <c r="N788" s="18" t="str">
        <f t="shared" si="38"/>
        <v>Junio|31</v>
      </c>
    </row>
    <row r="789" spans="1:14" ht="14.5" x14ac:dyDescent="0.25">
      <c r="A789" s="19">
        <v>32</v>
      </c>
      <c r="B789" s="18" t="s">
        <v>39</v>
      </c>
      <c r="C789" s="18" t="s">
        <v>85</v>
      </c>
      <c r="D789" s="18" t="s">
        <v>1318</v>
      </c>
      <c r="E789" s="18" t="s">
        <v>1355</v>
      </c>
      <c r="F789" s="101">
        <v>46197.604861111111</v>
      </c>
      <c r="G789" s="101">
        <v>46203.109027777777</v>
      </c>
      <c r="H789" s="18" t="s">
        <v>507</v>
      </c>
      <c r="I789" s="18" t="s">
        <v>508</v>
      </c>
      <c r="J789" s="18"/>
      <c r="K789" s="21">
        <f t="shared" si="36"/>
        <v>132.09999999997672</v>
      </c>
      <c r="L789" s="19">
        <f t="shared" si="37"/>
        <v>32</v>
      </c>
      <c r="M789" s="18" t="str">
        <f>IF(I789&lt;&gt;"Sí","",IF(YEAR(F789)&lt;&gt;2026,"",INDEX({"Enero","Febrero","Marzo","Abril","Mayo","Junio","Julio","Agosto","Septiembre","Octubre","Noviembre","Diciembre"},MONTH(F789))))</f>
        <v>Junio</v>
      </c>
      <c r="N789" s="18" t="str">
        <f t="shared" si="38"/>
        <v>Junio|32</v>
      </c>
    </row>
    <row r="790" spans="1:14" ht="14.5" x14ac:dyDescent="0.25">
      <c r="A790" s="19">
        <v>32</v>
      </c>
      <c r="B790" s="18" t="s">
        <v>39</v>
      </c>
      <c r="C790" s="18" t="s">
        <v>106</v>
      </c>
      <c r="D790" s="18" t="s">
        <v>1356</v>
      </c>
      <c r="E790" s="18" t="s">
        <v>1357</v>
      </c>
      <c r="F790" s="101"/>
      <c r="G790" s="101">
        <v>46198.357638888891</v>
      </c>
      <c r="H790" s="18" t="s">
        <v>1067</v>
      </c>
      <c r="I790" s="18" t="s">
        <v>555</v>
      </c>
      <c r="J790" s="18" t="s">
        <v>556</v>
      </c>
      <c r="K790" s="21" t="str">
        <f t="shared" si="36"/>
        <v/>
      </c>
      <c r="L790" s="19" t="str">
        <f t="shared" si="37"/>
        <v/>
      </c>
      <c r="M790" s="18" t="str">
        <f>IF(I790&lt;&gt;"Sí","",IF(YEAR(F790)&lt;&gt;2026,"",INDEX({"Enero","Febrero","Marzo","Abril","Mayo","Junio","Julio","Agosto","Septiembre","Octubre","Noviembre","Diciembre"},MONTH(F790))))</f>
        <v/>
      </c>
      <c r="N790" s="18" t="str">
        <f t="shared" si="38"/>
        <v/>
      </c>
    </row>
    <row r="791" spans="1:14" ht="14.5" x14ac:dyDescent="0.25">
      <c r="A791" s="19">
        <v>32</v>
      </c>
      <c r="B791" s="18" t="s">
        <v>39</v>
      </c>
      <c r="C791" s="18" t="s">
        <v>106</v>
      </c>
      <c r="D791" s="18" t="s">
        <v>1356</v>
      </c>
      <c r="E791" s="18" t="s">
        <v>1358</v>
      </c>
      <c r="F791" s="101"/>
      <c r="G791" s="101">
        <v>46198.357638888891</v>
      </c>
      <c r="H791" s="18" t="s">
        <v>1067</v>
      </c>
      <c r="I791" s="18" t="s">
        <v>555</v>
      </c>
      <c r="J791" s="18" t="s">
        <v>556</v>
      </c>
      <c r="K791" s="21" t="str">
        <f t="shared" si="36"/>
        <v/>
      </c>
      <c r="L791" s="19" t="str">
        <f t="shared" si="37"/>
        <v/>
      </c>
      <c r="M791" s="18" t="str">
        <f>IF(I791&lt;&gt;"Sí","",IF(YEAR(F791)&lt;&gt;2026,"",INDEX({"Enero","Febrero","Marzo","Abril","Mayo","Junio","Julio","Agosto","Septiembre","Octubre","Noviembre","Diciembre"},MONTH(F791))))</f>
        <v/>
      </c>
      <c r="N791" s="18" t="str">
        <f t="shared" si="38"/>
        <v/>
      </c>
    </row>
    <row r="792" spans="1:14" ht="14.5" x14ac:dyDescent="0.25">
      <c r="A792" s="19">
        <v>32</v>
      </c>
      <c r="B792" s="18" t="s">
        <v>39</v>
      </c>
      <c r="C792" s="18" t="s">
        <v>85</v>
      </c>
      <c r="D792" s="18" t="s">
        <v>1318</v>
      </c>
      <c r="E792" s="18" t="s">
        <v>1359</v>
      </c>
      <c r="F792" s="101">
        <v>46198.529166666667</v>
      </c>
      <c r="G792" s="101">
        <v>46203.1875</v>
      </c>
      <c r="H792" s="18" t="s">
        <v>507</v>
      </c>
      <c r="I792" s="18" t="s">
        <v>508</v>
      </c>
      <c r="J792" s="18"/>
      <c r="K792" s="21">
        <f t="shared" si="36"/>
        <v>111.79999999998836</v>
      </c>
      <c r="L792" s="19">
        <f t="shared" si="37"/>
        <v>33</v>
      </c>
      <c r="M792" s="18" t="str">
        <f>IF(I792&lt;&gt;"Sí","",IF(YEAR(F792)&lt;&gt;2026,"",INDEX({"Enero","Febrero","Marzo","Abril","Mayo","Junio","Julio","Agosto","Septiembre","Octubre","Noviembre","Diciembre"},MONTH(F792))))</f>
        <v>Junio</v>
      </c>
      <c r="N792" s="18" t="str">
        <f t="shared" si="38"/>
        <v>Junio|33</v>
      </c>
    </row>
    <row r="793" spans="1:14" ht="14.5" x14ac:dyDescent="0.25">
      <c r="A793" s="19">
        <v>32</v>
      </c>
      <c r="B793" s="18" t="s">
        <v>39</v>
      </c>
      <c r="C793" s="18" t="s">
        <v>85</v>
      </c>
      <c r="D793" s="18" t="s">
        <v>1318</v>
      </c>
      <c r="E793" s="18" t="s">
        <v>1360</v>
      </c>
      <c r="F793" s="101">
        <v>46198.529166666667</v>
      </c>
      <c r="G793" s="101">
        <v>46203.184027777781</v>
      </c>
      <c r="H793" s="18" t="s">
        <v>507</v>
      </c>
      <c r="I793" s="18" t="s">
        <v>508</v>
      </c>
      <c r="J793" s="18"/>
      <c r="K793" s="21">
        <f t="shared" si="36"/>
        <v>111.71666666673264</v>
      </c>
      <c r="L793" s="19">
        <f t="shared" si="37"/>
        <v>33</v>
      </c>
      <c r="M793" s="18" t="str">
        <f>IF(I793&lt;&gt;"Sí","",IF(YEAR(F793)&lt;&gt;2026,"",INDEX({"Enero","Febrero","Marzo","Abril","Mayo","Junio","Julio","Agosto","Septiembre","Octubre","Noviembre","Diciembre"},MONTH(F793))))</f>
        <v>Junio</v>
      </c>
      <c r="N793" s="18" t="str">
        <f t="shared" si="38"/>
        <v>Junio|33</v>
      </c>
    </row>
    <row r="794" spans="1:14" ht="14.5" x14ac:dyDescent="0.25">
      <c r="A794" s="19">
        <v>33</v>
      </c>
      <c r="B794" s="18" t="s">
        <v>40</v>
      </c>
      <c r="C794" s="18" t="s">
        <v>87</v>
      </c>
      <c r="D794" s="18" t="s">
        <v>1361</v>
      </c>
      <c r="E794" s="18" t="s">
        <v>1362</v>
      </c>
      <c r="F794" s="101">
        <v>46198.633333333331</v>
      </c>
      <c r="G794" s="101">
        <v>46208.604166666664</v>
      </c>
      <c r="H794" s="18" t="s">
        <v>507</v>
      </c>
      <c r="I794" s="18" t="s">
        <v>508</v>
      </c>
      <c r="J794" s="18"/>
      <c r="K794" s="21">
        <f t="shared" si="36"/>
        <v>239.29999999998836</v>
      </c>
      <c r="L794" s="19">
        <f t="shared" si="37"/>
        <v>38</v>
      </c>
      <c r="M794" s="18" t="str">
        <f>IF(I794&lt;&gt;"Sí","",IF(YEAR(F794)&lt;&gt;2026,"",INDEX({"Enero","Febrero","Marzo","Abril","Mayo","Junio","Julio","Agosto","Septiembre","Octubre","Noviembre","Diciembre"},MONTH(F794))))</f>
        <v>Junio</v>
      </c>
      <c r="N794" s="18" t="str">
        <f t="shared" si="38"/>
        <v>Junio|38</v>
      </c>
    </row>
    <row r="795" spans="1:14" ht="14.5" x14ac:dyDescent="0.25">
      <c r="A795" s="19">
        <v>33</v>
      </c>
      <c r="B795" s="18" t="s">
        <v>40</v>
      </c>
      <c r="C795" s="18" t="s">
        <v>87</v>
      </c>
      <c r="D795" s="18" t="s">
        <v>1361</v>
      </c>
      <c r="E795" s="18" t="s">
        <v>1363</v>
      </c>
      <c r="F795" s="101">
        <v>46198.633333333331</v>
      </c>
      <c r="G795" s="101">
        <v>46208.375694444447</v>
      </c>
      <c r="H795" s="18" t="s">
        <v>507</v>
      </c>
      <c r="I795" s="18" t="s">
        <v>508</v>
      </c>
      <c r="J795" s="18"/>
      <c r="K795" s="21">
        <f t="shared" si="36"/>
        <v>233.81666666676756</v>
      </c>
      <c r="L795" s="19">
        <f t="shared" si="37"/>
        <v>38</v>
      </c>
      <c r="M795" s="18" t="str">
        <f>IF(I795&lt;&gt;"Sí","",IF(YEAR(F795)&lt;&gt;2026,"",INDEX({"Enero","Febrero","Marzo","Abril","Mayo","Junio","Julio","Agosto","Septiembre","Octubre","Noviembre","Diciembre"},MONTH(F795))))</f>
        <v>Junio</v>
      </c>
      <c r="N795" s="18" t="str">
        <f t="shared" si="38"/>
        <v>Junio|38</v>
      </c>
    </row>
    <row r="796" spans="1:14" ht="14.5" x14ac:dyDescent="0.25">
      <c r="A796" s="19">
        <v>33</v>
      </c>
      <c r="B796" s="18" t="s">
        <v>40</v>
      </c>
      <c r="C796" s="18" t="s">
        <v>87</v>
      </c>
      <c r="D796" s="18" t="s">
        <v>1361</v>
      </c>
      <c r="E796" s="18" t="s">
        <v>1364</v>
      </c>
      <c r="F796" s="101">
        <v>46198.633333333331</v>
      </c>
      <c r="G796" s="101">
        <v>46208.375694444447</v>
      </c>
      <c r="H796" s="18" t="s">
        <v>507</v>
      </c>
      <c r="I796" s="18" t="s">
        <v>508</v>
      </c>
      <c r="J796" s="18"/>
      <c r="K796" s="21">
        <f t="shared" si="36"/>
        <v>233.81666666676756</v>
      </c>
      <c r="L796" s="19">
        <f t="shared" si="37"/>
        <v>38</v>
      </c>
      <c r="M796" s="18" t="str">
        <f>IF(I796&lt;&gt;"Sí","",IF(YEAR(F796)&lt;&gt;2026,"",INDEX({"Enero","Febrero","Marzo","Abril","Mayo","Junio","Julio","Agosto","Septiembre","Octubre","Noviembre","Diciembre"},MONTH(F796))))</f>
        <v>Junio</v>
      </c>
      <c r="N796" s="18" t="str">
        <f t="shared" si="38"/>
        <v>Junio|38</v>
      </c>
    </row>
    <row r="797" spans="1:14" ht="14.5" x14ac:dyDescent="0.25">
      <c r="A797" s="19">
        <v>33</v>
      </c>
      <c r="B797" s="18" t="s">
        <v>40</v>
      </c>
      <c r="C797" s="18" t="s">
        <v>87</v>
      </c>
      <c r="D797" s="18" t="s">
        <v>1361</v>
      </c>
      <c r="E797" s="18" t="s">
        <v>1365</v>
      </c>
      <c r="F797" s="101">
        <v>46198.633333333331</v>
      </c>
      <c r="G797" s="101">
        <v>46208.375694444447</v>
      </c>
      <c r="H797" s="18" t="s">
        <v>507</v>
      </c>
      <c r="I797" s="18" t="s">
        <v>508</v>
      </c>
      <c r="J797" s="18"/>
      <c r="K797" s="21">
        <f t="shared" si="36"/>
        <v>233.81666666676756</v>
      </c>
      <c r="L797" s="19">
        <f t="shared" si="37"/>
        <v>38</v>
      </c>
      <c r="M797" s="18" t="str">
        <f>IF(I797&lt;&gt;"Sí","",IF(YEAR(F797)&lt;&gt;2026,"",INDEX({"Enero","Febrero","Marzo","Abril","Mayo","Junio","Julio","Agosto","Septiembre","Octubre","Noviembre","Diciembre"},MONTH(F797))))</f>
        <v>Junio</v>
      </c>
      <c r="N797" s="18" t="str">
        <f t="shared" si="38"/>
        <v>Junio|38</v>
      </c>
    </row>
    <row r="798" spans="1:14" ht="14.5" x14ac:dyDescent="0.25">
      <c r="A798" s="19">
        <v>33</v>
      </c>
      <c r="B798" s="18" t="s">
        <v>40</v>
      </c>
      <c r="C798" s="18" t="s">
        <v>87</v>
      </c>
      <c r="D798" s="18" t="s">
        <v>1361</v>
      </c>
      <c r="E798" s="18" t="s">
        <v>1366</v>
      </c>
      <c r="F798" s="101">
        <v>46198.633333333331</v>
      </c>
      <c r="G798" s="101">
        <v>46208.375694444447</v>
      </c>
      <c r="H798" s="18" t="s">
        <v>507</v>
      </c>
      <c r="I798" s="18" t="s">
        <v>508</v>
      </c>
      <c r="J798" s="18"/>
      <c r="K798" s="21">
        <f t="shared" si="36"/>
        <v>233.81666666676756</v>
      </c>
      <c r="L798" s="19">
        <f t="shared" si="37"/>
        <v>38</v>
      </c>
      <c r="M798" s="18" t="str">
        <f>IF(I798&lt;&gt;"Sí","",IF(YEAR(F798)&lt;&gt;2026,"",INDEX({"Enero","Febrero","Marzo","Abril","Mayo","Junio","Julio","Agosto","Septiembre","Octubre","Noviembre","Diciembre"},MONTH(F798))))</f>
        <v>Junio</v>
      </c>
      <c r="N798" s="18" t="str">
        <f t="shared" si="38"/>
        <v>Junio|38</v>
      </c>
    </row>
    <row r="799" spans="1:14" ht="14.5" x14ac:dyDescent="0.25">
      <c r="A799" s="19">
        <v>33</v>
      </c>
      <c r="B799" s="18" t="s">
        <v>40</v>
      </c>
      <c r="C799" s="18" t="s">
        <v>87</v>
      </c>
      <c r="D799" s="18" t="s">
        <v>1361</v>
      </c>
      <c r="E799" s="18" t="s">
        <v>1367</v>
      </c>
      <c r="F799" s="101">
        <v>46198.724305555559</v>
      </c>
      <c r="G799" s="101">
        <v>46208.375694444447</v>
      </c>
      <c r="H799" s="18" t="s">
        <v>507</v>
      </c>
      <c r="I799" s="18" t="s">
        <v>508</v>
      </c>
      <c r="J799" s="18"/>
      <c r="K799" s="21">
        <f t="shared" si="36"/>
        <v>231.63333333330229</v>
      </c>
      <c r="L799" s="19">
        <f t="shared" si="37"/>
        <v>39</v>
      </c>
      <c r="M799" s="18" t="str">
        <f>IF(I799&lt;&gt;"Sí","",IF(YEAR(F799)&lt;&gt;2026,"",INDEX({"Enero","Febrero","Marzo","Abril","Mayo","Junio","Julio","Agosto","Septiembre","Octubre","Noviembre","Diciembre"},MONTH(F799))))</f>
        <v>Junio</v>
      </c>
      <c r="N799" s="18" t="str">
        <f t="shared" si="38"/>
        <v>Junio|39</v>
      </c>
    </row>
    <row r="800" spans="1:14" ht="14.5" x14ac:dyDescent="0.25">
      <c r="A800" s="19">
        <v>33</v>
      </c>
      <c r="B800" s="18" t="s">
        <v>40</v>
      </c>
      <c r="C800" s="18" t="s">
        <v>87</v>
      </c>
      <c r="D800" s="18" t="s">
        <v>1361</v>
      </c>
      <c r="E800" s="18" t="s">
        <v>1368</v>
      </c>
      <c r="F800" s="101">
        <v>46199.640277777777</v>
      </c>
      <c r="G800" s="101">
        <v>46208.375694444447</v>
      </c>
      <c r="H800" s="18" t="s">
        <v>507</v>
      </c>
      <c r="I800" s="18" t="s">
        <v>508</v>
      </c>
      <c r="J800" s="18"/>
      <c r="K800" s="21">
        <f t="shared" si="36"/>
        <v>209.65000000008149</v>
      </c>
      <c r="L800" s="19">
        <f t="shared" si="37"/>
        <v>40</v>
      </c>
      <c r="M800" s="18" t="str">
        <f>IF(I800&lt;&gt;"Sí","",IF(YEAR(F800)&lt;&gt;2026,"",INDEX({"Enero","Febrero","Marzo","Abril","Mayo","Junio","Julio","Agosto","Septiembre","Octubre","Noviembre","Diciembre"},MONTH(F800))))</f>
        <v>Junio</v>
      </c>
      <c r="N800" s="18" t="str">
        <f t="shared" si="38"/>
        <v>Junio|40</v>
      </c>
    </row>
    <row r="801" spans="1:14" ht="14.5" x14ac:dyDescent="0.25">
      <c r="A801" s="19">
        <v>32</v>
      </c>
      <c r="B801" s="18" t="s">
        <v>39</v>
      </c>
      <c r="C801" s="18" t="s">
        <v>95</v>
      </c>
      <c r="D801" s="18" t="s">
        <v>1326</v>
      </c>
      <c r="E801" s="18" t="s">
        <v>1369</v>
      </c>
      <c r="F801" s="101"/>
      <c r="G801" s="101">
        <v>46199.663888888892</v>
      </c>
      <c r="H801" s="18" t="s">
        <v>1067</v>
      </c>
      <c r="I801" s="18" t="s">
        <v>555</v>
      </c>
      <c r="J801" s="18" t="s">
        <v>556</v>
      </c>
      <c r="K801" s="21" t="str">
        <f t="shared" si="36"/>
        <v/>
      </c>
      <c r="L801" s="19" t="str">
        <f t="shared" si="37"/>
        <v/>
      </c>
      <c r="M801" s="18" t="str">
        <f>IF(I801&lt;&gt;"Sí","",IF(YEAR(F801)&lt;&gt;2026,"",INDEX({"Enero","Febrero","Marzo","Abril","Mayo","Junio","Julio","Agosto","Septiembre","Octubre","Noviembre","Diciembre"},MONTH(F801))))</f>
        <v/>
      </c>
      <c r="N801" s="18" t="str">
        <f t="shared" si="38"/>
        <v/>
      </c>
    </row>
    <row r="802" spans="1:14" ht="14.5" x14ac:dyDescent="0.25">
      <c r="A802" s="19">
        <v>33</v>
      </c>
      <c r="B802" s="18" t="s">
        <v>40</v>
      </c>
      <c r="C802" s="18" t="s">
        <v>97</v>
      </c>
      <c r="D802" s="18" t="s">
        <v>1370</v>
      </c>
      <c r="E802" s="18" t="s">
        <v>1371</v>
      </c>
      <c r="F802" s="101">
        <v>46200.505555555559</v>
      </c>
      <c r="G802" s="101">
        <v>46207.154166666667</v>
      </c>
      <c r="H802" s="18" t="s">
        <v>507</v>
      </c>
      <c r="I802" s="18" t="s">
        <v>508</v>
      </c>
      <c r="J802" s="18"/>
      <c r="K802" s="21">
        <f t="shared" si="36"/>
        <v>159.56666666659294</v>
      </c>
      <c r="L802" s="19">
        <f t="shared" si="37"/>
        <v>24</v>
      </c>
      <c r="M802" s="18" t="str">
        <f>IF(I802&lt;&gt;"Sí","",IF(YEAR(F802)&lt;&gt;2026,"",INDEX({"Enero","Febrero","Marzo","Abril","Mayo","Junio","Julio","Agosto","Septiembre","Octubre","Noviembre","Diciembre"},MONTH(F802))))</f>
        <v>Junio</v>
      </c>
      <c r="N802" s="18" t="str">
        <f t="shared" si="38"/>
        <v>Junio|24</v>
      </c>
    </row>
    <row r="803" spans="1:14" ht="14.5" x14ac:dyDescent="0.25">
      <c r="A803" s="19">
        <v>33</v>
      </c>
      <c r="B803" s="18" t="s">
        <v>40</v>
      </c>
      <c r="C803" s="18" t="s">
        <v>99</v>
      </c>
      <c r="D803" s="18" t="s">
        <v>1372</v>
      </c>
      <c r="E803" s="18" t="s">
        <v>1373</v>
      </c>
      <c r="F803" s="101">
        <v>46200.505555555559</v>
      </c>
      <c r="G803" s="101">
        <v>46214.600694444445</v>
      </c>
      <c r="H803" s="18" t="s">
        <v>507</v>
      </c>
      <c r="I803" s="18" t="s">
        <v>508</v>
      </c>
      <c r="J803" s="18"/>
      <c r="K803" s="21">
        <f t="shared" si="36"/>
        <v>338.28333333326736</v>
      </c>
      <c r="L803" s="19">
        <f t="shared" si="37"/>
        <v>24</v>
      </c>
      <c r="M803" s="18" t="str">
        <f>IF(I803&lt;&gt;"Sí","",IF(YEAR(F803)&lt;&gt;2026,"",INDEX({"Enero","Febrero","Marzo","Abril","Mayo","Junio","Julio","Agosto","Septiembre","Octubre","Noviembre","Diciembre"},MONTH(F803))))</f>
        <v>Junio</v>
      </c>
      <c r="N803" s="18" t="str">
        <f t="shared" si="38"/>
        <v>Junio|24</v>
      </c>
    </row>
    <row r="804" spans="1:14" ht="14.5" x14ac:dyDescent="0.25">
      <c r="A804" s="19">
        <v>33</v>
      </c>
      <c r="B804" s="18" t="s">
        <v>40</v>
      </c>
      <c r="C804" s="18" t="s">
        <v>87</v>
      </c>
      <c r="D804" s="18" t="s">
        <v>1361</v>
      </c>
      <c r="E804" s="18" t="s">
        <v>1374</v>
      </c>
      <c r="F804" s="101">
        <v>46200.532638888886</v>
      </c>
      <c r="G804" s="101">
        <v>46208.375694444447</v>
      </c>
      <c r="H804" s="18" t="s">
        <v>507</v>
      </c>
      <c r="I804" s="18" t="s">
        <v>508</v>
      </c>
      <c r="J804" s="18"/>
      <c r="K804" s="21">
        <f t="shared" si="36"/>
        <v>188.23333333345363</v>
      </c>
      <c r="L804" s="19">
        <f t="shared" si="37"/>
        <v>25</v>
      </c>
      <c r="M804" s="18" t="str">
        <f>IF(I804&lt;&gt;"Sí","",IF(YEAR(F804)&lt;&gt;2026,"",INDEX({"Enero","Febrero","Marzo","Abril","Mayo","Junio","Julio","Agosto","Septiembre","Octubre","Noviembre","Diciembre"},MONTH(F804))))</f>
        <v>Junio</v>
      </c>
      <c r="N804" s="18" t="str">
        <f t="shared" si="38"/>
        <v>Junio|25</v>
      </c>
    </row>
    <row r="805" spans="1:14" ht="14.5" x14ac:dyDescent="0.25">
      <c r="A805" s="19">
        <v>33</v>
      </c>
      <c r="B805" s="18" t="s">
        <v>40</v>
      </c>
      <c r="C805" s="18" t="s">
        <v>87</v>
      </c>
      <c r="D805" s="18" t="s">
        <v>1361</v>
      </c>
      <c r="E805" s="18" t="s">
        <v>1375</v>
      </c>
      <c r="F805" s="101">
        <v>46200.590277777781</v>
      </c>
      <c r="G805" s="101">
        <v>46208.604166666664</v>
      </c>
      <c r="H805" s="18" t="s">
        <v>507</v>
      </c>
      <c r="I805" s="18" t="s">
        <v>508</v>
      </c>
      <c r="J805" s="18"/>
      <c r="K805" s="21">
        <f t="shared" si="36"/>
        <v>192.33333333319752</v>
      </c>
      <c r="L805" s="19">
        <f t="shared" si="37"/>
        <v>27</v>
      </c>
      <c r="M805" s="18" t="str">
        <f>IF(I805&lt;&gt;"Sí","",IF(YEAR(F805)&lt;&gt;2026,"",INDEX({"Enero","Febrero","Marzo","Abril","Mayo","Junio","Julio","Agosto","Septiembre","Octubre","Noviembre","Diciembre"},MONTH(F805))))</f>
        <v>Junio</v>
      </c>
      <c r="N805" s="18" t="str">
        <f t="shared" si="38"/>
        <v>Junio|27</v>
      </c>
    </row>
    <row r="806" spans="1:14" ht="14.5" x14ac:dyDescent="0.25">
      <c r="A806" s="19">
        <v>33</v>
      </c>
      <c r="B806" s="18" t="s">
        <v>40</v>
      </c>
      <c r="C806" s="18" t="s">
        <v>87</v>
      </c>
      <c r="D806" s="18" t="s">
        <v>1361</v>
      </c>
      <c r="E806" s="18" t="s">
        <v>1376</v>
      </c>
      <c r="F806" s="101">
        <v>46200.590277777781</v>
      </c>
      <c r="G806" s="101">
        <v>46208.375694444447</v>
      </c>
      <c r="H806" s="18" t="s">
        <v>507</v>
      </c>
      <c r="I806" s="18" t="s">
        <v>508</v>
      </c>
      <c r="J806" s="18"/>
      <c r="K806" s="21">
        <f t="shared" si="36"/>
        <v>186.84999999997672</v>
      </c>
      <c r="L806" s="19">
        <f t="shared" si="37"/>
        <v>27</v>
      </c>
      <c r="M806" s="18" t="str">
        <f>IF(I806&lt;&gt;"Sí","",IF(YEAR(F806)&lt;&gt;2026,"",INDEX({"Enero","Febrero","Marzo","Abril","Mayo","Junio","Julio","Agosto","Septiembre","Octubre","Noviembre","Diciembre"},MONTH(F806))))</f>
        <v>Junio</v>
      </c>
      <c r="N806" s="18" t="str">
        <f t="shared" si="38"/>
        <v>Junio|27</v>
      </c>
    </row>
    <row r="807" spans="1:14" ht="14.5" x14ac:dyDescent="0.25">
      <c r="A807" s="19">
        <v>33</v>
      </c>
      <c r="B807" s="18" t="s">
        <v>40</v>
      </c>
      <c r="C807" s="18" t="s">
        <v>97</v>
      </c>
      <c r="D807" s="18" t="s">
        <v>1370</v>
      </c>
      <c r="E807" s="18" t="s">
        <v>1377</v>
      </c>
      <c r="F807" s="101">
        <v>46202.504166666666</v>
      </c>
      <c r="G807" s="101">
        <v>46207.152777777781</v>
      </c>
      <c r="H807" s="18" t="s">
        <v>507</v>
      </c>
      <c r="I807" s="18" t="s">
        <v>508</v>
      </c>
      <c r="J807" s="18"/>
      <c r="K807" s="21">
        <f t="shared" si="36"/>
        <v>111.56666666676756</v>
      </c>
      <c r="L807" s="19">
        <f t="shared" si="37"/>
        <v>29</v>
      </c>
      <c r="M807" s="18" t="str">
        <f>IF(I807&lt;&gt;"Sí","",IF(YEAR(F807)&lt;&gt;2026,"",INDEX({"Enero","Febrero","Marzo","Abril","Mayo","Junio","Julio","Agosto","Septiembre","Octubre","Noviembre","Diciembre"},MONTH(F807))))</f>
        <v>Junio</v>
      </c>
      <c r="N807" s="18" t="str">
        <f t="shared" si="38"/>
        <v>Junio|29</v>
      </c>
    </row>
    <row r="808" spans="1:14" ht="14.5" x14ac:dyDescent="0.25">
      <c r="A808" s="19">
        <v>33</v>
      </c>
      <c r="B808" s="18" t="s">
        <v>40</v>
      </c>
      <c r="C808" s="18" t="s">
        <v>97</v>
      </c>
      <c r="D808" s="18" t="s">
        <v>1370</v>
      </c>
      <c r="E808" s="18" t="s">
        <v>1378</v>
      </c>
      <c r="F808" s="101">
        <v>46202.504166666666</v>
      </c>
      <c r="G808" s="101">
        <v>46206.923611111109</v>
      </c>
      <c r="H808" s="18" t="s">
        <v>507</v>
      </c>
      <c r="I808" s="18" t="s">
        <v>508</v>
      </c>
      <c r="J808" s="18"/>
      <c r="K808" s="21">
        <f t="shared" si="36"/>
        <v>106.06666666665114</v>
      </c>
      <c r="L808" s="19">
        <f t="shared" si="37"/>
        <v>29</v>
      </c>
      <c r="M808" s="18" t="str">
        <f>IF(I808&lt;&gt;"Sí","",IF(YEAR(F808)&lt;&gt;2026,"",INDEX({"Enero","Febrero","Marzo","Abril","Mayo","Junio","Julio","Agosto","Septiembre","Octubre","Noviembre","Diciembre"},MONTH(F808))))</f>
        <v>Junio</v>
      </c>
      <c r="N808" s="18" t="str">
        <f t="shared" si="38"/>
        <v>Junio|29</v>
      </c>
    </row>
    <row r="809" spans="1:14" ht="14.5" x14ac:dyDescent="0.25">
      <c r="A809" s="19">
        <v>33</v>
      </c>
      <c r="B809" s="18" t="s">
        <v>40</v>
      </c>
      <c r="C809" s="18" t="s">
        <v>87</v>
      </c>
      <c r="D809" s="18" t="s">
        <v>1361</v>
      </c>
      <c r="E809" s="18" t="s">
        <v>1379</v>
      </c>
      <c r="F809" s="101">
        <v>46202.513888888891</v>
      </c>
      <c r="G809" s="101">
        <v>46208.375694444447</v>
      </c>
      <c r="H809" s="18" t="s">
        <v>507</v>
      </c>
      <c r="I809" s="18" t="s">
        <v>508</v>
      </c>
      <c r="J809" s="18"/>
      <c r="K809" s="21">
        <f t="shared" si="36"/>
        <v>140.68333333334886</v>
      </c>
      <c r="L809" s="19">
        <f t="shared" si="37"/>
        <v>31</v>
      </c>
      <c r="M809" s="18" t="str">
        <f>IF(I809&lt;&gt;"Sí","",IF(YEAR(F809)&lt;&gt;2026,"",INDEX({"Enero","Febrero","Marzo","Abril","Mayo","Junio","Julio","Agosto","Septiembre","Octubre","Noviembre","Diciembre"},MONTH(F809))))</f>
        <v>Junio</v>
      </c>
      <c r="N809" s="18" t="str">
        <f t="shared" si="38"/>
        <v>Junio|31</v>
      </c>
    </row>
    <row r="810" spans="1:14" ht="14.5" x14ac:dyDescent="0.25">
      <c r="A810" s="19">
        <v>33</v>
      </c>
      <c r="B810" s="18" t="s">
        <v>40</v>
      </c>
      <c r="C810" s="18" t="s">
        <v>87</v>
      </c>
      <c r="D810" s="18" t="s">
        <v>1361</v>
      </c>
      <c r="E810" s="18" t="s">
        <v>1380</v>
      </c>
      <c r="F810" s="101">
        <v>46202.513888888891</v>
      </c>
      <c r="G810" s="101">
        <v>46208.375694444447</v>
      </c>
      <c r="H810" s="18" t="s">
        <v>507</v>
      </c>
      <c r="I810" s="18" t="s">
        <v>508</v>
      </c>
      <c r="J810" s="18"/>
      <c r="K810" s="21">
        <f t="shared" si="36"/>
        <v>140.68333333334886</v>
      </c>
      <c r="L810" s="19">
        <f t="shared" si="37"/>
        <v>31</v>
      </c>
      <c r="M810" s="18" t="str">
        <f>IF(I810&lt;&gt;"Sí","",IF(YEAR(F810)&lt;&gt;2026,"",INDEX({"Enero","Febrero","Marzo","Abril","Mayo","Junio","Julio","Agosto","Septiembre","Octubre","Noviembre","Diciembre"},MONTH(F810))))</f>
        <v>Junio</v>
      </c>
      <c r="N810" s="18" t="str">
        <f t="shared" si="38"/>
        <v>Junio|31</v>
      </c>
    </row>
    <row r="811" spans="1:14" ht="14.5" x14ac:dyDescent="0.25">
      <c r="A811" s="19">
        <v>33</v>
      </c>
      <c r="B811" s="18" t="s">
        <v>40</v>
      </c>
      <c r="C811" s="18" t="s">
        <v>87</v>
      </c>
      <c r="D811" s="18" t="s">
        <v>1361</v>
      </c>
      <c r="E811" s="18" t="s">
        <v>1381</v>
      </c>
      <c r="F811" s="101">
        <v>46202.51458333333</v>
      </c>
      <c r="G811" s="101">
        <v>46208.375694444447</v>
      </c>
      <c r="H811" s="18" t="s">
        <v>507</v>
      </c>
      <c r="I811" s="18" t="s">
        <v>508</v>
      </c>
      <c r="J811" s="18"/>
      <c r="K811" s="21">
        <f t="shared" si="36"/>
        <v>140.66666666680248</v>
      </c>
      <c r="L811" s="19">
        <f t="shared" si="37"/>
        <v>32</v>
      </c>
      <c r="M811" s="18" t="str">
        <f>IF(I811&lt;&gt;"Sí","",IF(YEAR(F811)&lt;&gt;2026,"",INDEX({"Enero","Febrero","Marzo","Abril","Mayo","Junio","Julio","Agosto","Septiembre","Octubre","Noviembre","Diciembre"},MONTH(F811))))</f>
        <v>Junio</v>
      </c>
      <c r="N811" s="18" t="str">
        <f t="shared" si="38"/>
        <v>Junio|32</v>
      </c>
    </row>
    <row r="812" spans="1:14" ht="14.5" x14ac:dyDescent="0.25">
      <c r="A812" s="19">
        <v>33</v>
      </c>
      <c r="B812" s="18" t="s">
        <v>40</v>
      </c>
      <c r="C812" s="18" t="s">
        <v>87</v>
      </c>
      <c r="D812" s="18" t="s">
        <v>1361</v>
      </c>
      <c r="E812" s="18" t="s">
        <v>1382</v>
      </c>
      <c r="F812" s="101">
        <v>46202.53402777778</v>
      </c>
      <c r="G812" s="101">
        <v>46208.604166666664</v>
      </c>
      <c r="H812" s="18" t="s">
        <v>507</v>
      </c>
      <c r="I812" s="18" t="s">
        <v>508</v>
      </c>
      <c r="J812" s="18"/>
      <c r="K812" s="21">
        <f t="shared" si="36"/>
        <v>145.68333333323244</v>
      </c>
      <c r="L812" s="19">
        <f t="shared" si="37"/>
        <v>35</v>
      </c>
      <c r="M812" s="18" t="str">
        <f>IF(I812&lt;&gt;"Sí","",IF(YEAR(F812)&lt;&gt;2026,"",INDEX({"Enero","Febrero","Marzo","Abril","Mayo","Junio","Julio","Agosto","Septiembre","Octubre","Noviembre","Diciembre"},MONTH(F812))))</f>
        <v>Junio</v>
      </c>
      <c r="N812" s="18" t="str">
        <f t="shared" si="38"/>
        <v>Junio|35</v>
      </c>
    </row>
    <row r="813" spans="1:14" ht="14.5" x14ac:dyDescent="0.25">
      <c r="A813" s="19">
        <v>33</v>
      </c>
      <c r="B813" s="18" t="s">
        <v>40</v>
      </c>
      <c r="C813" s="18" t="s">
        <v>87</v>
      </c>
      <c r="D813" s="18" t="s">
        <v>1361</v>
      </c>
      <c r="E813" s="18" t="s">
        <v>1383</v>
      </c>
      <c r="F813" s="101">
        <v>46202.53402777778</v>
      </c>
      <c r="G813" s="101">
        <v>46208.604166666664</v>
      </c>
      <c r="H813" s="18" t="s">
        <v>507</v>
      </c>
      <c r="I813" s="18" t="s">
        <v>508</v>
      </c>
      <c r="J813" s="18"/>
      <c r="K813" s="21">
        <f t="shared" si="36"/>
        <v>145.68333333323244</v>
      </c>
      <c r="L813" s="19">
        <f t="shared" si="37"/>
        <v>35</v>
      </c>
      <c r="M813" s="18" t="str">
        <f>IF(I813&lt;&gt;"Sí","",IF(YEAR(F813)&lt;&gt;2026,"",INDEX({"Enero","Febrero","Marzo","Abril","Mayo","Junio","Julio","Agosto","Septiembre","Octubre","Noviembre","Diciembre"},MONTH(F813))))</f>
        <v>Junio</v>
      </c>
      <c r="N813" s="18" t="str">
        <f t="shared" si="38"/>
        <v>Junio|35</v>
      </c>
    </row>
    <row r="814" spans="1:14" ht="14.5" x14ac:dyDescent="0.25">
      <c r="A814" s="19">
        <v>33</v>
      </c>
      <c r="B814" s="18" t="s">
        <v>40</v>
      </c>
      <c r="C814" s="18" t="s">
        <v>87</v>
      </c>
      <c r="D814" s="18" t="s">
        <v>1361</v>
      </c>
      <c r="E814" s="18" t="s">
        <v>1384</v>
      </c>
      <c r="F814" s="101">
        <v>46202.53402777778</v>
      </c>
      <c r="G814" s="101">
        <v>46208.604166666664</v>
      </c>
      <c r="H814" s="18" t="s">
        <v>507</v>
      </c>
      <c r="I814" s="18" t="s">
        <v>508</v>
      </c>
      <c r="J814" s="18"/>
      <c r="K814" s="21">
        <f t="shared" si="36"/>
        <v>145.68333333323244</v>
      </c>
      <c r="L814" s="19">
        <f t="shared" si="37"/>
        <v>35</v>
      </c>
      <c r="M814" s="18" t="str">
        <f>IF(I814&lt;&gt;"Sí","",IF(YEAR(F814)&lt;&gt;2026,"",INDEX({"Enero","Febrero","Marzo","Abril","Mayo","Junio","Julio","Agosto","Septiembre","Octubre","Noviembre","Diciembre"},MONTH(F814))))</f>
        <v>Junio</v>
      </c>
      <c r="N814" s="18" t="str">
        <f t="shared" si="38"/>
        <v>Junio|35</v>
      </c>
    </row>
    <row r="815" spans="1:14" ht="14.5" x14ac:dyDescent="0.25">
      <c r="A815" s="19">
        <v>33</v>
      </c>
      <c r="B815" s="18" t="s">
        <v>40</v>
      </c>
      <c r="C815" s="18" t="s">
        <v>97</v>
      </c>
      <c r="D815" s="18" t="s">
        <v>1370</v>
      </c>
      <c r="E815" s="18" t="s">
        <v>1385</v>
      </c>
      <c r="F815" s="101">
        <v>46203.544444444444</v>
      </c>
      <c r="G815" s="101">
        <v>46206.886805555558</v>
      </c>
      <c r="H815" s="18" t="s">
        <v>507</v>
      </c>
      <c r="I815" s="18" t="s">
        <v>508</v>
      </c>
      <c r="J815" s="18"/>
      <c r="K815" s="21">
        <f t="shared" si="36"/>
        <v>80.216666666732635</v>
      </c>
      <c r="L815" s="19">
        <f t="shared" si="37"/>
        <v>24</v>
      </c>
      <c r="M815" s="18" t="str">
        <f>IF(I815&lt;&gt;"Sí","",IF(YEAR(F815)&lt;&gt;2026,"",INDEX({"Enero","Febrero","Marzo","Abril","Mayo","Junio","Julio","Agosto","Septiembre","Octubre","Noviembre","Diciembre"},MONTH(F815))))</f>
        <v>Junio</v>
      </c>
      <c r="N815" s="18" t="str">
        <f t="shared" si="38"/>
        <v>Junio|24</v>
      </c>
    </row>
    <row r="816" spans="1:14" ht="14.5" x14ac:dyDescent="0.25">
      <c r="A816" s="19">
        <v>33</v>
      </c>
      <c r="B816" s="18" t="s">
        <v>40</v>
      </c>
      <c r="C816" s="18" t="s">
        <v>97</v>
      </c>
      <c r="D816" s="18" t="s">
        <v>1370</v>
      </c>
      <c r="E816" s="18" t="s">
        <v>1386</v>
      </c>
      <c r="F816" s="101">
        <v>46203.62222222222</v>
      </c>
      <c r="G816" s="101">
        <v>46206.931944444441</v>
      </c>
      <c r="H816" s="18" t="s">
        <v>507</v>
      </c>
      <c r="I816" s="18" t="s">
        <v>508</v>
      </c>
      <c r="J816" s="18"/>
      <c r="K816" s="21">
        <f t="shared" si="36"/>
        <v>79.433333333290648</v>
      </c>
      <c r="L816" s="19">
        <f t="shared" si="37"/>
        <v>26</v>
      </c>
      <c r="M816" s="18" t="str">
        <f>IF(I816&lt;&gt;"Sí","",IF(YEAR(F816)&lt;&gt;2026,"",INDEX({"Enero","Febrero","Marzo","Abril","Mayo","Junio","Julio","Agosto","Septiembre","Octubre","Noviembre","Diciembre"},MONTH(F816))))</f>
        <v>Junio</v>
      </c>
      <c r="N816" s="18" t="str">
        <f t="shared" si="38"/>
        <v>Junio|26</v>
      </c>
    </row>
    <row r="817" spans="1:14" ht="14.5" x14ac:dyDescent="0.25">
      <c r="A817" s="19">
        <v>33</v>
      </c>
      <c r="B817" s="18" t="s">
        <v>40</v>
      </c>
      <c r="C817" s="18" t="s">
        <v>87</v>
      </c>
      <c r="D817" s="18" t="s">
        <v>1361</v>
      </c>
      <c r="E817" s="18" t="s">
        <v>1387</v>
      </c>
      <c r="F817" s="101">
        <v>46203.62222222222</v>
      </c>
      <c r="G817" s="101">
        <v>46208.375694444447</v>
      </c>
      <c r="H817" s="18" t="s">
        <v>507</v>
      </c>
      <c r="I817" s="18" t="s">
        <v>508</v>
      </c>
      <c r="J817" s="18"/>
      <c r="K817" s="21">
        <f t="shared" si="36"/>
        <v>114.08333333343035</v>
      </c>
      <c r="L817" s="19">
        <f t="shared" si="37"/>
        <v>26</v>
      </c>
      <c r="M817" s="18" t="str">
        <f>IF(I817&lt;&gt;"Sí","",IF(YEAR(F817)&lt;&gt;2026,"",INDEX({"Enero","Febrero","Marzo","Abril","Mayo","Junio","Julio","Agosto","Septiembre","Octubre","Noviembre","Diciembre"},MONTH(F817))))</f>
        <v>Junio</v>
      </c>
      <c r="N817" s="18" t="str">
        <f t="shared" si="38"/>
        <v>Junio|26</v>
      </c>
    </row>
    <row r="818" spans="1:14" ht="14.5" x14ac:dyDescent="0.25">
      <c r="A818" s="19">
        <v>33</v>
      </c>
      <c r="B818" s="18" t="s">
        <v>40</v>
      </c>
      <c r="C818" s="18" t="s">
        <v>87</v>
      </c>
      <c r="D818" s="18" t="s">
        <v>1361</v>
      </c>
      <c r="E818" s="18" t="s">
        <v>1388</v>
      </c>
      <c r="F818" s="101">
        <v>46203.681944444441</v>
      </c>
      <c r="G818" s="101">
        <v>46208.375694444447</v>
      </c>
      <c r="H818" s="18" t="s">
        <v>507</v>
      </c>
      <c r="I818" s="18" t="s">
        <v>508</v>
      </c>
      <c r="J818" s="18"/>
      <c r="K818" s="21">
        <f t="shared" si="36"/>
        <v>112.6500000001397</v>
      </c>
      <c r="L818" s="19">
        <f t="shared" si="37"/>
        <v>27</v>
      </c>
      <c r="M818" s="18" t="str">
        <f>IF(I818&lt;&gt;"Sí","",IF(YEAR(F818)&lt;&gt;2026,"",INDEX({"Enero","Febrero","Marzo","Abril","Mayo","Junio","Julio","Agosto","Septiembre","Octubre","Noviembre","Diciembre"},MONTH(F818))))</f>
        <v>Junio</v>
      </c>
      <c r="N818" s="18" t="str">
        <f t="shared" si="38"/>
        <v>Junio|27</v>
      </c>
    </row>
    <row r="819" spans="1:14" ht="14.5" x14ac:dyDescent="0.25">
      <c r="A819" s="19">
        <v>33</v>
      </c>
      <c r="B819" s="18" t="s">
        <v>40</v>
      </c>
      <c r="C819" s="18" t="s">
        <v>97</v>
      </c>
      <c r="D819" s="18" t="s">
        <v>1370</v>
      </c>
      <c r="E819" s="18" t="s">
        <v>1389</v>
      </c>
      <c r="F819" s="101">
        <v>46204.525694444441</v>
      </c>
      <c r="G819" s="101">
        <v>46206.887499999997</v>
      </c>
      <c r="H819" s="18" t="s">
        <v>507</v>
      </c>
      <c r="I819" s="18" t="s">
        <v>508</v>
      </c>
      <c r="J819" s="18"/>
      <c r="K819" s="21">
        <f t="shared" si="36"/>
        <v>56.683333333348855</v>
      </c>
      <c r="L819" s="19">
        <f t="shared" si="37"/>
        <v>30</v>
      </c>
      <c r="M819" s="18" t="str">
        <f>IF(I819&lt;&gt;"Sí","",IF(YEAR(F819)&lt;&gt;2026,"",INDEX({"Enero","Febrero","Marzo","Abril","Mayo","Junio","Julio","Agosto","Septiembre","Octubre","Noviembre","Diciembre"},MONTH(F819))))</f>
        <v>Julio</v>
      </c>
      <c r="N819" s="18" t="str">
        <f t="shared" si="38"/>
        <v>Julio|30</v>
      </c>
    </row>
    <row r="820" spans="1:14" ht="14.5" x14ac:dyDescent="0.25">
      <c r="A820" s="19">
        <v>33</v>
      </c>
      <c r="B820" s="18" t="s">
        <v>40</v>
      </c>
      <c r="C820" s="18" t="s">
        <v>87</v>
      </c>
      <c r="D820" s="18" t="s">
        <v>1361</v>
      </c>
      <c r="E820" s="18" t="s">
        <v>1390</v>
      </c>
      <c r="F820" s="101">
        <v>46204.525694444441</v>
      </c>
      <c r="G820" s="101">
        <v>46208.375694444447</v>
      </c>
      <c r="H820" s="18" t="s">
        <v>507</v>
      </c>
      <c r="I820" s="18" t="s">
        <v>508</v>
      </c>
      <c r="J820" s="18"/>
      <c r="K820" s="21">
        <f t="shared" si="36"/>
        <v>92.400000000139698</v>
      </c>
      <c r="L820" s="19">
        <f t="shared" si="37"/>
        <v>30</v>
      </c>
      <c r="M820" s="18" t="str">
        <f>IF(I820&lt;&gt;"Sí","",IF(YEAR(F820)&lt;&gt;2026,"",INDEX({"Enero","Febrero","Marzo","Abril","Mayo","Junio","Julio","Agosto","Septiembre","Octubre","Noviembre","Diciembre"},MONTH(F820))))</f>
        <v>Julio</v>
      </c>
      <c r="N820" s="18" t="str">
        <f t="shared" si="38"/>
        <v>Julio|30</v>
      </c>
    </row>
    <row r="821" spans="1:14" ht="14.5" x14ac:dyDescent="0.25">
      <c r="A821" s="19">
        <v>33</v>
      </c>
      <c r="B821" s="18" t="s">
        <v>40</v>
      </c>
      <c r="C821" s="18" t="s">
        <v>87</v>
      </c>
      <c r="D821" s="18" t="s">
        <v>1361</v>
      </c>
      <c r="E821" s="18" t="s">
        <v>1391</v>
      </c>
      <c r="F821" s="101">
        <v>46204.525694444441</v>
      </c>
      <c r="G821" s="101">
        <v>46208.375694444447</v>
      </c>
      <c r="H821" s="18" t="s">
        <v>507</v>
      </c>
      <c r="I821" s="18" t="s">
        <v>508</v>
      </c>
      <c r="J821" s="18"/>
      <c r="K821" s="21">
        <f t="shared" si="36"/>
        <v>92.400000000139698</v>
      </c>
      <c r="L821" s="19">
        <f t="shared" si="37"/>
        <v>30</v>
      </c>
      <c r="M821" s="18" t="str">
        <f>IF(I821&lt;&gt;"Sí","",IF(YEAR(F821)&lt;&gt;2026,"",INDEX({"Enero","Febrero","Marzo","Abril","Mayo","Junio","Julio","Agosto","Septiembre","Octubre","Noviembre","Diciembre"},MONTH(F821))))</f>
        <v>Julio</v>
      </c>
      <c r="N821" s="18" t="str">
        <f t="shared" si="38"/>
        <v>Julio|30</v>
      </c>
    </row>
    <row r="822" spans="1:14" ht="14.5" x14ac:dyDescent="0.25">
      <c r="A822" s="19">
        <v>33</v>
      </c>
      <c r="B822" s="18" t="s">
        <v>40</v>
      </c>
      <c r="C822" s="18" t="s">
        <v>97</v>
      </c>
      <c r="D822" s="18" t="s">
        <v>1370</v>
      </c>
      <c r="E822" s="18" t="s">
        <v>1392</v>
      </c>
      <c r="F822" s="101">
        <v>46204.555555555555</v>
      </c>
      <c r="G822" s="101">
        <v>46206.881944444445</v>
      </c>
      <c r="H822" s="18" t="s">
        <v>507</v>
      </c>
      <c r="I822" s="18" t="s">
        <v>508</v>
      </c>
      <c r="J822" s="18"/>
      <c r="K822" s="21">
        <f t="shared" si="36"/>
        <v>55.833333333372138</v>
      </c>
      <c r="L822" s="19">
        <f t="shared" si="37"/>
        <v>31</v>
      </c>
      <c r="M822" s="18" t="str">
        <f>IF(I822&lt;&gt;"Sí","",IF(YEAR(F822)&lt;&gt;2026,"",INDEX({"Enero","Febrero","Marzo","Abril","Mayo","Junio","Julio","Agosto","Septiembre","Octubre","Noviembre","Diciembre"},MONTH(F822))))</f>
        <v>Julio</v>
      </c>
      <c r="N822" s="18" t="str">
        <f t="shared" si="38"/>
        <v>Julio|31</v>
      </c>
    </row>
    <row r="823" spans="1:14" ht="14.5" x14ac:dyDescent="0.25">
      <c r="A823" s="19">
        <v>33</v>
      </c>
      <c r="B823" s="18" t="s">
        <v>40</v>
      </c>
      <c r="C823" s="18" t="s">
        <v>87</v>
      </c>
      <c r="D823" s="18" t="s">
        <v>1361</v>
      </c>
      <c r="E823" s="18" t="s">
        <v>1393</v>
      </c>
      <c r="F823" s="101">
        <v>46204.631944444445</v>
      </c>
      <c r="G823" s="101">
        <v>46208.375694444447</v>
      </c>
      <c r="H823" s="18" t="s">
        <v>507</v>
      </c>
      <c r="I823" s="18" t="s">
        <v>508</v>
      </c>
      <c r="J823" s="18"/>
      <c r="K823" s="21">
        <f t="shared" si="36"/>
        <v>89.850000000034925</v>
      </c>
      <c r="L823" s="19">
        <f t="shared" si="37"/>
        <v>32</v>
      </c>
      <c r="M823" s="18" t="str">
        <f>IF(I823&lt;&gt;"Sí","",IF(YEAR(F823)&lt;&gt;2026,"",INDEX({"Enero","Febrero","Marzo","Abril","Mayo","Junio","Julio","Agosto","Septiembre","Octubre","Noviembre","Diciembre"},MONTH(F823))))</f>
        <v>Julio</v>
      </c>
      <c r="N823" s="18" t="str">
        <f t="shared" si="38"/>
        <v>Julio|32</v>
      </c>
    </row>
    <row r="824" spans="1:14" ht="14.5" x14ac:dyDescent="0.25">
      <c r="A824" s="19">
        <v>33</v>
      </c>
      <c r="B824" s="18" t="s">
        <v>40</v>
      </c>
      <c r="C824" s="18" t="s">
        <v>97</v>
      </c>
      <c r="D824" s="18" t="s">
        <v>1370</v>
      </c>
      <c r="E824" s="18" t="s">
        <v>1394</v>
      </c>
      <c r="F824" s="101">
        <v>46205</v>
      </c>
      <c r="G824" s="101">
        <v>46207.197916666664</v>
      </c>
      <c r="H824" s="18" t="s">
        <v>507</v>
      </c>
      <c r="I824" s="18" t="s">
        <v>508</v>
      </c>
      <c r="J824" s="18"/>
      <c r="K824" s="21">
        <f t="shared" si="36"/>
        <v>52.749999999941792</v>
      </c>
      <c r="L824" s="19">
        <f t="shared" si="37"/>
        <v>33</v>
      </c>
      <c r="M824" s="18" t="str">
        <f>IF(I824&lt;&gt;"Sí","",IF(YEAR(F824)&lt;&gt;2026,"",INDEX({"Enero","Febrero","Marzo","Abril","Mayo","Junio","Julio","Agosto","Septiembre","Octubre","Noviembre","Diciembre"},MONTH(F824))))</f>
        <v>Julio</v>
      </c>
      <c r="N824" s="18" t="str">
        <f t="shared" si="38"/>
        <v>Julio|33</v>
      </c>
    </row>
    <row r="825" spans="1:14" ht="14.5" x14ac:dyDescent="0.25">
      <c r="A825" s="19">
        <v>33</v>
      </c>
      <c r="B825" s="18" t="s">
        <v>40</v>
      </c>
      <c r="C825" s="18" t="s">
        <v>110</v>
      </c>
      <c r="D825" s="18" t="s">
        <v>1395</v>
      </c>
      <c r="E825" s="18" t="s">
        <v>1396</v>
      </c>
      <c r="F825" s="101">
        <v>46205.629861111112</v>
      </c>
      <c r="G825" s="101">
        <v>46222.817361111112</v>
      </c>
      <c r="H825" s="18" t="s">
        <v>507</v>
      </c>
      <c r="I825" s="18" t="s">
        <v>508</v>
      </c>
      <c r="J825" s="18"/>
      <c r="K825" s="21">
        <f t="shared" si="36"/>
        <v>412.5</v>
      </c>
      <c r="L825" s="19">
        <f t="shared" si="37"/>
        <v>34</v>
      </c>
      <c r="M825" s="18" t="str">
        <f>IF(I825&lt;&gt;"Sí","",IF(YEAR(F825)&lt;&gt;2026,"",INDEX({"Enero","Febrero","Marzo","Abril","Mayo","Junio","Julio","Agosto","Septiembre","Octubre","Noviembre","Diciembre"},MONTH(F825))))</f>
        <v>Julio</v>
      </c>
      <c r="N825" s="18" t="str">
        <f t="shared" si="38"/>
        <v>Julio|34</v>
      </c>
    </row>
    <row r="826" spans="1:14" ht="14.5" x14ac:dyDescent="0.25">
      <c r="A826" s="19">
        <v>33</v>
      </c>
      <c r="B826" s="18" t="s">
        <v>40</v>
      </c>
      <c r="C826" s="18" t="s">
        <v>97</v>
      </c>
      <c r="D826" s="18" t="s">
        <v>1370</v>
      </c>
      <c r="E826" s="18" t="s">
        <v>1397</v>
      </c>
      <c r="F826" s="101">
        <v>46205.68472222222</v>
      </c>
      <c r="G826" s="101">
        <v>46207.074999999997</v>
      </c>
      <c r="H826" s="18" t="s">
        <v>507</v>
      </c>
      <c r="I826" s="18" t="s">
        <v>508</v>
      </c>
      <c r="J826" s="18"/>
      <c r="K826" s="21">
        <f t="shared" si="36"/>
        <v>33.366666666639503</v>
      </c>
      <c r="L826" s="19">
        <f t="shared" si="37"/>
        <v>35</v>
      </c>
      <c r="M826" s="18" t="str">
        <f>IF(I826&lt;&gt;"Sí","",IF(YEAR(F826)&lt;&gt;2026,"",INDEX({"Enero","Febrero","Marzo","Abril","Mayo","Junio","Julio","Agosto","Septiembre","Octubre","Noviembre","Diciembre"},MONTH(F826))))</f>
        <v>Julio</v>
      </c>
      <c r="N826" s="18" t="str">
        <f t="shared" si="38"/>
        <v>Julio|35</v>
      </c>
    </row>
    <row r="827" spans="1:14" ht="14.5" x14ac:dyDescent="0.25">
      <c r="A827" s="19">
        <v>33</v>
      </c>
      <c r="B827" s="18" t="s">
        <v>40</v>
      </c>
      <c r="C827" s="18" t="s">
        <v>97</v>
      </c>
      <c r="D827" s="18" t="s">
        <v>1370</v>
      </c>
      <c r="E827" s="18" t="s">
        <v>1398</v>
      </c>
      <c r="F827" s="101">
        <v>46205.686111111114</v>
      </c>
      <c r="G827" s="101">
        <v>46207.197222222225</v>
      </c>
      <c r="H827" s="18" t="s">
        <v>507</v>
      </c>
      <c r="I827" s="18" t="s">
        <v>508</v>
      </c>
      <c r="J827" s="18"/>
      <c r="K827" s="21">
        <f t="shared" si="36"/>
        <v>36.266666666662786</v>
      </c>
      <c r="L827" s="19">
        <f t="shared" si="37"/>
        <v>36</v>
      </c>
      <c r="M827" s="18" t="str">
        <f>IF(I827&lt;&gt;"Sí","",IF(YEAR(F827)&lt;&gt;2026,"",INDEX({"Enero","Febrero","Marzo","Abril","Mayo","Junio","Julio","Agosto","Septiembre","Octubre","Noviembre","Diciembre"},MONTH(F827))))</f>
        <v>Julio</v>
      </c>
      <c r="N827" s="18" t="str">
        <f t="shared" si="38"/>
        <v>Julio|36</v>
      </c>
    </row>
    <row r="828" spans="1:14" ht="14.5" x14ac:dyDescent="0.25">
      <c r="A828" s="19">
        <v>33</v>
      </c>
      <c r="B828" s="18" t="s">
        <v>40</v>
      </c>
      <c r="C828" s="18" t="s">
        <v>97</v>
      </c>
      <c r="D828" s="18" t="s">
        <v>1370</v>
      </c>
      <c r="E828" s="18" t="s">
        <v>1399</v>
      </c>
      <c r="F828" s="101">
        <v>46205.686805555553</v>
      </c>
      <c r="G828" s="101">
        <v>46207.196527777778</v>
      </c>
      <c r="H828" s="18" t="s">
        <v>507</v>
      </c>
      <c r="I828" s="18" t="s">
        <v>508</v>
      </c>
      <c r="J828" s="18"/>
      <c r="K828" s="21">
        <f t="shared" si="36"/>
        <v>36.233333333395422</v>
      </c>
      <c r="L828" s="19">
        <f t="shared" si="37"/>
        <v>37</v>
      </c>
      <c r="M828" s="18" t="str">
        <f>IF(I828&lt;&gt;"Sí","",IF(YEAR(F828)&lt;&gt;2026,"",INDEX({"Enero","Febrero","Marzo","Abril","Mayo","Junio","Julio","Agosto","Septiembre","Octubre","Noviembre","Diciembre"},MONTH(F828))))</f>
        <v>Julio</v>
      </c>
      <c r="N828" s="18" t="str">
        <f t="shared" si="38"/>
        <v>Julio|37</v>
      </c>
    </row>
    <row r="829" spans="1:14" ht="14.5" x14ac:dyDescent="0.25">
      <c r="A829" s="19">
        <v>33</v>
      </c>
      <c r="B829" s="18" t="s">
        <v>40</v>
      </c>
      <c r="C829" s="18" t="s">
        <v>97</v>
      </c>
      <c r="D829" s="18" t="s">
        <v>1370</v>
      </c>
      <c r="E829" s="18" t="s">
        <v>1400</v>
      </c>
      <c r="F829" s="101">
        <v>46205.6875</v>
      </c>
      <c r="G829" s="101">
        <v>46207.074305555558</v>
      </c>
      <c r="H829" s="18" t="s">
        <v>507</v>
      </c>
      <c r="I829" s="18" t="s">
        <v>508</v>
      </c>
      <c r="J829" s="18"/>
      <c r="K829" s="21">
        <f t="shared" si="36"/>
        <v>33.28333333338378</v>
      </c>
      <c r="L829" s="19">
        <f t="shared" si="37"/>
        <v>38</v>
      </c>
      <c r="M829" s="18" t="str">
        <f>IF(I829&lt;&gt;"Sí","",IF(YEAR(F829)&lt;&gt;2026,"",INDEX({"Enero","Febrero","Marzo","Abril","Mayo","Junio","Julio","Agosto","Septiembre","Octubre","Noviembre","Diciembre"},MONTH(F829))))</f>
        <v>Julio</v>
      </c>
      <c r="N829" s="18" t="str">
        <f t="shared" si="38"/>
        <v>Julio|38</v>
      </c>
    </row>
    <row r="830" spans="1:14" ht="14.5" x14ac:dyDescent="0.25">
      <c r="A830" s="19">
        <v>33</v>
      </c>
      <c r="B830" s="18" t="s">
        <v>40</v>
      </c>
      <c r="C830" s="18" t="s">
        <v>97</v>
      </c>
      <c r="D830" s="18" t="s">
        <v>1370</v>
      </c>
      <c r="E830" s="18" t="s">
        <v>1401</v>
      </c>
      <c r="F830" s="101">
        <v>46205.688888888886</v>
      </c>
      <c r="G830" s="101">
        <v>46207.075694444444</v>
      </c>
      <c r="H830" s="18" t="s">
        <v>507</v>
      </c>
      <c r="I830" s="18" t="s">
        <v>508</v>
      </c>
      <c r="J830" s="18"/>
      <c r="K830" s="21">
        <f t="shared" si="36"/>
        <v>33.28333333338378</v>
      </c>
      <c r="L830" s="19">
        <f t="shared" si="37"/>
        <v>39</v>
      </c>
      <c r="M830" s="18" t="str">
        <f>IF(I830&lt;&gt;"Sí","",IF(YEAR(F830)&lt;&gt;2026,"",INDEX({"Enero","Febrero","Marzo","Abril","Mayo","Junio","Julio","Agosto","Septiembre","Octubre","Noviembre","Diciembre"},MONTH(F830))))</f>
        <v>Julio</v>
      </c>
      <c r="N830" s="18" t="str">
        <f t="shared" si="38"/>
        <v>Julio|39</v>
      </c>
    </row>
    <row r="831" spans="1:14" ht="14.5" x14ac:dyDescent="0.25">
      <c r="A831" s="19">
        <v>33</v>
      </c>
      <c r="B831" s="18" t="s">
        <v>40</v>
      </c>
      <c r="C831" s="18" t="s">
        <v>97</v>
      </c>
      <c r="D831" s="18" t="s">
        <v>1370</v>
      </c>
      <c r="E831" s="18" t="s">
        <v>1402</v>
      </c>
      <c r="F831" s="101">
        <v>46205.697916666664</v>
      </c>
      <c r="G831" s="101">
        <v>46206.73541666667</v>
      </c>
      <c r="H831" s="18" t="s">
        <v>507</v>
      </c>
      <c r="I831" s="18" t="s">
        <v>508</v>
      </c>
      <c r="J831" s="18"/>
      <c r="K831" s="21">
        <f t="shared" si="36"/>
        <v>24.900000000139698</v>
      </c>
      <c r="L831" s="19">
        <f t="shared" si="37"/>
        <v>41</v>
      </c>
      <c r="M831" s="18" t="str">
        <f>IF(I831&lt;&gt;"Sí","",IF(YEAR(F831)&lt;&gt;2026,"",INDEX({"Enero","Febrero","Marzo","Abril","Mayo","Junio","Julio","Agosto","Septiembre","Octubre","Noviembre","Diciembre"},MONTH(F831))))</f>
        <v>Julio</v>
      </c>
      <c r="N831" s="18" t="str">
        <f t="shared" si="38"/>
        <v>Julio|41</v>
      </c>
    </row>
    <row r="832" spans="1:14" ht="14.5" x14ac:dyDescent="0.25">
      <c r="A832" s="19">
        <v>33</v>
      </c>
      <c r="B832" s="18" t="s">
        <v>40</v>
      </c>
      <c r="C832" s="18" t="s">
        <v>97</v>
      </c>
      <c r="D832" s="18" t="s">
        <v>1370</v>
      </c>
      <c r="E832" s="18" t="s">
        <v>1403</v>
      </c>
      <c r="F832" s="101">
        <v>46205.697916666664</v>
      </c>
      <c r="G832" s="101">
        <v>46206.734722222223</v>
      </c>
      <c r="H832" s="18" t="s">
        <v>507</v>
      </c>
      <c r="I832" s="18" t="s">
        <v>508</v>
      </c>
      <c r="J832" s="18"/>
      <c r="K832" s="21">
        <f t="shared" si="36"/>
        <v>24.883333333418705</v>
      </c>
      <c r="L832" s="19">
        <f t="shared" si="37"/>
        <v>41</v>
      </c>
      <c r="M832" s="18" t="str">
        <f>IF(I832&lt;&gt;"Sí","",IF(YEAR(F832)&lt;&gt;2026,"",INDEX({"Enero","Febrero","Marzo","Abril","Mayo","Junio","Julio","Agosto","Septiembre","Octubre","Noviembre","Diciembre"},MONTH(F832))))</f>
        <v>Julio</v>
      </c>
      <c r="N832" s="18" t="str">
        <f t="shared" si="38"/>
        <v>Julio|41</v>
      </c>
    </row>
    <row r="833" spans="1:14" ht="14.5" x14ac:dyDescent="0.25">
      <c r="A833" s="19">
        <v>33</v>
      </c>
      <c r="B833" s="18" t="s">
        <v>40</v>
      </c>
      <c r="C833" s="18" t="s">
        <v>97</v>
      </c>
      <c r="D833" s="18" t="s">
        <v>1370</v>
      </c>
      <c r="E833" s="18" t="s">
        <v>1404</v>
      </c>
      <c r="F833" s="101">
        <v>46205.701388888891</v>
      </c>
      <c r="G833" s="101">
        <v>46206.73333333333</v>
      </c>
      <c r="H833" s="18" t="s">
        <v>507</v>
      </c>
      <c r="I833" s="18" t="s">
        <v>508</v>
      </c>
      <c r="J833" s="18"/>
      <c r="K833" s="21">
        <f t="shared" si="36"/>
        <v>24.766666666546371</v>
      </c>
      <c r="L833" s="19">
        <f t="shared" si="37"/>
        <v>42</v>
      </c>
      <c r="M833" s="18" t="str">
        <f>IF(I833&lt;&gt;"Sí","",IF(YEAR(F833)&lt;&gt;2026,"",INDEX({"Enero","Febrero","Marzo","Abril","Mayo","Junio","Julio","Agosto","Septiembre","Octubre","Noviembre","Diciembre"},MONTH(F833))))</f>
        <v>Julio</v>
      </c>
      <c r="N833" s="18" t="str">
        <f t="shared" si="38"/>
        <v>Julio|42</v>
      </c>
    </row>
    <row r="834" spans="1:14" ht="14.5" x14ac:dyDescent="0.25">
      <c r="A834" s="19">
        <v>33</v>
      </c>
      <c r="B834" s="18" t="s">
        <v>40</v>
      </c>
      <c r="C834" s="18" t="s">
        <v>97</v>
      </c>
      <c r="D834" s="18" t="s">
        <v>1370</v>
      </c>
      <c r="E834" s="18" t="s">
        <v>1405</v>
      </c>
      <c r="F834" s="101">
        <v>46205.702777777777</v>
      </c>
      <c r="G834" s="101">
        <v>46206.731944444444</v>
      </c>
      <c r="H834" s="18" t="s">
        <v>507</v>
      </c>
      <c r="I834" s="18" t="s">
        <v>508</v>
      </c>
      <c r="J834" s="18"/>
      <c r="K834" s="21">
        <f t="shared" si="36"/>
        <v>24.700000000011642</v>
      </c>
      <c r="L834" s="19">
        <f t="shared" si="37"/>
        <v>43</v>
      </c>
      <c r="M834" s="18" t="str">
        <f>IF(I834&lt;&gt;"Sí","",IF(YEAR(F834)&lt;&gt;2026,"",INDEX({"Enero","Febrero","Marzo","Abril","Mayo","Junio","Julio","Agosto","Septiembre","Octubre","Noviembre","Diciembre"},MONTH(F834))))</f>
        <v>Julio</v>
      </c>
      <c r="N834" s="18" t="str">
        <f t="shared" si="38"/>
        <v>Julio|43</v>
      </c>
    </row>
    <row r="835" spans="1:14" ht="14.5" x14ac:dyDescent="0.25">
      <c r="A835" s="19">
        <v>33</v>
      </c>
      <c r="B835" s="18" t="s">
        <v>40</v>
      </c>
      <c r="C835" s="18" t="s">
        <v>97</v>
      </c>
      <c r="D835" s="18" t="s">
        <v>1370</v>
      </c>
      <c r="E835" s="18" t="s">
        <v>1406</v>
      </c>
      <c r="F835" s="101">
        <v>46205.70416666667</v>
      </c>
      <c r="G835" s="101">
        <v>46206.731249999997</v>
      </c>
      <c r="H835" s="18" t="s">
        <v>507</v>
      </c>
      <c r="I835" s="18" t="s">
        <v>508</v>
      </c>
      <c r="J835" s="18"/>
      <c r="K835" s="21">
        <f t="shared" si="36"/>
        <v>24.64999999984866</v>
      </c>
      <c r="L835" s="19">
        <f t="shared" si="37"/>
        <v>44</v>
      </c>
      <c r="M835" s="18" t="str">
        <f>IF(I835&lt;&gt;"Sí","",IF(YEAR(F835)&lt;&gt;2026,"",INDEX({"Enero","Febrero","Marzo","Abril","Mayo","Junio","Julio","Agosto","Septiembre","Octubre","Noviembre","Diciembre"},MONTH(F835))))</f>
        <v>Julio</v>
      </c>
      <c r="N835" s="18" t="str">
        <f t="shared" si="38"/>
        <v>Julio|44</v>
      </c>
    </row>
    <row r="836" spans="1:14" ht="14.5" x14ac:dyDescent="0.25">
      <c r="A836" s="19">
        <v>33</v>
      </c>
      <c r="B836" s="18" t="s">
        <v>40</v>
      </c>
      <c r="C836" s="18" t="s">
        <v>97</v>
      </c>
      <c r="D836" s="18" t="s">
        <v>1370</v>
      </c>
      <c r="E836" s="18" t="s">
        <v>1407</v>
      </c>
      <c r="F836" s="101">
        <v>46205.709722222222</v>
      </c>
      <c r="G836" s="101">
        <v>46206.618055555555</v>
      </c>
      <c r="H836" s="18" t="s">
        <v>507</v>
      </c>
      <c r="I836" s="18" t="s">
        <v>508</v>
      </c>
      <c r="J836" s="18"/>
      <c r="K836" s="21">
        <f t="shared" si="36"/>
        <v>21.799999999988358</v>
      </c>
      <c r="L836" s="19">
        <f t="shared" si="37"/>
        <v>45</v>
      </c>
      <c r="M836" s="18" t="str">
        <f>IF(I836&lt;&gt;"Sí","",IF(YEAR(F836)&lt;&gt;2026,"",INDEX({"Enero","Febrero","Marzo","Abril","Mayo","Junio","Julio","Agosto","Septiembre","Octubre","Noviembre","Diciembre"},MONTH(F836))))</f>
        <v>Julio</v>
      </c>
      <c r="N836" s="18" t="str">
        <f t="shared" si="38"/>
        <v>Julio|45</v>
      </c>
    </row>
    <row r="837" spans="1:14" ht="14.5" x14ac:dyDescent="0.25">
      <c r="A837" s="19">
        <v>33</v>
      </c>
      <c r="B837" s="18" t="s">
        <v>40</v>
      </c>
      <c r="C837" s="18" t="s">
        <v>97</v>
      </c>
      <c r="D837" s="18" t="s">
        <v>1370</v>
      </c>
      <c r="E837" s="18" t="s">
        <v>1408</v>
      </c>
      <c r="F837" s="101">
        <v>46205.712500000001</v>
      </c>
      <c r="G837" s="101">
        <v>46206.618055555555</v>
      </c>
      <c r="H837" s="18" t="s">
        <v>507</v>
      </c>
      <c r="I837" s="18" t="s">
        <v>508</v>
      </c>
      <c r="J837" s="18"/>
      <c r="K837" s="21">
        <f t="shared" si="36"/>
        <v>21.733333333279006</v>
      </c>
      <c r="L837" s="19">
        <f t="shared" si="37"/>
        <v>46</v>
      </c>
      <c r="M837" s="18" t="str">
        <f>IF(I837&lt;&gt;"Sí","",IF(YEAR(F837)&lt;&gt;2026,"",INDEX({"Enero","Febrero","Marzo","Abril","Mayo","Junio","Julio","Agosto","Septiembre","Octubre","Noviembre","Diciembre"},MONTH(F837))))</f>
        <v>Julio</v>
      </c>
      <c r="N837" s="18" t="str">
        <f t="shared" si="38"/>
        <v>Julio|46</v>
      </c>
    </row>
    <row r="838" spans="1:14" ht="14.5" x14ac:dyDescent="0.25">
      <c r="A838" s="19">
        <v>33</v>
      </c>
      <c r="B838" s="18" t="s">
        <v>40</v>
      </c>
      <c r="C838" s="18" t="s">
        <v>97</v>
      </c>
      <c r="D838" s="18" t="s">
        <v>1370</v>
      </c>
      <c r="E838" s="18" t="s">
        <v>1409</v>
      </c>
      <c r="F838" s="101">
        <v>46205.713888888888</v>
      </c>
      <c r="G838" s="101">
        <v>46206.618055555555</v>
      </c>
      <c r="H838" s="18" t="s">
        <v>507</v>
      </c>
      <c r="I838" s="18" t="s">
        <v>508</v>
      </c>
      <c r="J838" s="18"/>
      <c r="K838" s="21">
        <f t="shared" si="36"/>
        <v>21.700000000011642</v>
      </c>
      <c r="L838" s="19">
        <f t="shared" si="37"/>
        <v>47</v>
      </c>
      <c r="M838" s="18" t="str">
        <f>IF(I838&lt;&gt;"Sí","",IF(YEAR(F838)&lt;&gt;2026,"",INDEX({"Enero","Febrero","Marzo","Abril","Mayo","Junio","Julio","Agosto","Septiembre","Octubre","Noviembre","Diciembre"},MONTH(F838))))</f>
        <v>Julio</v>
      </c>
      <c r="N838" s="18" t="str">
        <f t="shared" si="38"/>
        <v>Julio|47</v>
      </c>
    </row>
    <row r="839" spans="1:14" ht="14.5" x14ac:dyDescent="0.25">
      <c r="A839" s="19">
        <v>33</v>
      </c>
      <c r="B839" s="18" t="s">
        <v>40</v>
      </c>
      <c r="C839" s="18" t="s">
        <v>97</v>
      </c>
      <c r="D839" s="18" t="s">
        <v>1370</v>
      </c>
      <c r="E839" s="18" t="s">
        <v>1410</v>
      </c>
      <c r="F839" s="101">
        <v>46205.71597222222</v>
      </c>
      <c r="G839" s="101">
        <v>46206.618055555555</v>
      </c>
      <c r="H839" s="18" t="s">
        <v>507</v>
      </c>
      <c r="I839" s="18" t="s">
        <v>508</v>
      </c>
      <c r="J839" s="18"/>
      <c r="K839" s="21">
        <f t="shared" ref="K839:K902" si="39">IF(I839="Sí",(G839-F839)*24,"")</f>
        <v>21.650000000023283</v>
      </c>
      <c r="L839" s="19">
        <f t="shared" ref="L839:L902" si="40">IF(I839="Sí",COUNTIFS($F$7:$F$4000,"&lt;="&amp;F839,$G$7:$G$4000,"&gt;"&amp;F839,$I$7:$I$4000,"Sí"),"")</f>
        <v>48</v>
      </c>
      <c r="M839" s="18" t="str">
        <f>IF(I839&lt;&gt;"Sí","",IF(YEAR(F839)&lt;&gt;2026,"",INDEX({"Enero","Febrero","Marzo","Abril","Mayo","Junio","Julio","Agosto","Septiembre","Octubre","Noviembre","Diciembre"},MONTH(F839))))</f>
        <v>Julio</v>
      </c>
      <c r="N839" s="18" t="str">
        <f t="shared" ref="N839:N902" si="41">IF(M839="","",M839&amp;"|"&amp;L839)</f>
        <v>Julio|48</v>
      </c>
    </row>
    <row r="840" spans="1:14" ht="14.5" x14ac:dyDescent="0.25">
      <c r="A840" s="19">
        <v>33</v>
      </c>
      <c r="B840" s="18" t="s">
        <v>40</v>
      </c>
      <c r="C840" s="18" t="s">
        <v>97</v>
      </c>
      <c r="D840" s="18" t="s">
        <v>1370</v>
      </c>
      <c r="E840" s="18" t="s">
        <v>1066</v>
      </c>
      <c r="F840" s="101">
        <v>46205.717361111114</v>
      </c>
      <c r="G840" s="101">
        <v>46206.618055555555</v>
      </c>
      <c r="H840" s="18" t="s">
        <v>507</v>
      </c>
      <c r="I840" s="18" t="s">
        <v>508</v>
      </c>
      <c r="J840" s="18"/>
      <c r="K840" s="21">
        <f t="shared" si="39"/>
        <v>21.616666666581295</v>
      </c>
      <c r="L840" s="19">
        <f t="shared" si="40"/>
        <v>49</v>
      </c>
      <c r="M840" s="18" t="str">
        <f>IF(I840&lt;&gt;"Sí","",IF(YEAR(F840)&lt;&gt;2026,"",INDEX({"Enero","Febrero","Marzo","Abril","Mayo","Junio","Julio","Agosto","Septiembre","Octubre","Noviembre","Diciembre"},MONTH(F840))))</f>
        <v>Julio</v>
      </c>
      <c r="N840" s="18" t="str">
        <f t="shared" si="41"/>
        <v>Julio|49</v>
      </c>
    </row>
    <row r="841" spans="1:14" ht="14.5" x14ac:dyDescent="0.25">
      <c r="A841" s="19">
        <v>33</v>
      </c>
      <c r="B841" s="18" t="s">
        <v>40</v>
      </c>
      <c r="C841" s="18" t="s">
        <v>97</v>
      </c>
      <c r="D841" s="18" t="s">
        <v>1370</v>
      </c>
      <c r="E841" s="18" t="s">
        <v>1411</v>
      </c>
      <c r="F841" s="101">
        <v>46205.719444444447</v>
      </c>
      <c r="G841" s="101">
        <v>46206.618055555555</v>
      </c>
      <c r="H841" s="18" t="s">
        <v>507</v>
      </c>
      <c r="I841" s="18" t="s">
        <v>508</v>
      </c>
      <c r="J841" s="18"/>
      <c r="K841" s="21">
        <f t="shared" si="39"/>
        <v>21.566666666592937</v>
      </c>
      <c r="L841" s="19">
        <f t="shared" si="40"/>
        <v>50</v>
      </c>
      <c r="M841" s="18" t="str">
        <f>IF(I841&lt;&gt;"Sí","",IF(YEAR(F841)&lt;&gt;2026,"",INDEX({"Enero","Febrero","Marzo","Abril","Mayo","Junio","Julio","Agosto","Septiembre","Octubre","Noviembre","Diciembre"},MONTH(F841))))</f>
        <v>Julio</v>
      </c>
      <c r="N841" s="18" t="str">
        <f t="shared" si="41"/>
        <v>Julio|50</v>
      </c>
    </row>
    <row r="842" spans="1:14" ht="14.5" x14ac:dyDescent="0.25">
      <c r="A842" s="19">
        <v>33</v>
      </c>
      <c r="B842" s="18" t="s">
        <v>40</v>
      </c>
      <c r="C842" s="18" t="s">
        <v>97</v>
      </c>
      <c r="D842" s="18" t="s">
        <v>1370</v>
      </c>
      <c r="E842" s="18" t="s">
        <v>1412</v>
      </c>
      <c r="F842" s="101">
        <v>46205.722222222219</v>
      </c>
      <c r="G842" s="101">
        <v>46206.618055555555</v>
      </c>
      <c r="H842" s="18" t="s">
        <v>507</v>
      </c>
      <c r="I842" s="18" t="s">
        <v>508</v>
      </c>
      <c r="J842" s="18"/>
      <c r="K842" s="21">
        <f t="shared" si="39"/>
        <v>21.500000000058208</v>
      </c>
      <c r="L842" s="19">
        <f t="shared" si="40"/>
        <v>51</v>
      </c>
      <c r="M842" s="18" t="str">
        <f>IF(I842&lt;&gt;"Sí","",IF(YEAR(F842)&lt;&gt;2026,"",INDEX({"Enero","Febrero","Marzo","Abril","Mayo","Junio","Julio","Agosto","Septiembre","Octubre","Noviembre","Diciembre"},MONTH(F842))))</f>
        <v>Julio</v>
      </c>
      <c r="N842" s="18" t="str">
        <f t="shared" si="41"/>
        <v>Julio|51</v>
      </c>
    </row>
    <row r="843" spans="1:14" ht="14.5" x14ac:dyDescent="0.25">
      <c r="A843" s="19">
        <v>33</v>
      </c>
      <c r="B843" s="18" t="s">
        <v>40</v>
      </c>
      <c r="C843" s="18" t="s">
        <v>97</v>
      </c>
      <c r="D843" s="18" t="s">
        <v>1370</v>
      </c>
      <c r="E843" s="18" t="s">
        <v>1413</v>
      </c>
      <c r="F843" s="101">
        <v>46205.724999999999</v>
      </c>
      <c r="G843" s="101">
        <v>46206.618055555555</v>
      </c>
      <c r="H843" s="18" t="s">
        <v>507</v>
      </c>
      <c r="I843" s="18" t="s">
        <v>508</v>
      </c>
      <c r="J843" s="18"/>
      <c r="K843" s="21">
        <f t="shared" si="39"/>
        <v>21.433333333348855</v>
      </c>
      <c r="L843" s="19">
        <f t="shared" si="40"/>
        <v>52</v>
      </c>
      <c r="M843" s="18" t="str">
        <f>IF(I843&lt;&gt;"Sí","",IF(YEAR(F843)&lt;&gt;2026,"",INDEX({"Enero","Febrero","Marzo","Abril","Mayo","Junio","Julio","Agosto","Septiembre","Octubre","Noviembre","Diciembre"},MONTH(F843))))</f>
        <v>Julio</v>
      </c>
      <c r="N843" s="18" t="str">
        <f t="shared" si="41"/>
        <v>Julio|52</v>
      </c>
    </row>
    <row r="844" spans="1:14" ht="14.5" x14ac:dyDescent="0.25">
      <c r="A844" s="19">
        <v>33</v>
      </c>
      <c r="B844" s="18" t="s">
        <v>40</v>
      </c>
      <c r="C844" s="18" t="s">
        <v>97</v>
      </c>
      <c r="D844" s="18" t="s">
        <v>1370</v>
      </c>
      <c r="E844" s="18" t="s">
        <v>1414</v>
      </c>
      <c r="F844" s="101">
        <v>46205.726388888892</v>
      </c>
      <c r="G844" s="101">
        <v>46206.618055555555</v>
      </c>
      <c r="H844" s="18" t="s">
        <v>507</v>
      </c>
      <c r="I844" s="18" t="s">
        <v>508</v>
      </c>
      <c r="J844" s="18"/>
      <c r="K844" s="21">
        <f t="shared" si="39"/>
        <v>21.399999999906868</v>
      </c>
      <c r="L844" s="19">
        <f t="shared" si="40"/>
        <v>53</v>
      </c>
      <c r="M844" s="18" t="str">
        <f>IF(I844&lt;&gt;"Sí","",IF(YEAR(F844)&lt;&gt;2026,"",INDEX({"Enero","Febrero","Marzo","Abril","Mayo","Junio","Julio","Agosto","Septiembre","Octubre","Noviembre","Diciembre"},MONTH(F844))))</f>
        <v>Julio</v>
      </c>
      <c r="N844" s="18" t="str">
        <f t="shared" si="41"/>
        <v>Julio|53</v>
      </c>
    </row>
    <row r="845" spans="1:14" ht="14.5" x14ac:dyDescent="0.25">
      <c r="A845" s="19">
        <v>33</v>
      </c>
      <c r="B845" s="18" t="s">
        <v>40</v>
      </c>
      <c r="C845" s="18" t="s">
        <v>97</v>
      </c>
      <c r="D845" s="18" t="s">
        <v>1370</v>
      </c>
      <c r="E845" s="18" t="s">
        <v>1415</v>
      </c>
      <c r="F845" s="101">
        <v>46205.728472222225</v>
      </c>
      <c r="G845" s="101">
        <v>46206.618055555555</v>
      </c>
      <c r="H845" s="18" t="s">
        <v>507</v>
      </c>
      <c r="I845" s="18" t="s">
        <v>508</v>
      </c>
      <c r="J845" s="18"/>
      <c r="K845" s="21">
        <f t="shared" si="39"/>
        <v>21.349999999918509</v>
      </c>
      <c r="L845" s="19">
        <f t="shared" si="40"/>
        <v>54</v>
      </c>
      <c r="M845" s="18" t="str">
        <f>IF(I845&lt;&gt;"Sí","",IF(YEAR(F845)&lt;&gt;2026,"",INDEX({"Enero","Febrero","Marzo","Abril","Mayo","Junio","Julio","Agosto","Septiembre","Octubre","Noviembre","Diciembre"},MONTH(F845))))</f>
        <v>Julio</v>
      </c>
      <c r="N845" s="18" t="str">
        <f t="shared" si="41"/>
        <v>Julio|54</v>
      </c>
    </row>
    <row r="846" spans="1:14" ht="14.5" x14ac:dyDescent="0.25">
      <c r="A846" s="19">
        <v>33</v>
      </c>
      <c r="B846" s="18" t="s">
        <v>40</v>
      </c>
      <c r="C846" s="18" t="s">
        <v>97</v>
      </c>
      <c r="D846" s="18" t="s">
        <v>1370</v>
      </c>
      <c r="E846" s="18" t="s">
        <v>1416</v>
      </c>
      <c r="F846" s="101">
        <v>46205.731249999997</v>
      </c>
      <c r="G846" s="101">
        <v>46206.618055555555</v>
      </c>
      <c r="H846" s="18" t="s">
        <v>507</v>
      </c>
      <c r="I846" s="18" t="s">
        <v>508</v>
      </c>
      <c r="J846" s="18"/>
      <c r="K846" s="21">
        <f t="shared" si="39"/>
        <v>21.28333333338378</v>
      </c>
      <c r="L846" s="19">
        <f t="shared" si="40"/>
        <v>55</v>
      </c>
      <c r="M846" s="18" t="str">
        <f>IF(I846&lt;&gt;"Sí","",IF(YEAR(F846)&lt;&gt;2026,"",INDEX({"Enero","Febrero","Marzo","Abril","Mayo","Junio","Julio","Agosto","Septiembre","Octubre","Noviembre","Diciembre"},MONTH(F846))))</f>
        <v>Julio</v>
      </c>
      <c r="N846" s="18" t="str">
        <f t="shared" si="41"/>
        <v>Julio|55</v>
      </c>
    </row>
    <row r="847" spans="1:14" ht="14.5" x14ac:dyDescent="0.25">
      <c r="A847" s="19">
        <v>33</v>
      </c>
      <c r="B847" s="18" t="s">
        <v>40</v>
      </c>
      <c r="C847" s="18" t="s">
        <v>97</v>
      </c>
      <c r="D847" s="18" t="s">
        <v>1370</v>
      </c>
      <c r="E847" s="18" t="s">
        <v>923</v>
      </c>
      <c r="F847" s="101">
        <v>46205.73333333333</v>
      </c>
      <c r="G847" s="101">
        <v>46206.618055555555</v>
      </c>
      <c r="H847" s="18" t="s">
        <v>507</v>
      </c>
      <c r="I847" s="18" t="s">
        <v>508</v>
      </c>
      <c r="J847" s="18"/>
      <c r="K847" s="21">
        <f t="shared" si="39"/>
        <v>21.233333333395422</v>
      </c>
      <c r="L847" s="19">
        <f t="shared" si="40"/>
        <v>56</v>
      </c>
      <c r="M847" s="18" t="str">
        <f>IF(I847&lt;&gt;"Sí","",IF(YEAR(F847)&lt;&gt;2026,"",INDEX({"Enero","Febrero","Marzo","Abril","Mayo","Junio","Julio","Agosto","Septiembre","Octubre","Noviembre","Diciembre"},MONTH(F847))))</f>
        <v>Julio</v>
      </c>
      <c r="N847" s="18" t="str">
        <f t="shared" si="41"/>
        <v>Julio|56</v>
      </c>
    </row>
    <row r="848" spans="1:14" ht="14.5" x14ac:dyDescent="0.25">
      <c r="A848" s="19">
        <v>33</v>
      </c>
      <c r="B848" s="18" t="s">
        <v>40</v>
      </c>
      <c r="C848" s="18" t="s">
        <v>97</v>
      </c>
      <c r="D848" s="18" t="s">
        <v>1370</v>
      </c>
      <c r="E848" s="18" t="s">
        <v>1417</v>
      </c>
      <c r="F848" s="101">
        <v>46205.737500000003</v>
      </c>
      <c r="G848" s="101">
        <v>46206.618055555555</v>
      </c>
      <c r="H848" s="18" t="s">
        <v>507</v>
      </c>
      <c r="I848" s="18" t="s">
        <v>508</v>
      </c>
      <c r="J848" s="18"/>
      <c r="K848" s="21">
        <f t="shared" si="39"/>
        <v>21.133333333244082</v>
      </c>
      <c r="L848" s="19">
        <f t="shared" si="40"/>
        <v>57</v>
      </c>
      <c r="M848" s="18" t="str">
        <f>IF(I848&lt;&gt;"Sí","",IF(YEAR(F848)&lt;&gt;2026,"",INDEX({"Enero","Febrero","Marzo","Abril","Mayo","Junio","Julio","Agosto","Septiembre","Octubre","Noviembre","Diciembre"},MONTH(F848))))</f>
        <v>Julio</v>
      </c>
      <c r="N848" s="18" t="str">
        <f t="shared" si="41"/>
        <v>Julio|57</v>
      </c>
    </row>
    <row r="849" spans="1:14" ht="14.5" x14ac:dyDescent="0.25">
      <c r="A849" s="19">
        <v>33</v>
      </c>
      <c r="B849" s="18" t="s">
        <v>40</v>
      </c>
      <c r="C849" s="18" t="s">
        <v>97</v>
      </c>
      <c r="D849" s="18" t="s">
        <v>1370</v>
      </c>
      <c r="E849" s="18" t="s">
        <v>1418</v>
      </c>
      <c r="F849" s="101">
        <v>46205.739583333336</v>
      </c>
      <c r="G849" s="101">
        <v>46206.618055555555</v>
      </c>
      <c r="H849" s="18" t="s">
        <v>507</v>
      </c>
      <c r="I849" s="18" t="s">
        <v>508</v>
      </c>
      <c r="J849" s="18"/>
      <c r="K849" s="21">
        <f t="shared" si="39"/>
        <v>21.083333333255723</v>
      </c>
      <c r="L849" s="19">
        <f t="shared" si="40"/>
        <v>58</v>
      </c>
      <c r="M849" s="18" t="str">
        <f>IF(I849&lt;&gt;"Sí","",IF(YEAR(F849)&lt;&gt;2026,"",INDEX({"Enero","Febrero","Marzo","Abril","Mayo","Junio","Julio","Agosto","Septiembre","Octubre","Noviembre","Diciembre"},MONTH(F849))))</f>
        <v>Julio</v>
      </c>
      <c r="N849" s="18" t="str">
        <f t="shared" si="41"/>
        <v>Julio|58</v>
      </c>
    </row>
    <row r="850" spans="1:14" ht="14.5" x14ac:dyDescent="0.25">
      <c r="A850" s="19">
        <v>33</v>
      </c>
      <c r="B850" s="18" t="s">
        <v>40</v>
      </c>
      <c r="C850" s="18" t="s">
        <v>97</v>
      </c>
      <c r="D850" s="18" t="s">
        <v>1370</v>
      </c>
      <c r="E850" s="18" t="s">
        <v>1419</v>
      </c>
      <c r="F850" s="101">
        <v>46205.740972222222</v>
      </c>
      <c r="G850" s="101">
        <v>46206.618055555555</v>
      </c>
      <c r="H850" s="18" t="s">
        <v>507</v>
      </c>
      <c r="I850" s="18" t="s">
        <v>508</v>
      </c>
      <c r="J850" s="18"/>
      <c r="K850" s="21">
        <f t="shared" si="39"/>
        <v>21.049999999988358</v>
      </c>
      <c r="L850" s="19">
        <f t="shared" si="40"/>
        <v>59</v>
      </c>
      <c r="M850" s="18" t="str">
        <f>IF(I850&lt;&gt;"Sí","",IF(YEAR(F850)&lt;&gt;2026,"",INDEX({"Enero","Febrero","Marzo","Abril","Mayo","Junio","Julio","Agosto","Septiembre","Octubre","Noviembre","Diciembre"},MONTH(F850))))</f>
        <v>Julio</v>
      </c>
      <c r="N850" s="18" t="str">
        <f t="shared" si="41"/>
        <v>Julio|59</v>
      </c>
    </row>
    <row r="851" spans="1:14" ht="14.5" x14ac:dyDescent="0.25">
      <c r="A851" s="19">
        <v>33</v>
      </c>
      <c r="B851" s="18" t="s">
        <v>40</v>
      </c>
      <c r="C851" s="18" t="s">
        <v>97</v>
      </c>
      <c r="D851" s="18" t="s">
        <v>1370</v>
      </c>
      <c r="E851" s="18" t="s">
        <v>1420</v>
      </c>
      <c r="F851" s="101">
        <v>46205.741666666669</v>
      </c>
      <c r="G851" s="101">
        <v>46206.604166666664</v>
      </c>
      <c r="H851" s="18" t="s">
        <v>507</v>
      </c>
      <c r="I851" s="18" t="s">
        <v>508</v>
      </c>
      <c r="J851" s="18"/>
      <c r="K851" s="21">
        <f t="shared" si="39"/>
        <v>20.699999999895226</v>
      </c>
      <c r="L851" s="19">
        <f t="shared" si="40"/>
        <v>60</v>
      </c>
      <c r="M851" s="18" t="str">
        <f>IF(I851&lt;&gt;"Sí","",IF(YEAR(F851)&lt;&gt;2026,"",INDEX({"Enero","Febrero","Marzo","Abril","Mayo","Junio","Julio","Agosto","Septiembre","Octubre","Noviembre","Diciembre"},MONTH(F851))))</f>
        <v>Julio</v>
      </c>
      <c r="N851" s="18" t="str">
        <f t="shared" si="41"/>
        <v>Julio|60</v>
      </c>
    </row>
    <row r="852" spans="1:14" ht="14.5" x14ac:dyDescent="0.25">
      <c r="A852" s="19">
        <v>33</v>
      </c>
      <c r="B852" s="18" t="s">
        <v>40</v>
      </c>
      <c r="C852" s="18" t="s">
        <v>97</v>
      </c>
      <c r="D852" s="18" t="s">
        <v>1370</v>
      </c>
      <c r="E852" s="18" t="s">
        <v>1421</v>
      </c>
      <c r="F852" s="101">
        <v>46205.744444444441</v>
      </c>
      <c r="G852" s="101">
        <v>46206.603472222225</v>
      </c>
      <c r="H852" s="18" t="s">
        <v>507</v>
      </c>
      <c r="I852" s="18" t="s">
        <v>508</v>
      </c>
      <c r="J852" s="18"/>
      <c r="K852" s="21">
        <f t="shared" si="39"/>
        <v>20.616666666814126</v>
      </c>
      <c r="L852" s="19">
        <f t="shared" si="40"/>
        <v>61</v>
      </c>
      <c r="M852" s="18" t="str">
        <f>IF(I852&lt;&gt;"Sí","",IF(YEAR(F852)&lt;&gt;2026,"",INDEX({"Enero","Febrero","Marzo","Abril","Mayo","Junio","Julio","Agosto","Septiembre","Octubre","Noviembre","Diciembre"},MONTH(F852))))</f>
        <v>Julio</v>
      </c>
      <c r="N852" s="18" t="str">
        <f t="shared" si="41"/>
        <v>Julio|61</v>
      </c>
    </row>
    <row r="853" spans="1:14" ht="14.5" x14ac:dyDescent="0.25">
      <c r="A853" s="19">
        <v>33</v>
      </c>
      <c r="B853" s="18" t="s">
        <v>40</v>
      </c>
      <c r="C853" s="18" t="s">
        <v>97</v>
      </c>
      <c r="D853" s="18" t="s">
        <v>1370</v>
      </c>
      <c r="E853" s="18" t="s">
        <v>1422</v>
      </c>
      <c r="F853" s="101">
        <v>46205.745833333334</v>
      </c>
      <c r="G853" s="101">
        <v>46206.600694444445</v>
      </c>
      <c r="H853" s="18" t="s">
        <v>507</v>
      </c>
      <c r="I853" s="18" t="s">
        <v>508</v>
      </c>
      <c r="J853" s="18"/>
      <c r="K853" s="21">
        <f t="shared" si="39"/>
        <v>20.516666666662786</v>
      </c>
      <c r="L853" s="19">
        <f t="shared" si="40"/>
        <v>62</v>
      </c>
      <c r="M853" s="18" t="str">
        <f>IF(I853&lt;&gt;"Sí","",IF(YEAR(F853)&lt;&gt;2026,"",INDEX({"Enero","Febrero","Marzo","Abril","Mayo","Junio","Julio","Agosto","Septiembre","Octubre","Noviembre","Diciembre"},MONTH(F853))))</f>
        <v>Julio</v>
      </c>
      <c r="N853" s="18" t="str">
        <f t="shared" si="41"/>
        <v>Julio|62</v>
      </c>
    </row>
    <row r="854" spans="1:14" ht="14.5" x14ac:dyDescent="0.25">
      <c r="A854" s="19">
        <v>33</v>
      </c>
      <c r="B854" s="18" t="s">
        <v>40</v>
      </c>
      <c r="C854" s="18" t="s">
        <v>97</v>
      </c>
      <c r="D854" s="18" t="s">
        <v>1370</v>
      </c>
      <c r="E854" s="18" t="s">
        <v>1423</v>
      </c>
      <c r="F854" s="101">
        <v>46205.75</v>
      </c>
      <c r="G854" s="101">
        <v>46206.598611111112</v>
      </c>
      <c r="H854" s="18" t="s">
        <v>507</v>
      </c>
      <c r="I854" s="18" t="s">
        <v>508</v>
      </c>
      <c r="J854" s="18"/>
      <c r="K854" s="21">
        <f t="shared" si="39"/>
        <v>20.366666666697711</v>
      </c>
      <c r="L854" s="19">
        <f t="shared" si="40"/>
        <v>63</v>
      </c>
      <c r="M854" s="18" t="str">
        <f>IF(I854&lt;&gt;"Sí","",IF(YEAR(F854)&lt;&gt;2026,"",INDEX({"Enero","Febrero","Marzo","Abril","Mayo","Junio","Julio","Agosto","Septiembre","Octubre","Noviembre","Diciembre"},MONTH(F854))))</f>
        <v>Julio</v>
      </c>
      <c r="N854" s="18" t="str">
        <f t="shared" si="41"/>
        <v>Julio|63</v>
      </c>
    </row>
    <row r="855" spans="1:14" ht="14.5" x14ac:dyDescent="0.25">
      <c r="A855" s="19">
        <v>33</v>
      </c>
      <c r="B855" s="18" t="s">
        <v>40</v>
      </c>
      <c r="C855" s="18" t="s">
        <v>97</v>
      </c>
      <c r="D855" s="18" t="s">
        <v>1370</v>
      </c>
      <c r="E855" s="18" t="s">
        <v>1424</v>
      </c>
      <c r="F855" s="101">
        <v>46205.750694444447</v>
      </c>
      <c r="G855" s="101">
        <v>46206.604166666664</v>
      </c>
      <c r="H855" s="18" t="s">
        <v>507</v>
      </c>
      <c r="I855" s="18" t="s">
        <v>508</v>
      </c>
      <c r="J855" s="18"/>
      <c r="K855" s="21">
        <f t="shared" si="39"/>
        <v>20.483333333220799</v>
      </c>
      <c r="L855" s="19">
        <f t="shared" si="40"/>
        <v>64</v>
      </c>
      <c r="M855" s="18" t="str">
        <f>IF(I855&lt;&gt;"Sí","",IF(YEAR(F855)&lt;&gt;2026,"",INDEX({"Enero","Febrero","Marzo","Abril","Mayo","Junio","Julio","Agosto","Septiembre","Octubre","Noviembre","Diciembre"},MONTH(F855))))</f>
        <v>Julio</v>
      </c>
      <c r="N855" s="18" t="str">
        <f t="shared" si="41"/>
        <v>Julio|64</v>
      </c>
    </row>
    <row r="856" spans="1:14" ht="14.5" x14ac:dyDescent="0.25">
      <c r="A856" s="19">
        <v>33</v>
      </c>
      <c r="B856" s="18" t="s">
        <v>40</v>
      </c>
      <c r="C856" s="18" t="s">
        <v>97</v>
      </c>
      <c r="D856" s="18" t="s">
        <v>1370</v>
      </c>
      <c r="E856" s="18" t="s">
        <v>1425</v>
      </c>
      <c r="F856" s="101">
        <v>46205.751388888886</v>
      </c>
      <c r="G856" s="101">
        <v>46206.586805555555</v>
      </c>
      <c r="H856" s="18" t="s">
        <v>507</v>
      </c>
      <c r="I856" s="18" t="s">
        <v>508</v>
      </c>
      <c r="J856" s="18"/>
      <c r="K856" s="21">
        <f t="shared" si="39"/>
        <v>20.050000000046566</v>
      </c>
      <c r="L856" s="19">
        <f t="shared" si="40"/>
        <v>65</v>
      </c>
      <c r="M856" s="18" t="str">
        <f>IF(I856&lt;&gt;"Sí","",IF(YEAR(F856)&lt;&gt;2026,"",INDEX({"Enero","Febrero","Marzo","Abril","Mayo","Junio","Julio","Agosto","Septiembre","Octubre","Noviembre","Diciembre"},MONTH(F856))))</f>
        <v>Julio</v>
      </c>
      <c r="N856" s="18" t="str">
        <f t="shared" si="41"/>
        <v>Julio|65</v>
      </c>
    </row>
    <row r="857" spans="1:14" ht="14.5" x14ac:dyDescent="0.25">
      <c r="A857" s="19">
        <v>33</v>
      </c>
      <c r="B857" s="18" t="s">
        <v>40</v>
      </c>
      <c r="C857" s="18" t="s">
        <v>97</v>
      </c>
      <c r="D857" s="18" t="s">
        <v>1370</v>
      </c>
      <c r="E857" s="18" t="s">
        <v>1426</v>
      </c>
      <c r="F857" s="101">
        <v>46205.754166666666</v>
      </c>
      <c r="G857" s="101">
        <v>46206.584722222222</v>
      </c>
      <c r="H857" s="18" t="s">
        <v>507</v>
      </c>
      <c r="I857" s="18" t="s">
        <v>508</v>
      </c>
      <c r="J857" s="18"/>
      <c r="K857" s="21">
        <f t="shared" si="39"/>
        <v>19.933333333348855</v>
      </c>
      <c r="L857" s="19">
        <f t="shared" si="40"/>
        <v>66</v>
      </c>
      <c r="M857" s="18" t="str">
        <f>IF(I857&lt;&gt;"Sí","",IF(YEAR(F857)&lt;&gt;2026,"",INDEX({"Enero","Febrero","Marzo","Abril","Mayo","Junio","Julio","Agosto","Septiembre","Octubre","Noviembre","Diciembre"},MONTH(F857))))</f>
        <v>Julio</v>
      </c>
      <c r="N857" s="18" t="str">
        <f t="shared" si="41"/>
        <v>Julio|66</v>
      </c>
    </row>
    <row r="858" spans="1:14" ht="14.5" x14ac:dyDescent="0.25">
      <c r="A858" s="19">
        <v>33</v>
      </c>
      <c r="B858" s="18" t="s">
        <v>40</v>
      </c>
      <c r="C858" s="18" t="s">
        <v>97</v>
      </c>
      <c r="D858" s="18" t="s">
        <v>1370</v>
      </c>
      <c r="E858" s="18" t="s">
        <v>1427</v>
      </c>
      <c r="F858" s="101">
        <v>46205.755555555559</v>
      </c>
      <c r="G858" s="101">
        <v>46206.583333333336</v>
      </c>
      <c r="H858" s="18" t="s">
        <v>507</v>
      </c>
      <c r="I858" s="18" t="s">
        <v>508</v>
      </c>
      <c r="J858" s="18"/>
      <c r="K858" s="21">
        <f t="shared" si="39"/>
        <v>19.866666666639503</v>
      </c>
      <c r="L858" s="19">
        <f t="shared" si="40"/>
        <v>67</v>
      </c>
      <c r="M858" s="18" t="str">
        <f>IF(I858&lt;&gt;"Sí","",IF(YEAR(F858)&lt;&gt;2026,"",INDEX({"Enero","Febrero","Marzo","Abril","Mayo","Junio","Julio","Agosto","Septiembre","Octubre","Noviembre","Diciembre"},MONTH(F858))))</f>
        <v>Julio</v>
      </c>
      <c r="N858" s="18" t="str">
        <f t="shared" si="41"/>
        <v>Julio|67</v>
      </c>
    </row>
    <row r="859" spans="1:14" ht="14.5" x14ac:dyDescent="0.25">
      <c r="A859" s="19">
        <v>33</v>
      </c>
      <c r="B859" s="18" t="s">
        <v>40</v>
      </c>
      <c r="C859" s="18" t="s">
        <v>97</v>
      </c>
      <c r="D859" s="18" t="s">
        <v>1370</v>
      </c>
      <c r="E859" s="18" t="s">
        <v>1428</v>
      </c>
      <c r="F859" s="101">
        <v>46205.759027777778</v>
      </c>
      <c r="G859" s="101">
        <v>46206.579861111109</v>
      </c>
      <c r="H859" s="18" t="s">
        <v>507</v>
      </c>
      <c r="I859" s="18" t="s">
        <v>508</v>
      </c>
      <c r="J859" s="18"/>
      <c r="K859" s="21">
        <f t="shared" si="39"/>
        <v>19.699999999953434</v>
      </c>
      <c r="L859" s="19">
        <f t="shared" si="40"/>
        <v>68</v>
      </c>
      <c r="M859" s="18" t="str">
        <f>IF(I859&lt;&gt;"Sí","",IF(YEAR(F859)&lt;&gt;2026,"",INDEX({"Enero","Febrero","Marzo","Abril","Mayo","Junio","Julio","Agosto","Septiembre","Octubre","Noviembre","Diciembre"},MONTH(F859))))</f>
        <v>Julio</v>
      </c>
      <c r="N859" s="18" t="str">
        <f t="shared" si="41"/>
        <v>Julio|68</v>
      </c>
    </row>
    <row r="860" spans="1:14" ht="14.5" x14ac:dyDescent="0.25">
      <c r="A860" s="19">
        <v>33</v>
      </c>
      <c r="B860" s="18" t="s">
        <v>40</v>
      </c>
      <c r="C860" s="18" t="s">
        <v>97</v>
      </c>
      <c r="D860" s="18" t="s">
        <v>1370</v>
      </c>
      <c r="E860" s="18" t="s">
        <v>1429</v>
      </c>
      <c r="F860" s="101">
        <v>46205.761111111111</v>
      </c>
      <c r="G860" s="101">
        <v>46206.578472222223</v>
      </c>
      <c r="H860" s="18" t="s">
        <v>507</v>
      </c>
      <c r="I860" s="18" t="s">
        <v>508</v>
      </c>
      <c r="J860" s="18"/>
      <c r="K860" s="21">
        <f t="shared" si="39"/>
        <v>19.616666666697711</v>
      </c>
      <c r="L860" s="19">
        <f t="shared" si="40"/>
        <v>69</v>
      </c>
      <c r="M860" s="18" t="str">
        <f>IF(I860&lt;&gt;"Sí","",IF(YEAR(F860)&lt;&gt;2026,"",INDEX({"Enero","Febrero","Marzo","Abril","Mayo","Junio","Julio","Agosto","Septiembre","Octubre","Noviembre","Diciembre"},MONTH(F860))))</f>
        <v>Julio</v>
      </c>
      <c r="N860" s="18" t="str">
        <f t="shared" si="41"/>
        <v>Julio|69</v>
      </c>
    </row>
    <row r="861" spans="1:14" ht="14.5" x14ac:dyDescent="0.25">
      <c r="A861" s="19">
        <v>33</v>
      </c>
      <c r="B861" s="18" t="s">
        <v>40</v>
      </c>
      <c r="C861" s="18" t="s">
        <v>97</v>
      </c>
      <c r="D861" s="18" t="s">
        <v>1370</v>
      </c>
      <c r="E861" s="18" t="s">
        <v>1430</v>
      </c>
      <c r="F861" s="101">
        <v>46205.765277777777</v>
      </c>
      <c r="G861" s="101">
        <v>46206.576388888891</v>
      </c>
      <c r="H861" s="18" t="s">
        <v>507</v>
      </c>
      <c r="I861" s="18" t="s">
        <v>508</v>
      </c>
      <c r="J861" s="18"/>
      <c r="K861" s="21">
        <f t="shared" si="39"/>
        <v>19.466666666732635</v>
      </c>
      <c r="L861" s="19">
        <f t="shared" si="40"/>
        <v>70</v>
      </c>
      <c r="M861" s="18" t="str">
        <f>IF(I861&lt;&gt;"Sí","",IF(YEAR(F861)&lt;&gt;2026,"",INDEX({"Enero","Febrero","Marzo","Abril","Mayo","Junio","Julio","Agosto","Septiembre","Octubre","Noviembre","Diciembre"},MONTH(F861))))</f>
        <v>Julio</v>
      </c>
      <c r="N861" s="18" t="str">
        <f t="shared" si="41"/>
        <v>Julio|70</v>
      </c>
    </row>
    <row r="862" spans="1:14" ht="14.5" x14ac:dyDescent="0.25">
      <c r="A862" s="19">
        <v>33</v>
      </c>
      <c r="B862" s="18" t="s">
        <v>40</v>
      </c>
      <c r="C862" s="18" t="s">
        <v>97</v>
      </c>
      <c r="D862" s="18" t="s">
        <v>1370</v>
      </c>
      <c r="E862" s="18" t="s">
        <v>1431</v>
      </c>
      <c r="F862" s="101">
        <v>46205.772222222222</v>
      </c>
      <c r="G862" s="101">
        <v>46206.57708333333</v>
      </c>
      <c r="H862" s="18" t="s">
        <v>507</v>
      </c>
      <c r="I862" s="18" t="s">
        <v>508</v>
      </c>
      <c r="J862" s="18"/>
      <c r="K862" s="21">
        <f t="shared" si="39"/>
        <v>19.316666666592937</v>
      </c>
      <c r="L862" s="19">
        <f t="shared" si="40"/>
        <v>71</v>
      </c>
      <c r="M862" s="18" t="str">
        <f>IF(I862&lt;&gt;"Sí","",IF(YEAR(F862)&lt;&gt;2026,"",INDEX({"Enero","Febrero","Marzo","Abril","Mayo","Junio","Julio","Agosto","Septiembre","Octubre","Noviembre","Diciembre"},MONTH(F862))))</f>
        <v>Julio</v>
      </c>
      <c r="N862" s="18" t="str">
        <f t="shared" si="41"/>
        <v>Julio|71</v>
      </c>
    </row>
    <row r="863" spans="1:14" ht="14.5" x14ac:dyDescent="0.25">
      <c r="A863" s="19">
        <v>33</v>
      </c>
      <c r="B863" s="18" t="s">
        <v>40</v>
      </c>
      <c r="C863" s="18" t="s">
        <v>97</v>
      </c>
      <c r="D863" s="18" t="s">
        <v>1370</v>
      </c>
      <c r="E863" s="18" t="s">
        <v>1432</v>
      </c>
      <c r="F863" s="101">
        <v>46205.774305555555</v>
      </c>
      <c r="G863" s="101">
        <v>46206.574999999997</v>
      </c>
      <c r="H863" s="18" t="s">
        <v>507</v>
      </c>
      <c r="I863" s="18" t="s">
        <v>508</v>
      </c>
      <c r="J863" s="18"/>
      <c r="K863" s="21">
        <f t="shared" si="39"/>
        <v>19.21666666661622</v>
      </c>
      <c r="L863" s="19">
        <f t="shared" si="40"/>
        <v>72</v>
      </c>
      <c r="M863" s="18" t="str">
        <f>IF(I863&lt;&gt;"Sí","",IF(YEAR(F863)&lt;&gt;2026,"",INDEX({"Enero","Febrero","Marzo","Abril","Mayo","Junio","Julio","Agosto","Septiembre","Octubre","Noviembre","Diciembre"},MONTH(F863))))</f>
        <v>Julio</v>
      </c>
      <c r="N863" s="18" t="str">
        <f t="shared" si="41"/>
        <v>Julio|72</v>
      </c>
    </row>
    <row r="864" spans="1:14" ht="14.5" x14ac:dyDescent="0.25">
      <c r="A864" s="19">
        <v>33</v>
      </c>
      <c r="B864" s="18" t="s">
        <v>40</v>
      </c>
      <c r="C864" s="18" t="s">
        <v>97</v>
      </c>
      <c r="D864" s="18" t="s">
        <v>1370</v>
      </c>
      <c r="E864" s="18" t="s">
        <v>1433</v>
      </c>
      <c r="F864" s="101">
        <v>46205.775694444441</v>
      </c>
      <c r="G864" s="101">
        <v>46206.573611111111</v>
      </c>
      <c r="H864" s="18" t="s">
        <v>507</v>
      </c>
      <c r="I864" s="18" t="s">
        <v>508</v>
      </c>
      <c r="J864" s="18"/>
      <c r="K864" s="21">
        <f t="shared" si="39"/>
        <v>19.150000000081491</v>
      </c>
      <c r="L864" s="19">
        <f t="shared" si="40"/>
        <v>73</v>
      </c>
      <c r="M864" s="18" t="str">
        <f>IF(I864&lt;&gt;"Sí","",IF(YEAR(F864)&lt;&gt;2026,"",INDEX({"Enero","Febrero","Marzo","Abril","Mayo","Junio","Julio","Agosto","Septiembre","Octubre","Noviembre","Diciembre"},MONTH(F864))))</f>
        <v>Julio</v>
      </c>
      <c r="N864" s="18" t="str">
        <f t="shared" si="41"/>
        <v>Julio|73</v>
      </c>
    </row>
    <row r="865" spans="1:14" ht="14.5" x14ac:dyDescent="0.25">
      <c r="A865" s="19">
        <v>33</v>
      </c>
      <c r="B865" s="18" t="s">
        <v>40</v>
      </c>
      <c r="C865" s="18" t="s">
        <v>97</v>
      </c>
      <c r="D865" s="18" t="s">
        <v>1370</v>
      </c>
      <c r="E865" s="18" t="s">
        <v>1434</v>
      </c>
      <c r="F865" s="101">
        <v>46205.776388888888</v>
      </c>
      <c r="G865" s="101">
        <v>46206.572916666664</v>
      </c>
      <c r="H865" s="18" t="s">
        <v>507</v>
      </c>
      <c r="I865" s="18" t="s">
        <v>508</v>
      </c>
      <c r="J865" s="18"/>
      <c r="K865" s="21">
        <f t="shared" si="39"/>
        <v>19.116666666639503</v>
      </c>
      <c r="L865" s="19">
        <f t="shared" si="40"/>
        <v>74</v>
      </c>
      <c r="M865" s="18" t="str">
        <f>IF(I865&lt;&gt;"Sí","",IF(YEAR(F865)&lt;&gt;2026,"",INDEX({"Enero","Febrero","Marzo","Abril","Mayo","Junio","Julio","Agosto","Septiembre","Octubre","Noviembre","Diciembre"},MONTH(F865))))</f>
        <v>Julio</v>
      </c>
      <c r="N865" s="18" t="str">
        <f t="shared" si="41"/>
        <v>Julio|74</v>
      </c>
    </row>
    <row r="866" spans="1:14" ht="14.5" x14ac:dyDescent="0.25">
      <c r="A866" s="19">
        <v>33</v>
      </c>
      <c r="B866" s="18" t="s">
        <v>40</v>
      </c>
      <c r="C866" s="18" t="s">
        <v>97</v>
      </c>
      <c r="D866" s="18" t="s">
        <v>1370</v>
      </c>
      <c r="E866" s="18" t="s">
        <v>1435</v>
      </c>
      <c r="F866" s="101">
        <v>46205.777777777781</v>
      </c>
      <c r="G866" s="101">
        <v>46206.571527777778</v>
      </c>
      <c r="H866" s="18" t="s">
        <v>507</v>
      </c>
      <c r="I866" s="18" t="s">
        <v>508</v>
      </c>
      <c r="J866" s="18"/>
      <c r="K866" s="21">
        <f t="shared" si="39"/>
        <v>19.049999999930151</v>
      </c>
      <c r="L866" s="19">
        <f t="shared" si="40"/>
        <v>75</v>
      </c>
      <c r="M866" s="18" t="str">
        <f>IF(I866&lt;&gt;"Sí","",IF(YEAR(F866)&lt;&gt;2026,"",INDEX({"Enero","Febrero","Marzo","Abril","Mayo","Junio","Julio","Agosto","Septiembre","Octubre","Noviembre","Diciembre"},MONTH(F866))))</f>
        <v>Julio</v>
      </c>
      <c r="N866" s="18" t="str">
        <f t="shared" si="41"/>
        <v>Julio|75</v>
      </c>
    </row>
    <row r="867" spans="1:14" ht="14.5" x14ac:dyDescent="0.25">
      <c r="A867" s="19">
        <v>33</v>
      </c>
      <c r="B867" s="18" t="s">
        <v>40</v>
      </c>
      <c r="C867" s="18" t="s">
        <v>97</v>
      </c>
      <c r="D867" s="18" t="s">
        <v>1370</v>
      </c>
      <c r="E867" s="18" t="s">
        <v>1436</v>
      </c>
      <c r="F867" s="101">
        <v>46205.77847222222</v>
      </c>
      <c r="G867" s="101">
        <v>46206.570138888892</v>
      </c>
      <c r="H867" s="18" t="s">
        <v>507</v>
      </c>
      <c r="I867" s="18" t="s">
        <v>508</v>
      </c>
      <c r="J867" s="18"/>
      <c r="K867" s="21">
        <f t="shared" si="39"/>
        <v>19.000000000116415</v>
      </c>
      <c r="L867" s="19">
        <f t="shared" si="40"/>
        <v>76</v>
      </c>
      <c r="M867" s="18" t="str">
        <f>IF(I867&lt;&gt;"Sí","",IF(YEAR(F867)&lt;&gt;2026,"",INDEX({"Enero","Febrero","Marzo","Abril","Mayo","Junio","Julio","Agosto","Septiembre","Octubre","Noviembre","Diciembre"},MONTH(F867))))</f>
        <v>Julio</v>
      </c>
      <c r="N867" s="18" t="str">
        <f t="shared" si="41"/>
        <v>Julio|76</v>
      </c>
    </row>
    <row r="868" spans="1:14" ht="14.5" x14ac:dyDescent="0.25">
      <c r="A868" s="19">
        <v>33</v>
      </c>
      <c r="B868" s="18" t="s">
        <v>40</v>
      </c>
      <c r="C868" s="18" t="s">
        <v>97</v>
      </c>
      <c r="D868" s="18" t="s">
        <v>1370</v>
      </c>
      <c r="E868" s="18" t="s">
        <v>1437</v>
      </c>
      <c r="F868" s="101">
        <v>46205.783333333333</v>
      </c>
      <c r="G868" s="101">
        <v>46206.568749999999</v>
      </c>
      <c r="H868" s="18" t="s">
        <v>507</v>
      </c>
      <c r="I868" s="18" t="s">
        <v>508</v>
      </c>
      <c r="J868" s="18"/>
      <c r="K868" s="21">
        <f t="shared" si="39"/>
        <v>18.849999999976717</v>
      </c>
      <c r="L868" s="19">
        <f t="shared" si="40"/>
        <v>77</v>
      </c>
      <c r="M868" s="18" t="str">
        <f>IF(I868&lt;&gt;"Sí","",IF(YEAR(F868)&lt;&gt;2026,"",INDEX({"Enero","Febrero","Marzo","Abril","Mayo","Junio","Julio","Agosto","Septiembre","Octubre","Noviembre","Diciembre"},MONTH(F868))))</f>
        <v>Julio</v>
      </c>
      <c r="N868" s="18" t="str">
        <f t="shared" si="41"/>
        <v>Julio|77</v>
      </c>
    </row>
    <row r="869" spans="1:14" ht="14.5" x14ac:dyDescent="0.25">
      <c r="A869" s="19">
        <v>33</v>
      </c>
      <c r="B869" s="18" t="s">
        <v>40</v>
      </c>
      <c r="C869" s="18" t="s">
        <v>97</v>
      </c>
      <c r="D869" s="18" t="s">
        <v>1370</v>
      </c>
      <c r="E869" s="18" t="s">
        <v>1438</v>
      </c>
      <c r="F869" s="101">
        <v>46205.784722222219</v>
      </c>
      <c r="G869" s="101">
        <v>46206.567361111112</v>
      </c>
      <c r="H869" s="18" t="s">
        <v>507</v>
      </c>
      <c r="I869" s="18" t="s">
        <v>508</v>
      </c>
      <c r="J869" s="18"/>
      <c r="K869" s="21">
        <f t="shared" si="39"/>
        <v>18.783333333441988</v>
      </c>
      <c r="L869" s="19">
        <f t="shared" si="40"/>
        <v>78</v>
      </c>
      <c r="M869" s="18" t="str">
        <f>IF(I869&lt;&gt;"Sí","",IF(YEAR(F869)&lt;&gt;2026,"",INDEX({"Enero","Febrero","Marzo","Abril","Mayo","Junio","Julio","Agosto","Septiembre","Octubre","Noviembre","Diciembre"},MONTH(F869))))</f>
        <v>Julio</v>
      </c>
      <c r="N869" s="18" t="str">
        <f t="shared" si="41"/>
        <v>Julio|78</v>
      </c>
    </row>
    <row r="870" spans="1:14" ht="14.5" x14ac:dyDescent="0.25">
      <c r="A870" s="19">
        <v>33</v>
      </c>
      <c r="B870" s="18" t="s">
        <v>40</v>
      </c>
      <c r="C870" s="18" t="s">
        <v>97</v>
      </c>
      <c r="D870" s="18" t="s">
        <v>1370</v>
      </c>
      <c r="E870" s="18" t="s">
        <v>1439</v>
      </c>
      <c r="F870" s="101">
        <v>46205.786111111112</v>
      </c>
      <c r="G870" s="101">
        <v>46206.565972222219</v>
      </c>
      <c r="H870" s="18" t="s">
        <v>507</v>
      </c>
      <c r="I870" s="18" t="s">
        <v>508</v>
      </c>
      <c r="J870" s="18"/>
      <c r="K870" s="21">
        <f t="shared" si="39"/>
        <v>18.716666666558012</v>
      </c>
      <c r="L870" s="19">
        <f t="shared" si="40"/>
        <v>79</v>
      </c>
      <c r="M870" s="18" t="str">
        <f>IF(I870&lt;&gt;"Sí","",IF(YEAR(F870)&lt;&gt;2026,"",INDEX({"Enero","Febrero","Marzo","Abril","Mayo","Junio","Julio","Agosto","Septiembre","Octubre","Noviembre","Diciembre"},MONTH(F870))))</f>
        <v>Julio</v>
      </c>
      <c r="N870" s="18" t="str">
        <f t="shared" si="41"/>
        <v>Julio|79</v>
      </c>
    </row>
    <row r="871" spans="1:14" ht="14.5" x14ac:dyDescent="0.25">
      <c r="A871" s="19">
        <v>33</v>
      </c>
      <c r="B871" s="18" t="s">
        <v>40</v>
      </c>
      <c r="C871" s="18" t="s">
        <v>97</v>
      </c>
      <c r="D871" s="18" t="s">
        <v>1370</v>
      </c>
      <c r="E871" s="18" t="s">
        <v>1440</v>
      </c>
      <c r="F871" s="101">
        <v>46205.787499999999</v>
      </c>
      <c r="G871" s="101">
        <v>46206.566666666666</v>
      </c>
      <c r="H871" s="18" t="s">
        <v>507</v>
      </c>
      <c r="I871" s="18" t="s">
        <v>508</v>
      </c>
      <c r="J871" s="18"/>
      <c r="K871" s="21">
        <f t="shared" si="39"/>
        <v>18.700000000011642</v>
      </c>
      <c r="L871" s="19">
        <f t="shared" si="40"/>
        <v>80</v>
      </c>
      <c r="M871" s="18" t="str">
        <f>IF(I871&lt;&gt;"Sí","",IF(YEAR(F871)&lt;&gt;2026,"",INDEX({"Enero","Febrero","Marzo","Abril","Mayo","Junio","Julio","Agosto","Septiembre","Octubre","Noviembre","Diciembre"},MONTH(F871))))</f>
        <v>Julio</v>
      </c>
      <c r="N871" s="18" t="str">
        <f t="shared" si="41"/>
        <v>Julio|80</v>
      </c>
    </row>
    <row r="872" spans="1:14" ht="14.5" x14ac:dyDescent="0.25">
      <c r="A872" s="19">
        <v>33</v>
      </c>
      <c r="B872" s="18" t="s">
        <v>40</v>
      </c>
      <c r="C872" s="18" t="s">
        <v>97</v>
      </c>
      <c r="D872" s="18" t="s">
        <v>1370</v>
      </c>
      <c r="E872" s="18" t="s">
        <v>1441</v>
      </c>
      <c r="F872" s="101">
        <v>46205.788888888892</v>
      </c>
      <c r="G872" s="101">
        <v>46206.56527777778</v>
      </c>
      <c r="H872" s="18" t="s">
        <v>507</v>
      </c>
      <c r="I872" s="18" t="s">
        <v>508</v>
      </c>
      <c r="J872" s="18"/>
      <c r="K872" s="21">
        <f t="shared" si="39"/>
        <v>18.633333333302289</v>
      </c>
      <c r="L872" s="19">
        <f t="shared" si="40"/>
        <v>81</v>
      </c>
      <c r="M872" s="18" t="str">
        <f>IF(I872&lt;&gt;"Sí","",IF(YEAR(F872)&lt;&gt;2026,"",INDEX({"Enero","Febrero","Marzo","Abril","Mayo","Junio","Julio","Agosto","Septiembre","Octubre","Noviembre","Diciembre"},MONTH(F872))))</f>
        <v>Julio</v>
      </c>
      <c r="N872" s="18" t="str">
        <f t="shared" si="41"/>
        <v>Julio|81</v>
      </c>
    </row>
    <row r="873" spans="1:14" ht="14.5" x14ac:dyDescent="0.25">
      <c r="A873" s="19">
        <v>33</v>
      </c>
      <c r="B873" s="18" t="s">
        <v>40</v>
      </c>
      <c r="C873" s="18" t="s">
        <v>97</v>
      </c>
      <c r="D873" s="18" t="s">
        <v>1370</v>
      </c>
      <c r="E873" s="18" t="s">
        <v>1442</v>
      </c>
      <c r="F873" s="101">
        <v>46205.792361111111</v>
      </c>
      <c r="G873" s="101">
        <v>46206.5625</v>
      </c>
      <c r="H873" s="18" t="s">
        <v>507</v>
      </c>
      <c r="I873" s="18" t="s">
        <v>508</v>
      </c>
      <c r="J873" s="18"/>
      <c r="K873" s="21">
        <f t="shared" si="39"/>
        <v>18.483333333337214</v>
      </c>
      <c r="L873" s="19">
        <f t="shared" si="40"/>
        <v>82</v>
      </c>
      <c r="M873" s="18" t="str">
        <f>IF(I873&lt;&gt;"Sí","",IF(YEAR(F873)&lt;&gt;2026,"",INDEX({"Enero","Febrero","Marzo","Abril","Mayo","Junio","Julio","Agosto","Septiembre","Octubre","Noviembre","Diciembre"},MONTH(F873))))</f>
        <v>Julio</v>
      </c>
      <c r="N873" s="18" t="str">
        <f t="shared" si="41"/>
        <v>Julio|82</v>
      </c>
    </row>
    <row r="874" spans="1:14" ht="14.5" x14ac:dyDescent="0.25">
      <c r="A874" s="19">
        <v>33</v>
      </c>
      <c r="B874" s="18" t="s">
        <v>40</v>
      </c>
      <c r="C874" s="18" t="s">
        <v>97</v>
      </c>
      <c r="D874" s="18" t="s">
        <v>1370</v>
      </c>
      <c r="E874" s="18" t="s">
        <v>1103</v>
      </c>
      <c r="F874" s="101">
        <v>46205.794444444444</v>
      </c>
      <c r="G874" s="101">
        <v>46206.561805555553</v>
      </c>
      <c r="H874" s="18" t="s">
        <v>507</v>
      </c>
      <c r="I874" s="18" t="s">
        <v>508</v>
      </c>
      <c r="J874" s="18"/>
      <c r="K874" s="21">
        <f t="shared" si="39"/>
        <v>18.416666666627862</v>
      </c>
      <c r="L874" s="19">
        <f t="shared" si="40"/>
        <v>83</v>
      </c>
      <c r="M874" s="18" t="str">
        <f>IF(I874&lt;&gt;"Sí","",IF(YEAR(F874)&lt;&gt;2026,"",INDEX({"Enero","Febrero","Marzo","Abril","Mayo","Junio","Julio","Agosto","Septiembre","Octubre","Noviembre","Diciembre"},MONTH(F874))))</f>
        <v>Julio</v>
      </c>
      <c r="N874" s="18" t="str">
        <f t="shared" si="41"/>
        <v>Julio|83</v>
      </c>
    </row>
    <row r="875" spans="1:14" ht="14.5" x14ac:dyDescent="0.25">
      <c r="A875" s="19">
        <v>33</v>
      </c>
      <c r="B875" s="18" t="s">
        <v>40</v>
      </c>
      <c r="C875" s="18" t="s">
        <v>97</v>
      </c>
      <c r="D875" s="18" t="s">
        <v>1370</v>
      </c>
      <c r="E875" s="18" t="s">
        <v>1443</v>
      </c>
      <c r="F875" s="101">
        <v>46205.798611111109</v>
      </c>
      <c r="G875" s="101">
        <v>46207.232638888891</v>
      </c>
      <c r="H875" s="18" t="s">
        <v>507</v>
      </c>
      <c r="I875" s="18" t="s">
        <v>508</v>
      </c>
      <c r="J875" s="18"/>
      <c r="K875" s="21">
        <f t="shared" si="39"/>
        <v>34.416666666744277</v>
      </c>
      <c r="L875" s="19">
        <f t="shared" si="40"/>
        <v>84</v>
      </c>
      <c r="M875" s="18" t="str">
        <f>IF(I875&lt;&gt;"Sí","",IF(YEAR(F875)&lt;&gt;2026,"",INDEX({"Enero","Febrero","Marzo","Abril","Mayo","Junio","Julio","Agosto","Septiembre","Octubre","Noviembre","Diciembre"},MONTH(F875))))</f>
        <v>Julio</v>
      </c>
      <c r="N875" s="18" t="str">
        <f t="shared" si="41"/>
        <v>Julio|84</v>
      </c>
    </row>
    <row r="876" spans="1:14" ht="14.5" x14ac:dyDescent="0.25">
      <c r="A876" s="19">
        <v>33</v>
      </c>
      <c r="B876" s="18" t="s">
        <v>40</v>
      </c>
      <c r="C876" s="18" t="s">
        <v>97</v>
      </c>
      <c r="D876" s="18" t="s">
        <v>1370</v>
      </c>
      <c r="E876" s="18" t="s">
        <v>1444</v>
      </c>
      <c r="F876" s="101">
        <v>46205.8</v>
      </c>
      <c r="G876" s="101">
        <v>46207.229166666664</v>
      </c>
      <c r="H876" s="18" t="s">
        <v>507</v>
      </c>
      <c r="I876" s="18" t="s">
        <v>508</v>
      </c>
      <c r="J876" s="18"/>
      <c r="K876" s="21">
        <f t="shared" si="39"/>
        <v>34.299999999871943</v>
      </c>
      <c r="L876" s="19">
        <f t="shared" si="40"/>
        <v>85</v>
      </c>
      <c r="M876" s="18" t="str">
        <f>IF(I876&lt;&gt;"Sí","",IF(YEAR(F876)&lt;&gt;2026,"",INDEX({"Enero","Febrero","Marzo","Abril","Mayo","Junio","Julio","Agosto","Septiembre","Octubre","Noviembre","Diciembre"},MONTH(F876))))</f>
        <v>Julio</v>
      </c>
      <c r="N876" s="18" t="str">
        <f t="shared" si="41"/>
        <v>Julio|85</v>
      </c>
    </row>
    <row r="877" spans="1:14" ht="14.5" x14ac:dyDescent="0.25">
      <c r="A877" s="19">
        <v>33</v>
      </c>
      <c r="B877" s="18" t="s">
        <v>40</v>
      </c>
      <c r="C877" s="18" t="s">
        <v>97</v>
      </c>
      <c r="D877" s="18" t="s">
        <v>1370</v>
      </c>
      <c r="E877" s="18" t="s">
        <v>1445</v>
      </c>
      <c r="F877" s="101">
        <v>46205.801388888889</v>
      </c>
      <c r="G877" s="101">
        <v>46207.224999999999</v>
      </c>
      <c r="H877" s="18" t="s">
        <v>507</v>
      </c>
      <c r="I877" s="18" t="s">
        <v>508</v>
      </c>
      <c r="J877" s="18"/>
      <c r="K877" s="21">
        <f t="shared" si="39"/>
        <v>34.166666666627862</v>
      </c>
      <c r="L877" s="19">
        <f t="shared" si="40"/>
        <v>86</v>
      </c>
      <c r="M877" s="18" t="str">
        <f>IF(I877&lt;&gt;"Sí","",IF(YEAR(F877)&lt;&gt;2026,"",INDEX({"Enero","Febrero","Marzo","Abril","Mayo","Junio","Julio","Agosto","Septiembre","Octubre","Noviembre","Diciembre"},MONTH(F877))))</f>
        <v>Julio</v>
      </c>
      <c r="N877" s="18" t="str">
        <f t="shared" si="41"/>
        <v>Julio|86</v>
      </c>
    </row>
    <row r="878" spans="1:14" ht="14.5" x14ac:dyDescent="0.25">
      <c r="A878" s="19">
        <v>33</v>
      </c>
      <c r="B878" s="18" t="s">
        <v>40</v>
      </c>
      <c r="C878" s="18" t="s">
        <v>97</v>
      </c>
      <c r="D878" s="18" t="s">
        <v>1370</v>
      </c>
      <c r="E878" s="18" t="s">
        <v>1446</v>
      </c>
      <c r="F878" s="101">
        <v>46205.803472222222</v>
      </c>
      <c r="G878" s="101">
        <v>46207.222222222219</v>
      </c>
      <c r="H878" s="18" t="s">
        <v>507</v>
      </c>
      <c r="I878" s="18" t="s">
        <v>508</v>
      </c>
      <c r="J878" s="18"/>
      <c r="K878" s="21">
        <f t="shared" si="39"/>
        <v>34.049999999930151</v>
      </c>
      <c r="L878" s="19">
        <f t="shared" si="40"/>
        <v>87</v>
      </c>
      <c r="M878" s="18" t="str">
        <f>IF(I878&lt;&gt;"Sí","",IF(YEAR(F878)&lt;&gt;2026,"",INDEX({"Enero","Febrero","Marzo","Abril","Mayo","Junio","Julio","Agosto","Septiembre","Octubre","Noviembre","Diciembre"},MONTH(F878))))</f>
        <v>Julio</v>
      </c>
      <c r="N878" s="18" t="str">
        <f t="shared" si="41"/>
        <v>Julio|87</v>
      </c>
    </row>
    <row r="879" spans="1:14" ht="14.5" x14ac:dyDescent="0.25">
      <c r="A879" s="19">
        <v>33</v>
      </c>
      <c r="B879" s="18" t="s">
        <v>40</v>
      </c>
      <c r="C879" s="18" t="s">
        <v>97</v>
      </c>
      <c r="D879" s="18" t="s">
        <v>1370</v>
      </c>
      <c r="E879" s="18" t="s">
        <v>1447</v>
      </c>
      <c r="F879" s="101">
        <v>46205.804166666669</v>
      </c>
      <c r="G879" s="101">
        <v>46207.21875</v>
      </c>
      <c r="H879" s="18" t="s">
        <v>507</v>
      </c>
      <c r="I879" s="18" t="s">
        <v>508</v>
      </c>
      <c r="J879" s="18"/>
      <c r="K879" s="21">
        <f t="shared" si="39"/>
        <v>33.949999999953434</v>
      </c>
      <c r="L879" s="19">
        <f t="shared" si="40"/>
        <v>88</v>
      </c>
      <c r="M879" s="18" t="str">
        <f>IF(I879&lt;&gt;"Sí","",IF(YEAR(F879)&lt;&gt;2026,"",INDEX({"Enero","Febrero","Marzo","Abril","Mayo","Junio","Julio","Agosto","Septiembre","Octubre","Noviembre","Diciembre"},MONTH(F879))))</f>
        <v>Julio</v>
      </c>
      <c r="N879" s="18" t="str">
        <f t="shared" si="41"/>
        <v>Julio|88</v>
      </c>
    </row>
    <row r="880" spans="1:14" ht="14.5" x14ac:dyDescent="0.25">
      <c r="A880" s="19">
        <v>33</v>
      </c>
      <c r="B880" s="18" t="s">
        <v>40</v>
      </c>
      <c r="C880" s="18" t="s">
        <v>97</v>
      </c>
      <c r="D880" s="18" t="s">
        <v>1370</v>
      </c>
      <c r="E880" s="18" t="s">
        <v>1448</v>
      </c>
      <c r="F880" s="101">
        <v>46205.809027777781</v>
      </c>
      <c r="G880" s="101">
        <v>46207.213888888888</v>
      </c>
      <c r="H880" s="18" t="s">
        <v>507</v>
      </c>
      <c r="I880" s="18" t="s">
        <v>508</v>
      </c>
      <c r="J880" s="18"/>
      <c r="K880" s="21">
        <f t="shared" si="39"/>
        <v>33.716666666558012</v>
      </c>
      <c r="L880" s="19">
        <f t="shared" si="40"/>
        <v>89</v>
      </c>
      <c r="M880" s="18" t="str">
        <f>IF(I880&lt;&gt;"Sí","",IF(YEAR(F880)&lt;&gt;2026,"",INDEX({"Enero","Febrero","Marzo","Abril","Mayo","Junio","Julio","Agosto","Septiembre","Octubre","Noviembre","Diciembre"},MONTH(F880))))</f>
        <v>Julio</v>
      </c>
      <c r="N880" s="18" t="str">
        <f t="shared" si="41"/>
        <v>Julio|89</v>
      </c>
    </row>
    <row r="881" spans="1:14" ht="14.5" x14ac:dyDescent="0.25">
      <c r="A881" s="19">
        <v>33</v>
      </c>
      <c r="B881" s="18" t="s">
        <v>40</v>
      </c>
      <c r="C881" s="18" t="s">
        <v>97</v>
      </c>
      <c r="D881" s="18" t="s">
        <v>1370</v>
      </c>
      <c r="E881" s="18" t="s">
        <v>1449</v>
      </c>
      <c r="F881" s="101">
        <v>46205.810416666667</v>
      </c>
      <c r="G881" s="101">
        <v>46207.211111111108</v>
      </c>
      <c r="H881" s="18" t="s">
        <v>507</v>
      </c>
      <c r="I881" s="18" t="s">
        <v>508</v>
      </c>
      <c r="J881" s="18"/>
      <c r="K881" s="21">
        <f t="shared" si="39"/>
        <v>33.616666666581295</v>
      </c>
      <c r="L881" s="19">
        <f t="shared" si="40"/>
        <v>90</v>
      </c>
      <c r="M881" s="18" t="str">
        <f>IF(I881&lt;&gt;"Sí","",IF(YEAR(F881)&lt;&gt;2026,"",INDEX({"Enero","Febrero","Marzo","Abril","Mayo","Junio","Julio","Agosto","Septiembre","Octubre","Noviembre","Diciembre"},MONTH(F881))))</f>
        <v>Julio</v>
      </c>
      <c r="N881" s="18" t="str">
        <f t="shared" si="41"/>
        <v>Julio|90</v>
      </c>
    </row>
    <row r="882" spans="1:14" ht="14.5" x14ac:dyDescent="0.25">
      <c r="A882" s="19">
        <v>33</v>
      </c>
      <c r="B882" s="18" t="s">
        <v>40</v>
      </c>
      <c r="C882" s="18" t="s">
        <v>97</v>
      </c>
      <c r="D882" s="18" t="s">
        <v>1370</v>
      </c>
      <c r="E882" s="18" t="s">
        <v>1450</v>
      </c>
      <c r="F882" s="101">
        <v>46205.8125</v>
      </c>
      <c r="G882" s="101">
        <v>46207.208333333336</v>
      </c>
      <c r="H882" s="18" t="s">
        <v>507</v>
      </c>
      <c r="I882" s="18" t="s">
        <v>508</v>
      </c>
      <c r="J882" s="18"/>
      <c r="K882" s="21">
        <f t="shared" si="39"/>
        <v>33.500000000058208</v>
      </c>
      <c r="L882" s="19">
        <f t="shared" si="40"/>
        <v>91</v>
      </c>
      <c r="M882" s="18" t="str">
        <f>IF(I882&lt;&gt;"Sí","",IF(YEAR(F882)&lt;&gt;2026,"",INDEX({"Enero","Febrero","Marzo","Abril","Mayo","Junio","Julio","Agosto","Septiembre","Octubre","Noviembre","Diciembre"},MONTH(F882))))</f>
        <v>Julio</v>
      </c>
      <c r="N882" s="18" t="str">
        <f t="shared" si="41"/>
        <v>Julio|91</v>
      </c>
    </row>
    <row r="883" spans="1:14" ht="14.5" x14ac:dyDescent="0.25">
      <c r="A883" s="19">
        <v>33</v>
      </c>
      <c r="B883" s="18" t="s">
        <v>40</v>
      </c>
      <c r="C883" s="18" t="s">
        <v>97</v>
      </c>
      <c r="D883" s="18" t="s">
        <v>1370</v>
      </c>
      <c r="E883" s="18" t="s">
        <v>1451</v>
      </c>
      <c r="F883" s="101">
        <v>46205.815972222219</v>
      </c>
      <c r="G883" s="101">
        <v>46207.201388888891</v>
      </c>
      <c r="H883" s="18" t="s">
        <v>507</v>
      </c>
      <c r="I883" s="18" t="s">
        <v>508</v>
      </c>
      <c r="J883" s="18"/>
      <c r="K883" s="21">
        <f t="shared" si="39"/>
        <v>33.250000000116415</v>
      </c>
      <c r="L883" s="19">
        <f t="shared" si="40"/>
        <v>92</v>
      </c>
      <c r="M883" s="18" t="str">
        <f>IF(I883&lt;&gt;"Sí","",IF(YEAR(F883)&lt;&gt;2026,"",INDEX({"Enero","Febrero","Marzo","Abril","Mayo","Junio","Julio","Agosto","Septiembre","Octubre","Noviembre","Diciembre"},MONTH(F883))))</f>
        <v>Julio</v>
      </c>
      <c r="N883" s="18" t="str">
        <f t="shared" si="41"/>
        <v>Julio|92</v>
      </c>
    </row>
    <row r="884" spans="1:14" ht="14.5" x14ac:dyDescent="0.25">
      <c r="A884" s="19">
        <v>33</v>
      </c>
      <c r="B884" s="18" t="s">
        <v>40</v>
      </c>
      <c r="C884" s="18" t="s">
        <v>97</v>
      </c>
      <c r="D884" s="18" t="s">
        <v>1370</v>
      </c>
      <c r="E884" s="18" t="s">
        <v>1452</v>
      </c>
      <c r="F884" s="101">
        <v>46205.817361111112</v>
      </c>
      <c r="G884" s="101">
        <v>46207.198611111111</v>
      </c>
      <c r="H884" s="18" t="s">
        <v>507</v>
      </c>
      <c r="I884" s="18" t="s">
        <v>508</v>
      </c>
      <c r="J884" s="18"/>
      <c r="K884" s="21">
        <f t="shared" si="39"/>
        <v>33.149999999965075</v>
      </c>
      <c r="L884" s="19">
        <f t="shared" si="40"/>
        <v>93</v>
      </c>
      <c r="M884" s="18" t="str">
        <f>IF(I884&lt;&gt;"Sí","",IF(YEAR(F884)&lt;&gt;2026,"",INDEX({"Enero","Febrero","Marzo","Abril","Mayo","Junio","Julio","Agosto","Septiembre","Octubre","Noviembre","Diciembre"},MONTH(F884))))</f>
        <v>Julio</v>
      </c>
      <c r="N884" s="18" t="str">
        <f t="shared" si="41"/>
        <v>Julio|93</v>
      </c>
    </row>
    <row r="885" spans="1:14" ht="14.5" x14ac:dyDescent="0.25">
      <c r="A885" s="19">
        <v>33</v>
      </c>
      <c r="B885" s="18" t="s">
        <v>40</v>
      </c>
      <c r="C885" s="18" t="s">
        <v>97</v>
      </c>
      <c r="D885" s="18" t="s">
        <v>1370</v>
      </c>
      <c r="E885" s="18" t="s">
        <v>1453</v>
      </c>
      <c r="F885" s="101">
        <v>46205.819444444445</v>
      </c>
      <c r="G885" s="101">
        <v>46207.197916666664</v>
      </c>
      <c r="H885" s="18" t="s">
        <v>507</v>
      </c>
      <c r="I885" s="18" t="s">
        <v>508</v>
      </c>
      <c r="J885" s="18"/>
      <c r="K885" s="21">
        <f t="shared" si="39"/>
        <v>33.083333333255723</v>
      </c>
      <c r="L885" s="19">
        <f t="shared" si="40"/>
        <v>94</v>
      </c>
      <c r="M885" s="18" t="str">
        <f>IF(I885&lt;&gt;"Sí","",IF(YEAR(F885)&lt;&gt;2026,"",INDEX({"Enero","Febrero","Marzo","Abril","Mayo","Junio","Julio","Agosto","Septiembre","Octubre","Noviembre","Diciembre"},MONTH(F885))))</f>
        <v>Julio</v>
      </c>
      <c r="N885" s="18" t="str">
        <f t="shared" si="41"/>
        <v>Julio|94</v>
      </c>
    </row>
    <row r="886" spans="1:14" ht="14.5" x14ac:dyDescent="0.25">
      <c r="A886" s="19">
        <v>33</v>
      </c>
      <c r="B886" s="18" t="s">
        <v>40</v>
      </c>
      <c r="C886" s="18" t="s">
        <v>97</v>
      </c>
      <c r="D886" s="18" t="s">
        <v>1370</v>
      </c>
      <c r="E886" s="18" t="s">
        <v>1454</v>
      </c>
      <c r="F886" s="101">
        <v>46205.820833333331</v>
      </c>
      <c r="G886" s="101">
        <v>46207.1875</v>
      </c>
      <c r="H886" s="18" t="s">
        <v>507</v>
      </c>
      <c r="I886" s="18" t="s">
        <v>508</v>
      </c>
      <c r="J886" s="18"/>
      <c r="K886" s="21">
        <f t="shared" si="39"/>
        <v>32.800000000046566</v>
      </c>
      <c r="L886" s="19">
        <f t="shared" si="40"/>
        <v>95</v>
      </c>
      <c r="M886" s="18" t="str">
        <f>IF(I886&lt;&gt;"Sí","",IF(YEAR(F886)&lt;&gt;2026,"",INDEX({"Enero","Febrero","Marzo","Abril","Mayo","Junio","Julio","Agosto","Septiembre","Octubre","Noviembre","Diciembre"},MONTH(F886))))</f>
        <v>Julio</v>
      </c>
      <c r="N886" s="18" t="str">
        <f t="shared" si="41"/>
        <v>Julio|95</v>
      </c>
    </row>
    <row r="887" spans="1:14" ht="14.5" x14ac:dyDescent="0.25">
      <c r="A887" s="19">
        <v>33</v>
      </c>
      <c r="B887" s="18" t="s">
        <v>40</v>
      </c>
      <c r="C887" s="18" t="s">
        <v>97</v>
      </c>
      <c r="D887" s="18" t="s">
        <v>1370</v>
      </c>
      <c r="E887" s="18" t="s">
        <v>1455</v>
      </c>
      <c r="F887" s="101">
        <v>46205.822222222225</v>
      </c>
      <c r="G887" s="101">
        <v>46207.185416666667</v>
      </c>
      <c r="H887" s="18" t="s">
        <v>507</v>
      </c>
      <c r="I887" s="18" t="s">
        <v>508</v>
      </c>
      <c r="J887" s="18"/>
      <c r="K887" s="21">
        <f t="shared" si="39"/>
        <v>32.71666666661622</v>
      </c>
      <c r="L887" s="19">
        <f t="shared" si="40"/>
        <v>96</v>
      </c>
      <c r="M887" s="18" t="str">
        <f>IF(I887&lt;&gt;"Sí","",IF(YEAR(F887)&lt;&gt;2026,"",INDEX({"Enero","Febrero","Marzo","Abril","Mayo","Junio","Julio","Agosto","Septiembre","Octubre","Noviembre","Diciembre"},MONTH(F887))))</f>
        <v>Julio</v>
      </c>
      <c r="N887" s="18" t="str">
        <f t="shared" si="41"/>
        <v>Julio|96</v>
      </c>
    </row>
    <row r="888" spans="1:14" ht="14.5" x14ac:dyDescent="0.25">
      <c r="A888" s="19">
        <v>33</v>
      </c>
      <c r="B888" s="18" t="s">
        <v>40</v>
      </c>
      <c r="C888" s="18" t="s">
        <v>97</v>
      </c>
      <c r="D888" s="18" t="s">
        <v>1370</v>
      </c>
      <c r="E888" s="18" t="s">
        <v>1456</v>
      </c>
      <c r="F888" s="101">
        <v>46205.826388888891</v>
      </c>
      <c r="G888" s="101">
        <v>46207.182638888888</v>
      </c>
      <c r="H888" s="18" t="s">
        <v>507</v>
      </c>
      <c r="I888" s="18" t="s">
        <v>508</v>
      </c>
      <c r="J888" s="18"/>
      <c r="K888" s="21">
        <f t="shared" si="39"/>
        <v>32.549999999930151</v>
      </c>
      <c r="L888" s="19">
        <f t="shared" si="40"/>
        <v>97</v>
      </c>
      <c r="M888" s="18" t="str">
        <f>IF(I888&lt;&gt;"Sí","",IF(YEAR(F888)&lt;&gt;2026,"",INDEX({"Enero","Febrero","Marzo","Abril","Mayo","Junio","Julio","Agosto","Septiembre","Octubre","Noviembre","Diciembre"},MONTH(F888))))</f>
        <v>Julio</v>
      </c>
      <c r="N888" s="18" t="str">
        <f t="shared" si="41"/>
        <v>Julio|97</v>
      </c>
    </row>
    <row r="889" spans="1:14" ht="14.5" x14ac:dyDescent="0.25">
      <c r="A889" s="19">
        <v>33</v>
      </c>
      <c r="B889" s="18" t="s">
        <v>40</v>
      </c>
      <c r="C889" s="18" t="s">
        <v>97</v>
      </c>
      <c r="D889" s="18" t="s">
        <v>1370</v>
      </c>
      <c r="E889" s="18" t="s">
        <v>1457</v>
      </c>
      <c r="F889" s="101">
        <v>46205.827777777777</v>
      </c>
      <c r="G889" s="101">
        <v>46207.177083333336</v>
      </c>
      <c r="H889" s="18" t="s">
        <v>507</v>
      </c>
      <c r="I889" s="18" t="s">
        <v>508</v>
      </c>
      <c r="J889" s="18"/>
      <c r="K889" s="21">
        <f t="shared" si="39"/>
        <v>32.383333333418705</v>
      </c>
      <c r="L889" s="19">
        <f t="shared" si="40"/>
        <v>98</v>
      </c>
      <c r="M889" s="18" t="str">
        <f>IF(I889&lt;&gt;"Sí","",IF(YEAR(F889)&lt;&gt;2026,"",INDEX({"Enero","Febrero","Marzo","Abril","Mayo","Junio","Julio","Agosto","Septiembre","Octubre","Noviembre","Diciembre"},MONTH(F889))))</f>
        <v>Julio</v>
      </c>
      <c r="N889" s="18" t="str">
        <f t="shared" si="41"/>
        <v>Julio|98</v>
      </c>
    </row>
    <row r="890" spans="1:14" ht="14.5" x14ac:dyDescent="0.25">
      <c r="A890" s="19">
        <v>33</v>
      </c>
      <c r="B890" s="18" t="s">
        <v>40</v>
      </c>
      <c r="C890" s="18" t="s">
        <v>97</v>
      </c>
      <c r="D890" s="18" t="s">
        <v>1370</v>
      </c>
      <c r="E890" s="18" t="s">
        <v>1458</v>
      </c>
      <c r="F890" s="101">
        <v>46205.830555555556</v>
      </c>
      <c r="G890" s="101">
        <v>46207.175000000003</v>
      </c>
      <c r="H890" s="18" t="s">
        <v>507</v>
      </c>
      <c r="I890" s="18" t="s">
        <v>508</v>
      </c>
      <c r="J890" s="18"/>
      <c r="K890" s="21">
        <f t="shared" si="39"/>
        <v>32.266666666720994</v>
      </c>
      <c r="L890" s="19">
        <f t="shared" si="40"/>
        <v>99</v>
      </c>
      <c r="M890" s="18" t="str">
        <f>IF(I890&lt;&gt;"Sí","",IF(YEAR(F890)&lt;&gt;2026,"",INDEX({"Enero","Febrero","Marzo","Abril","Mayo","Junio","Julio","Agosto","Septiembre","Octubre","Noviembre","Diciembre"},MONTH(F890))))</f>
        <v>Julio</v>
      </c>
      <c r="N890" s="18" t="str">
        <f t="shared" si="41"/>
        <v>Julio|99</v>
      </c>
    </row>
    <row r="891" spans="1:14" ht="14.5" x14ac:dyDescent="0.25">
      <c r="A891" s="19">
        <v>33</v>
      </c>
      <c r="B891" s="18" t="s">
        <v>40</v>
      </c>
      <c r="C891" s="18" t="s">
        <v>97</v>
      </c>
      <c r="D891" s="18" t="s">
        <v>1370</v>
      </c>
      <c r="E891" s="18" t="s">
        <v>1459</v>
      </c>
      <c r="F891" s="101">
        <v>46205.832638888889</v>
      </c>
      <c r="G891" s="101">
        <v>46207.172222222223</v>
      </c>
      <c r="H891" s="18" t="s">
        <v>507</v>
      </c>
      <c r="I891" s="18" t="s">
        <v>508</v>
      </c>
      <c r="J891" s="18"/>
      <c r="K891" s="21">
        <f t="shared" si="39"/>
        <v>32.150000000023283</v>
      </c>
      <c r="L891" s="19">
        <f t="shared" si="40"/>
        <v>100</v>
      </c>
      <c r="M891" s="18" t="str">
        <f>IF(I891&lt;&gt;"Sí","",IF(YEAR(F891)&lt;&gt;2026,"",INDEX({"Enero","Febrero","Marzo","Abril","Mayo","Junio","Julio","Agosto","Septiembre","Octubre","Noviembre","Diciembre"},MONTH(F891))))</f>
        <v>Julio</v>
      </c>
      <c r="N891" s="18" t="str">
        <f t="shared" si="41"/>
        <v>Julio|100</v>
      </c>
    </row>
    <row r="892" spans="1:14" ht="14.5" x14ac:dyDescent="0.25">
      <c r="A892" s="19">
        <v>33</v>
      </c>
      <c r="B892" s="18" t="s">
        <v>40</v>
      </c>
      <c r="C892" s="18" t="s">
        <v>97</v>
      </c>
      <c r="D892" s="18" t="s">
        <v>1370</v>
      </c>
      <c r="E892" s="18" t="s">
        <v>1460</v>
      </c>
      <c r="F892" s="101">
        <v>46206.013888888891</v>
      </c>
      <c r="G892" s="101">
        <v>46207.072916666664</v>
      </c>
      <c r="H892" s="18" t="s">
        <v>507</v>
      </c>
      <c r="I892" s="18" t="s">
        <v>508</v>
      </c>
      <c r="J892" s="18"/>
      <c r="K892" s="21">
        <f t="shared" si="39"/>
        <v>25.416666666569654</v>
      </c>
      <c r="L892" s="19">
        <f t="shared" si="40"/>
        <v>101</v>
      </c>
      <c r="M892" s="18" t="str">
        <f>IF(I892&lt;&gt;"Sí","",IF(YEAR(F892)&lt;&gt;2026,"",INDEX({"Enero","Febrero","Marzo","Abril","Mayo","Junio","Julio","Agosto","Septiembre","Octubre","Noviembre","Diciembre"},MONTH(F892))))</f>
        <v>Julio</v>
      </c>
      <c r="N892" s="18" t="str">
        <f t="shared" si="41"/>
        <v>Julio|101</v>
      </c>
    </row>
    <row r="893" spans="1:14" ht="14.5" x14ac:dyDescent="0.25">
      <c r="A893" s="19">
        <v>33</v>
      </c>
      <c r="B893" s="18" t="s">
        <v>40</v>
      </c>
      <c r="C893" s="18" t="s">
        <v>97</v>
      </c>
      <c r="D893" s="18" t="s">
        <v>1370</v>
      </c>
      <c r="E893" s="18" t="s">
        <v>1461</v>
      </c>
      <c r="F893" s="101">
        <v>46206.015277777777</v>
      </c>
      <c r="G893" s="101">
        <v>46207.072222222225</v>
      </c>
      <c r="H893" s="18" t="s">
        <v>507</v>
      </c>
      <c r="I893" s="18" t="s">
        <v>508</v>
      </c>
      <c r="J893" s="18"/>
      <c r="K893" s="21">
        <f t="shared" si="39"/>
        <v>25.366666666755918</v>
      </c>
      <c r="L893" s="19">
        <f t="shared" si="40"/>
        <v>102</v>
      </c>
      <c r="M893" s="18" t="str">
        <f>IF(I893&lt;&gt;"Sí","",IF(YEAR(F893)&lt;&gt;2026,"",INDEX({"Enero","Febrero","Marzo","Abril","Mayo","Junio","Julio","Agosto","Septiembre","Octubre","Noviembre","Diciembre"},MONTH(F893))))</f>
        <v>Julio</v>
      </c>
      <c r="N893" s="18" t="str">
        <f t="shared" si="41"/>
        <v>Julio|102</v>
      </c>
    </row>
    <row r="894" spans="1:14" ht="14.5" x14ac:dyDescent="0.25">
      <c r="A894" s="19">
        <v>33</v>
      </c>
      <c r="B894" s="18" t="s">
        <v>40</v>
      </c>
      <c r="C894" s="18" t="s">
        <v>97</v>
      </c>
      <c r="D894" s="18" t="s">
        <v>1370</v>
      </c>
      <c r="E894" s="18" t="s">
        <v>1462</v>
      </c>
      <c r="F894" s="101">
        <v>46206.01666666667</v>
      </c>
      <c r="G894" s="101">
        <v>46207.071527777778</v>
      </c>
      <c r="H894" s="18" t="s">
        <v>507</v>
      </c>
      <c r="I894" s="18" t="s">
        <v>508</v>
      </c>
      <c r="J894" s="18"/>
      <c r="K894" s="21">
        <f t="shared" si="39"/>
        <v>25.316666666592937</v>
      </c>
      <c r="L894" s="19">
        <f t="shared" si="40"/>
        <v>103</v>
      </c>
      <c r="M894" s="18" t="str">
        <f>IF(I894&lt;&gt;"Sí","",IF(YEAR(F894)&lt;&gt;2026,"",INDEX({"Enero","Febrero","Marzo","Abril","Mayo","Junio","Julio","Agosto","Septiembre","Octubre","Noviembre","Diciembre"},MONTH(F894))))</f>
        <v>Julio</v>
      </c>
      <c r="N894" s="18" t="str">
        <f t="shared" si="41"/>
        <v>Julio|103</v>
      </c>
    </row>
    <row r="895" spans="1:14" ht="14.5" x14ac:dyDescent="0.25">
      <c r="A895" s="19">
        <v>33</v>
      </c>
      <c r="B895" s="18" t="s">
        <v>40</v>
      </c>
      <c r="C895" s="18" t="s">
        <v>97</v>
      </c>
      <c r="D895" s="18" t="s">
        <v>1370</v>
      </c>
      <c r="E895" s="18" t="s">
        <v>1463</v>
      </c>
      <c r="F895" s="101">
        <v>46206.019444444442</v>
      </c>
      <c r="G895" s="101">
        <v>46207.070833333331</v>
      </c>
      <c r="H895" s="18" t="s">
        <v>507</v>
      </c>
      <c r="I895" s="18" t="s">
        <v>508</v>
      </c>
      <c r="J895" s="18"/>
      <c r="K895" s="21">
        <f t="shared" si="39"/>
        <v>25.233333333337214</v>
      </c>
      <c r="L895" s="19">
        <f t="shared" si="40"/>
        <v>104</v>
      </c>
      <c r="M895" s="18" t="str">
        <f>IF(I895&lt;&gt;"Sí","",IF(YEAR(F895)&lt;&gt;2026,"",INDEX({"Enero","Febrero","Marzo","Abril","Mayo","Junio","Julio","Agosto","Septiembre","Octubre","Noviembre","Diciembre"},MONTH(F895))))</f>
        <v>Julio</v>
      </c>
      <c r="N895" s="18" t="str">
        <f t="shared" si="41"/>
        <v>Julio|104</v>
      </c>
    </row>
    <row r="896" spans="1:14" ht="14.5" x14ac:dyDescent="0.25">
      <c r="A896" s="19">
        <v>33</v>
      </c>
      <c r="B896" s="18" t="s">
        <v>40</v>
      </c>
      <c r="C896" s="18" t="s">
        <v>97</v>
      </c>
      <c r="D896" s="18" t="s">
        <v>1370</v>
      </c>
      <c r="E896" s="18" t="s">
        <v>1464</v>
      </c>
      <c r="F896" s="101">
        <v>46206.022916666669</v>
      </c>
      <c r="G896" s="101">
        <v>46207.070138888892</v>
      </c>
      <c r="H896" s="18" t="s">
        <v>507</v>
      </c>
      <c r="I896" s="18" t="s">
        <v>508</v>
      </c>
      <c r="J896" s="18"/>
      <c r="K896" s="21">
        <f t="shared" si="39"/>
        <v>25.133333333360497</v>
      </c>
      <c r="L896" s="19">
        <f t="shared" si="40"/>
        <v>105</v>
      </c>
      <c r="M896" s="18" t="str">
        <f>IF(I896&lt;&gt;"Sí","",IF(YEAR(F896)&lt;&gt;2026,"",INDEX({"Enero","Febrero","Marzo","Abril","Mayo","Junio","Julio","Agosto","Septiembre","Octubre","Noviembre","Diciembre"},MONTH(F896))))</f>
        <v>Julio</v>
      </c>
      <c r="N896" s="18" t="str">
        <f t="shared" si="41"/>
        <v>Julio|105</v>
      </c>
    </row>
    <row r="897" spans="1:14" ht="14.5" x14ac:dyDescent="0.25">
      <c r="A897" s="19">
        <v>33</v>
      </c>
      <c r="B897" s="18" t="s">
        <v>40</v>
      </c>
      <c r="C897" s="18" t="s">
        <v>97</v>
      </c>
      <c r="D897" s="18" t="s">
        <v>1370</v>
      </c>
      <c r="E897" s="18" t="s">
        <v>1465</v>
      </c>
      <c r="F897" s="101">
        <v>46206.024305555555</v>
      </c>
      <c r="G897" s="101">
        <v>46207.069444444445</v>
      </c>
      <c r="H897" s="18" t="s">
        <v>507</v>
      </c>
      <c r="I897" s="18" t="s">
        <v>508</v>
      </c>
      <c r="J897" s="18"/>
      <c r="K897" s="21">
        <f t="shared" si="39"/>
        <v>25.083333333372138</v>
      </c>
      <c r="L897" s="19">
        <f t="shared" si="40"/>
        <v>106</v>
      </c>
      <c r="M897" s="18" t="str">
        <f>IF(I897&lt;&gt;"Sí","",IF(YEAR(F897)&lt;&gt;2026,"",INDEX({"Enero","Febrero","Marzo","Abril","Mayo","Junio","Julio","Agosto","Septiembre","Octubre","Noviembre","Diciembre"},MONTH(F897))))</f>
        <v>Julio</v>
      </c>
      <c r="N897" s="18" t="str">
        <f t="shared" si="41"/>
        <v>Julio|106</v>
      </c>
    </row>
    <row r="898" spans="1:14" ht="14.5" x14ac:dyDescent="0.25">
      <c r="A898" s="19">
        <v>33</v>
      </c>
      <c r="B898" s="18" t="s">
        <v>40</v>
      </c>
      <c r="C898" s="18" t="s">
        <v>97</v>
      </c>
      <c r="D898" s="18" t="s">
        <v>1370</v>
      </c>
      <c r="E898" s="18" t="s">
        <v>1466</v>
      </c>
      <c r="F898" s="101">
        <v>46206.025694444441</v>
      </c>
      <c r="G898" s="101">
        <v>46207.236111111109</v>
      </c>
      <c r="H898" s="18" t="s">
        <v>507</v>
      </c>
      <c r="I898" s="18" t="s">
        <v>508</v>
      </c>
      <c r="J898" s="18"/>
      <c r="K898" s="21">
        <f t="shared" si="39"/>
        <v>29.050000000046566</v>
      </c>
      <c r="L898" s="19">
        <f t="shared" si="40"/>
        <v>107</v>
      </c>
      <c r="M898" s="18" t="str">
        <f>IF(I898&lt;&gt;"Sí","",IF(YEAR(F898)&lt;&gt;2026,"",INDEX({"Enero","Febrero","Marzo","Abril","Mayo","Junio","Julio","Agosto","Septiembre","Octubre","Noviembre","Diciembre"},MONTH(F898))))</f>
        <v>Julio</v>
      </c>
      <c r="N898" s="18" t="str">
        <f t="shared" si="41"/>
        <v>Julio|107</v>
      </c>
    </row>
    <row r="899" spans="1:14" ht="14.5" x14ac:dyDescent="0.25">
      <c r="A899" s="19">
        <v>33</v>
      </c>
      <c r="B899" s="18" t="s">
        <v>40</v>
      </c>
      <c r="C899" s="18" t="s">
        <v>97</v>
      </c>
      <c r="D899" s="18" t="s">
        <v>1370</v>
      </c>
      <c r="E899" s="18" t="s">
        <v>1467</v>
      </c>
      <c r="F899" s="101">
        <v>46206.027083333334</v>
      </c>
      <c r="G899" s="101">
        <v>46207.201388888891</v>
      </c>
      <c r="H899" s="18" t="s">
        <v>507</v>
      </c>
      <c r="I899" s="18" t="s">
        <v>508</v>
      </c>
      <c r="J899" s="18"/>
      <c r="K899" s="21">
        <f t="shared" si="39"/>
        <v>28.183333333348855</v>
      </c>
      <c r="L899" s="19">
        <f t="shared" si="40"/>
        <v>108</v>
      </c>
      <c r="M899" s="18" t="str">
        <f>IF(I899&lt;&gt;"Sí","",IF(YEAR(F899)&lt;&gt;2026,"",INDEX({"Enero","Febrero","Marzo","Abril","Mayo","Junio","Julio","Agosto","Septiembre","Octubre","Noviembre","Diciembre"},MONTH(F899))))</f>
        <v>Julio</v>
      </c>
      <c r="N899" s="18" t="str">
        <f t="shared" si="41"/>
        <v>Julio|108</v>
      </c>
    </row>
    <row r="900" spans="1:14" ht="14.5" x14ac:dyDescent="0.25">
      <c r="A900" s="19">
        <v>33</v>
      </c>
      <c r="B900" s="18" t="s">
        <v>40</v>
      </c>
      <c r="C900" s="18" t="s">
        <v>97</v>
      </c>
      <c r="D900" s="18" t="s">
        <v>1370</v>
      </c>
      <c r="E900" s="18" t="s">
        <v>1468</v>
      </c>
      <c r="F900" s="101">
        <v>46206.029166666667</v>
      </c>
      <c r="G900" s="101">
        <v>46207.068749999999</v>
      </c>
      <c r="H900" s="18" t="s">
        <v>507</v>
      </c>
      <c r="I900" s="18" t="s">
        <v>508</v>
      </c>
      <c r="J900" s="18"/>
      <c r="K900" s="21">
        <f t="shared" si="39"/>
        <v>24.949999999953434</v>
      </c>
      <c r="L900" s="19">
        <f t="shared" si="40"/>
        <v>109</v>
      </c>
      <c r="M900" s="18" t="str">
        <f>IF(I900&lt;&gt;"Sí","",IF(YEAR(F900)&lt;&gt;2026,"",INDEX({"Enero","Febrero","Marzo","Abril","Mayo","Junio","Julio","Agosto","Septiembre","Octubre","Noviembre","Diciembre"},MONTH(F900))))</f>
        <v>Julio</v>
      </c>
      <c r="N900" s="18" t="str">
        <f t="shared" si="41"/>
        <v>Julio|109</v>
      </c>
    </row>
    <row r="901" spans="1:14" ht="14.5" x14ac:dyDescent="0.25">
      <c r="A901" s="19">
        <v>33</v>
      </c>
      <c r="B901" s="18" t="s">
        <v>40</v>
      </c>
      <c r="C901" s="18" t="s">
        <v>97</v>
      </c>
      <c r="D901" s="18" t="s">
        <v>1370</v>
      </c>
      <c r="E901" s="18" t="s">
        <v>1469</v>
      </c>
      <c r="F901" s="101">
        <v>46206.033333333333</v>
      </c>
      <c r="G901" s="101">
        <v>46207.068055555559</v>
      </c>
      <c r="H901" s="18" t="s">
        <v>507</v>
      </c>
      <c r="I901" s="18" t="s">
        <v>508</v>
      </c>
      <c r="J901" s="18"/>
      <c r="K901" s="21">
        <f t="shared" si="39"/>
        <v>24.833333333430346</v>
      </c>
      <c r="L901" s="19">
        <f t="shared" si="40"/>
        <v>110</v>
      </c>
      <c r="M901" s="18" t="str">
        <f>IF(I901&lt;&gt;"Sí","",IF(YEAR(F901)&lt;&gt;2026,"",INDEX({"Enero","Febrero","Marzo","Abril","Mayo","Junio","Julio","Agosto","Septiembre","Octubre","Noviembre","Diciembre"},MONTH(F901))))</f>
        <v>Julio</v>
      </c>
      <c r="N901" s="18" t="str">
        <f t="shared" si="41"/>
        <v>Julio|110</v>
      </c>
    </row>
    <row r="902" spans="1:14" ht="14.5" x14ac:dyDescent="0.25">
      <c r="A902" s="19">
        <v>33</v>
      </c>
      <c r="B902" s="18" t="s">
        <v>40</v>
      </c>
      <c r="C902" s="18" t="s">
        <v>97</v>
      </c>
      <c r="D902" s="18" t="s">
        <v>1370</v>
      </c>
      <c r="E902" s="18" t="s">
        <v>1470</v>
      </c>
      <c r="F902" s="101">
        <v>46206.034722222219</v>
      </c>
      <c r="G902" s="101">
        <v>46207.067361111112</v>
      </c>
      <c r="H902" s="18" t="s">
        <v>507</v>
      </c>
      <c r="I902" s="18" t="s">
        <v>508</v>
      </c>
      <c r="J902" s="18"/>
      <c r="K902" s="21">
        <f t="shared" si="39"/>
        <v>24.783333333441988</v>
      </c>
      <c r="L902" s="19">
        <f t="shared" si="40"/>
        <v>111</v>
      </c>
      <c r="M902" s="18" t="str">
        <f>IF(I902&lt;&gt;"Sí","",IF(YEAR(F902)&lt;&gt;2026,"",INDEX({"Enero","Febrero","Marzo","Abril","Mayo","Junio","Julio","Agosto","Septiembre","Octubre","Noviembre","Diciembre"},MONTH(F902))))</f>
        <v>Julio</v>
      </c>
      <c r="N902" s="18" t="str">
        <f t="shared" si="41"/>
        <v>Julio|111</v>
      </c>
    </row>
    <row r="903" spans="1:14" ht="14.5" x14ac:dyDescent="0.25">
      <c r="A903" s="19">
        <v>33</v>
      </c>
      <c r="B903" s="18" t="s">
        <v>40</v>
      </c>
      <c r="C903" s="18" t="s">
        <v>97</v>
      </c>
      <c r="D903" s="18" t="s">
        <v>1370</v>
      </c>
      <c r="E903" s="18" t="s">
        <v>1471</v>
      </c>
      <c r="F903" s="101">
        <v>46206.036805555559</v>
      </c>
      <c r="G903" s="101">
        <v>46207.066666666666</v>
      </c>
      <c r="H903" s="18" t="s">
        <v>507</v>
      </c>
      <c r="I903" s="18" t="s">
        <v>508</v>
      </c>
      <c r="J903" s="18"/>
      <c r="K903" s="21">
        <f t="shared" ref="K903:K966" si="42">IF(I903="Sí",(G903-F903)*24,"")</f>
        <v>24.716666666558012</v>
      </c>
      <c r="L903" s="19">
        <f t="shared" ref="L903:L966" si="43">IF(I903="Sí",COUNTIFS($F$7:$F$4000,"&lt;="&amp;F903,$G$7:$G$4000,"&gt;"&amp;F903,$I$7:$I$4000,"Sí"),"")</f>
        <v>112</v>
      </c>
      <c r="M903" s="18" t="str">
        <f>IF(I903&lt;&gt;"Sí","",IF(YEAR(F903)&lt;&gt;2026,"",INDEX({"Enero","Febrero","Marzo","Abril","Mayo","Junio","Julio","Agosto","Septiembre","Octubre","Noviembre","Diciembre"},MONTH(F903))))</f>
        <v>Julio</v>
      </c>
      <c r="N903" s="18" t="str">
        <f t="shared" ref="N903:N966" si="44">IF(M903="","",M903&amp;"|"&amp;L903)</f>
        <v>Julio|112</v>
      </c>
    </row>
    <row r="904" spans="1:14" ht="14.5" x14ac:dyDescent="0.25">
      <c r="A904" s="19">
        <v>33</v>
      </c>
      <c r="B904" s="18" t="s">
        <v>40</v>
      </c>
      <c r="C904" s="18" t="s">
        <v>97</v>
      </c>
      <c r="D904" s="18" t="s">
        <v>1370</v>
      </c>
      <c r="E904" s="18" t="s">
        <v>1472</v>
      </c>
      <c r="F904" s="101">
        <v>46206.037499999999</v>
      </c>
      <c r="G904" s="101">
        <v>46207.03402777778</v>
      </c>
      <c r="H904" s="18" t="s">
        <v>507</v>
      </c>
      <c r="I904" s="18" t="s">
        <v>508</v>
      </c>
      <c r="J904" s="18"/>
      <c r="K904" s="21">
        <f t="shared" si="42"/>
        <v>23.916666666744277</v>
      </c>
      <c r="L904" s="19">
        <f t="shared" si="43"/>
        <v>113</v>
      </c>
      <c r="M904" s="18" t="str">
        <f>IF(I904&lt;&gt;"Sí","",IF(YEAR(F904)&lt;&gt;2026,"",INDEX({"Enero","Febrero","Marzo","Abril","Mayo","Junio","Julio","Agosto","Septiembre","Octubre","Noviembre","Diciembre"},MONTH(F904))))</f>
        <v>Julio</v>
      </c>
      <c r="N904" s="18" t="str">
        <f t="shared" si="44"/>
        <v>Julio|113</v>
      </c>
    </row>
    <row r="905" spans="1:14" ht="14.5" x14ac:dyDescent="0.25">
      <c r="A905" s="19">
        <v>33</v>
      </c>
      <c r="B905" s="18" t="s">
        <v>40</v>
      </c>
      <c r="C905" s="18" t="s">
        <v>97</v>
      </c>
      <c r="D905" s="18" t="s">
        <v>1370</v>
      </c>
      <c r="E905" s="18" t="s">
        <v>1473</v>
      </c>
      <c r="F905" s="101">
        <v>46206.040972222225</v>
      </c>
      <c r="G905" s="101">
        <v>46207.03125</v>
      </c>
      <c r="H905" s="18" t="s">
        <v>507</v>
      </c>
      <c r="I905" s="18" t="s">
        <v>508</v>
      </c>
      <c r="J905" s="18"/>
      <c r="K905" s="21">
        <f t="shared" si="42"/>
        <v>23.766666666604578</v>
      </c>
      <c r="L905" s="19">
        <f t="shared" si="43"/>
        <v>114</v>
      </c>
      <c r="M905" s="18" t="str">
        <f>IF(I905&lt;&gt;"Sí","",IF(YEAR(F905)&lt;&gt;2026,"",INDEX({"Enero","Febrero","Marzo","Abril","Mayo","Junio","Julio","Agosto","Septiembre","Octubre","Noviembre","Diciembre"},MONTH(F905))))</f>
        <v>Julio</v>
      </c>
      <c r="N905" s="18" t="str">
        <f t="shared" si="44"/>
        <v>Julio|114</v>
      </c>
    </row>
    <row r="906" spans="1:14" ht="14.5" x14ac:dyDescent="0.25">
      <c r="A906" s="19">
        <v>33</v>
      </c>
      <c r="B906" s="18" t="s">
        <v>40</v>
      </c>
      <c r="C906" s="18" t="s">
        <v>97</v>
      </c>
      <c r="D906" s="18" t="s">
        <v>1370</v>
      </c>
      <c r="E906" s="18" t="s">
        <v>1474</v>
      </c>
      <c r="F906" s="101">
        <v>46206.041666666664</v>
      </c>
      <c r="G906" s="101">
        <v>46207.166666666664</v>
      </c>
      <c r="H906" s="18" t="s">
        <v>507</v>
      </c>
      <c r="I906" s="18" t="s">
        <v>508</v>
      </c>
      <c r="J906" s="18"/>
      <c r="K906" s="21">
        <f t="shared" si="42"/>
        <v>27</v>
      </c>
      <c r="L906" s="19">
        <f t="shared" si="43"/>
        <v>116</v>
      </c>
      <c r="M906" s="18" t="str">
        <f>IF(I906&lt;&gt;"Sí","",IF(YEAR(F906)&lt;&gt;2026,"",INDEX({"Enero","Febrero","Marzo","Abril","Mayo","Junio","Julio","Agosto","Septiembre","Octubre","Noviembre","Diciembre"},MONTH(F906))))</f>
        <v>Julio</v>
      </c>
      <c r="N906" s="18" t="str">
        <f t="shared" si="44"/>
        <v>Julio|116</v>
      </c>
    </row>
    <row r="907" spans="1:14" ht="14.5" x14ac:dyDescent="0.25">
      <c r="A907" s="19">
        <v>33</v>
      </c>
      <c r="B907" s="18" t="s">
        <v>40</v>
      </c>
      <c r="C907" s="18" t="s">
        <v>97</v>
      </c>
      <c r="D907" s="18" t="s">
        <v>1370</v>
      </c>
      <c r="E907" s="18" t="s">
        <v>1475</v>
      </c>
      <c r="F907" s="101">
        <v>46206.041666666664</v>
      </c>
      <c r="G907" s="101">
        <v>46206.738888888889</v>
      </c>
      <c r="H907" s="18" t="s">
        <v>507</v>
      </c>
      <c r="I907" s="18" t="s">
        <v>508</v>
      </c>
      <c r="J907" s="18"/>
      <c r="K907" s="21">
        <f t="shared" si="42"/>
        <v>16.733333333395422</v>
      </c>
      <c r="L907" s="19">
        <f t="shared" si="43"/>
        <v>116</v>
      </c>
      <c r="M907" s="18" t="str">
        <f>IF(I907&lt;&gt;"Sí","",IF(YEAR(F907)&lt;&gt;2026,"",INDEX({"Enero","Febrero","Marzo","Abril","Mayo","Junio","Julio","Agosto","Septiembre","Octubre","Noviembre","Diciembre"},MONTH(F907))))</f>
        <v>Julio</v>
      </c>
      <c r="N907" s="18" t="str">
        <f t="shared" si="44"/>
        <v>Julio|116</v>
      </c>
    </row>
    <row r="908" spans="1:14" ht="14.5" x14ac:dyDescent="0.25">
      <c r="A908" s="19">
        <v>33</v>
      </c>
      <c r="B908" s="18" t="s">
        <v>40</v>
      </c>
      <c r="C908" s="18" t="s">
        <v>97</v>
      </c>
      <c r="D908" s="18" t="s">
        <v>1370</v>
      </c>
      <c r="E908" s="18" t="s">
        <v>1476</v>
      </c>
      <c r="F908" s="101">
        <v>46206.042361111111</v>
      </c>
      <c r="G908" s="101">
        <v>46207.02847222222</v>
      </c>
      <c r="H908" s="18" t="s">
        <v>507</v>
      </c>
      <c r="I908" s="18" t="s">
        <v>508</v>
      </c>
      <c r="J908" s="18"/>
      <c r="K908" s="21">
        <f t="shared" si="42"/>
        <v>23.666666666627862</v>
      </c>
      <c r="L908" s="19">
        <f t="shared" si="43"/>
        <v>117</v>
      </c>
      <c r="M908" s="18" t="str">
        <f>IF(I908&lt;&gt;"Sí","",IF(YEAR(F908)&lt;&gt;2026,"",INDEX({"Enero","Febrero","Marzo","Abril","Mayo","Junio","Julio","Agosto","Septiembre","Octubre","Noviembre","Diciembre"},MONTH(F908))))</f>
        <v>Julio</v>
      </c>
      <c r="N908" s="18" t="str">
        <f t="shared" si="44"/>
        <v>Julio|117</v>
      </c>
    </row>
    <row r="909" spans="1:14" ht="14.5" x14ac:dyDescent="0.25">
      <c r="A909" s="19">
        <v>33</v>
      </c>
      <c r="B909" s="18" t="s">
        <v>40</v>
      </c>
      <c r="C909" s="18" t="s">
        <v>97</v>
      </c>
      <c r="D909" s="18" t="s">
        <v>1370</v>
      </c>
      <c r="E909" s="18" t="s">
        <v>1477</v>
      </c>
      <c r="F909" s="101">
        <v>46206.043749999997</v>
      </c>
      <c r="G909" s="101">
        <v>46207.024305555555</v>
      </c>
      <c r="H909" s="18" t="s">
        <v>507</v>
      </c>
      <c r="I909" s="18" t="s">
        <v>508</v>
      </c>
      <c r="J909" s="18"/>
      <c r="K909" s="21">
        <f t="shared" si="42"/>
        <v>23.53333333338378</v>
      </c>
      <c r="L909" s="19">
        <f t="shared" si="43"/>
        <v>118</v>
      </c>
      <c r="M909" s="18" t="str">
        <f>IF(I909&lt;&gt;"Sí","",IF(YEAR(F909)&lt;&gt;2026,"",INDEX({"Enero","Febrero","Marzo","Abril","Mayo","Junio","Julio","Agosto","Septiembre","Octubre","Noviembre","Diciembre"},MONTH(F909))))</f>
        <v>Julio</v>
      </c>
      <c r="N909" s="18" t="str">
        <f t="shared" si="44"/>
        <v>Julio|118</v>
      </c>
    </row>
    <row r="910" spans="1:14" ht="14.5" x14ac:dyDescent="0.25">
      <c r="A910" s="19">
        <v>33</v>
      </c>
      <c r="B910" s="18" t="s">
        <v>40</v>
      </c>
      <c r="C910" s="18" t="s">
        <v>97</v>
      </c>
      <c r="D910" s="18" t="s">
        <v>1370</v>
      </c>
      <c r="E910" s="18" t="s">
        <v>1478</v>
      </c>
      <c r="F910" s="101">
        <v>46206.045138888891</v>
      </c>
      <c r="G910" s="101">
        <v>46207.020833333336</v>
      </c>
      <c r="H910" s="18" t="s">
        <v>507</v>
      </c>
      <c r="I910" s="18" t="s">
        <v>508</v>
      </c>
      <c r="J910" s="18"/>
      <c r="K910" s="21">
        <f t="shared" si="42"/>
        <v>23.416666666686069</v>
      </c>
      <c r="L910" s="19">
        <f t="shared" si="43"/>
        <v>119</v>
      </c>
      <c r="M910" s="18" t="str">
        <f>IF(I910&lt;&gt;"Sí","",IF(YEAR(F910)&lt;&gt;2026,"",INDEX({"Enero","Febrero","Marzo","Abril","Mayo","Junio","Julio","Agosto","Septiembre","Octubre","Noviembre","Diciembre"},MONTH(F910))))</f>
        <v>Julio</v>
      </c>
      <c r="N910" s="18" t="str">
        <f t="shared" si="44"/>
        <v>Julio|119</v>
      </c>
    </row>
    <row r="911" spans="1:14" ht="14.5" x14ac:dyDescent="0.25">
      <c r="A911" s="19">
        <v>33</v>
      </c>
      <c r="B911" s="18" t="s">
        <v>40</v>
      </c>
      <c r="C911" s="18" t="s">
        <v>97</v>
      </c>
      <c r="D911" s="18" t="s">
        <v>1370</v>
      </c>
      <c r="E911" s="18" t="s">
        <v>1479</v>
      </c>
      <c r="F911" s="101">
        <v>46206.046527777777</v>
      </c>
      <c r="G911" s="101">
        <v>46207.01666666667</v>
      </c>
      <c r="H911" s="18" t="s">
        <v>507</v>
      </c>
      <c r="I911" s="18" t="s">
        <v>508</v>
      </c>
      <c r="J911" s="18"/>
      <c r="K911" s="21">
        <f t="shared" si="42"/>
        <v>23.283333333441988</v>
      </c>
      <c r="L911" s="19">
        <f t="shared" si="43"/>
        <v>120</v>
      </c>
      <c r="M911" s="18" t="str">
        <f>IF(I911&lt;&gt;"Sí","",IF(YEAR(F911)&lt;&gt;2026,"",INDEX({"Enero","Febrero","Marzo","Abril","Mayo","Junio","Julio","Agosto","Septiembre","Octubre","Noviembre","Diciembre"},MONTH(F911))))</f>
        <v>Julio</v>
      </c>
      <c r="N911" s="18" t="str">
        <f t="shared" si="44"/>
        <v>Julio|120</v>
      </c>
    </row>
    <row r="912" spans="1:14" ht="14.5" x14ac:dyDescent="0.25">
      <c r="A912" s="19">
        <v>33</v>
      </c>
      <c r="B912" s="18" t="s">
        <v>40</v>
      </c>
      <c r="C912" s="18" t="s">
        <v>97</v>
      </c>
      <c r="D912" s="18" t="s">
        <v>1370</v>
      </c>
      <c r="E912" s="18" t="s">
        <v>1480</v>
      </c>
      <c r="F912" s="101">
        <v>46206.048611111109</v>
      </c>
      <c r="G912" s="101">
        <v>46207.013888888891</v>
      </c>
      <c r="H912" s="18" t="s">
        <v>507</v>
      </c>
      <c r="I912" s="18" t="s">
        <v>508</v>
      </c>
      <c r="J912" s="18"/>
      <c r="K912" s="21">
        <f t="shared" si="42"/>
        <v>23.166666666744277</v>
      </c>
      <c r="L912" s="19">
        <f t="shared" si="43"/>
        <v>121</v>
      </c>
      <c r="M912" s="18" t="str">
        <f>IF(I912&lt;&gt;"Sí","",IF(YEAR(F912)&lt;&gt;2026,"",INDEX({"Enero","Febrero","Marzo","Abril","Mayo","Junio","Julio","Agosto","Septiembre","Octubre","Noviembre","Diciembre"},MONTH(F912))))</f>
        <v>Julio</v>
      </c>
      <c r="N912" s="18" t="str">
        <f t="shared" si="44"/>
        <v>Julio|121</v>
      </c>
    </row>
    <row r="913" spans="1:14" ht="14.5" x14ac:dyDescent="0.25">
      <c r="A913" s="19">
        <v>33</v>
      </c>
      <c r="B913" s="18" t="s">
        <v>40</v>
      </c>
      <c r="C913" s="18" t="s">
        <v>97</v>
      </c>
      <c r="D913" s="18" t="s">
        <v>1370</v>
      </c>
      <c r="E913" s="18" t="s">
        <v>1481</v>
      </c>
      <c r="F913" s="101">
        <v>46206.049305555556</v>
      </c>
      <c r="G913" s="101">
        <v>46207.011805555558</v>
      </c>
      <c r="H913" s="18" t="s">
        <v>507</v>
      </c>
      <c r="I913" s="18" t="s">
        <v>508</v>
      </c>
      <c r="J913" s="18"/>
      <c r="K913" s="21">
        <f t="shared" si="42"/>
        <v>23.100000000034925</v>
      </c>
      <c r="L913" s="19">
        <f t="shared" si="43"/>
        <v>122</v>
      </c>
      <c r="M913" s="18" t="str">
        <f>IF(I913&lt;&gt;"Sí","",IF(YEAR(F913)&lt;&gt;2026,"",INDEX({"Enero","Febrero","Marzo","Abril","Mayo","Junio","Julio","Agosto","Septiembre","Octubre","Noviembre","Diciembre"},MONTH(F913))))</f>
        <v>Julio</v>
      </c>
      <c r="N913" s="18" t="str">
        <f t="shared" si="44"/>
        <v>Julio|122</v>
      </c>
    </row>
    <row r="914" spans="1:14" ht="14.5" x14ac:dyDescent="0.25">
      <c r="A914" s="19">
        <v>33</v>
      </c>
      <c r="B914" s="18" t="s">
        <v>40</v>
      </c>
      <c r="C914" s="18" t="s">
        <v>97</v>
      </c>
      <c r="D914" s="18" t="s">
        <v>1370</v>
      </c>
      <c r="E914" s="18" t="s">
        <v>1482</v>
      </c>
      <c r="F914" s="101">
        <v>46206.050694444442</v>
      </c>
      <c r="G914" s="101">
        <v>46207.008333333331</v>
      </c>
      <c r="H914" s="18" t="s">
        <v>507</v>
      </c>
      <c r="I914" s="18" t="s">
        <v>508</v>
      </c>
      <c r="J914" s="18"/>
      <c r="K914" s="21">
        <f t="shared" si="42"/>
        <v>22.983333333337214</v>
      </c>
      <c r="L914" s="19">
        <f t="shared" si="43"/>
        <v>123</v>
      </c>
      <c r="M914" s="18" t="str">
        <f>IF(I914&lt;&gt;"Sí","",IF(YEAR(F914)&lt;&gt;2026,"",INDEX({"Enero","Febrero","Marzo","Abril","Mayo","Junio","Julio","Agosto","Septiembre","Octubre","Noviembre","Diciembre"},MONTH(F914))))</f>
        <v>Julio</v>
      </c>
      <c r="N914" s="18" t="str">
        <f t="shared" si="44"/>
        <v>Julio|123</v>
      </c>
    </row>
    <row r="915" spans="1:14" ht="14.5" x14ac:dyDescent="0.25">
      <c r="A915" s="19">
        <v>33</v>
      </c>
      <c r="B915" s="18" t="s">
        <v>40</v>
      </c>
      <c r="C915" s="18" t="s">
        <v>97</v>
      </c>
      <c r="D915" s="18" t="s">
        <v>1370</v>
      </c>
      <c r="E915" s="18" t="s">
        <v>1483</v>
      </c>
      <c r="F915" s="101">
        <v>46206.054166666669</v>
      </c>
      <c r="G915" s="101">
        <v>46207.006249999999</v>
      </c>
      <c r="H915" s="18" t="s">
        <v>507</v>
      </c>
      <c r="I915" s="18" t="s">
        <v>508</v>
      </c>
      <c r="J915" s="18"/>
      <c r="K915" s="21">
        <f t="shared" si="42"/>
        <v>22.849999999918509</v>
      </c>
      <c r="L915" s="19">
        <f t="shared" si="43"/>
        <v>124</v>
      </c>
      <c r="M915" s="18" t="str">
        <f>IF(I915&lt;&gt;"Sí","",IF(YEAR(F915)&lt;&gt;2026,"",INDEX({"Enero","Febrero","Marzo","Abril","Mayo","Junio","Julio","Agosto","Septiembre","Octubre","Noviembre","Diciembre"},MONTH(F915))))</f>
        <v>Julio</v>
      </c>
      <c r="N915" s="18" t="str">
        <f t="shared" si="44"/>
        <v>Julio|124</v>
      </c>
    </row>
    <row r="916" spans="1:14" ht="14.5" x14ac:dyDescent="0.25">
      <c r="A916" s="19">
        <v>33</v>
      </c>
      <c r="B916" s="18" t="s">
        <v>40</v>
      </c>
      <c r="C916" s="18" t="s">
        <v>97</v>
      </c>
      <c r="D916" s="18" t="s">
        <v>1370</v>
      </c>
      <c r="E916" s="18" t="s">
        <v>1484</v>
      </c>
      <c r="F916" s="101">
        <v>46206.055555555555</v>
      </c>
      <c r="G916" s="101">
        <v>46207</v>
      </c>
      <c r="H916" s="18" t="s">
        <v>507</v>
      </c>
      <c r="I916" s="18" t="s">
        <v>508</v>
      </c>
      <c r="J916" s="18"/>
      <c r="K916" s="21">
        <f t="shared" si="42"/>
        <v>22.666666666686069</v>
      </c>
      <c r="L916" s="19">
        <f t="shared" si="43"/>
        <v>125</v>
      </c>
      <c r="M916" s="18" t="str">
        <f>IF(I916&lt;&gt;"Sí","",IF(YEAR(F916)&lt;&gt;2026,"",INDEX({"Enero","Febrero","Marzo","Abril","Mayo","Junio","Julio","Agosto","Septiembre","Octubre","Noviembre","Diciembre"},MONTH(F916))))</f>
        <v>Julio</v>
      </c>
      <c r="N916" s="18" t="str">
        <f t="shared" si="44"/>
        <v>Julio|125</v>
      </c>
    </row>
    <row r="917" spans="1:14" ht="14.5" x14ac:dyDescent="0.25">
      <c r="A917" s="19">
        <v>33</v>
      </c>
      <c r="B917" s="18" t="s">
        <v>40</v>
      </c>
      <c r="C917" s="18" t="s">
        <v>97</v>
      </c>
      <c r="D917" s="18" t="s">
        <v>1370</v>
      </c>
      <c r="E917" s="18" t="s">
        <v>1485</v>
      </c>
      <c r="F917" s="101">
        <v>46206.056250000001</v>
      </c>
      <c r="G917" s="101">
        <v>46207.099305555559</v>
      </c>
      <c r="H917" s="18" t="s">
        <v>507</v>
      </c>
      <c r="I917" s="18" t="s">
        <v>508</v>
      </c>
      <c r="J917" s="18"/>
      <c r="K917" s="21">
        <f t="shared" si="42"/>
        <v>25.03333333338378</v>
      </c>
      <c r="L917" s="19">
        <f t="shared" si="43"/>
        <v>126</v>
      </c>
      <c r="M917" s="18" t="str">
        <f>IF(I917&lt;&gt;"Sí","",IF(YEAR(F917)&lt;&gt;2026,"",INDEX({"Enero","Febrero","Marzo","Abril","Mayo","Junio","Julio","Agosto","Septiembre","Octubre","Noviembre","Diciembre"},MONTH(F917))))</f>
        <v>Julio</v>
      </c>
      <c r="N917" s="18" t="str">
        <f t="shared" si="44"/>
        <v>Julio|126</v>
      </c>
    </row>
    <row r="918" spans="1:14" ht="14.5" x14ac:dyDescent="0.25">
      <c r="A918" s="19">
        <v>33</v>
      </c>
      <c r="B918" s="18" t="s">
        <v>40</v>
      </c>
      <c r="C918" s="18" t="s">
        <v>97</v>
      </c>
      <c r="D918" s="18" t="s">
        <v>1370</v>
      </c>
      <c r="E918" s="18" t="s">
        <v>1486</v>
      </c>
      <c r="F918" s="101">
        <v>46206.057638888888</v>
      </c>
      <c r="G918" s="101">
        <v>46207.1</v>
      </c>
      <c r="H918" s="18" t="s">
        <v>507</v>
      </c>
      <c r="I918" s="18" t="s">
        <v>508</v>
      </c>
      <c r="J918" s="18"/>
      <c r="K918" s="21">
        <f t="shared" si="42"/>
        <v>25.016666666662786</v>
      </c>
      <c r="L918" s="19">
        <f t="shared" si="43"/>
        <v>127</v>
      </c>
      <c r="M918" s="18" t="str">
        <f>IF(I918&lt;&gt;"Sí","",IF(YEAR(F918)&lt;&gt;2026,"",INDEX({"Enero","Febrero","Marzo","Abril","Mayo","Junio","Julio","Agosto","Septiembre","Octubre","Noviembre","Diciembre"},MONTH(F918))))</f>
        <v>Julio</v>
      </c>
      <c r="N918" s="18" t="str">
        <f t="shared" si="44"/>
        <v>Julio|127</v>
      </c>
    </row>
    <row r="919" spans="1:14" ht="14.5" x14ac:dyDescent="0.25">
      <c r="A919" s="19">
        <v>33</v>
      </c>
      <c r="B919" s="18" t="s">
        <v>40</v>
      </c>
      <c r="C919" s="18" t="s">
        <v>97</v>
      </c>
      <c r="D919" s="18" t="s">
        <v>1370</v>
      </c>
      <c r="E919" s="18" t="s">
        <v>757</v>
      </c>
      <c r="F919" s="101">
        <v>46206.059027777781</v>
      </c>
      <c r="G919" s="101">
        <v>46206.9375</v>
      </c>
      <c r="H919" s="18" t="s">
        <v>507</v>
      </c>
      <c r="I919" s="18" t="s">
        <v>508</v>
      </c>
      <c r="J919" s="18"/>
      <c r="K919" s="21">
        <f t="shared" si="42"/>
        <v>21.083333333255723</v>
      </c>
      <c r="L919" s="19">
        <f t="shared" si="43"/>
        <v>128</v>
      </c>
      <c r="M919" s="18" t="str">
        <f>IF(I919&lt;&gt;"Sí","",IF(YEAR(F919)&lt;&gt;2026,"",INDEX({"Enero","Febrero","Marzo","Abril","Mayo","Junio","Julio","Agosto","Septiembre","Octubre","Noviembre","Diciembre"},MONTH(F919))))</f>
        <v>Julio</v>
      </c>
      <c r="N919" s="18" t="str">
        <f t="shared" si="44"/>
        <v>Julio|128</v>
      </c>
    </row>
    <row r="920" spans="1:14" ht="14.5" x14ac:dyDescent="0.25">
      <c r="A920" s="19">
        <v>33</v>
      </c>
      <c r="B920" s="18" t="s">
        <v>40</v>
      </c>
      <c r="C920" s="18" t="s">
        <v>97</v>
      </c>
      <c r="D920" s="18" t="s">
        <v>1370</v>
      </c>
      <c r="E920" s="18" t="s">
        <v>1487</v>
      </c>
      <c r="F920" s="101">
        <v>46206.060416666667</v>
      </c>
      <c r="G920" s="101">
        <v>46207.100694444445</v>
      </c>
      <c r="H920" s="18" t="s">
        <v>507</v>
      </c>
      <c r="I920" s="18" t="s">
        <v>508</v>
      </c>
      <c r="J920" s="18"/>
      <c r="K920" s="21">
        <f t="shared" si="42"/>
        <v>24.966666666674428</v>
      </c>
      <c r="L920" s="19">
        <f t="shared" si="43"/>
        <v>129</v>
      </c>
      <c r="M920" s="18" t="str">
        <f>IF(I920&lt;&gt;"Sí","",IF(YEAR(F920)&lt;&gt;2026,"",INDEX({"Enero","Febrero","Marzo","Abril","Mayo","Junio","Julio","Agosto","Septiembre","Octubre","Noviembre","Diciembre"},MONTH(F920))))</f>
        <v>Julio</v>
      </c>
      <c r="N920" s="18" t="str">
        <f t="shared" si="44"/>
        <v>Julio|129</v>
      </c>
    </row>
    <row r="921" spans="1:14" ht="14.5" x14ac:dyDescent="0.25">
      <c r="A921" s="19">
        <v>33</v>
      </c>
      <c r="B921" s="18" t="s">
        <v>40</v>
      </c>
      <c r="C921" s="18" t="s">
        <v>97</v>
      </c>
      <c r="D921" s="18" t="s">
        <v>1370</v>
      </c>
      <c r="E921" s="18" t="s">
        <v>1488</v>
      </c>
      <c r="F921" s="101">
        <v>46206.061805555553</v>
      </c>
      <c r="G921" s="101">
        <v>46207.101388888892</v>
      </c>
      <c r="H921" s="18" t="s">
        <v>507</v>
      </c>
      <c r="I921" s="18" t="s">
        <v>508</v>
      </c>
      <c r="J921" s="18"/>
      <c r="K921" s="21">
        <f t="shared" si="42"/>
        <v>24.950000000128057</v>
      </c>
      <c r="L921" s="19">
        <f t="shared" si="43"/>
        <v>130</v>
      </c>
      <c r="M921" s="18" t="str">
        <f>IF(I921&lt;&gt;"Sí","",IF(YEAR(F921)&lt;&gt;2026,"",INDEX({"Enero","Febrero","Marzo","Abril","Mayo","Junio","Julio","Agosto","Septiembre","Octubre","Noviembre","Diciembre"},MONTH(F921))))</f>
        <v>Julio</v>
      </c>
      <c r="N921" s="18" t="str">
        <f t="shared" si="44"/>
        <v>Julio|130</v>
      </c>
    </row>
    <row r="922" spans="1:14" ht="14.5" x14ac:dyDescent="0.25">
      <c r="A922" s="19">
        <v>33</v>
      </c>
      <c r="B922" s="18" t="s">
        <v>40</v>
      </c>
      <c r="C922" s="18" t="s">
        <v>97</v>
      </c>
      <c r="D922" s="18" t="s">
        <v>1370</v>
      </c>
      <c r="E922" s="18" t="s">
        <v>1489</v>
      </c>
      <c r="F922" s="101">
        <v>46206.063194444447</v>
      </c>
      <c r="G922" s="101">
        <v>46207.102777777778</v>
      </c>
      <c r="H922" s="18" t="s">
        <v>507</v>
      </c>
      <c r="I922" s="18" t="s">
        <v>508</v>
      </c>
      <c r="J922" s="18"/>
      <c r="K922" s="21">
        <f t="shared" si="42"/>
        <v>24.949999999953434</v>
      </c>
      <c r="L922" s="19">
        <f t="shared" si="43"/>
        <v>131</v>
      </c>
      <c r="M922" s="18" t="str">
        <f>IF(I922&lt;&gt;"Sí","",IF(YEAR(F922)&lt;&gt;2026,"",INDEX({"Enero","Febrero","Marzo","Abril","Mayo","Junio","Julio","Agosto","Septiembre","Octubre","Noviembre","Diciembre"},MONTH(F922))))</f>
        <v>Julio</v>
      </c>
      <c r="N922" s="18" t="str">
        <f t="shared" si="44"/>
        <v>Julio|131</v>
      </c>
    </row>
    <row r="923" spans="1:14" ht="14.5" x14ac:dyDescent="0.25">
      <c r="A923" s="19">
        <v>33</v>
      </c>
      <c r="B923" s="18" t="s">
        <v>40</v>
      </c>
      <c r="C923" s="18" t="s">
        <v>97</v>
      </c>
      <c r="D923" s="18" t="s">
        <v>1370</v>
      </c>
      <c r="E923" s="18" t="s">
        <v>1490</v>
      </c>
      <c r="F923" s="101">
        <v>46206.06527777778</v>
      </c>
      <c r="G923" s="101">
        <v>46207.128472222219</v>
      </c>
      <c r="H923" s="18" t="s">
        <v>507</v>
      </c>
      <c r="I923" s="18" t="s">
        <v>508</v>
      </c>
      <c r="J923" s="18"/>
      <c r="K923" s="21">
        <f t="shared" si="42"/>
        <v>25.516666666546371</v>
      </c>
      <c r="L923" s="19">
        <f t="shared" si="43"/>
        <v>132</v>
      </c>
      <c r="M923" s="18" t="str">
        <f>IF(I923&lt;&gt;"Sí","",IF(YEAR(F923)&lt;&gt;2026,"",INDEX({"Enero","Febrero","Marzo","Abril","Mayo","Junio","Julio","Agosto","Septiembre","Octubre","Noviembre","Diciembre"},MONTH(F923))))</f>
        <v>Julio</v>
      </c>
      <c r="N923" s="18" t="str">
        <f t="shared" si="44"/>
        <v>Julio|132</v>
      </c>
    </row>
    <row r="924" spans="1:14" ht="14.5" x14ac:dyDescent="0.25">
      <c r="A924" s="19">
        <v>33</v>
      </c>
      <c r="B924" s="18" t="s">
        <v>40</v>
      </c>
      <c r="C924" s="18" t="s">
        <v>97</v>
      </c>
      <c r="D924" s="18" t="s">
        <v>1370</v>
      </c>
      <c r="E924" s="18" t="s">
        <v>1491</v>
      </c>
      <c r="F924" s="101">
        <v>46206.066666666666</v>
      </c>
      <c r="G924" s="101">
        <v>46206.774305555555</v>
      </c>
      <c r="H924" s="18" t="s">
        <v>507</v>
      </c>
      <c r="I924" s="18" t="s">
        <v>508</v>
      </c>
      <c r="J924" s="18"/>
      <c r="K924" s="21">
        <f t="shared" si="42"/>
        <v>16.983333333337214</v>
      </c>
      <c r="L924" s="19">
        <f t="shared" si="43"/>
        <v>133</v>
      </c>
      <c r="M924" s="18" t="str">
        <f>IF(I924&lt;&gt;"Sí","",IF(YEAR(F924)&lt;&gt;2026,"",INDEX({"Enero","Febrero","Marzo","Abril","Mayo","Junio","Julio","Agosto","Septiembre","Octubre","Noviembre","Diciembre"},MONTH(F924))))</f>
        <v>Julio</v>
      </c>
      <c r="N924" s="18" t="str">
        <f t="shared" si="44"/>
        <v>Julio|133</v>
      </c>
    </row>
    <row r="925" spans="1:14" ht="14.5" x14ac:dyDescent="0.25">
      <c r="A925" s="19">
        <v>33</v>
      </c>
      <c r="B925" s="18" t="s">
        <v>40</v>
      </c>
      <c r="C925" s="18" t="s">
        <v>97</v>
      </c>
      <c r="D925" s="18" t="s">
        <v>1370</v>
      </c>
      <c r="E925" s="18" t="s">
        <v>1492</v>
      </c>
      <c r="F925" s="101">
        <v>46206.067361111112</v>
      </c>
      <c r="G925" s="101">
        <v>46206.786111111112</v>
      </c>
      <c r="H925" s="18" t="s">
        <v>507</v>
      </c>
      <c r="I925" s="18" t="s">
        <v>508</v>
      </c>
      <c r="J925" s="18"/>
      <c r="K925" s="21">
        <f t="shared" si="42"/>
        <v>17.25</v>
      </c>
      <c r="L925" s="19">
        <f t="shared" si="43"/>
        <v>134</v>
      </c>
      <c r="M925" s="18" t="str">
        <f>IF(I925&lt;&gt;"Sí","",IF(YEAR(F925)&lt;&gt;2026,"",INDEX({"Enero","Febrero","Marzo","Abril","Mayo","Junio","Julio","Agosto","Septiembre","Octubre","Noviembre","Diciembre"},MONTH(F925))))</f>
        <v>Julio</v>
      </c>
      <c r="N925" s="18" t="str">
        <f t="shared" si="44"/>
        <v>Julio|134</v>
      </c>
    </row>
    <row r="926" spans="1:14" ht="14.5" x14ac:dyDescent="0.25">
      <c r="A926" s="19">
        <v>33</v>
      </c>
      <c r="B926" s="18" t="s">
        <v>40</v>
      </c>
      <c r="C926" s="18" t="s">
        <v>97</v>
      </c>
      <c r="D926" s="18" t="s">
        <v>1370</v>
      </c>
      <c r="E926" s="18" t="s">
        <v>1493</v>
      </c>
      <c r="F926" s="101">
        <v>46206.069444444445</v>
      </c>
      <c r="G926" s="101">
        <v>46206.770833333336</v>
      </c>
      <c r="H926" s="18" t="s">
        <v>507</v>
      </c>
      <c r="I926" s="18" t="s">
        <v>508</v>
      </c>
      <c r="J926" s="18"/>
      <c r="K926" s="21">
        <f t="shared" si="42"/>
        <v>16.833333333372138</v>
      </c>
      <c r="L926" s="19">
        <f t="shared" si="43"/>
        <v>135</v>
      </c>
      <c r="M926" s="18" t="str">
        <f>IF(I926&lt;&gt;"Sí","",IF(YEAR(F926)&lt;&gt;2026,"",INDEX({"Enero","Febrero","Marzo","Abril","Mayo","Junio","Julio","Agosto","Septiembre","Octubre","Noviembre","Diciembre"},MONTH(F926))))</f>
        <v>Julio</v>
      </c>
      <c r="N926" s="18" t="str">
        <f t="shared" si="44"/>
        <v>Julio|135</v>
      </c>
    </row>
    <row r="927" spans="1:14" ht="14.5" x14ac:dyDescent="0.25">
      <c r="A927" s="19">
        <v>33</v>
      </c>
      <c r="B927" s="18" t="s">
        <v>40</v>
      </c>
      <c r="C927" s="18" t="s">
        <v>97</v>
      </c>
      <c r="D927" s="18" t="s">
        <v>1370</v>
      </c>
      <c r="E927" s="18" t="s">
        <v>1494</v>
      </c>
      <c r="F927" s="101">
        <v>46206.071527777778</v>
      </c>
      <c r="G927" s="101">
        <v>46206.765972222223</v>
      </c>
      <c r="H927" s="18" t="s">
        <v>507</v>
      </c>
      <c r="I927" s="18" t="s">
        <v>508</v>
      </c>
      <c r="J927" s="18"/>
      <c r="K927" s="21">
        <f t="shared" si="42"/>
        <v>16.666666666686069</v>
      </c>
      <c r="L927" s="19">
        <f t="shared" si="43"/>
        <v>136</v>
      </c>
      <c r="M927" s="18" t="str">
        <f>IF(I927&lt;&gt;"Sí","",IF(YEAR(F927)&lt;&gt;2026,"",INDEX({"Enero","Febrero","Marzo","Abril","Mayo","Junio","Julio","Agosto","Septiembre","Octubre","Noviembre","Diciembre"},MONTH(F927))))</f>
        <v>Julio</v>
      </c>
      <c r="N927" s="18" t="str">
        <f t="shared" si="44"/>
        <v>Julio|136</v>
      </c>
    </row>
    <row r="928" spans="1:14" ht="14.5" x14ac:dyDescent="0.25">
      <c r="A928" s="19">
        <v>33</v>
      </c>
      <c r="B928" s="18" t="s">
        <v>40</v>
      </c>
      <c r="C928" s="18" t="s">
        <v>97</v>
      </c>
      <c r="D928" s="18" t="s">
        <v>1370</v>
      </c>
      <c r="E928" s="18" t="s">
        <v>1495</v>
      </c>
      <c r="F928" s="101">
        <v>46206.072916666664</v>
      </c>
      <c r="G928" s="101">
        <v>46206.762499999997</v>
      </c>
      <c r="H928" s="18" t="s">
        <v>507</v>
      </c>
      <c r="I928" s="18" t="s">
        <v>508</v>
      </c>
      <c r="J928" s="18"/>
      <c r="K928" s="21">
        <f t="shared" si="42"/>
        <v>16.549999999988358</v>
      </c>
      <c r="L928" s="19">
        <f t="shared" si="43"/>
        <v>137</v>
      </c>
      <c r="M928" s="18" t="str">
        <f>IF(I928&lt;&gt;"Sí","",IF(YEAR(F928)&lt;&gt;2026,"",INDEX({"Enero","Febrero","Marzo","Abril","Mayo","Junio","Julio","Agosto","Septiembre","Octubre","Noviembre","Diciembre"},MONTH(F928))))</f>
        <v>Julio</v>
      </c>
      <c r="N928" s="18" t="str">
        <f t="shared" si="44"/>
        <v>Julio|137</v>
      </c>
    </row>
    <row r="929" spans="1:14" ht="14.5" x14ac:dyDescent="0.25">
      <c r="A929" s="19">
        <v>33</v>
      </c>
      <c r="B929" s="18" t="s">
        <v>40</v>
      </c>
      <c r="C929" s="18" t="s">
        <v>97</v>
      </c>
      <c r="D929" s="18" t="s">
        <v>1370</v>
      </c>
      <c r="E929" s="18" t="s">
        <v>1496</v>
      </c>
      <c r="F929" s="101">
        <v>46206.07708333333</v>
      </c>
      <c r="G929" s="101">
        <v>46206.756944444445</v>
      </c>
      <c r="H929" s="18" t="s">
        <v>507</v>
      </c>
      <c r="I929" s="18" t="s">
        <v>508</v>
      </c>
      <c r="J929" s="18"/>
      <c r="K929" s="21">
        <f t="shared" si="42"/>
        <v>16.31666666676756</v>
      </c>
      <c r="L929" s="19">
        <f t="shared" si="43"/>
        <v>138</v>
      </c>
      <c r="M929" s="18" t="str">
        <f>IF(I929&lt;&gt;"Sí","",IF(YEAR(F929)&lt;&gt;2026,"",INDEX({"Enero","Febrero","Marzo","Abril","Mayo","Junio","Julio","Agosto","Septiembre","Octubre","Noviembre","Diciembre"},MONTH(F929))))</f>
        <v>Julio</v>
      </c>
      <c r="N929" s="18" t="str">
        <f t="shared" si="44"/>
        <v>Julio|138</v>
      </c>
    </row>
    <row r="930" spans="1:14" ht="14.5" x14ac:dyDescent="0.25">
      <c r="A930" s="19">
        <v>33</v>
      </c>
      <c r="B930" s="18" t="s">
        <v>40</v>
      </c>
      <c r="C930" s="18" t="s">
        <v>97</v>
      </c>
      <c r="D930" s="18" t="s">
        <v>1370</v>
      </c>
      <c r="E930" s="18" t="s">
        <v>1497</v>
      </c>
      <c r="F930" s="101">
        <v>46206.078472222223</v>
      </c>
      <c r="G930" s="101">
        <v>46206.759722222225</v>
      </c>
      <c r="H930" s="18" t="s">
        <v>507</v>
      </c>
      <c r="I930" s="18" t="s">
        <v>508</v>
      </c>
      <c r="J930" s="18"/>
      <c r="K930" s="21">
        <f t="shared" si="42"/>
        <v>16.350000000034925</v>
      </c>
      <c r="L930" s="19">
        <f t="shared" si="43"/>
        <v>139</v>
      </c>
      <c r="M930" s="18" t="str">
        <f>IF(I930&lt;&gt;"Sí","",IF(YEAR(F930)&lt;&gt;2026,"",INDEX({"Enero","Febrero","Marzo","Abril","Mayo","Junio","Julio","Agosto","Septiembre","Octubre","Noviembre","Diciembre"},MONTH(F930))))</f>
        <v>Julio</v>
      </c>
      <c r="N930" s="18" t="str">
        <f t="shared" si="44"/>
        <v>Julio|139</v>
      </c>
    </row>
    <row r="931" spans="1:14" ht="14.5" x14ac:dyDescent="0.25">
      <c r="A931" s="19">
        <v>33</v>
      </c>
      <c r="B931" s="18" t="s">
        <v>40</v>
      </c>
      <c r="C931" s="18" t="s">
        <v>97</v>
      </c>
      <c r="D931" s="18" t="s">
        <v>1370</v>
      </c>
      <c r="E931" s="18" t="s">
        <v>1498</v>
      </c>
      <c r="F931" s="101">
        <v>46206.079861111109</v>
      </c>
      <c r="G931" s="101">
        <v>46206.754166666666</v>
      </c>
      <c r="H931" s="18" t="s">
        <v>507</v>
      </c>
      <c r="I931" s="18" t="s">
        <v>508</v>
      </c>
      <c r="J931" s="18"/>
      <c r="K931" s="21">
        <f t="shared" si="42"/>
        <v>16.183333333348855</v>
      </c>
      <c r="L931" s="19">
        <f t="shared" si="43"/>
        <v>140</v>
      </c>
      <c r="M931" s="18" t="str">
        <f>IF(I931&lt;&gt;"Sí","",IF(YEAR(F931)&lt;&gt;2026,"",INDEX({"Enero","Febrero","Marzo","Abril","Mayo","Junio","Julio","Agosto","Septiembre","Octubre","Noviembre","Diciembre"},MONTH(F931))))</f>
        <v>Julio</v>
      </c>
      <c r="N931" s="18" t="str">
        <f t="shared" si="44"/>
        <v>Julio|140</v>
      </c>
    </row>
    <row r="932" spans="1:14" ht="14.5" x14ac:dyDescent="0.25">
      <c r="A932" s="19">
        <v>33</v>
      </c>
      <c r="B932" s="18" t="s">
        <v>40</v>
      </c>
      <c r="C932" s="18" t="s">
        <v>97</v>
      </c>
      <c r="D932" s="18" t="s">
        <v>1370</v>
      </c>
      <c r="E932" s="18" t="s">
        <v>1499</v>
      </c>
      <c r="F932" s="101">
        <v>46206.081944444442</v>
      </c>
      <c r="G932" s="101">
        <v>46206.756249999999</v>
      </c>
      <c r="H932" s="18" t="s">
        <v>507</v>
      </c>
      <c r="I932" s="18" t="s">
        <v>508</v>
      </c>
      <c r="J932" s="18"/>
      <c r="K932" s="21">
        <f t="shared" si="42"/>
        <v>16.183333333348855</v>
      </c>
      <c r="L932" s="19">
        <f t="shared" si="43"/>
        <v>141</v>
      </c>
      <c r="M932" s="18" t="str">
        <f>IF(I932&lt;&gt;"Sí","",IF(YEAR(F932)&lt;&gt;2026,"",INDEX({"Enero","Febrero","Marzo","Abril","Mayo","Junio","Julio","Agosto","Septiembre","Octubre","Noviembre","Diciembre"},MONTH(F932))))</f>
        <v>Julio</v>
      </c>
      <c r="N932" s="18" t="str">
        <f t="shared" si="44"/>
        <v>Julio|141</v>
      </c>
    </row>
    <row r="933" spans="1:14" ht="14.5" x14ac:dyDescent="0.25">
      <c r="A933" s="19">
        <v>33</v>
      </c>
      <c r="B933" s="18" t="s">
        <v>40</v>
      </c>
      <c r="C933" s="18" t="s">
        <v>97</v>
      </c>
      <c r="D933" s="18" t="s">
        <v>1370</v>
      </c>
      <c r="E933" s="18" t="s">
        <v>1500</v>
      </c>
      <c r="F933" s="101">
        <v>46206.084027777775</v>
      </c>
      <c r="G933" s="101">
        <v>46206.753472222219</v>
      </c>
      <c r="H933" s="18" t="s">
        <v>507</v>
      </c>
      <c r="I933" s="18" t="s">
        <v>508</v>
      </c>
      <c r="J933" s="18"/>
      <c r="K933" s="21">
        <f t="shared" si="42"/>
        <v>16.066666666651145</v>
      </c>
      <c r="L933" s="19">
        <f t="shared" si="43"/>
        <v>142</v>
      </c>
      <c r="M933" s="18" t="str">
        <f>IF(I933&lt;&gt;"Sí","",IF(YEAR(F933)&lt;&gt;2026,"",INDEX({"Enero","Febrero","Marzo","Abril","Mayo","Junio","Julio","Agosto","Septiembre","Octubre","Noviembre","Diciembre"},MONTH(F933))))</f>
        <v>Julio</v>
      </c>
      <c r="N933" s="18" t="str">
        <f t="shared" si="44"/>
        <v>Julio|142</v>
      </c>
    </row>
    <row r="934" spans="1:14" ht="14.5" x14ac:dyDescent="0.25">
      <c r="A934" s="19">
        <v>33</v>
      </c>
      <c r="B934" s="18" t="s">
        <v>40</v>
      </c>
      <c r="C934" s="18" t="s">
        <v>97</v>
      </c>
      <c r="D934" s="18" t="s">
        <v>1370</v>
      </c>
      <c r="E934" s="18" t="s">
        <v>1501</v>
      </c>
      <c r="F934" s="101">
        <v>46206.085416666669</v>
      </c>
      <c r="G934" s="101">
        <v>46206.752083333333</v>
      </c>
      <c r="H934" s="18" t="s">
        <v>507</v>
      </c>
      <c r="I934" s="18" t="s">
        <v>508</v>
      </c>
      <c r="J934" s="18"/>
      <c r="K934" s="21">
        <f t="shared" si="42"/>
        <v>15.999999999941792</v>
      </c>
      <c r="L934" s="19">
        <f t="shared" si="43"/>
        <v>143</v>
      </c>
      <c r="M934" s="18" t="str">
        <f>IF(I934&lt;&gt;"Sí","",IF(YEAR(F934)&lt;&gt;2026,"",INDEX({"Enero","Febrero","Marzo","Abril","Mayo","Junio","Julio","Agosto","Septiembre","Octubre","Noviembre","Diciembre"},MONTH(F934))))</f>
        <v>Julio</v>
      </c>
      <c r="N934" s="18" t="str">
        <f t="shared" si="44"/>
        <v>Julio|143</v>
      </c>
    </row>
    <row r="935" spans="1:14" ht="14.5" x14ac:dyDescent="0.25">
      <c r="A935" s="19">
        <v>33</v>
      </c>
      <c r="B935" s="18" t="s">
        <v>40</v>
      </c>
      <c r="C935" s="18" t="s">
        <v>97</v>
      </c>
      <c r="D935" s="18" t="s">
        <v>1370</v>
      </c>
      <c r="E935" s="18" t="s">
        <v>1502</v>
      </c>
      <c r="F935" s="101">
        <v>46206.086805555555</v>
      </c>
      <c r="G935" s="101">
        <v>46206.751388888886</v>
      </c>
      <c r="H935" s="18" t="s">
        <v>507</v>
      </c>
      <c r="I935" s="18" t="s">
        <v>508</v>
      </c>
      <c r="J935" s="18"/>
      <c r="K935" s="21">
        <f t="shared" si="42"/>
        <v>15.949999999953434</v>
      </c>
      <c r="L935" s="19">
        <f t="shared" si="43"/>
        <v>144</v>
      </c>
      <c r="M935" s="18" t="str">
        <f>IF(I935&lt;&gt;"Sí","",IF(YEAR(F935)&lt;&gt;2026,"",INDEX({"Enero","Febrero","Marzo","Abril","Mayo","Junio","Julio","Agosto","Septiembre","Octubre","Noviembre","Diciembre"},MONTH(F935))))</f>
        <v>Julio</v>
      </c>
      <c r="N935" s="18" t="str">
        <f t="shared" si="44"/>
        <v>Julio|144</v>
      </c>
    </row>
    <row r="936" spans="1:14" ht="14.5" x14ac:dyDescent="0.25">
      <c r="A936" s="19">
        <v>33</v>
      </c>
      <c r="B936" s="18" t="s">
        <v>40</v>
      </c>
      <c r="C936" s="18" t="s">
        <v>97</v>
      </c>
      <c r="D936" s="18" t="s">
        <v>1370</v>
      </c>
      <c r="E936" s="18" t="s">
        <v>1503</v>
      </c>
      <c r="F936" s="101">
        <v>46206.088194444441</v>
      </c>
      <c r="G936" s="101">
        <v>46207.065972222219</v>
      </c>
      <c r="H936" s="18" t="s">
        <v>507</v>
      </c>
      <c r="I936" s="18" t="s">
        <v>508</v>
      </c>
      <c r="J936" s="18"/>
      <c r="K936" s="21">
        <f t="shared" si="42"/>
        <v>23.466666666674428</v>
      </c>
      <c r="L936" s="19">
        <f t="shared" si="43"/>
        <v>145</v>
      </c>
      <c r="M936" s="18" t="str">
        <f>IF(I936&lt;&gt;"Sí","",IF(YEAR(F936)&lt;&gt;2026,"",INDEX({"Enero","Febrero","Marzo","Abril","Mayo","Junio","Julio","Agosto","Septiembre","Octubre","Noviembre","Diciembre"},MONTH(F936))))</f>
        <v>Julio</v>
      </c>
      <c r="N936" s="18" t="str">
        <f t="shared" si="44"/>
        <v>Julio|145</v>
      </c>
    </row>
    <row r="937" spans="1:14" ht="14.5" x14ac:dyDescent="0.25">
      <c r="A937" s="19">
        <v>33</v>
      </c>
      <c r="B937" s="18" t="s">
        <v>40</v>
      </c>
      <c r="C937" s="18" t="s">
        <v>97</v>
      </c>
      <c r="D937" s="18" t="s">
        <v>1370</v>
      </c>
      <c r="E937" s="18" t="s">
        <v>1504</v>
      </c>
      <c r="F937" s="101">
        <v>46206.089583333334</v>
      </c>
      <c r="G937" s="101">
        <v>46206.74722222222</v>
      </c>
      <c r="H937" s="18" t="s">
        <v>507</v>
      </c>
      <c r="I937" s="18" t="s">
        <v>508</v>
      </c>
      <c r="J937" s="18"/>
      <c r="K937" s="21">
        <f t="shared" si="42"/>
        <v>15.783333333267365</v>
      </c>
      <c r="L937" s="19">
        <f t="shared" si="43"/>
        <v>146</v>
      </c>
      <c r="M937" s="18" t="str">
        <f>IF(I937&lt;&gt;"Sí","",IF(YEAR(F937)&lt;&gt;2026,"",INDEX({"Enero","Febrero","Marzo","Abril","Mayo","Junio","Julio","Agosto","Septiembre","Octubre","Noviembre","Diciembre"},MONTH(F937))))</f>
        <v>Julio</v>
      </c>
      <c r="N937" s="18" t="str">
        <f t="shared" si="44"/>
        <v>Julio|146</v>
      </c>
    </row>
    <row r="938" spans="1:14" ht="14.5" x14ac:dyDescent="0.25">
      <c r="A938" s="19">
        <v>33</v>
      </c>
      <c r="B938" s="18" t="s">
        <v>40</v>
      </c>
      <c r="C938" s="18" t="s">
        <v>97</v>
      </c>
      <c r="D938" s="18" t="s">
        <v>1370</v>
      </c>
      <c r="E938" s="18" t="s">
        <v>1505</v>
      </c>
      <c r="F938" s="101">
        <v>46206.09097222222</v>
      </c>
      <c r="G938" s="101">
        <v>46206.744444444441</v>
      </c>
      <c r="H938" s="18" t="s">
        <v>507</v>
      </c>
      <c r="I938" s="18" t="s">
        <v>508</v>
      </c>
      <c r="J938" s="18"/>
      <c r="K938" s="21">
        <f t="shared" si="42"/>
        <v>15.683333333290648</v>
      </c>
      <c r="L938" s="19">
        <f t="shared" si="43"/>
        <v>147</v>
      </c>
      <c r="M938" s="18" t="str">
        <f>IF(I938&lt;&gt;"Sí","",IF(YEAR(F938)&lt;&gt;2026,"",INDEX({"Enero","Febrero","Marzo","Abril","Mayo","Junio","Julio","Agosto","Septiembre","Octubre","Noviembre","Diciembre"},MONTH(F938))))</f>
        <v>Julio</v>
      </c>
      <c r="N938" s="18" t="str">
        <f t="shared" si="44"/>
        <v>Julio|147</v>
      </c>
    </row>
    <row r="939" spans="1:14" ht="14.5" x14ac:dyDescent="0.25">
      <c r="A939" s="19">
        <v>33</v>
      </c>
      <c r="B939" s="18" t="s">
        <v>40</v>
      </c>
      <c r="C939" s="18" t="s">
        <v>97</v>
      </c>
      <c r="D939" s="18" t="s">
        <v>1370</v>
      </c>
      <c r="E939" s="18" t="s">
        <v>1506</v>
      </c>
      <c r="F939" s="101">
        <v>46206.093055555553</v>
      </c>
      <c r="G939" s="101">
        <v>46206.740972222222</v>
      </c>
      <c r="H939" s="18" t="s">
        <v>507</v>
      </c>
      <c r="I939" s="18" t="s">
        <v>508</v>
      </c>
      <c r="J939" s="18"/>
      <c r="K939" s="21">
        <f t="shared" si="42"/>
        <v>15.550000000046566</v>
      </c>
      <c r="L939" s="19">
        <f t="shared" si="43"/>
        <v>148</v>
      </c>
      <c r="M939" s="18" t="str">
        <f>IF(I939&lt;&gt;"Sí","",IF(YEAR(F939)&lt;&gt;2026,"",INDEX({"Enero","Febrero","Marzo","Abril","Mayo","Junio","Julio","Agosto","Septiembre","Octubre","Noviembre","Diciembre"},MONTH(F939))))</f>
        <v>Julio</v>
      </c>
      <c r="N939" s="18" t="str">
        <f t="shared" si="44"/>
        <v>Julio|148</v>
      </c>
    </row>
    <row r="940" spans="1:14" ht="14.5" x14ac:dyDescent="0.25">
      <c r="A940" s="19">
        <v>33</v>
      </c>
      <c r="B940" s="18" t="s">
        <v>40</v>
      </c>
      <c r="C940" s="18" t="s">
        <v>97</v>
      </c>
      <c r="D940" s="18" t="s">
        <v>1370</v>
      </c>
      <c r="E940" s="18" t="s">
        <v>1052</v>
      </c>
      <c r="F940" s="101">
        <v>46206.094444444447</v>
      </c>
      <c r="G940" s="101">
        <v>46206.740277777775</v>
      </c>
      <c r="H940" s="18" t="s">
        <v>507</v>
      </c>
      <c r="I940" s="18" t="s">
        <v>508</v>
      </c>
      <c r="J940" s="18"/>
      <c r="K940" s="21">
        <f t="shared" si="42"/>
        <v>15.499999999883585</v>
      </c>
      <c r="L940" s="19">
        <f t="shared" si="43"/>
        <v>149</v>
      </c>
      <c r="M940" s="18" t="str">
        <f>IF(I940&lt;&gt;"Sí","",IF(YEAR(F940)&lt;&gt;2026,"",INDEX({"Enero","Febrero","Marzo","Abril","Mayo","Junio","Julio","Agosto","Septiembre","Octubre","Noviembre","Diciembre"},MONTH(F940))))</f>
        <v>Julio</v>
      </c>
      <c r="N940" s="18" t="str">
        <f t="shared" si="44"/>
        <v>Julio|149</v>
      </c>
    </row>
    <row r="941" spans="1:14" ht="14.5" x14ac:dyDescent="0.25">
      <c r="A941" s="19">
        <v>33</v>
      </c>
      <c r="B941" s="18" t="s">
        <v>40</v>
      </c>
      <c r="C941" s="18" t="s">
        <v>97</v>
      </c>
      <c r="D941" s="18" t="s">
        <v>1370</v>
      </c>
      <c r="E941" s="18" t="s">
        <v>1507</v>
      </c>
      <c r="F941" s="101">
        <v>46206.097916666666</v>
      </c>
      <c r="G941" s="101">
        <v>46206.737500000003</v>
      </c>
      <c r="H941" s="18" t="s">
        <v>507</v>
      </c>
      <c r="I941" s="18" t="s">
        <v>508</v>
      </c>
      <c r="J941" s="18"/>
      <c r="K941" s="21">
        <f t="shared" si="42"/>
        <v>15.350000000093132</v>
      </c>
      <c r="L941" s="19">
        <f t="shared" si="43"/>
        <v>150</v>
      </c>
      <c r="M941" s="18" t="str">
        <f>IF(I941&lt;&gt;"Sí","",IF(YEAR(F941)&lt;&gt;2026,"",INDEX({"Enero","Febrero","Marzo","Abril","Mayo","Junio","Julio","Agosto","Septiembre","Octubre","Noviembre","Diciembre"},MONTH(F941))))</f>
        <v>Julio</v>
      </c>
      <c r="N941" s="18" t="str">
        <f t="shared" si="44"/>
        <v>Julio|150</v>
      </c>
    </row>
    <row r="942" spans="1:14" ht="14.5" x14ac:dyDescent="0.25">
      <c r="A942" s="19">
        <v>33</v>
      </c>
      <c r="B942" s="18" t="s">
        <v>40</v>
      </c>
      <c r="C942" s="18" t="s">
        <v>97</v>
      </c>
      <c r="D942" s="18" t="s">
        <v>1370</v>
      </c>
      <c r="E942" s="18" t="s">
        <v>1508</v>
      </c>
      <c r="F942" s="101">
        <v>46206.100694444445</v>
      </c>
      <c r="G942" s="101">
        <v>46206.736805555556</v>
      </c>
      <c r="H942" s="18" t="s">
        <v>507</v>
      </c>
      <c r="I942" s="18" t="s">
        <v>508</v>
      </c>
      <c r="J942" s="18"/>
      <c r="K942" s="21">
        <f t="shared" si="42"/>
        <v>15.266666666662786</v>
      </c>
      <c r="L942" s="19">
        <f t="shared" si="43"/>
        <v>151</v>
      </c>
      <c r="M942" s="18" t="str">
        <f>IF(I942&lt;&gt;"Sí","",IF(YEAR(F942)&lt;&gt;2026,"",INDEX({"Enero","Febrero","Marzo","Abril","Mayo","Junio","Julio","Agosto","Septiembre","Octubre","Noviembre","Diciembre"},MONTH(F942))))</f>
        <v>Julio</v>
      </c>
      <c r="N942" s="18" t="str">
        <f t="shared" si="44"/>
        <v>Julio|151</v>
      </c>
    </row>
    <row r="943" spans="1:14" ht="14.5" x14ac:dyDescent="0.25">
      <c r="A943" s="19">
        <v>33</v>
      </c>
      <c r="B943" s="18" t="s">
        <v>40</v>
      </c>
      <c r="C943" s="18" t="s">
        <v>97</v>
      </c>
      <c r="D943" s="18" t="s">
        <v>1370</v>
      </c>
      <c r="E943" s="18" t="s">
        <v>1509</v>
      </c>
      <c r="F943" s="101">
        <v>46206.102777777778</v>
      </c>
      <c r="G943" s="101">
        <v>46206.722222222219</v>
      </c>
      <c r="H943" s="18" t="s">
        <v>507</v>
      </c>
      <c r="I943" s="18" t="s">
        <v>508</v>
      </c>
      <c r="J943" s="18"/>
      <c r="K943" s="21">
        <f t="shared" si="42"/>
        <v>14.866666666581295</v>
      </c>
      <c r="L943" s="19">
        <f t="shared" si="43"/>
        <v>152</v>
      </c>
      <c r="M943" s="18" t="str">
        <f>IF(I943&lt;&gt;"Sí","",IF(YEAR(F943)&lt;&gt;2026,"",INDEX({"Enero","Febrero","Marzo","Abril","Mayo","Junio","Julio","Agosto","Septiembre","Octubre","Noviembre","Diciembre"},MONTH(F943))))</f>
        <v>Julio</v>
      </c>
      <c r="N943" s="18" t="str">
        <f t="shared" si="44"/>
        <v>Julio|152</v>
      </c>
    </row>
    <row r="944" spans="1:14" ht="14.5" x14ac:dyDescent="0.25">
      <c r="A944" s="19">
        <v>33</v>
      </c>
      <c r="B944" s="18" t="s">
        <v>40</v>
      </c>
      <c r="C944" s="18" t="s">
        <v>97</v>
      </c>
      <c r="D944" s="18" t="s">
        <v>1370</v>
      </c>
      <c r="E944" s="18" t="s">
        <v>900</v>
      </c>
      <c r="F944" s="101">
        <v>46206.104166666664</v>
      </c>
      <c r="G944" s="101">
        <v>46206.71875</v>
      </c>
      <c r="H944" s="18" t="s">
        <v>507</v>
      </c>
      <c r="I944" s="18" t="s">
        <v>508</v>
      </c>
      <c r="J944" s="18"/>
      <c r="K944" s="21">
        <f t="shared" si="42"/>
        <v>14.750000000058208</v>
      </c>
      <c r="L944" s="19">
        <f t="shared" si="43"/>
        <v>153</v>
      </c>
      <c r="M944" s="18" t="str">
        <f>IF(I944&lt;&gt;"Sí","",IF(YEAR(F944)&lt;&gt;2026,"",INDEX({"Enero","Febrero","Marzo","Abril","Mayo","Junio","Julio","Agosto","Septiembre","Octubre","Noviembre","Diciembre"},MONTH(F944))))</f>
        <v>Julio</v>
      </c>
      <c r="N944" s="18" t="str">
        <f t="shared" si="44"/>
        <v>Julio|153</v>
      </c>
    </row>
    <row r="945" spans="1:14" ht="14.5" x14ac:dyDescent="0.25">
      <c r="A945" s="19">
        <v>33</v>
      </c>
      <c r="B945" s="18" t="s">
        <v>40</v>
      </c>
      <c r="C945" s="18" t="s">
        <v>97</v>
      </c>
      <c r="D945" s="18" t="s">
        <v>1370</v>
      </c>
      <c r="E945" s="18" t="s">
        <v>1510</v>
      </c>
      <c r="F945" s="101">
        <v>46206.11041666667</v>
      </c>
      <c r="G945" s="101">
        <v>46206.714583333334</v>
      </c>
      <c r="H945" s="18" t="s">
        <v>507</v>
      </c>
      <c r="I945" s="18" t="s">
        <v>508</v>
      </c>
      <c r="J945" s="18"/>
      <c r="K945" s="21">
        <f t="shared" si="42"/>
        <v>14.499999999941792</v>
      </c>
      <c r="L945" s="19">
        <f t="shared" si="43"/>
        <v>154</v>
      </c>
      <c r="M945" s="18" t="str">
        <f>IF(I945&lt;&gt;"Sí","",IF(YEAR(F945)&lt;&gt;2026,"",INDEX({"Enero","Febrero","Marzo","Abril","Mayo","Junio","Julio","Agosto","Septiembre","Octubre","Noviembre","Diciembre"},MONTH(F945))))</f>
        <v>Julio</v>
      </c>
      <c r="N945" s="18" t="str">
        <f t="shared" si="44"/>
        <v>Julio|154</v>
      </c>
    </row>
    <row r="946" spans="1:14" ht="14.5" x14ac:dyDescent="0.25">
      <c r="A946" s="19">
        <v>33</v>
      </c>
      <c r="B946" s="18" t="s">
        <v>40</v>
      </c>
      <c r="C946" s="18" t="s">
        <v>97</v>
      </c>
      <c r="D946" s="18" t="s">
        <v>1370</v>
      </c>
      <c r="E946" s="18" t="s">
        <v>1511</v>
      </c>
      <c r="F946" s="101">
        <v>46206.112500000003</v>
      </c>
      <c r="G946" s="101">
        <v>46206.711805555555</v>
      </c>
      <c r="H946" s="18" t="s">
        <v>507</v>
      </c>
      <c r="I946" s="18" t="s">
        <v>508</v>
      </c>
      <c r="J946" s="18"/>
      <c r="K946" s="21">
        <f t="shared" si="42"/>
        <v>14.383333333244082</v>
      </c>
      <c r="L946" s="19">
        <f t="shared" si="43"/>
        <v>155</v>
      </c>
      <c r="M946" s="18" t="str">
        <f>IF(I946&lt;&gt;"Sí","",IF(YEAR(F946)&lt;&gt;2026,"",INDEX({"Enero","Febrero","Marzo","Abril","Mayo","Junio","Julio","Agosto","Septiembre","Octubre","Noviembre","Diciembre"},MONTH(F946))))</f>
        <v>Julio</v>
      </c>
      <c r="N946" s="18" t="str">
        <f t="shared" si="44"/>
        <v>Julio|155</v>
      </c>
    </row>
    <row r="947" spans="1:14" ht="14.5" x14ac:dyDescent="0.25">
      <c r="A947" s="19">
        <v>33</v>
      </c>
      <c r="B947" s="18" t="s">
        <v>40</v>
      </c>
      <c r="C947" s="18" t="s">
        <v>97</v>
      </c>
      <c r="D947" s="18" t="s">
        <v>1370</v>
      </c>
      <c r="E947" s="18" t="s">
        <v>878</v>
      </c>
      <c r="F947" s="101">
        <v>46206.113888888889</v>
      </c>
      <c r="G947" s="101">
        <v>46206.709722222222</v>
      </c>
      <c r="H947" s="18" t="s">
        <v>507</v>
      </c>
      <c r="I947" s="18" t="s">
        <v>508</v>
      </c>
      <c r="J947" s="18"/>
      <c r="K947" s="21">
        <f t="shared" si="42"/>
        <v>14.299999999988358</v>
      </c>
      <c r="L947" s="19">
        <f t="shared" si="43"/>
        <v>156</v>
      </c>
      <c r="M947" s="18" t="str">
        <f>IF(I947&lt;&gt;"Sí","",IF(YEAR(F947)&lt;&gt;2026,"",INDEX({"Enero","Febrero","Marzo","Abril","Mayo","Junio","Julio","Agosto","Septiembre","Octubre","Noviembre","Diciembre"},MONTH(F947))))</f>
        <v>Julio</v>
      </c>
      <c r="N947" s="18" t="str">
        <f t="shared" si="44"/>
        <v>Julio|156</v>
      </c>
    </row>
    <row r="948" spans="1:14" ht="14.5" x14ac:dyDescent="0.25">
      <c r="A948" s="19">
        <v>33</v>
      </c>
      <c r="B948" s="18" t="s">
        <v>40</v>
      </c>
      <c r="C948" s="18" t="s">
        <v>97</v>
      </c>
      <c r="D948" s="18" t="s">
        <v>1370</v>
      </c>
      <c r="E948" s="18" t="s">
        <v>1119</v>
      </c>
      <c r="F948" s="101">
        <v>46206.115277777775</v>
      </c>
      <c r="G948" s="101">
        <v>46206.708333333336</v>
      </c>
      <c r="H948" s="18" t="s">
        <v>507</v>
      </c>
      <c r="I948" s="18" t="s">
        <v>508</v>
      </c>
      <c r="J948" s="18"/>
      <c r="K948" s="21">
        <f t="shared" si="42"/>
        <v>14.233333333453629</v>
      </c>
      <c r="L948" s="19">
        <f t="shared" si="43"/>
        <v>157</v>
      </c>
      <c r="M948" s="18" t="str">
        <f>IF(I948&lt;&gt;"Sí","",IF(YEAR(F948)&lt;&gt;2026,"",INDEX({"Enero","Febrero","Marzo","Abril","Mayo","Junio","Julio","Agosto","Septiembre","Octubre","Noviembre","Diciembre"},MONTH(F948))))</f>
        <v>Julio</v>
      </c>
      <c r="N948" s="18" t="str">
        <f t="shared" si="44"/>
        <v>Julio|157</v>
      </c>
    </row>
    <row r="949" spans="1:14" ht="14.5" x14ac:dyDescent="0.25">
      <c r="A949" s="19">
        <v>33</v>
      </c>
      <c r="B949" s="18" t="s">
        <v>40</v>
      </c>
      <c r="C949" s="18" t="s">
        <v>97</v>
      </c>
      <c r="D949" s="18" t="s">
        <v>1370</v>
      </c>
      <c r="E949" s="18" t="s">
        <v>1512</v>
      </c>
      <c r="F949" s="101">
        <v>46206.116666666669</v>
      </c>
      <c r="G949" s="101">
        <v>46206.704861111109</v>
      </c>
      <c r="H949" s="18" t="s">
        <v>507</v>
      </c>
      <c r="I949" s="18" t="s">
        <v>508</v>
      </c>
      <c r="J949" s="18"/>
      <c r="K949" s="21">
        <f t="shared" si="42"/>
        <v>14.116666666581295</v>
      </c>
      <c r="L949" s="19">
        <f t="shared" si="43"/>
        <v>158</v>
      </c>
      <c r="M949" s="18" t="str">
        <f>IF(I949&lt;&gt;"Sí","",IF(YEAR(F949)&lt;&gt;2026,"",INDEX({"Enero","Febrero","Marzo","Abril","Mayo","Junio","Julio","Agosto","Septiembre","Octubre","Noviembre","Diciembre"},MONTH(F949))))</f>
        <v>Julio</v>
      </c>
      <c r="N949" s="18" t="str">
        <f t="shared" si="44"/>
        <v>Julio|158</v>
      </c>
    </row>
    <row r="950" spans="1:14" ht="14.5" x14ac:dyDescent="0.25">
      <c r="A950" s="19">
        <v>33</v>
      </c>
      <c r="B950" s="18" t="s">
        <v>40</v>
      </c>
      <c r="C950" s="18" t="s">
        <v>97</v>
      </c>
      <c r="D950" s="18" t="s">
        <v>1370</v>
      </c>
      <c r="E950" s="18" t="s">
        <v>1513</v>
      </c>
      <c r="F950" s="101">
        <v>46206.119444444441</v>
      </c>
      <c r="G950" s="101">
        <v>46206.701388888891</v>
      </c>
      <c r="H950" s="18" t="s">
        <v>507</v>
      </c>
      <c r="I950" s="18" t="s">
        <v>508</v>
      </c>
      <c r="J950" s="18"/>
      <c r="K950" s="21">
        <f t="shared" si="42"/>
        <v>13.966666666790843</v>
      </c>
      <c r="L950" s="19">
        <f t="shared" si="43"/>
        <v>159</v>
      </c>
      <c r="M950" s="18" t="str">
        <f>IF(I950&lt;&gt;"Sí","",IF(YEAR(F950)&lt;&gt;2026,"",INDEX({"Enero","Febrero","Marzo","Abril","Mayo","Junio","Julio","Agosto","Septiembre","Octubre","Noviembre","Diciembre"},MONTH(F950))))</f>
        <v>Julio</v>
      </c>
      <c r="N950" s="18" t="str">
        <f t="shared" si="44"/>
        <v>Julio|159</v>
      </c>
    </row>
    <row r="951" spans="1:14" ht="14.5" x14ac:dyDescent="0.25">
      <c r="A951" s="19">
        <v>33</v>
      </c>
      <c r="B951" s="18" t="s">
        <v>40</v>
      </c>
      <c r="C951" s="18" t="s">
        <v>97</v>
      </c>
      <c r="D951" s="18" t="s">
        <v>1370</v>
      </c>
      <c r="E951" s="18" t="s">
        <v>1514</v>
      </c>
      <c r="F951" s="101">
        <v>46206.125694444447</v>
      </c>
      <c r="G951" s="101">
        <v>46207.168749999997</v>
      </c>
      <c r="H951" s="18" t="s">
        <v>507</v>
      </c>
      <c r="I951" s="18" t="s">
        <v>508</v>
      </c>
      <c r="J951" s="18"/>
      <c r="K951" s="21">
        <f t="shared" si="42"/>
        <v>25.033333333209157</v>
      </c>
      <c r="L951" s="19">
        <f t="shared" si="43"/>
        <v>160</v>
      </c>
      <c r="M951" s="18" t="str">
        <f>IF(I951&lt;&gt;"Sí","",IF(YEAR(F951)&lt;&gt;2026,"",INDEX({"Enero","Febrero","Marzo","Abril","Mayo","Junio","Julio","Agosto","Septiembre","Octubre","Noviembre","Diciembre"},MONTH(F951))))</f>
        <v>Julio</v>
      </c>
      <c r="N951" s="18" t="str">
        <f t="shared" si="44"/>
        <v>Julio|160</v>
      </c>
    </row>
    <row r="952" spans="1:14" ht="14.5" x14ac:dyDescent="0.25">
      <c r="A952" s="19">
        <v>33</v>
      </c>
      <c r="B952" s="18" t="s">
        <v>40</v>
      </c>
      <c r="C952" s="18" t="s">
        <v>97</v>
      </c>
      <c r="D952" s="18" t="s">
        <v>1370</v>
      </c>
      <c r="E952" s="18" t="s">
        <v>1515</v>
      </c>
      <c r="F952" s="101">
        <v>46206.127083333333</v>
      </c>
      <c r="G952" s="101">
        <v>46207.159722222219</v>
      </c>
      <c r="H952" s="18" t="s">
        <v>507</v>
      </c>
      <c r="I952" s="18" t="s">
        <v>508</v>
      </c>
      <c r="J952" s="18"/>
      <c r="K952" s="21">
        <f t="shared" si="42"/>
        <v>24.783333333267365</v>
      </c>
      <c r="L952" s="19">
        <f t="shared" si="43"/>
        <v>161</v>
      </c>
      <c r="M952" s="18" t="str">
        <f>IF(I952&lt;&gt;"Sí","",IF(YEAR(F952)&lt;&gt;2026,"",INDEX({"Enero","Febrero","Marzo","Abril","Mayo","Junio","Julio","Agosto","Septiembre","Octubre","Noviembre","Diciembre"},MONTH(F952))))</f>
        <v>Julio</v>
      </c>
      <c r="N952" s="18" t="str">
        <f t="shared" si="44"/>
        <v>Julio|161</v>
      </c>
    </row>
    <row r="953" spans="1:14" ht="14.5" x14ac:dyDescent="0.25">
      <c r="A953" s="19">
        <v>33</v>
      </c>
      <c r="B953" s="18" t="s">
        <v>40</v>
      </c>
      <c r="C953" s="18" t="s">
        <v>97</v>
      </c>
      <c r="D953" s="18" t="s">
        <v>1370</v>
      </c>
      <c r="E953" s="18" t="s">
        <v>1516</v>
      </c>
      <c r="F953" s="101">
        <v>46206.128472222219</v>
      </c>
      <c r="G953" s="101">
        <v>46207.15625</v>
      </c>
      <c r="H953" s="18" t="s">
        <v>507</v>
      </c>
      <c r="I953" s="18" t="s">
        <v>508</v>
      </c>
      <c r="J953" s="18"/>
      <c r="K953" s="21">
        <f t="shared" si="42"/>
        <v>24.666666666744277</v>
      </c>
      <c r="L953" s="19">
        <f t="shared" si="43"/>
        <v>162</v>
      </c>
      <c r="M953" s="18" t="str">
        <f>IF(I953&lt;&gt;"Sí","",IF(YEAR(F953)&lt;&gt;2026,"",INDEX({"Enero","Febrero","Marzo","Abril","Mayo","Junio","Julio","Agosto","Septiembre","Octubre","Noviembre","Diciembre"},MONTH(F953))))</f>
        <v>Julio</v>
      </c>
      <c r="N953" s="18" t="str">
        <f t="shared" si="44"/>
        <v>Julio|162</v>
      </c>
    </row>
    <row r="954" spans="1:14" ht="14.5" x14ac:dyDescent="0.25">
      <c r="A954" s="19">
        <v>33</v>
      </c>
      <c r="B954" s="18" t="s">
        <v>40</v>
      </c>
      <c r="C954" s="18" t="s">
        <v>97</v>
      </c>
      <c r="D954" s="18" t="s">
        <v>1370</v>
      </c>
      <c r="E954" s="18" t="s">
        <v>1517</v>
      </c>
      <c r="F954" s="101">
        <v>46206.130555555559</v>
      </c>
      <c r="G954" s="101">
        <v>46207.152777777781</v>
      </c>
      <c r="H954" s="18" t="s">
        <v>507</v>
      </c>
      <c r="I954" s="18" t="s">
        <v>508</v>
      </c>
      <c r="J954" s="18"/>
      <c r="K954" s="21">
        <f t="shared" si="42"/>
        <v>24.533333333325572</v>
      </c>
      <c r="L954" s="19">
        <f t="shared" si="43"/>
        <v>163</v>
      </c>
      <c r="M954" s="18" t="str">
        <f>IF(I954&lt;&gt;"Sí","",IF(YEAR(F954)&lt;&gt;2026,"",INDEX({"Enero","Febrero","Marzo","Abril","Mayo","Junio","Julio","Agosto","Septiembre","Octubre","Noviembre","Diciembre"},MONTH(F954))))</f>
        <v>Julio</v>
      </c>
      <c r="N954" s="18" t="str">
        <f t="shared" si="44"/>
        <v>Julio|163</v>
      </c>
    </row>
    <row r="955" spans="1:14" ht="14.5" x14ac:dyDescent="0.25">
      <c r="A955" s="19">
        <v>33</v>
      </c>
      <c r="B955" s="18" t="s">
        <v>40</v>
      </c>
      <c r="C955" s="18" t="s">
        <v>97</v>
      </c>
      <c r="D955" s="18" t="s">
        <v>1370</v>
      </c>
      <c r="E955" s="18" t="s">
        <v>1518</v>
      </c>
      <c r="F955" s="101">
        <v>46206.131944444445</v>
      </c>
      <c r="G955" s="101">
        <v>46207.116666666669</v>
      </c>
      <c r="H955" s="18" t="s">
        <v>507</v>
      </c>
      <c r="I955" s="18" t="s">
        <v>508</v>
      </c>
      <c r="J955" s="18"/>
      <c r="K955" s="21">
        <f t="shared" si="42"/>
        <v>23.633333333360497</v>
      </c>
      <c r="L955" s="19">
        <f t="shared" si="43"/>
        <v>164</v>
      </c>
      <c r="M955" s="18" t="str">
        <f>IF(I955&lt;&gt;"Sí","",IF(YEAR(F955)&lt;&gt;2026,"",INDEX({"Enero","Febrero","Marzo","Abril","Mayo","Junio","Julio","Agosto","Septiembre","Octubre","Noviembre","Diciembre"},MONTH(F955))))</f>
        <v>Julio</v>
      </c>
      <c r="N955" s="18" t="str">
        <f t="shared" si="44"/>
        <v>Julio|164</v>
      </c>
    </row>
    <row r="956" spans="1:14" ht="14.5" x14ac:dyDescent="0.25">
      <c r="A956" s="19">
        <v>33</v>
      </c>
      <c r="B956" s="18" t="s">
        <v>40</v>
      </c>
      <c r="C956" s="18" t="s">
        <v>97</v>
      </c>
      <c r="D956" s="18" t="s">
        <v>1370</v>
      </c>
      <c r="E956" s="18" t="s">
        <v>1519</v>
      </c>
      <c r="F956" s="101">
        <v>46206.133333333331</v>
      </c>
      <c r="G956" s="101">
        <v>46207.109027777777</v>
      </c>
      <c r="H956" s="18" t="s">
        <v>507</v>
      </c>
      <c r="I956" s="18" t="s">
        <v>508</v>
      </c>
      <c r="J956" s="18"/>
      <c r="K956" s="21">
        <f t="shared" si="42"/>
        <v>23.416666666686069</v>
      </c>
      <c r="L956" s="19">
        <f t="shared" si="43"/>
        <v>165</v>
      </c>
      <c r="M956" s="18" t="str">
        <f>IF(I956&lt;&gt;"Sí","",IF(YEAR(F956)&lt;&gt;2026,"",INDEX({"Enero","Febrero","Marzo","Abril","Mayo","Junio","Julio","Agosto","Septiembre","Octubre","Noviembre","Diciembre"},MONTH(F956))))</f>
        <v>Julio</v>
      </c>
      <c r="N956" s="18" t="str">
        <f t="shared" si="44"/>
        <v>Julio|165</v>
      </c>
    </row>
    <row r="957" spans="1:14" ht="14.5" x14ac:dyDescent="0.25">
      <c r="A957" s="19">
        <v>33</v>
      </c>
      <c r="B957" s="18" t="s">
        <v>40</v>
      </c>
      <c r="C957" s="18" t="s">
        <v>97</v>
      </c>
      <c r="D957" s="18" t="s">
        <v>1370</v>
      </c>
      <c r="E957" s="18" t="s">
        <v>1520</v>
      </c>
      <c r="F957" s="101">
        <v>46206.134722222225</v>
      </c>
      <c r="G957" s="101">
        <v>46207.105555555558</v>
      </c>
      <c r="H957" s="18" t="s">
        <v>507</v>
      </c>
      <c r="I957" s="18" t="s">
        <v>508</v>
      </c>
      <c r="J957" s="18"/>
      <c r="K957" s="21">
        <f t="shared" si="42"/>
        <v>23.299999999988358</v>
      </c>
      <c r="L957" s="19">
        <f t="shared" si="43"/>
        <v>166</v>
      </c>
      <c r="M957" s="18" t="str">
        <f>IF(I957&lt;&gt;"Sí","",IF(YEAR(F957)&lt;&gt;2026,"",INDEX({"Enero","Febrero","Marzo","Abril","Mayo","Junio","Julio","Agosto","Septiembre","Octubre","Noviembre","Diciembre"},MONTH(F957))))</f>
        <v>Julio</v>
      </c>
      <c r="N957" s="18" t="str">
        <f t="shared" si="44"/>
        <v>Julio|166</v>
      </c>
    </row>
    <row r="958" spans="1:14" ht="14.5" x14ac:dyDescent="0.25">
      <c r="A958" s="19">
        <v>33</v>
      </c>
      <c r="B958" s="18" t="s">
        <v>40</v>
      </c>
      <c r="C958" s="18" t="s">
        <v>97</v>
      </c>
      <c r="D958" s="18" t="s">
        <v>1370</v>
      </c>
      <c r="E958" s="18" t="s">
        <v>1521</v>
      </c>
      <c r="F958" s="101">
        <v>46206.136805555558</v>
      </c>
      <c r="G958" s="101">
        <v>46207.097222222219</v>
      </c>
      <c r="H958" s="18" t="s">
        <v>507</v>
      </c>
      <c r="I958" s="18" t="s">
        <v>508</v>
      </c>
      <c r="J958" s="18"/>
      <c r="K958" s="21">
        <f t="shared" si="42"/>
        <v>23.049999999871943</v>
      </c>
      <c r="L958" s="19">
        <f t="shared" si="43"/>
        <v>167</v>
      </c>
      <c r="M958" s="18" t="str">
        <f>IF(I958&lt;&gt;"Sí","",IF(YEAR(F958)&lt;&gt;2026,"",INDEX({"Enero","Febrero","Marzo","Abril","Mayo","Junio","Julio","Agosto","Septiembre","Octubre","Noviembre","Diciembre"},MONTH(F958))))</f>
        <v>Julio</v>
      </c>
      <c r="N958" s="18" t="str">
        <f t="shared" si="44"/>
        <v>Julio|167</v>
      </c>
    </row>
    <row r="959" spans="1:14" ht="14.5" x14ac:dyDescent="0.25">
      <c r="A959" s="19">
        <v>33</v>
      </c>
      <c r="B959" s="18" t="s">
        <v>40</v>
      </c>
      <c r="C959" s="18" t="s">
        <v>97</v>
      </c>
      <c r="D959" s="18" t="s">
        <v>1370</v>
      </c>
      <c r="E959" s="18" t="s">
        <v>1522</v>
      </c>
      <c r="F959" s="101">
        <v>46206.138194444444</v>
      </c>
      <c r="G959" s="101">
        <v>46207.09375</v>
      </c>
      <c r="H959" s="18" t="s">
        <v>507</v>
      </c>
      <c r="I959" s="18" t="s">
        <v>508</v>
      </c>
      <c r="J959" s="18"/>
      <c r="K959" s="21">
        <f t="shared" si="42"/>
        <v>22.933333333348855</v>
      </c>
      <c r="L959" s="19">
        <f t="shared" si="43"/>
        <v>168</v>
      </c>
      <c r="M959" s="18" t="str">
        <f>IF(I959&lt;&gt;"Sí","",IF(YEAR(F959)&lt;&gt;2026,"",INDEX({"Enero","Febrero","Marzo","Abril","Mayo","Junio","Julio","Agosto","Septiembre","Octubre","Noviembre","Diciembre"},MONTH(F959))))</f>
        <v>Julio</v>
      </c>
      <c r="N959" s="18" t="str">
        <f t="shared" si="44"/>
        <v>Julio|168</v>
      </c>
    </row>
    <row r="960" spans="1:14" ht="14.5" x14ac:dyDescent="0.25">
      <c r="A960" s="19">
        <v>33</v>
      </c>
      <c r="B960" s="18" t="s">
        <v>40</v>
      </c>
      <c r="C960" s="18" t="s">
        <v>97</v>
      </c>
      <c r="D960" s="18" t="s">
        <v>1370</v>
      </c>
      <c r="E960" s="18" t="s">
        <v>1523</v>
      </c>
      <c r="F960" s="101">
        <v>46206.138888888891</v>
      </c>
      <c r="G960" s="101">
        <v>46207.090277777781</v>
      </c>
      <c r="H960" s="18" t="s">
        <v>507</v>
      </c>
      <c r="I960" s="18" t="s">
        <v>508</v>
      </c>
      <c r="J960" s="18"/>
      <c r="K960" s="21">
        <f t="shared" si="42"/>
        <v>22.833333333372138</v>
      </c>
      <c r="L960" s="19">
        <f t="shared" si="43"/>
        <v>169</v>
      </c>
      <c r="M960" s="18" t="str">
        <f>IF(I960&lt;&gt;"Sí","",IF(YEAR(F960)&lt;&gt;2026,"",INDEX({"Enero","Febrero","Marzo","Abril","Mayo","Junio","Julio","Agosto","Septiembre","Octubre","Noviembre","Diciembre"},MONTH(F960))))</f>
        <v>Julio</v>
      </c>
      <c r="N960" s="18" t="str">
        <f t="shared" si="44"/>
        <v>Julio|169</v>
      </c>
    </row>
    <row r="961" spans="1:14" ht="14.5" x14ac:dyDescent="0.25">
      <c r="A961" s="19">
        <v>33</v>
      </c>
      <c r="B961" s="18" t="s">
        <v>40</v>
      </c>
      <c r="C961" s="18" t="s">
        <v>97</v>
      </c>
      <c r="D961" s="18" t="s">
        <v>1370</v>
      </c>
      <c r="E961" s="18" t="s">
        <v>1524</v>
      </c>
      <c r="F961" s="101">
        <v>46206.140277777777</v>
      </c>
      <c r="G961" s="101">
        <v>46207.081250000003</v>
      </c>
      <c r="H961" s="18" t="s">
        <v>507</v>
      </c>
      <c r="I961" s="18" t="s">
        <v>508</v>
      </c>
      <c r="J961" s="18"/>
      <c r="K961" s="21">
        <f t="shared" si="42"/>
        <v>22.583333333430346</v>
      </c>
      <c r="L961" s="19">
        <f t="shared" si="43"/>
        <v>170</v>
      </c>
      <c r="M961" s="18" t="str">
        <f>IF(I961&lt;&gt;"Sí","",IF(YEAR(F961)&lt;&gt;2026,"",INDEX({"Enero","Febrero","Marzo","Abril","Mayo","Junio","Julio","Agosto","Septiembre","Octubre","Noviembre","Diciembre"},MONTH(F961))))</f>
        <v>Julio</v>
      </c>
      <c r="N961" s="18" t="str">
        <f t="shared" si="44"/>
        <v>Julio|170</v>
      </c>
    </row>
    <row r="962" spans="1:14" ht="14.5" x14ac:dyDescent="0.25">
      <c r="A962" s="19">
        <v>33</v>
      </c>
      <c r="B962" s="18" t="s">
        <v>40</v>
      </c>
      <c r="C962" s="18" t="s">
        <v>97</v>
      </c>
      <c r="D962" s="18" t="s">
        <v>1370</v>
      </c>
      <c r="E962" s="18" t="s">
        <v>1525</v>
      </c>
      <c r="F962" s="101">
        <v>46206.14166666667</v>
      </c>
      <c r="G962" s="101">
        <v>46207.077777777777</v>
      </c>
      <c r="H962" s="18" t="s">
        <v>507</v>
      </c>
      <c r="I962" s="18" t="s">
        <v>508</v>
      </c>
      <c r="J962" s="18"/>
      <c r="K962" s="21">
        <f t="shared" si="42"/>
        <v>22.466666666558012</v>
      </c>
      <c r="L962" s="19">
        <f t="shared" si="43"/>
        <v>171</v>
      </c>
      <c r="M962" s="18" t="str">
        <f>IF(I962&lt;&gt;"Sí","",IF(YEAR(F962)&lt;&gt;2026,"",INDEX({"Enero","Febrero","Marzo","Abril","Mayo","Junio","Julio","Agosto","Septiembre","Octubre","Noviembre","Diciembre"},MONTH(F962))))</f>
        <v>Julio</v>
      </c>
      <c r="N962" s="18" t="str">
        <f t="shared" si="44"/>
        <v>Julio|171</v>
      </c>
    </row>
    <row r="963" spans="1:14" ht="14.5" x14ac:dyDescent="0.25">
      <c r="A963" s="19">
        <v>33</v>
      </c>
      <c r="B963" s="18" t="s">
        <v>40</v>
      </c>
      <c r="C963" s="18" t="s">
        <v>97</v>
      </c>
      <c r="D963" s="18" t="s">
        <v>1370</v>
      </c>
      <c r="E963" s="18" t="s">
        <v>1526</v>
      </c>
      <c r="F963" s="101">
        <v>46206.142361111109</v>
      </c>
      <c r="G963" s="101">
        <v>46207.076388888891</v>
      </c>
      <c r="H963" s="18" t="s">
        <v>507</v>
      </c>
      <c r="I963" s="18" t="s">
        <v>508</v>
      </c>
      <c r="J963" s="18"/>
      <c r="K963" s="21">
        <f t="shared" si="42"/>
        <v>22.416666666744277</v>
      </c>
      <c r="L963" s="19">
        <f t="shared" si="43"/>
        <v>172</v>
      </c>
      <c r="M963" s="18" t="str">
        <f>IF(I963&lt;&gt;"Sí","",IF(YEAR(F963)&lt;&gt;2026,"",INDEX({"Enero","Febrero","Marzo","Abril","Mayo","Junio","Julio","Agosto","Septiembre","Octubre","Noviembre","Diciembre"},MONTH(F963))))</f>
        <v>Julio</v>
      </c>
      <c r="N963" s="18" t="str">
        <f t="shared" si="44"/>
        <v>Julio|172</v>
      </c>
    </row>
    <row r="964" spans="1:14" ht="14.5" x14ac:dyDescent="0.25">
      <c r="A964" s="19">
        <v>33</v>
      </c>
      <c r="B964" s="18" t="s">
        <v>40</v>
      </c>
      <c r="C964" s="18" t="s">
        <v>97</v>
      </c>
      <c r="D964" s="18" t="s">
        <v>1370</v>
      </c>
      <c r="E964" s="18" t="s">
        <v>1527</v>
      </c>
      <c r="F964" s="101">
        <v>46206.143750000003</v>
      </c>
      <c r="G964" s="101">
        <v>46207.0625</v>
      </c>
      <c r="H964" s="18" t="s">
        <v>507</v>
      </c>
      <c r="I964" s="18" t="s">
        <v>508</v>
      </c>
      <c r="J964" s="18"/>
      <c r="K964" s="21">
        <f t="shared" si="42"/>
        <v>22.049999999930151</v>
      </c>
      <c r="L964" s="19">
        <f t="shared" si="43"/>
        <v>173</v>
      </c>
      <c r="M964" s="18" t="str">
        <f>IF(I964&lt;&gt;"Sí","",IF(YEAR(F964)&lt;&gt;2026,"",INDEX({"Enero","Febrero","Marzo","Abril","Mayo","Junio","Julio","Agosto","Septiembre","Octubre","Noviembre","Diciembre"},MONTH(F964))))</f>
        <v>Julio</v>
      </c>
      <c r="N964" s="18" t="str">
        <f t="shared" si="44"/>
        <v>Julio|173</v>
      </c>
    </row>
    <row r="965" spans="1:14" ht="14.5" x14ac:dyDescent="0.25">
      <c r="A965" s="19">
        <v>33</v>
      </c>
      <c r="B965" s="18" t="s">
        <v>40</v>
      </c>
      <c r="C965" s="18" t="s">
        <v>97</v>
      </c>
      <c r="D965" s="18" t="s">
        <v>1370</v>
      </c>
      <c r="E965" s="18" t="s">
        <v>1528</v>
      </c>
      <c r="F965" s="101">
        <v>46206.145833333336</v>
      </c>
      <c r="G965" s="101">
        <v>46207.059027777781</v>
      </c>
      <c r="H965" s="18" t="s">
        <v>507</v>
      </c>
      <c r="I965" s="18" t="s">
        <v>508</v>
      </c>
      <c r="J965" s="18"/>
      <c r="K965" s="21">
        <f t="shared" si="42"/>
        <v>21.916666666686069</v>
      </c>
      <c r="L965" s="19">
        <f t="shared" si="43"/>
        <v>174</v>
      </c>
      <c r="M965" s="18" t="str">
        <f>IF(I965&lt;&gt;"Sí","",IF(YEAR(F965)&lt;&gt;2026,"",INDEX({"Enero","Febrero","Marzo","Abril","Mayo","Junio","Julio","Agosto","Septiembre","Octubre","Noviembre","Diciembre"},MONTH(F965))))</f>
        <v>Julio</v>
      </c>
      <c r="N965" s="18" t="str">
        <f t="shared" si="44"/>
        <v>Julio|174</v>
      </c>
    </row>
    <row r="966" spans="1:14" ht="14.5" x14ac:dyDescent="0.25">
      <c r="A966" s="19">
        <v>33</v>
      </c>
      <c r="B966" s="18" t="s">
        <v>40</v>
      </c>
      <c r="C966" s="18" t="s">
        <v>97</v>
      </c>
      <c r="D966" s="18" t="s">
        <v>1370</v>
      </c>
      <c r="E966" s="18" t="s">
        <v>1529</v>
      </c>
      <c r="F966" s="101">
        <v>46206.147222222222</v>
      </c>
      <c r="G966" s="101">
        <v>46207.055555555555</v>
      </c>
      <c r="H966" s="18" t="s">
        <v>507</v>
      </c>
      <c r="I966" s="18" t="s">
        <v>508</v>
      </c>
      <c r="J966" s="18"/>
      <c r="K966" s="21">
        <f t="shared" si="42"/>
        <v>21.799999999988358</v>
      </c>
      <c r="L966" s="19">
        <f t="shared" si="43"/>
        <v>175</v>
      </c>
      <c r="M966" s="18" t="str">
        <f>IF(I966&lt;&gt;"Sí","",IF(YEAR(F966)&lt;&gt;2026,"",INDEX({"Enero","Febrero","Marzo","Abril","Mayo","Junio","Julio","Agosto","Septiembre","Octubre","Noviembre","Diciembre"},MONTH(F966))))</f>
        <v>Julio</v>
      </c>
      <c r="N966" s="18" t="str">
        <f t="shared" si="44"/>
        <v>Julio|175</v>
      </c>
    </row>
    <row r="967" spans="1:14" ht="14.5" x14ac:dyDescent="0.25">
      <c r="A967" s="19">
        <v>33</v>
      </c>
      <c r="B967" s="18" t="s">
        <v>40</v>
      </c>
      <c r="C967" s="18" t="s">
        <v>97</v>
      </c>
      <c r="D967" s="18" t="s">
        <v>1370</v>
      </c>
      <c r="E967" s="18" t="s">
        <v>1530</v>
      </c>
      <c r="F967" s="101">
        <v>46206.148611111108</v>
      </c>
      <c r="G967" s="101">
        <v>46207.870138888888</v>
      </c>
      <c r="H967" s="18" t="s">
        <v>507</v>
      </c>
      <c r="I967" s="18" t="s">
        <v>508</v>
      </c>
      <c r="J967" s="18"/>
      <c r="K967" s="21">
        <f t="shared" ref="K967:K1030" si="45">IF(I967="Sí",(G967-F967)*24,"")</f>
        <v>41.316666666709352</v>
      </c>
      <c r="L967" s="19">
        <f t="shared" ref="L967:L1030" si="46">IF(I967="Sí",COUNTIFS($F$7:$F$4000,"&lt;="&amp;F967,$G$7:$G$4000,"&gt;"&amp;F967,$I$7:$I$4000,"Sí"),"")</f>
        <v>176</v>
      </c>
      <c r="M967" s="18" t="str">
        <f>IF(I967&lt;&gt;"Sí","",IF(YEAR(F967)&lt;&gt;2026,"",INDEX({"Enero","Febrero","Marzo","Abril","Mayo","Junio","Julio","Agosto","Septiembre","Octubre","Noviembre","Diciembre"},MONTH(F967))))</f>
        <v>Julio</v>
      </c>
      <c r="N967" s="18" t="str">
        <f t="shared" ref="N967:N1030" si="47">IF(M967="","",M967&amp;"|"&amp;L967)</f>
        <v>Julio|176</v>
      </c>
    </row>
    <row r="968" spans="1:14" ht="14.5" x14ac:dyDescent="0.25">
      <c r="A968" s="19">
        <v>33</v>
      </c>
      <c r="B968" s="18" t="s">
        <v>40</v>
      </c>
      <c r="C968" s="18" t="s">
        <v>97</v>
      </c>
      <c r="D968" s="18" t="s">
        <v>1370</v>
      </c>
      <c r="E968" s="18" t="s">
        <v>1531</v>
      </c>
      <c r="F968" s="101">
        <v>46206.149305555555</v>
      </c>
      <c r="G968" s="101">
        <v>46207.047222222223</v>
      </c>
      <c r="H968" s="18" t="s">
        <v>507</v>
      </c>
      <c r="I968" s="18" t="s">
        <v>508</v>
      </c>
      <c r="J968" s="18"/>
      <c r="K968" s="21">
        <f t="shared" si="45"/>
        <v>21.550000000046566</v>
      </c>
      <c r="L968" s="19">
        <f t="shared" si="46"/>
        <v>177</v>
      </c>
      <c r="M968" s="18" t="str">
        <f>IF(I968&lt;&gt;"Sí","",IF(YEAR(F968)&lt;&gt;2026,"",INDEX({"Enero","Febrero","Marzo","Abril","Mayo","Junio","Julio","Agosto","Septiembre","Octubre","Noviembre","Diciembre"},MONTH(F968))))</f>
        <v>Julio</v>
      </c>
      <c r="N968" s="18" t="str">
        <f t="shared" si="47"/>
        <v>Julio|177</v>
      </c>
    </row>
    <row r="969" spans="1:14" ht="14.5" x14ac:dyDescent="0.25">
      <c r="A969" s="19">
        <v>33</v>
      </c>
      <c r="B969" s="18" t="s">
        <v>40</v>
      </c>
      <c r="C969" s="18" t="s">
        <v>97</v>
      </c>
      <c r="D969" s="18" t="s">
        <v>1370</v>
      </c>
      <c r="E969" s="18" t="s">
        <v>1532</v>
      </c>
      <c r="F969" s="101">
        <v>46206.150694444441</v>
      </c>
      <c r="G969" s="101">
        <v>46207.044444444444</v>
      </c>
      <c r="H969" s="18" t="s">
        <v>507</v>
      </c>
      <c r="I969" s="18" t="s">
        <v>508</v>
      </c>
      <c r="J969" s="18"/>
      <c r="K969" s="21">
        <f t="shared" si="45"/>
        <v>21.450000000069849</v>
      </c>
      <c r="L969" s="19">
        <f t="shared" si="46"/>
        <v>178</v>
      </c>
      <c r="M969" s="18" t="str">
        <f>IF(I969&lt;&gt;"Sí","",IF(YEAR(F969)&lt;&gt;2026,"",INDEX({"Enero","Febrero","Marzo","Abril","Mayo","Junio","Julio","Agosto","Septiembre","Octubre","Noviembre","Diciembre"},MONTH(F969))))</f>
        <v>Julio</v>
      </c>
      <c r="N969" s="18" t="str">
        <f t="shared" si="47"/>
        <v>Julio|178</v>
      </c>
    </row>
    <row r="970" spans="1:14" ht="14.5" x14ac:dyDescent="0.25">
      <c r="A970" s="19">
        <v>33</v>
      </c>
      <c r="B970" s="18" t="s">
        <v>40</v>
      </c>
      <c r="C970" s="18" t="s">
        <v>97</v>
      </c>
      <c r="D970" s="18" t="s">
        <v>1370</v>
      </c>
      <c r="E970" s="18" t="s">
        <v>1533</v>
      </c>
      <c r="F970" s="101">
        <v>46206.152777777781</v>
      </c>
      <c r="G970" s="101">
        <v>46207.042361111111</v>
      </c>
      <c r="H970" s="18" t="s">
        <v>507</v>
      </c>
      <c r="I970" s="18" t="s">
        <v>508</v>
      </c>
      <c r="J970" s="18"/>
      <c r="K970" s="21">
        <f t="shared" si="45"/>
        <v>21.349999999918509</v>
      </c>
      <c r="L970" s="19">
        <f t="shared" si="46"/>
        <v>179</v>
      </c>
      <c r="M970" s="18" t="str">
        <f>IF(I970&lt;&gt;"Sí","",IF(YEAR(F970)&lt;&gt;2026,"",INDEX({"Enero","Febrero","Marzo","Abril","Mayo","Junio","Julio","Agosto","Septiembre","Octubre","Noviembre","Diciembre"},MONTH(F970))))</f>
        <v>Julio</v>
      </c>
      <c r="N970" s="18" t="str">
        <f t="shared" si="47"/>
        <v>Julio|179</v>
      </c>
    </row>
    <row r="971" spans="1:14" ht="14.5" x14ac:dyDescent="0.25">
      <c r="A971" s="19">
        <v>33</v>
      </c>
      <c r="B971" s="18" t="s">
        <v>40</v>
      </c>
      <c r="C971" s="18" t="s">
        <v>97</v>
      </c>
      <c r="D971" s="18" t="s">
        <v>1370</v>
      </c>
      <c r="E971" s="18" t="s">
        <v>1534</v>
      </c>
      <c r="F971" s="101">
        <v>46206.156944444447</v>
      </c>
      <c r="G971" s="101">
        <v>46207.040972222225</v>
      </c>
      <c r="H971" s="18" t="s">
        <v>507</v>
      </c>
      <c r="I971" s="18" t="s">
        <v>508</v>
      </c>
      <c r="J971" s="18"/>
      <c r="K971" s="21">
        <f t="shared" si="45"/>
        <v>21.216666666674428</v>
      </c>
      <c r="L971" s="19">
        <f t="shared" si="46"/>
        <v>180</v>
      </c>
      <c r="M971" s="18" t="str">
        <f>IF(I971&lt;&gt;"Sí","",IF(YEAR(F971)&lt;&gt;2026,"",INDEX({"Enero","Febrero","Marzo","Abril","Mayo","Junio","Julio","Agosto","Septiembre","Octubre","Noviembre","Diciembre"},MONTH(F971))))</f>
        <v>Julio</v>
      </c>
      <c r="N971" s="18" t="str">
        <f t="shared" si="47"/>
        <v>Julio|180</v>
      </c>
    </row>
    <row r="972" spans="1:14" ht="14.5" x14ac:dyDescent="0.25">
      <c r="A972" s="19">
        <v>33</v>
      </c>
      <c r="B972" s="18" t="s">
        <v>40</v>
      </c>
      <c r="C972" s="18" t="s">
        <v>97</v>
      </c>
      <c r="D972" s="18" t="s">
        <v>1370</v>
      </c>
      <c r="E972" s="18" t="s">
        <v>1535</v>
      </c>
      <c r="F972" s="101">
        <v>46206.158333333333</v>
      </c>
      <c r="G972" s="101">
        <v>46207.036111111112</v>
      </c>
      <c r="H972" s="18" t="s">
        <v>507</v>
      </c>
      <c r="I972" s="18" t="s">
        <v>508</v>
      </c>
      <c r="J972" s="18"/>
      <c r="K972" s="21">
        <f t="shared" si="45"/>
        <v>21.066666666709352</v>
      </c>
      <c r="L972" s="19">
        <f t="shared" si="46"/>
        <v>181</v>
      </c>
      <c r="M972" s="18" t="str">
        <f>IF(I972&lt;&gt;"Sí","",IF(YEAR(F972)&lt;&gt;2026,"",INDEX({"Enero","Febrero","Marzo","Abril","Mayo","Junio","Julio","Agosto","Septiembre","Octubre","Noviembre","Diciembre"},MONTH(F972))))</f>
        <v>Julio</v>
      </c>
      <c r="N972" s="18" t="str">
        <f t="shared" si="47"/>
        <v>Julio|181</v>
      </c>
    </row>
    <row r="973" spans="1:14" ht="14.5" x14ac:dyDescent="0.25">
      <c r="A973" s="19">
        <v>33</v>
      </c>
      <c r="B973" s="18" t="s">
        <v>40</v>
      </c>
      <c r="C973" s="18" t="s">
        <v>97</v>
      </c>
      <c r="D973" s="18" t="s">
        <v>1370</v>
      </c>
      <c r="E973" s="18" t="s">
        <v>781</v>
      </c>
      <c r="F973" s="101">
        <v>46206.15902777778</v>
      </c>
      <c r="G973" s="101">
        <v>46206.868055555555</v>
      </c>
      <c r="H973" s="18" t="s">
        <v>507</v>
      </c>
      <c r="I973" s="18" t="s">
        <v>508</v>
      </c>
      <c r="J973" s="18"/>
      <c r="K973" s="21">
        <f t="shared" si="45"/>
        <v>17.016666666604578</v>
      </c>
      <c r="L973" s="19">
        <f t="shared" si="46"/>
        <v>182</v>
      </c>
      <c r="M973" s="18" t="str">
        <f>IF(I973&lt;&gt;"Sí","",IF(YEAR(F973)&lt;&gt;2026,"",INDEX({"Enero","Febrero","Marzo","Abril","Mayo","Junio","Julio","Agosto","Septiembre","Octubre","Noviembre","Diciembre"},MONTH(F973))))</f>
        <v>Julio</v>
      </c>
      <c r="N973" s="18" t="str">
        <f t="shared" si="47"/>
        <v>Julio|182</v>
      </c>
    </row>
    <row r="974" spans="1:14" ht="14.5" x14ac:dyDescent="0.25">
      <c r="A974" s="19">
        <v>33</v>
      </c>
      <c r="B974" s="18" t="s">
        <v>40</v>
      </c>
      <c r="C974" s="18" t="s">
        <v>97</v>
      </c>
      <c r="D974" s="18" t="s">
        <v>1370</v>
      </c>
      <c r="E974" s="18" t="s">
        <v>722</v>
      </c>
      <c r="F974" s="101">
        <v>46206.160416666666</v>
      </c>
      <c r="G974" s="101">
        <v>46206.865277777775</v>
      </c>
      <c r="H974" s="18" t="s">
        <v>507</v>
      </c>
      <c r="I974" s="18" t="s">
        <v>508</v>
      </c>
      <c r="J974" s="18"/>
      <c r="K974" s="21">
        <f t="shared" si="45"/>
        <v>16.916666666627862</v>
      </c>
      <c r="L974" s="19">
        <f t="shared" si="46"/>
        <v>183</v>
      </c>
      <c r="M974" s="18" t="str">
        <f>IF(I974&lt;&gt;"Sí","",IF(YEAR(F974)&lt;&gt;2026,"",INDEX({"Enero","Febrero","Marzo","Abril","Mayo","Junio","Julio","Agosto","Septiembre","Octubre","Noviembre","Diciembre"},MONTH(F974))))</f>
        <v>Julio</v>
      </c>
      <c r="N974" s="18" t="str">
        <f t="shared" si="47"/>
        <v>Julio|183</v>
      </c>
    </row>
    <row r="975" spans="1:14" ht="14.5" x14ac:dyDescent="0.25">
      <c r="A975" s="19">
        <v>33</v>
      </c>
      <c r="B975" s="18" t="s">
        <v>40</v>
      </c>
      <c r="C975" s="18" t="s">
        <v>97</v>
      </c>
      <c r="D975" s="18" t="s">
        <v>1370</v>
      </c>
      <c r="E975" s="18" t="s">
        <v>1536</v>
      </c>
      <c r="F975" s="101">
        <v>46206.161111111112</v>
      </c>
      <c r="G975" s="101">
        <v>46206.867361111108</v>
      </c>
      <c r="H975" s="18" t="s">
        <v>507</v>
      </c>
      <c r="I975" s="18" t="s">
        <v>508</v>
      </c>
      <c r="J975" s="18"/>
      <c r="K975" s="21">
        <f t="shared" si="45"/>
        <v>16.949999999895226</v>
      </c>
      <c r="L975" s="19">
        <f t="shared" si="46"/>
        <v>184</v>
      </c>
      <c r="M975" s="18" t="str">
        <f>IF(I975&lt;&gt;"Sí","",IF(YEAR(F975)&lt;&gt;2026,"",INDEX({"Enero","Febrero","Marzo","Abril","Mayo","Junio","Julio","Agosto","Septiembre","Octubre","Noviembre","Diciembre"},MONTH(F975))))</f>
        <v>Julio</v>
      </c>
      <c r="N975" s="18" t="str">
        <f t="shared" si="47"/>
        <v>Julio|184</v>
      </c>
    </row>
    <row r="976" spans="1:14" ht="14.5" x14ac:dyDescent="0.25">
      <c r="A976" s="19">
        <v>33</v>
      </c>
      <c r="B976" s="18" t="s">
        <v>40</v>
      </c>
      <c r="C976" s="18" t="s">
        <v>97</v>
      </c>
      <c r="D976" s="18" t="s">
        <v>1370</v>
      </c>
      <c r="E976" s="18" t="s">
        <v>1537</v>
      </c>
      <c r="F976" s="101">
        <v>46206.162499999999</v>
      </c>
      <c r="G976" s="101">
        <v>46206.866666666669</v>
      </c>
      <c r="H976" s="18" t="s">
        <v>507</v>
      </c>
      <c r="I976" s="18" t="s">
        <v>508</v>
      </c>
      <c r="J976" s="18"/>
      <c r="K976" s="21">
        <f t="shared" si="45"/>
        <v>16.900000000081491</v>
      </c>
      <c r="L976" s="19">
        <f t="shared" si="46"/>
        <v>185</v>
      </c>
      <c r="M976" s="18" t="str">
        <f>IF(I976&lt;&gt;"Sí","",IF(YEAR(F976)&lt;&gt;2026,"",INDEX({"Enero","Febrero","Marzo","Abril","Mayo","Junio","Julio","Agosto","Septiembre","Octubre","Noviembre","Diciembre"},MONTH(F976))))</f>
        <v>Julio</v>
      </c>
      <c r="N976" s="18" t="str">
        <f t="shared" si="47"/>
        <v>Julio|185</v>
      </c>
    </row>
    <row r="977" spans="1:14" ht="14.5" x14ac:dyDescent="0.25">
      <c r="A977" s="19">
        <v>33</v>
      </c>
      <c r="B977" s="18" t="s">
        <v>40</v>
      </c>
      <c r="C977" s="18" t="s">
        <v>97</v>
      </c>
      <c r="D977" s="18" t="s">
        <v>1370</v>
      </c>
      <c r="E977" s="18" t="s">
        <v>984</v>
      </c>
      <c r="F977" s="101">
        <v>46206.163888888892</v>
      </c>
      <c r="G977" s="101">
        <v>46206.865972222222</v>
      </c>
      <c r="H977" s="18" t="s">
        <v>507</v>
      </c>
      <c r="I977" s="18" t="s">
        <v>508</v>
      </c>
      <c r="J977" s="18"/>
      <c r="K977" s="21">
        <f t="shared" si="45"/>
        <v>16.849999999918509</v>
      </c>
      <c r="L977" s="19">
        <f t="shared" si="46"/>
        <v>186</v>
      </c>
      <c r="M977" s="18" t="str">
        <f>IF(I977&lt;&gt;"Sí","",IF(YEAR(F977)&lt;&gt;2026,"",INDEX({"Enero","Febrero","Marzo","Abril","Mayo","Junio","Julio","Agosto","Septiembre","Octubre","Noviembre","Diciembre"},MONTH(F977))))</f>
        <v>Julio</v>
      </c>
      <c r="N977" s="18" t="str">
        <f t="shared" si="47"/>
        <v>Julio|186</v>
      </c>
    </row>
    <row r="978" spans="1:14" ht="14.5" x14ac:dyDescent="0.25">
      <c r="A978" s="19">
        <v>33</v>
      </c>
      <c r="B978" s="18" t="s">
        <v>40</v>
      </c>
      <c r="C978" s="18" t="s">
        <v>97</v>
      </c>
      <c r="D978" s="18" t="s">
        <v>1370</v>
      </c>
      <c r="E978" s="18" t="s">
        <v>1538</v>
      </c>
      <c r="F978" s="101">
        <v>46206.164583333331</v>
      </c>
      <c r="G978" s="101">
        <v>46206.863194444442</v>
      </c>
      <c r="H978" s="18" t="s">
        <v>507</v>
      </c>
      <c r="I978" s="18" t="s">
        <v>508</v>
      </c>
      <c r="J978" s="18"/>
      <c r="K978" s="21">
        <f t="shared" si="45"/>
        <v>16.766666666662786</v>
      </c>
      <c r="L978" s="19">
        <f t="shared" si="46"/>
        <v>187</v>
      </c>
      <c r="M978" s="18" t="str">
        <f>IF(I978&lt;&gt;"Sí","",IF(YEAR(F978)&lt;&gt;2026,"",INDEX({"Enero","Febrero","Marzo","Abril","Mayo","Junio","Julio","Agosto","Septiembre","Octubre","Noviembre","Diciembre"},MONTH(F978))))</f>
        <v>Julio</v>
      </c>
      <c r="N978" s="18" t="str">
        <f t="shared" si="47"/>
        <v>Julio|187</v>
      </c>
    </row>
    <row r="979" spans="1:14" ht="14.5" x14ac:dyDescent="0.25">
      <c r="A979" s="19">
        <v>33</v>
      </c>
      <c r="B979" s="18" t="s">
        <v>40</v>
      </c>
      <c r="C979" s="18" t="s">
        <v>97</v>
      </c>
      <c r="D979" s="18" t="s">
        <v>1370</v>
      </c>
      <c r="E979" s="18" t="s">
        <v>966</v>
      </c>
      <c r="F979" s="101">
        <v>46206.166666666664</v>
      </c>
      <c r="G979" s="101">
        <v>46207.073611111111</v>
      </c>
      <c r="H979" s="18" t="s">
        <v>507</v>
      </c>
      <c r="I979" s="18" t="s">
        <v>508</v>
      </c>
      <c r="J979" s="18"/>
      <c r="K979" s="21">
        <f t="shared" si="45"/>
        <v>21.766666666720994</v>
      </c>
      <c r="L979" s="19">
        <f t="shared" si="46"/>
        <v>188</v>
      </c>
      <c r="M979" s="18" t="str">
        <f>IF(I979&lt;&gt;"Sí","",IF(YEAR(F979)&lt;&gt;2026,"",INDEX({"Enero","Febrero","Marzo","Abril","Mayo","Junio","Julio","Agosto","Septiembre","Octubre","Noviembre","Diciembre"},MONTH(F979))))</f>
        <v>Julio</v>
      </c>
      <c r="N979" s="18" t="str">
        <f t="shared" si="47"/>
        <v>Julio|188</v>
      </c>
    </row>
    <row r="980" spans="1:14" ht="14.5" x14ac:dyDescent="0.25">
      <c r="A980" s="19">
        <v>33</v>
      </c>
      <c r="B980" s="18" t="s">
        <v>40</v>
      </c>
      <c r="C980" s="18" t="s">
        <v>97</v>
      </c>
      <c r="D980" s="18" t="s">
        <v>1370</v>
      </c>
      <c r="E980" s="18" t="s">
        <v>1539</v>
      </c>
      <c r="F980" s="101">
        <v>46206.167361111111</v>
      </c>
      <c r="G980" s="101">
        <v>46206.861111111109</v>
      </c>
      <c r="H980" s="18" t="s">
        <v>507</v>
      </c>
      <c r="I980" s="18" t="s">
        <v>508</v>
      </c>
      <c r="J980" s="18"/>
      <c r="K980" s="21">
        <f t="shared" si="45"/>
        <v>16.649999999965075</v>
      </c>
      <c r="L980" s="19">
        <f t="shared" si="46"/>
        <v>189</v>
      </c>
      <c r="M980" s="18" t="str">
        <f>IF(I980&lt;&gt;"Sí","",IF(YEAR(F980)&lt;&gt;2026,"",INDEX({"Enero","Febrero","Marzo","Abril","Mayo","Junio","Julio","Agosto","Septiembre","Octubre","Noviembre","Diciembre"},MONTH(F980))))</f>
        <v>Julio</v>
      </c>
      <c r="N980" s="18" t="str">
        <f t="shared" si="47"/>
        <v>Julio|189</v>
      </c>
    </row>
    <row r="981" spans="1:14" ht="14.5" x14ac:dyDescent="0.25">
      <c r="A981" s="19">
        <v>33</v>
      </c>
      <c r="B981" s="18" t="s">
        <v>40</v>
      </c>
      <c r="C981" s="18" t="s">
        <v>97</v>
      </c>
      <c r="D981" s="18" t="s">
        <v>1370</v>
      </c>
      <c r="E981" s="18" t="s">
        <v>1540</v>
      </c>
      <c r="F981" s="101">
        <v>46206.169444444444</v>
      </c>
      <c r="G981" s="101">
        <v>46206.940972222219</v>
      </c>
      <c r="H981" s="18" t="s">
        <v>507</v>
      </c>
      <c r="I981" s="18" t="s">
        <v>508</v>
      </c>
      <c r="J981" s="18"/>
      <c r="K981" s="21">
        <f t="shared" si="45"/>
        <v>18.516666666604578</v>
      </c>
      <c r="L981" s="19">
        <f t="shared" si="46"/>
        <v>190</v>
      </c>
      <c r="M981" s="18" t="str">
        <f>IF(I981&lt;&gt;"Sí","",IF(YEAR(F981)&lt;&gt;2026,"",INDEX({"Enero","Febrero","Marzo","Abril","Mayo","Junio","Julio","Agosto","Septiembre","Octubre","Noviembre","Diciembre"},MONTH(F981))))</f>
        <v>Julio</v>
      </c>
      <c r="N981" s="18" t="str">
        <f t="shared" si="47"/>
        <v>Julio|190</v>
      </c>
    </row>
    <row r="982" spans="1:14" ht="14.5" x14ac:dyDescent="0.25">
      <c r="A982" s="19">
        <v>33</v>
      </c>
      <c r="B982" s="18" t="s">
        <v>40</v>
      </c>
      <c r="C982" s="18" t="s">
        <v>97</v>
      </c>
      <c r="D982" s="18" t="s">
        <v>1370</v>
      </c>
      <c r="E982" s="18" t="s">
        <v>1541</v>
      </c>
      <c r="F982" s="101">
        <v>46206.171527777777</v>
      </c>
      <c r="G982" s="101">
        <v>46206.854861111111</v>
      </c>
      <c r="H982" s="18" t="s">
        <v>507</v>
      </c>
      <c r="I982" s="18" t="s">
        <v>508</v>
      </c>
      <c r="J982" s="18"/>
      <c r="K982" s="21">
        <f t="shared" si="45"/>
        <v>16.400000000023283</v>
      </c>
      <c r="L982" s="19">
        <f t="shared" si="46"/>
        <v>191</v>
      </c>
      <c r="M982" s="18" t="str">
        <f>IF(I982&lt;&gt;"Sí","",IF(YEAR(F982)&lt;&gt;2026,"",INDEX({"Enero","Febrero","Marzo","Abril","Mayo","Junio","Julio","Agosto","Septiembre","Octubre","Noviembre","Diciembre"},MONTH(F982))))</f>
        <v>Julio</v>
      </c>
      <c r="N982" s="18" t="str">
        <f t="shared" si="47"/>
        <v>Julio|191</v>
      </c>
    </row>
    <row r="983" spans="1:14" ht="14.5" x14ac:dyDescent="0.25">
      <c r="A983" s="19">
        <v>33</v>
      </c>
      <c r="B983" s="18" t="s">
        <v>40</v>
      </c>
      <c r="C983" s="18" t="s">
        <v>97</v>
      </c>
      <c r="D983" s="18" t="s">
        <v>1370</v>
      </c>
      <c r="E983" s="18" t="s">
        <v>1542</v>
      </c>
      <c r="F983" s="101">
        <v>46206.173611111109</v>
      </c>
      <c r="G983" s="101">
        <v>46206.847222222219</v>
      </c>
      <c r="H983" s="18" t="s">
        <v>507</v>
      </c>
      <c r="I983" s="18" t="s">
        <v>508</v>
      </c>
      <c r="J983" s="18"/>
      <c r="K983" s="21">
        <f t="shared" si="45"/>
        <v>16.166666666627862</v>
      </c>
      <c r="L983" s="19">
        <f t="shared" si="46"/>
        <v>192</v>
      </c>
      <c r="M983" s="18" t="str">
        <f>IF(I983&lt;&gt;"Sí","",IF(YEAR(F983)&lt;&gt;2026,"",INDEX({"Enero","Febrero","Marzo","Abril","Mayo","Junio","Julio","Agosto","Septiembre","Octubre","Noviembre","Diciembre"},MONTH(F983))))</f>
        <v>Julio</v>
      </c>
      <c r="N983" s="18" t="str">
        <f t="shared" si="47"/>
        <v>Julio|192</v>
      </c>
    </row>
    <row r="984" spans="1:14" ht="14.5" x14ac:dyDescent="0.25">
      <c r="A984" s="19">
        <v>33</v>
      </c>
      <c r="B984" s="18" t="s">
        <v>40</v>
      </c>
      <c r="C984" s="18" t="s">
        <v>97</v>
      </c>
      <c r="D984" s="18" t="s">
        <v>1370</v>
      </c>
      <c r="E984" s="18" t="s">
        <v>879</v>
      </c>
      <c r="F984" s="101">
        <v>46206.174305555556</v>
      </c>
      <c r="G984" s="101">
        <v>46206.845833333333</v>
      </c>
      <c r="H984" s="18" t="s">
        <v>507</v>
      </c>
      <c r="I984" s="18" t="s">
        <v>508</v>
      </c>
      <c r="J984" s="18"/>
      <c r="K984" s="21">
        <f t="shared" si="45"/>
        <v>16.116666666639503</v>
      </c>
      <c r="L984" s="19">
        <f t="shared" si="46"/>
        <v>193</v>
      </c>
      <c r="M984" s="18" t="str">
        <f>IF(I984&lt;&gt;"Sí","",IF(YEAR(F984)&lt;&gt;2026,"",INDEX({"Enero","Febrero","Marzo","Abril","Mayo","Junio","Julio","Agosto","Septiembre","Octubre","Noviembre","Diciembre"},MONTH(F984))))</f>
        <v>Julio</v>
      </c>
      <c r="N984" s="18" t="str">
        <f t="shared" si="47"/>
        <v>Julio|193</v>
      </c>
    </row>
    <row r="985" spans="1:14" ht="14.5" x14ac:dyDescent="0.25">
      <c r="A985" s="19">
        <v>33</v>
      </c>
      <c r="B985" s="18" t="s">
        <v>40</v>
      </c>
      <c r="C985" s="18" t="s">
        <v>97</v>
      </c>
      <c r="D985" s="18" t="s">
        <v>1370</v>
      </c>
      <c r="E985" s="18" t="s">
        <v>1543</v>
      </c>
      <c r="F985" s="101">
        <v>46206.175694444442</v>
      </c>
      <c r="G985" s="101">
        <v>46206.856249999997</v>
      </c>
      <c r="H985" s="18" t="s">
        <v>507</v>
      </c>
      <c r="I985" s="18" t="s">
        <v>508</v>
      </c>
      <c r="J985" s="18"/>
      <c r="K985" s="21">
        <f t="shared" si="45"/>
        <v>16.333333333313931</v>
      </c>
      <c r="L985" s="19">
        <f t="shared" si="46"/>
        <v>194</v>
      </c>
      <c r="M985" s="18" t="str">
        <f>IF(I985&lt;&gt;"Sí","",IF(YEAR(F985)&lt;&gt;2026,"",INDEX({"Enero","Febrero","Marzo","Abril","Mayo","Junio","Julio","Agosto","Septiembre","Octubre","Noviembre","Diciembre"},MONTH(F985))))</f>
        <v>Julio</v>
      </c>
      <c r="N985" s="18" t="str">
        <f t="shared" si="47"/>
        <v>Julio|194</v>
      </c>
    </row>
    <row r="986" spans="1:14" ht="14.5" x14ac:dyDescent="0.25">
      <c r="A986" s="19">
        <v>33</v>
      </c>
      <c r="B986" s="18" t="s">
        <v>40</v>
      </c>
      <c r="C986" s="18" t="s">
        <v>97</v>
      </c>
      <c r="D986" s="18" t="s">
        <v>1370</v>
      </c>
      <c r="E986" s="18" t="s">
        <v>1544</v>
      </c>
      <c r="F986" s="101">
        <v>46206.179861111108</v>
      </c>
      <c r="G986" s="101">
        <v>46206.560416666667</v>
      </c>
      <c r="H986" s="18" t="s">
        <v>507</v>
      </c>
      <c r="I986" s="18" t="s">
        <v>508</v>
      </c>
      <c r="J986" s="18"/>
      <c r="K986" s="21">
        <f t="shared" si="45"/>
        <v>9.1333333334187046</v>
      </c>
      <c r="L986" s="19">
        <f t="shared" si="46"/>
        <v>195</v>
      </c>
      <c r="M986" s="18" t="str">
        <f>IF(I986&lt;&gt;"Sí","",IF(YEAR(F986)&lt;&gt;2026,"",INDEX({"Enero","Febrero","Marzo","Abril","Mayo","Junio","Julio","Agosto","Septiembre","Octubre","Noviembre","Diciembre"},MONTH(F986))))</f>
        <v>Julio</v>
      </c>
      <c r="N986" s="18" t="str">
        <f t="shared" si="47"/>
        <v>Julio|195</v>
      </c>
    </row>
    <row r="987" spans="1:14" ht="14.5" x14ac:dyDescent="0.25">
      <c r="A987" s="19">
        <v>33</v>
      </c>
      <c r="B987" s="18" t="s">
        <v>40</v>
      </c>
      <c r="C987" s="18" t="s">
        <v>97</v>
      </c>
      <c r="D987" s="18" t="s">
        <v>1370</v>
      </c>
      <c r="E987" s="18" t="s">
        <v>1545</v>
      </c>
      <c r="F987" s="101">
        <v>46206.181250000001</v>
      </c>
      <c r="G987" s="101">
        <v>46206.559027777781</v>
      </c>
      <c r="H987" s="18" t="s">
        <v>507</v>
      </c>
      <c r="I987" s="18" t="s">
        <v>508</v>
      </c>
      <c r="J987" s="18"/>
      <c r="K987" s="21">
        <f t="shared" si="45"/>
        <v>9.0666666667093523</v>
      </c>
      <c r="L987" s="19">
        <f t="shared" si="46"/>
        <v>196</v>
      </c>
      <c r="M987" s="18" t="str">
        <f>IF(I987&lt;&gt;"Sí","",IF(YEAR(F987)&lt;&gt;2026,"",INDEX({"Enero","Febrero","Marzo","Abril","Mayo","Junio","Julio","Agosto","Septiembre","Octubre","Noviembre","Diciembre"},MONTH(F987))))</f>
        <v>Julio</v>
      </c>
      <c r="N987" s="18" t="str">
        <f t="shared" si="47"/>
        <v>Julio|196</v>
      </c>
    </row>
    <row r="988" spans="1:14" ht="14.5" x14ac:dyDescent="0.25">
      <c r="A988" s="19">
        <v>33</v>
      </c>
      <c r="B988" s="18" t="s">
        <v>40</v>
      </c>
      <c r="C988" s="18" t="s">
        <v>97</v>
      </c>
      <c r="D988" s="18" t="s">
        <v>1370</v>
      </c>
      <c r="E988" s="18" t="s">
        <v>1546</v>
      </c>
      <c r="F988" s="101">
        <v>46206.197916666664</v>
      </c>
      <c r="G988" s="101">
        <v>46206.556944444441</v>
      </c>
      <c r="H988" s="18" t="s">
        <v>507</v>
      </c>
      <c r="I988" s="18" t="s">
        <v>508</v>
      </c>
      <c r="J988" s="18"/>
      <c r="K988" s="21">
        <f t="shared" si="45"/>
        <v>8.6166666666395031</v>
      </c>
      <c r="L988" s="19">
        <f t="shared" si="46"/>
        <v>198</v>
      </c>
      <c r="M988" s="18" t="str">
        <f>IF(I988&lt;&gt;"Sí","",IF(YEAR(F988)&lt;&gt;2026,"",INDEX({"Enero","Febrero","Marzo","Abril","Mayo","Junio","Julio","Agosto","Septiembre","Octubre","Noviembre","Diciembre"},MONTH(F988))))</f>
        <v>Julio</v>
      </c>
      <c r="N988" s="18" t="str">
        <f t="shared" si="47"/>
        <v>Julio|198</v>
      </c>
    </row>
    <row r="989" spans="1:14" ht="14.5" x14ac:dyDescent="0.25">
      <c r="A989" s="19">
        <v>33</v>
      </c>
      <c r="B989" s="18" t="s">
        <v>40</v>
      </c>
      <c r="C989" s="18" t="s">
        <v>97</v>
      </c>
      <c r="D989" s="18" t="s">
        <v>1370</v>
      </c>
      <c r="E989" s="18" t="s">
        <v>1547</v>
      </c>
      <c r="F989" s="101">
        <v>46206.197916666664</v>
      </c>
      <c r="G989" s="101">
        <v>46206.555555555555</v>
      </c>
      <c r="H989" s="18" t="s">
        <v>507</v>
      </c>
      <c r="I989" s="18" t="s">
        <v>508</v>
      </c>
      <c r="J989" s="18"/>
      <c r="K989" s="21">
        <f t="shared" si="45"/>
        <v>8.5833333333721384</v>
      </c>
      <c r="L989" s="19">
        <f t="shared" si="46"/>
        <v>198</v>
      </c>
      <c r="M989" s="18" t="str">
        <f>IF(I989&lt;&gt;"Sí","",IF(YEAR(F989)&lt;&gt;2026,"",INDEX({"Enero","Febrero","Marzo","Abril","Mayo","Junio","Julio","Agosto","Septiembre","Octubre","Noviembre","Diciembre"},MONTH(F989))))</f>
        <v>Julio</v>
      </c>
      <c r="N989" s="18" t="str">
        <f t="shared" si="47"/>
        <v>Julio|198</v>
      </c>
    </row>
    <row r="990" spans="1:14" ht="14.5" x14ac:dyDescent="0.25">
      <c r="A990" s="19">
        <v>33</v>
      </c>
      <c r="B990" s="18" t="s">
        <v>40</v>
      </c>
      <c r="C990" s="18" t="s">
        <v>97</v>
      </c>
      <c r="D990" s="18" t="s">
        <v>1370</v>
      </c>
      <c r="E990" s="18" t="s">
        <v>838</v>
      </c>
      <c r="F990" s="101">
        <v>46206.29791666667</v>
      </c>
      <c r="G990" s="101">
        <v>46206.85</v>
      </c>
      <c r="H990" s="18" t="s">
        <v>507</v>
      </c>
      <c r="I990" s="18" t="s">
        <v>508</v>
      </c>
      <c r="J990" s="18"/>
      <c r="K990" s="21">
        <f t="shared" si="45"/>
        <v>13.249999999883585</v>
      </c>
      <c r="L990" s="19">
        <f t="shared" si="46"/>
        <v>199</v>
      </c>
      <c r="M990" s="18" t="str">
        <f>IF(I990&lt;&gt;"Sí","",IF(YEAR(F990)&lt;&gt;2026,"",INDEX({"Enero","Febrero","Marzo","Abril","Mayo","Junio","Julio","Agosto","Septiembre","Octubre","Noviembre","Diciembre"},MONTH(F990))))</f>
        <v>Julio</v>
      </c>
      <c r="N990" s="18" t="str">
        <f t="shared" si="47"/>
        <v>Julio|199</v>
      </c>
    </row>
    <row r="991" spans="1:14" ht="14.5" x14ac:dyDescent="0.25">
      <c r="A991" s="19">
        <v>33</v>
      </c>
      <c r="B991" s="18" t="s">
        <v>40</v>
      </c>
      <c r="C991" s="18" t="s">
        <v>97</v>
      </c>
      <c r="D991" s="18" t="s">
        <v>1370</v>
      </c>
      <c r="E991" s="18" t="s">
        <v>1548</v>
      </c>
      <c r="F991" s="101"/>
      <c r="G991" s="101">
        <v>46206.39166666667</v>
      </c>
      <c r="H991" s="18" t="s">
        <v>523</v>
      </c>
      <c r="I991" s="18" t="s">
        <v>555</v>
      </c>
      <c r="J991" s="18" t="s">
        <v>556</v>
      </c>
      <c r="K991" s="21" t="str">
        <f t="shared" si="45"/>
        <v/>
      </c>
      <c r="L991" s="19" t="str">
        <f t="shared" si="46"/>
        <v/>
      </c>
      <c r="M991" s="18" t="str">
        <f>IF(I991&lt;&gt;"Sí","",IF(YEAR(F991)&lt;&gt;2026,"",INDEX({"Enero","Febrero","Marzo","Abril","Mayo","Junio","Julio","Agosto","Septiembre","Octubre","Noviembre","Diciembre"},MONTH(F991))))</f>
        <v/>
      </c>
      <c r="N991" s="18" t="str">
        <f t="shared" si="47"/>
        <v/>
      </c>
    </row>
    <row r="992" spans="1:14" ht="14.5" x14ac:dyDescent="0.25">
      <c r="A992" s="19">
        <v>33</v>
      </c>
      <c r="B992" s="18" t="s">
        <v>40</v>
      </c>
      <c r="C992" s="18" t="s">
        <v>110</v>
      </c>
      <c r="D992" s="18" t="s">
        <v>1395</v>
      </c>
      <c r="E992" s="18" t="s">
        <v>1549</v>
      </c>
      <c r="F992" s="101">
        <v>46206.565972222219</v>
      </c>
      <c r="G992" s="101">
        <v>46222.586805555555</v>
      </c>
      <c r="H992" s="18" t="s">
        <v>507</v>
      </c>
      <c r="I992" s="18" t="s">
        <v>508</v>
      </c>
      <c r="J992" s="18"/>
      <c r="K992" s="21">
        <f t="shared" si="45"/>
        <v>384.50000000005821</v>
      </c>
      <c r="L992" s="19">
        <f t="shared" si="46"/>
        <v>192</v>
      </c>
      <c r="M992" s="18" t="str">
        <f>IF(I992&lt;&gt;"Sí","",IF(YEAR(F992)&lt;&gt;2026,"",INDEX({"Enero","Febrero","Marzo","Abril","Mayo","Junio","Julio","Agosto","Septiembre","Octubre","Noviembre","Diciembre"},MONTH(F992))))</f>
        <v>Julio</v>
      </c>
      <c r="N992" s="18" t="str">
        <f t="shared" si="47"/>
        <v>Julio|192</v>
      </c>
    </row>
    <row r="993" spans="1:14" ht="14.5" x14ac:dyDescent="0.25">
      <c r="A993" s="19">
        <v>33</v>
      </c>
      <c r="B993" s="18" t="s">
        <v>40</v>
      </c>
      <c r="C993" s="18" t="s">
        <v>110</v>
      </c>
      <c r="D993" s="18" t="s">
        <v>1395</v>
      </c>
      <c r="E993" s="18" t="s">
        <v>1550</v>
      </c>
      <c r="F993" s="101">
        <v>46206.634027777778</v>
      </c>
      <c r="G993" s="101">
        <v>46222.590277777781</v>
      </c>
      <c r="H993" s="18" t="s">
        <v>507</v>
      </c>
      <c r="I993" s="18" t="s">
        <v>508</v>
      </c>
      <c r="J993" s="18"/>
      <c r="K993" s="21">
        <f t="shared" si="45"/>
        <v>382.95000000006985</v>
      </c>
      <c r="L993" s="19">
        <f t="shared" si="46"/>
        <v>160</v>
      </c>
      <c r="M993" s="18" t="str">
        <f>IF(I993&lt;&gt;"Sí","",IF(YEAR(F993)&lt;&gt;2026,"",INDEX({"Enero","Febrero","Marzo","Abril","Mayo","Junio","Julio","Agosto","Septiembre","Octubre","Noviembre","Diciembre"},MONTH(F993))))</f>
        <v>Julio</v>
      </c>
      <c r="N993" s="18" t="str">
        <f t="shared" si="47"/>
        <v>Julio|160</v>
      </c>
    </row>
    <row r="994" spans="1:14" ht="14.5" x14ac:dyDescent="0.25">
      <c r="A994" s="19">
        <v>33</v>
      </c>
      <c r="B994" s="18" t="s">
        <v>40</v>
      </c>
      <c r="C994" s="18" t="s">
        <v>110</v>
      </c>
      <c r="D994" s="18" t="s">
        <v>1395</v>
      </c>
      <c r="E994" s="18" t="s">
        <v>1551</v>
      </c>
      <c r="F994" s="101">
        <v>46206.634027777778</v>
      </c>
      <c r="G994" s="101">
        <v>46222.845138888886</v>
      </c>
      <c r="H994" s="18" t="s">
        <v>507</v>
      </c>
      <c r="I994" s="18" t="s">
        <v>508</v>
      </c>
      <c r="J994" s="18"/>
      <c r="K994" s="21">
        <f t="shared" si="45"/>
        <v>389.06666666659294</v>
      </c>
      <c r="L994" s="19">
        <f t="shared" si="46"/>
        <v>160</v>
      </c>
      <c r="M994" s="18" t="str">
        <f>IF(I994&lt;&gt;"Sí","",IF(YEAR(F994)&lt;&gt;2026,"",INDEX({"Enero","Febrero","Marzo","Abril","Mayo","Junio","Julio","Agosto","Septiembre","Octubre","Noviembre","Diciembre"},MONTH(F994))))</f>
        <v>Julio</v>
      </c>
      <c r="N994" s="18" t="str">
        <f t="shared" si="47"/>
        <v>Julio|160</v>
      </c>
    </row>
    <row r="995" spans="1:14" ht="14.5" x14ac:dyDescent="0.25">
      <c r="A995" s="19">
        <v>33</v>
      </c>
      <c r="B995" s="18" t="s">
        <v>40</v>
      </c>
      <c r="C995" s="18" t="s">
        <v>110</v>
      </c>
      <c r="D995" s="18" t="s">
        <v>1395</v>
      </c>
      <c r="E995" s="18" t="s">
        <v>1552</v>
      </c>
      <c r="F995" s="101">
        <v>46206.634027777778</v>
      </c>
      <c r="G995" s="101">
        <v>46222.845138888886</v>
      </c>
      <c r="H995" s="18" t="s">
        <v>507</v>
      </c>
      <c r="I995" s="18" t="s">
        <v>508</v>
      </c>
      <c r="J995" s="18"/>
      <c r="K995" s="21">
        <f t="shared" si="45"/>
        <v>389.06666666659294</v>
      </c>
      <c r="L995" s="19">
        <f t="shared" si="46"/>
        <v>160</v>
      </c>
      <c r="M995" s="18" t="str">
        <f>IF(I995&lt;&gt;"Sí","",IF(YEAR(F995)&lt;&gt;2026,"",INDEX({"Enero","Febrero","Marzo","Abril","Mayo","Junio","Julio","Agosto","Septiembre","Octubre","Noviembre","Diciembre"},MONTH(F995))))</f>
        <v>Julio</v>
      </c>
      <c r="N995" s="18" t="str">
        <f t="shared" si="47"/>
        <v>Julio|160</v>
      </c>
    </row>
    <row r="996" spans="1:14" ht="14.5" x14ac:dyDescent="0.25">
      <c r="A996" s="19">
        <v>33</v>
      </c>
      <c r="B996" s="18" t="s">
        <v>40</v>
      </c>
      <c r="C996" s="18" t="s">
        <v>172</v>
      </c>
      <c r="D996" s="18" t="s">
        <v>1553</v>
      </c>
      <c r="E996" s="18" t="s">
        <v>1554</v>
      </c>
      <c r="F996" s="101">
        <v>46207.468055555553</v>
      </c>
      <c r="G996" s="101"/>
      <c r="H996" s="18" t="s">
        <v>507</v>
      </c>
      <c r="I996" s="18" t="s">
        <v>555</v>
      </c>
      <c r="J996" s="18" t="s">
        <v>1555</v>
      </c>
      <c r="K996" s="21" t="str">
        <f t="shared" si="45"/>
        <v/>
      </c>
      <c r="L996" s="19" t="str">
        <f t="shared" si="46"/>
        <v/>
      </c>
      <c r="M996" s="18" t="str">
        <f>IF(I996&lt;&gt;"Sí","",IF(YEAR(F996)&lt;&gt;2026,"",INDEX({"Enero","Febrero","Marzo","Abril","Mayo","Junio","Julio","Agosto","Septiembre","Octubre","Noviembre","Diciembre"},MONTH(F996))))</f>
        <v/>
      </c>
      <c r="N996" s="18" t="str">
        <f t="shared" si="47"/>
        <v/>
      </c>
    </row>
    <row r="997" spans="1:14" ht="14.5" x14ac:dyDescent="0.25">
      <c r="A997" s="19">
        <v>33</v>
      </c>
      <c r="B997" s="18" t="s">
        <v>40</v>
      </c>
      <c r="C997" s="18" t="s">
        <v>110</v>
      </c>
      <c r="D997" s="18" t="s">
        <v>1395</v>
      </c>
      <c r="E997" s="18" t="s">
        <v>1556</v>
      </c>
      <c r="F997" s="101">
        <v>46207.47152777778</v>
      </c>
      <c r="G997" s="101">
        <v>46222.591666666667</v>
      </c>
      <c r="H997" s="18" t="s">
        <v>507</v>
      </c>
      <c r="I997" s="18" t="s">
        <v>508</v>
      </c>
      <c r="J997" s="18"/>
      <c r="K997" s="21">
        <f t="shared" si="45"/>
        <v>362.88333333330229</v>
      </c>
      <c r="L997" s="19">
        <f t="shared" si="46"/>
        <v>32</v>
      </c>
      <c r="M997" s="18" t="str">
        <f>IF(I997&lt;&gt;"Sí","",IF(YEAR(F997)&lt;&gt;2026,"",INDEX({"Enero","Febrero","Marzo","Abril","Mayo","Junio","Julio","Agosto","Septiembre","Octubre","Noviembre","Diciembre"},MONTH(F997))))</f>
        <v>Julio</v>
      </c>
      <c r="N997" s="18" t="str">
        <f t="shared" si="47"/>
        <v>Julio|32</v>
      </c>
    </row>
    <row r="998" spans="1:14" ht="14.5" x14ac:dyDescent="0.25">
      <c r="A998" s="19">
        <v>33</v>
      </c>
      <c r="B998" s="18" t="s">
        <v>40</v>
      </c>
      <c r="C998" s="18" t="s">
        <v>110</v>
      </c>
      <c r="D998" s="18" t="s">
        <v>1395</v>
      </c>
      <c r="E998" s="18" t="s">
        <v>1557</v>
      </c>
      <c r="F998" s="101">
        <v>46207.515972222223</v>
      </c>
      <c r="G998" s="101">
        <v>46222.59375</v>
      </c>
      <c r="H998" s="18" t="s">
        <v>507</v>
      </c>
      <c r="I998" s="18" t="s">
        <v>508</v>
      </c>
      <c r="J998" s="18"/>
      <c r="K998" s="21">
        <f t="shared" si="45"/>
        <v>361.8666666666395</v>
      </c>
      <c r="L998" s="19">
        <f t="shared" si="46"/>
        <v>35</v>
      </c>
      <c r="M998" s="18" t="str">
        <f>IF(I998&lt;&gt;"Sí","",IF(YEAR(F998)&lt;&gt;2026,"",INDEX({"Enero","Febrero","Marzo","Abril","Mayo","Junio","Julio","Agosto","Septiembre","Octubre","Noviembre","Diciembre"},MONTH(F998))))</f>
        <v>Julio</v>
      </c>
      <c r="N998" s="18" t="str">
        <f t="shared" si="47"/>
        <v>Julio|35</v>
      </c>
    </row>
    <row r="999" spans="1:14" ht="14.5" x14ac:dyDescent="0.25">
      <c r="A999" s="19">
        <v>33</v>
      </c>
      <c r="B999" s="18" t="s">
        <v>40</v>
      </c>
      <c r="C999" s="18" t="s">
        <v>110</v>
      </c>
      <c r="D999" s="18" t="s">
        <v>1395</v>
      </c>
      <c r="E999" s="18" t="s">
        <v>1558</v>
      </c>
      <c r="F999" s="101">
        <v>46207.515972222223</v>
      </c>
      <c r="G999" s="101">
        <v>46222.604166666664</v>
      </c>
      <c r="H999" s="18" t="s">
        <v>507</v>
      </c>
      <c r="I999" s="18" t="s">
        <v>508</v>
      </c>
      <c r="J999" s="18"/>
      <c r="K999" s="21">
        <f t="shared" si="45"/>
        <v>362.1166666665813</v>
      </c>
      <c r="L999" s="19">
        <f t="shared" si="46"/>
        <v>35</v>
      </c>
      <c r="M999" s="18" t="str">
        <f>IF(I999&lt;&gt;"Sí","",IF(YEAR(F999)&lt;&gt;2026,"",INDEX({"Enero","Febrero","Marzo","Abril","Mayo","Junio","Julio","Agosto","Septiembre","Octubre","Noviembre","Diciembre"},MONTH(F999))))</f>
        <v>Julio</v>
      </c>
      <c r="N999" s="18" t="str">
        <f t="shared" si="47"/>
        <v>Julio|35</v>
      </c>
    </row>
    <row r="1000" spans="1:14" ht="14.5" x14ac:dyDescent="0.25">
      <c r="A1000" s="19">
        <v>33</v>
      </c>
      <c r="B1000" s="18" t="s">
        <v>40</v>
      </c>
      <c r="C1000" s="18" t="s">
        <v>110</v>
      </c>
      <c r="D1000" s="18" t="s">
        <v>1395</v>
      </c>
      <c r="E1000" s="18" t="s">
        <v>1559</v>
      </c>
      <c r="F1000" s="101">
        <v>46207.515972222223</v>
      </c>
      <c r="G1000" s="101">
        <v>46222.607638888891</v>
      </c>
      <c r="H1000" s="18" t="s">
        <v>507</v>
      </c>
      <c r="I1000" s="18" t="s">
        <v>508</v>
      </c>
      <c r="J1000" s="18"/>
      <c r="K1000" s="21">
        <f t="shared" si="45"/>
        <v>362.20000000001164</v>
      </c>
      <c r="L1000" s="19">
        <f t="shared" si="46"/>
        <v>35</v>
      </c>
      <c r="M1000" s="18" t="str">
        <f>IF(I1000&lt;&gt;"Sí","",IF(YEAR(F1000)&lt;&gt;2026,"",INDEX({"Enero","Febrero","Marzo","Abril","Mayo","Junio","Julio","Agosto","Septiembre","Octubre","Noviembre","Diciembre"},MONTH(F1000))))</f>
        <v>Julio</v>
      </c>
      <c r="N1000" s="18" t="str">
        <f t="shared" si="47"/>
        <v>Julio|35</v>
      </c>
    </row>
    <row r="1001" spans="1:14" ht="14.5" x14ac:dyDescent="0.25">
      <c r="A1001" s="19">
        <v>33</v>
      </c>
      <c r="B1001" s="18" t="s">
        <v>40</v>
      </c>
      <c r="C1001" s="18" t="s">
        <v>87</v>
      </c>
      <c r="D1001" s="18" t="s">
        <v>1361</v>
      </c>
      <c r="E1001" s="18" t="s">
        <v>1560</v>
      </c>
      <c r="F1001" s="101">
        <v>46207.693055555559</v>
      </c>
      <c r="G1001" s="101">
        <v>46209.53125</v>
      </c>
      <c r="H1001" s="18" t="s">
        <v>754</v>
      </c>
      <c r="I1001" s="18" t="s">
        <v>508</v>
      </c>
      <c r="J1001" s="18"/>
      <c r="K1001" s="21">
        <f t="shared" si="45"/>
        <v>44.116666666581295</v>
      </c>
      <c r="L1001" s="19">
        <f t="shared" si="46"/>
        <v>36</v>
      </c>
      <c r="M1001" s="18" t="str">
        <f>IF(I1001&lt;&gt;"Sí","",IF(YEAR(F1001)&lt;&gt;2026,"",INDEX({"Enero","Febrero","Marzo","Abril","Mayo","Junio","Julio","Agosto","Septiembre","Octubre","Noviembre","Diciembre"},MONTH(F1001))))</f>
        <v>Julio</v>
      </c>
      <c r="N1001" s="18" t="str">
        <f t="shared" si="47"/>
        <v>Julio|36</v>
      </c>
    </row>
    <row r="1002" spans="1:14" ht="14.5" x14ac:dyDescent="0.25">
      <c r="A1002" s="19">
        <v>33</v>
      </c>
      <c r="B1002" s="18" t="s">
        <v>40</v>
      </c>
      <c r="C1002" s="18" t="s">
        <v>87</v>
      </c>
      <c r="D1002" s="18" t="s">
        <v>1361</v>
      </c>
      <c r="E1002" s="18" t="s">
        <v>1561</v>
      </c>
      <c r="F1002" s="101">
        <v>46207.779861111114</v>
      </c>
      <c r="G1002" s="101">
        <v>46209.53125</v>
      </c>
      <c r="H1002" s="18" t="s">
        <v>754</v>
      </c>
      <c r="I1002" s="18" t="s">
        <v>508</v>
      </c>
      <c r="J1002" s="18"/>
      <c r="K1002" s="21">
        <f t="shared" si="45"/>
        <v>42.033333333267365</v>
      </c>
      <c r="L1002" s="19">
        <f t="shared" si="46"/>
        <v>37</v>
      </c>
      <c r="M1002" s="18" t="str">
        <f>IF(I1002&lt;&gt;"Sí","",IF(YEAR(F1002)&lt;&gt;2026,"",INDEX({"Enero","Febrero","Marzo","Abril","Mayo","Junio","Julio","Agosto","Septiembre","Octubre","Noviembre","Diciembre"},MONTH(F1002))))</f>
        <v>Julio</v>
      </c>
      <c r="N1002" s="18" t="str">
        <f t="shared" si="47"/>
        <v>Julio|37</v>
      </c>
    </row>
    <row r="1003" spans="1:14" ht="14.5" x14ac:dyDescent="0.25">
      <c r="A1003" s="19">
        <v>33</v>
      </c>
      <c r="B1003" s="18" t="s">
        <v>40</v>
      </c>
      <c r="C1003" s="18" t="s">
        <v>99</v>
      </c>
      <c r="D1003" s="18" t="s">
        <v>1372</v>
      </c>
      <c r="E1003" s="18" t="s">
        <v>1562</v>
      </c>
      <c r="F1003" s="101">
        <v>46209.493055555555</v>
      </c>
      <c r="G1003" s="101">
        <v>46214.774305555555</v>
      </c>
      <c r="H1003" s="18" t="s">
        <v>507</v>
      </c>
      <c r="I1003" s="18" t="s">
        <v>508</v>
      </c>
      <c r="J1003" s="18"/>
      <c r="K1003" s="21">
        <f t="shared" si="45"/>
        <v>126.75</v>
      </c>
      <c r="L1003" s="19">
        <f t="shared" si="46"/>
        <v>16</v>
      </c>
      <c r="M1003" s="18" t="str">
        <f>IF(I1003&lt;&gt;"Sí","",IF(YEAR(F1003)&lt;&gt;2026,"",INDEX({"Enero","Febrero","Marzo","Abril","Mayo","Junio","Julio","Agosto","Septiembre","Octubre","Noviembre","Diciembre"},MONTH(F1003))))</f>
        <v>Julio</v>
      </c>
      <c r="N1003" s="18" t="str">
        <f t="shared" si="47"/>
        <v>Julio|16</v>
      </c>
    </row>
    <row r="1004" spans="1:14" ht="14.5" x14ac:dyDescent="0.25">
      <c r="A1004" s="19">
        <v>33</v>
      </c>
      <c r="B1004" s="18" t="s">
        <v>40</v>
      </c>
      <c r="C1004" s="18" t="s">
        <v>110</v>
      </c>
      <c r="D1004" s="18" t="s">
        <v>1395</v>
      </c>
      <c r="E1004" s="18" t="s">
        <v>1563</v>
      </c>
      <c r="F1004" s="101">
        <v>46209.493750000001</v>
      </c>
      <c r="G1004" s="101">
        <v>46222.600694444445</v>
      </c>
      <c r="H1004" s="18" t="s">
        <v>507</v>
      </c>
      <c r="I1004" s="18" t="s">
        <v>508</v>
      </c>
      <c r="J1004" s="18"/>
      <c r="K1004" s="21">
        <f t="shared" si="45"/>
        <v>314.56666666665114</v>
      </c>
      <c r="L1004" s="19">
        <f t="shared" si="46"/>
        <v>17</v>
      </c>
      <c r="M1004" s="18" t="str">
        <f>IF(I1004&lt;&gt;"Sí","",IF(YEAR(F1004)&lt;&gt;2026,"",INDEX({"Enero","Febrero","Marzo","Abril","Mayo","Junio","Julio","Agosto","Septiembre","Octubre","Noviembre","Diciembre"},MONTH(F1004))))</f>
        <v>Julio</v>
      </c>
      <c r="N1004" s="18" t="str">
        <f t="shared" si="47"/>
        <v>Julio|17</v>
      </c>
    </row>
    <row r="1005" spans="1:14" ht="14.5" x14ac:dyDescent="0.25">
      <c r="A1005" s="19">
        <v>33</v>
      </c>
      <c r="B1005" s="18" t="s">
        <v>40</v>
      </c>
      <c r="C1005" s="18" t="s">
        <v>87</v>
      </c>
      <c r="D1005" s="18" t="s">
        <v>1361</v>
      </c>
      <c r="E1005" s="18" t="s">
        <v>1561</v>
      </c>
      <c r="F1005" s="101">
        <v>46209.50277777778</v>
      </c>
      <c r="G1005" s="101">
        <v>46207.676388888889</v>
      </c>
      <c r="H1005" s="18" t="s">
        <v>754</v>
      </c>
      <c r="I1005" s="18" t="s">
        <v>555</v>
      </c>
      <c r="J1005" s="18" t="s">
        <v>755</v>
      </c>
      <c r="K1005" s="21" t="str">
        <f t="shared" si="45"/>
        <v/>
      </c>
      <c r="L1005" s="19" t="str">
        <f t="shared" si="46"/>
        <v/>
      </c>
      <c r="M1005" s="18" t="str">
        <f>IF(I1005&lt;&gt;"Sí","",IF(YEAR(F1005)&lt;&gt;2026,"",INDEX({"Enero","Febrero","Marzo","Abril","Mayo","Junio","Julio","Agosto","Septiembre","Octubre","Noviembre","Diciembre"},MONTH(F1005))))</f>
        <v/>
      </c>
      <c r="N1005" s="18" t="str">
        <f t="shared" si="47"/>
        <v/>
      </c>
    </row>
    <row r="1006" spans="1:14" ht="14.5" x14ac:dyDescent="0.25">
      <c r="A1006" s="19">
        <v>33</v>
      </c>
      <c r="B1006" s="18" t="s">
        <v>40</v>
      </c>
      <c r="C1006" s="18" t="s">
        <v>87</v>
      </c>
      <c r="D1006" s="18" t="s">
        <v>1361</v>
      </c>
      <c r="E1006" s="18" t="s">
        <v>1560</v>
      </c>
      <c r="F1006" s="101">
        <v>46209.53125</v>
      </c>
      <c r="G1006" s="101">
        <v>46207.675694444442</v>
      </c>
      <c r="H1006" s="18" t="s">
        <v>754</v>
      </c>
      <c r="I1006" s="18" t="s">
        <v>555</v>
      </c>
      <c r="J1006" s="18" t="s">
        <v>755</v>
      </c>
      <c r="K1006" s="21" t="str">
        <f t="shared" si="45"/>
        <v/>
      </c>
      <c r="L1006" s="19" t="str">
        <f t="shared" si="46"/>
        <v/>
      </c>
      <c r="M1006" s="18" t="str">
        <f>IF(I1006&lt;&gt;"Sí","",IF(YEAR(F1006)&lt;&gt;2026,"",INDEX({"Enero","Febrero","Marzo","Abril","Mayo","Junio","Julio","Agosto","Septiembre","Octubre","Noviembre","Diciembre"},MONTH(F1006))))</f>
        <v/>
      </c>
      <c r="N1006" s="18" t="str">
        <f t="shared" si="47"/>
        <v/>
      </c>
    </row>
    <row r="1007" spans="1:14" ht="14.5" x14ac:dyDescent="0.25">
      <c r="A1007" s="19">
        <v>33</v>
      </c>
      <c r="B1007" s="18" t="s">
        <v>40</v>
      </c>
      <c r="C1007" s="18" t="s">
        <v>110</v>
      </c>
      <c r="D1007" s="18" t="s">
        <v>1395</v>
      </c>
      <c r="E1007" s="18" t="s">
        <v>1564</v>
      </c>
      <c r="F1007" s="101">
        <v>46209.549305555556</v>
      </c>
      <c r="G1007" s="101">
        <v>46222.817361111112</v>
      </c>
      <c r="H1007" s="18" t="s">
        <v>507</v>
      </c>
      <c r="I1007" s="18" t="s">
        <v>508</v>
      </c>
      <c r="J1007" s="18"/>
      <c r="K1007" s="21">
        <f t="shared" si="45"/>
        <v>318.43333333334886</v>
      </c>
      <c r="L1007" s="19">
        <f t="shared" si="46"/>
        <v>16</v>
      </c>
      <c r="M1007" s="18" t="str">
        <f>IF(I1007&lt;&gt;"Sí","",IF(YEAR(F1007)&lt;&gt;2026,"",INDEX({"Enero","Febrero","Marzo","Abril","Mayo","Junio","Julio","Agosto","Septiembre","Octubre","Noviembre","Diciembre"},MONTH(F1007))))</f>
        <v>Julio</v>
      </c>
      <c r="N1007" s="18" t="str">
        <f t="shared" si="47"/>
        <v>Julio|16</v>
      </c>
    </row>
    <row r="1008" spans="1:14" ht="14.5" x14ac:dyDescent="0.25">
      <c r="A1008" s="19">
        <v>33</v>
      </c>
      <c r="B1008" s="18" t="s">
        <v>40</v>
      </c>
      <c r="C1008" s="18" t="s">
        <v>99</v>
      </c>
      <c r="D1008" s="18" t="s">
        <v>1372</v>
      </c>
      <c r="E1008" s="18" t="s">
        <v>1565</v>
      </c>
      <c r="F1008" s="101">
        <v>46209.638888888891</v>
      </c>
      <c r="G1008" s="101">
        <v>46214.790277777778</v>
      </c>
      <c r="H1008" s="18" t="s">
        <v>507</v>
      </c>
      <c r="I1008" s="18" t="s">
        <v>508</v>
      </c>
      <c r="J1008" s="18"/>
      <c r="K1008" s="21">
        <f t="shared" si="45"/>
        <v>123.63333333330229</v>
      </c>
      <c r="L1008" s="19">
        <f t="shared" si="46"/>
        <v>19</v>
      </c>
      <c r="M1008" s="18" t="str">
        <f>IF(I1008&lt;&gt;"Sí","",IF(YEAR(F1008)&lt;&gt;2026,"",INDEX({"Enero","Febrero","Marzo","Abril","Mayo","Junio","Julio","Agosto","Septiembre","Octubre","Noviembre","Diciembre"},MONTH(F1008))))</f>
        <v>Julio</v>
      </c>
      <c r="N1008" s="18" t="str">
        <f t="shared" si="47"/>
        <v>Julio|19</v>
      </c>
    </row>
    <row r="1009" spans="1:14" ht="14.5" x14ac:dyDescent="0.25">
      <c r="A1009" s="19">
        <v>33</v>
      </c>
      <c r="B1009" s="18" t="s">
        <v>40</v>
      </c>
      <c r="C1009" s="18" t="s">
        <v>99</v>
      </c>
      <c r="D1009" s="18" t="s">
        <v>1372</v>
      </c>
      <c r="E1009" s="18" t="s">
        <v>1566</v>
      </c>
      <c r="F1009" s="101">
        <v>46209.638888888891</v>
      </c>
      <c r="G1009" s="101">
        <v>46214.600694444445</v>
      </c>
      <c r="H1009" s="18" t="s">
        <v>507</v>
      </c>
      <c r="I1009" s="18" t="s">
        <v>508</v>
      </c>
      <c r="J1009" s="18"/>
      <c r="K1009" s="21">
        <f t="shared" si="45"/>
        <v>119.08333333331393</v>
      </c>
      <c r="L1009" s="19">
        <f t="shared" si="46"/>
        <v>19</v>
      </c>
      <c r="M1009" s="18" t="str">
        <f>IF(I1009&lt;&gt;"Sí","",IF(YEAR(F1009)&lt;&gt;2026,"",INDEX({"Enero","Febrero","Marzo","Abril","Mayo","Junio","Julio","Agosto","Septiembre","Octubre","Noviembre","Diciembre"},MONTH(F1009))))</f>
        <v>Julio</v>
      </c>
      <c r="N1009" s="18" t="str">
        <f t="shared" si="47"/>
        <v>Julio|19</v>
      </c>
    </row>
    <row r="1010" spans="1:14" ht="14.5" x14ac:dyDescent="0.25">
      <c r="A1010" s="19">
        <v>33</v>
      </c>
      <c r="B1010" s="18" t="s">
        <v>40</v>
      </c>
      <c r="C1010" s="18" t="s">
        <v>110</v>
      </c>
      <c r="D1010" s="18" t="s">
        <v>1395</v>
      </c>
      <c r="E1010" s="18" t="s">
        <v>1567</v>
      </c>
      <c r="F1010" s="101">
        <v>46209.638888888891</v>
      </c>
      <c r="G1010" s="101">
        <v>46222.817361111112</v>
      </c>
      <c r="H1010" s="18" t="s">
        <v>507</v>
      </c>
      <c r="I1010" s="18" t="s">
        <v>508</v>
      </c>
      <c r="J1010" s="18"/>
      <c r="K1010" s="21">
        <f t="shared" si="45"/>
        <v>316.28333333332557</v>
      </c>
      <c r="L1010" s="19">
        <f t="shared" si="46"/>
        <v>19</v>
      </c>
      <c r="M1010" s="18" t="str">
        <f>IF(I1010&lt;&gt;"Sí","",IF(YEAR(F1010)&lt;&gt;2026,"",INDEX({"Enero","Febrero","Marzo","Abril","Mayo","Junio","Julio","Agosto","Septiembre","Octubre","Noviembre","Diciembre"},MONTH(F1010))))</f>
        <v>Julio</v>
      </c>
      <c r="N1010" s="18" t="str">
        <f t="shared" si="47"/>
        <v>Julio|19</v>
      </c>
    </row>
    <row r="1011" spans="1:14" ht="14.5" x14ac:dyDescent="0.25">
      <c r="A1011" s="19">
        <v>33</v>
      </c>
      <c r="B1011" s="18" t="s">
        <v>40</v>
      </c>
      <c r="C1011" s="18" t="s">
        <v>99</v>
      </c>
      <c r="D1011" s="18" t="s">
        <v>1372</v>
      </c>
      <c r="E1011" s="18" t="s">
        <v>1568</v>
      </c>
      <c r="F1011" s="101">
        <v>46210.646527777775</v>
      </c>
      <c r="G1011" s="101">
        <v>46214.774305555555</v>
      </c>
      <c r="H1011" s="18" t="s">
        <v>507</v>
      </c>
      <c r="I1011" s="18" t="s">
        <v>508</v>
      </c>
      <c r="J1011" s="18"/>
      <c r="K1011" s="21">
        <f t="shared" si="45"/>
        <v>99.066666666709352</v>
      </c>
      <c r="L1011" s="19">
        <f t="shared" si="46"/>
        <v>22</v>
      </c>
      <c r="M1011" s="18" t="str">
        <f>IF(I1011&lt;&gt;"Sí","",IF(YEAR(F1011)&lt;&gt;2026,"",INDEX({"Enero","Febrero","Marzo","Abril","Mayo","Junio","Julio","Agosto","Septiembre","Octubre","Noviembre","Diciembre"},MONTH(F1011))))</f>
        <v>Julio</v>
      </c>
      <c r="N1011" s="18" t="str">
        <f t="shared" si="47"/>
        <v>Julio|22</v>
      </c>
    </row>
    <row r="1012" spans="1:14" ht="14.5" x14ac:dyDescent="0.25">
      <c r="A1012" s="19">
        <v>33</v>
      </c>
      <c r="B1012" s="18" t="s">
        <v>40</v>
      </c>
      <c r="C1012" s="18" t="s">
        <v>99</v>
      </c>
      <c r="D1012" s="18" t="s">
        <v>1372</v>
      </c>
      <c r="E1012" s="18" t="s">
        <v>1569</v>
      </c>
      <c r="F1012" s="101">
        <v>46210.646527777775</v>
      </c>
      <c r="G1012" s="101">
        <v>46214.55</v>
      </c>
      <c r="H1012" s="18" t="s">
        <v>507</v>
      </c>
      <c r="I1012" s="18" t="s">
        <v>508</v>
      </c>
      <c r="J1012" s="18"/>
      <c r="K1012" s="21">
        <f t="shared" si="45"/>
        <v>93.683333333465271</v>
      </c>
      <c r="L1012" s="19">
        <f t="shared" si="46"/>
        <v>22</v>
      </c>
      <c r="M1012" s="18" t="str">
        <f>IF(I1012&lt;&gt;"Sí","",IF(YEAR(F1012)&lt;&gt;2026,"",INDEX({"Enero","Febrero","Marzo","Abril","Mayo","Junio","Julio","Agosto","Septiembre","Octubre","Noviembre","Diciembre"},MONTH(F1012))))</f>
        <v>Julio</v>
      </c>
      <c r="N1012" s="18" t="str">
        <f t="shared" si="47"/>
        <v>Julio|22</v>
      </c>
    </row>
    <row r="1013" spans="1:14" ht="14.5" x14ac:dyDescent="0.25">
      <c r="A1013" s="19">
        <v>33</v>
      </c>
      <c r="B1013" s="18" t="s">
        <v>40</v>
      </c>
      <c r="C1013" s="18" t="s">
        <v>110</v>
      </c>
      <c r="D1013" s="18" t="s">
        <v>1395</v>
      </c>
      <c r="E1013" s="18" t="s">
        <v>1570</v>
      </c>
      <c r="F1013" s="101">
        <v>46210.646527777775</v>
      </c>
      <c r="G1013" s="101">
        <v>46222.729861111111</v>
      </c>
      <c r="H1013" s="18" t="s">
        <v>507</v>
      </c>
      <c r="I1013" s="18" t="s">
        <v>508</v>
      </c>
      <c r="J1013" s="18"/>
      <c r="K1013" s="21">
        <f t="shared" si="45"/>
        <v>290.00000000005821</v>
      </c>
      <c r="L1013" s="19">
        <f t="shared" si="46"/>
        <v>22</v>
      </c>
      <c r="M1013" s="18" t="str">
        <f>IF(I1013&lt;&gt;"Sí","",IF(YEAR(F1013)&lt;&gt;2026,"",INDEX({"Enero","Febrero","Marzo","Abril","Mayo","Junio","Julio","Agosto","Septiembre","Octubre","Noviembre","Diciembre"},MONTH(F1013))))</f>
        <v>Julio</v>
      </c>
      <c r="N1013" s="18" t="str">
        <f t="shared" si="47"/>
        <v>Julio|22</v>
      </c>
    </row>
    <row r="1014" spans="1:14" ht="14.5" x14ac:dyDescent="0.25">
      <c r="A1014" s="19">
        <v>33</v>
      </c>
      <c r="B1014" s="18" t="s">
        <v>40</v>
      </c>
      <c r="C1014" s="18" t="s">
        <v>110</v>
      </c>
      <c r="D1014" s="18" t="s">
        <v>1395</v>
      </c>
      <c r="E1014" s="18" t="s">
        <v>1571</v>
      </c>
      <c r="F1014" s="101">
        <v>46210.646527777775</v>
      </c>
      <c r="G1014" s="101">
        <v>46222.729861111111</v>
      </c>
      <c r="H1014" s="18" t="s">
        <v>507</v>
      </c>
      <c r="I1014" s="18" t="s">
        <v>508</v>
      </c>
      <c r="J1014" s="18"/>
      <c r="K1014" s="21">
        <f t="shared" si="45"/>
        <v>290.00000000005821</v>
      </c>
      <c r="L1014" s="19">
        <f t="shared" si="46"/>
        <v>22</v>
      </c>
      <c r="M1014" s="18" t="str">
        <f>IF(I1014&lt;&gt;"Sí","",IF(YEAR(F1014)&lt;&gt;2026,"",INDEX({"Enero","Febrero","Marzo","Abril","Mayo","Junio","Julio","Agosto","Septiembre","Octubre","Noviembre","Diciembre"},MONTH(F1014))))</f>
        <v>Julio</v>
      </c>
      <c r="N1014" s="18" t="str">
        <f t="shared" si="47"/>
        <v>Julio|22</v>
      </c>
    </row>
    <row r="1015" spans="1:14" ht="14.5" x14ac:dyDescent="0.25">
      <c r="A1015" s="19">
        <v>33</v>
      </c>
      <c r="B1015" s="18" t="s">
        <v>40</v>
      </c>
      <c r="C1015" s="18" t="s">
        <v>110</v>
      </c>
      <c r="D1015" s="18" t="s">
        <v>1395</v>
      </c>
      <c r="E1015" s="18" t="s">
        <v>1572</v>
      </c>
      <c r="F1015" s="101">
        <v>46210.646527777775</v>
      </c>
      <c r="G1015" s="101">
        <v>46222.734027777777</v>
      </c>
      <c r="H1015" s="18" t="s">
        <v>507</v>
      </c>
      <c r="I1015" s="18" t="s">
        <v>508</v>
      </c>
      <c r="J1015" s="18"/>
      <c r="K1015" s="21">
        <f t="shared" si="45"/>
        <v>290.10000000003492</v>
      </c>
      <c r="L1015" s="19">
        <f t="shared" si="46"/>
        <v>22</v>
      </c>
      <c r="M1015" s="18" t="str">
        <f>IF(I1015&lt;&gt;"Sí","",IF(YEAR(F1015)&lt;&gt;2026,"",INDEX({"Enero","Febrero","Marzo","Abril","Mayo","Junio","Julio","Agosto","Septiembre","Octubre","Noviembre","Diciembre"},MONTH(F1015))))</f>
        <v>Julio</v>
      </c>
      <c r="N1015" s="18" t="str">
        <f t="shared" si="47"/>
        <v>Julio|22</v>
      </c>
    </row>
    <row r="1016" spans="1:14" ht="14.5" x14ac:dyDescent="0.25">
      <c r="A1016" s="19">
        <v>33</v>
      </c>
      <c r="B1016" s="18" t="s">
        <v>40</v>
      </c>
      <c r="C1016" s="18" t="s">
        <v>110</v>
      </c>
      <c r="D1016" s="18" t="s">
        <v>1395</v>
      </c>
      <c r="E1016" s="18" t="s">
        <v>1573</v>
      </c>
      <c r="F1016" s="101">
        <v>46211.540277777778</v>
      </c>
      <c r="G1016" s="101">
        <v>46222.724305555559</v>
      </c>
      <c r="H1016" s="18" t="s">
        <v>507</v>
      </c>
      <c r="I1016" s="18" t="s">
        <v>508</v>
      </c>
      <c r="J1016" s="18"/>
      <c r="K1016" s="21">
        <f t="shared" si="45"/>
        <v>268.41666666674428</v>
      </c>
      <c r="L1016" s="19">
        <f t="shared" si="46"/>
        <v>23</v>
      </c>
      <c r="M1016" s="18" t="str">
        <f>IF(I1016&lt;&gt;"Sí","",IF(YEAR(F1016)&lt;&gt;2026,"",INDEX({"Enero","Febrero","Marzo","Abril","Mayo","Junio","Julio","Agosto","Septiembre","Octubre","Noviembre","Diciembre"},MONTH(F1016))))</f>
        <v>Julio</v>
      </c>
      <c r="N1016" s="18" t="str">
        <f t="shared" si="47"/>
        <v>Julio|23</v>
      </c>
    </row>
    <row r="1017" spans="1:14" ht="14.5" x14ac:dyDescent="0.25">
      <c r="A1017" s="19">
        <v>33</v>
      </c>
      <c r="B1017" s="18" t="s">
        <v>40</v>
      </c>
      <c r="C1017" s="18" t="s">
        <v>110</v>
      </c>
      <c r="D1017" s="18" t="s">
        <v>1395</v>
      </c>
      <c r="E1017" s="18" t="s">
        <v>1574</v>
      </c>
      <c r="F1017" s="101">
        <v>46211.627083333333</v>
      </c>
      <c r="G1017" s="101">
        <v>46223.013888888891</v>
      </c>
      <c r="H1017" s="18" t="s">
        <v>507</v>
      </c>
      <c r="I1017" s="18" t="s">
        <v>508</v>
      </c>
      <c r="J1017" s="18"/>
      <c r="K1017" s="21">
        <f t="shared" si="45"/>
        <v>273.28333333338378</v>
      </c>
      <c r="L1017" s="19">
        <f t="shared" si="46"/>
        <v>24</v>
      </c>
      <c r="M1017" s="18" t="str">
        <f>IF(I1017&lt;&gt;"Sí","",IF(YEAR(F1017)&lt;&gt;2026,"",INDEX({"Enero","Febrero","Marzo","Abril","Mayo","Junio","Julio","Agosto","Septiembre","Octubre","Noviembre","Diciembre"},MONTH(F1017))))</f>
        <v>Julio</v>
      </c>
      <c r="N1017" s="18" t="str">
        <f t="shared" si="47"/>
        <v>Julio|24</v>
      </c>
    </row>
    <row r="1018" spans="1:14" ht="14.5" x14ac:dyDescent="0.25">
      <c r="A1018" s="19">
        <v>33</v>
      </c>
      <c r="B1018" s="18" t="s">
        <v>40</v>
      </c>
      <c r="C1018" s="18" t="s">
        <v>110</v>
      </c>
      <c r="D1018" s="18" t="s">
        <v>1395</v>
      </c>
      <c r="E1018" s="18" t="s">
        <v>1575</v>
      </c>
      <c r="F1018" s="101">
        <v>46211.627083333333</v>
      </c>
      <c r="G1018" s="101">
        <v>46222.713888888888</v>
      </c>
      <c r="H1018" s="18" t="s">
        <v>507</v>
      </c>
      <c r="I1018" s="18" t="s">
        <v>508</v>
      </c>
      <c r="J1018" s="18"/>
      <c r="K1018" s="21">
        <f t="shared" si="45"/>
        <v>266.08333333331393</v>
      </c>
      <c r="L1018" s="19">
        <f t="shared" si="46"/>
        <v>24</v>
      </c>
      <c r="M1018" s="18" t="str">
        <f>IF(I1018&lt;&gt;"Sí","",IF(YEAR(F1018)&lt;&gt;2026,"",INDEX({"Enero","Febrero","Marzo","Abril","Mayo","Junio","Julio","Agosto","Septiembre","Octubre","Noviembre","Diciembre"},MONTH(F1018))))</f>
        <v>Julio</v>
      </c>
      <c r="N1018" s="18" t="str">
        <f t="shared" si="47"/>
        <v>Julio|24</v>
      </c>
    </row>
    <row r="1019" spans="1:14" ht="14.5" x14ac:dyDescent="0.25">
      <c r="A1019" s="19">
        <v>33</v>
      </c>
      <c r="B1019" s="18" t="s">
        <v>40</v>
      </c>
      <c r="C1019" s="18" t="s">
        <v>99</v>
      </c>
      <c r="D1019" s="18" t="s">
        <v>1372</v>
      </c>
      <c r="E1019" s="18" t="s">
        <v>1576</v>
      </c>
      <c r="F1019" s="101">
        <v>46211.631249999999</v>
      </c>
      <c r="G1019" s="101">
        <v>46214.55</v>
      </c>
      <c r="H1019" s="18" t="s">
        <v>507</v>
      </c>
      <c r="I1019" s="18" t="s">
        <v>508</v>
      </c>
      <c r="J1019" s="18"/>
      <c r="K1019" s="21">
        <f t="shared" si="45"/>
        <v>70.050000000104774</v>
      </c>
      <c r="L1019" s="19">
        <f t="shared" si="46"/>
        <v>26</v>
      </c>
      <c r="M1019" s="18" t="str">
        <f>IF(I1019&lt;&gt;"Sí","",IF(YEAR(F1019)&lt;&gt;2026,"",INDEX({"Enero","Febrero","Marzo","Abril","Mayo","Junio","Julio","Agosto","Septiembre","Octubre","Noviembre","Diciembre"},MONTH(F1019))))</f>
        <v>Julio</v>
      </c>
      <c r="N1019" s="18" t="str">
        <f t="shared" si="47"/>
        <v>Julio|26</v>
      </c>
    </row>
    <row r="1020" spans="1:14" ht="14.5" x14ac:dyDescent="0.25">
      <c r="A1020" s="19">
        <v>33</v>
      </c>
      <c r="B1020" s="18" t="s">
        <v>40</v>
      </c>
      <c r="C1020" s="18" t="s">
        <v>99</v>
      </c>
      <c r="D1020" s="18" t="s">
        <v>1372</v>
      </c>
      <c r="E1020" s="18" t="s">
        <v>1577</v>
      </c>
      <c r="F1020" s="101">
        <v>46211.631249999999</v>
      </c>
      <c r="G1020" s="101">
        <v>46214.55</v>
      </c>
      <c r="H1020" s="18" t="s">
        <v>507</v>
      </c>
      <c r="I1020" s="18" t="s">
        <v>508</v>
      </c>
      <c r="J1020" s="18"/>
      <c r="K1020" s="21">
        <f t="shared" si="45"/>
        <v>70.050000000104774</v>
      </c>
      <c r="L1020" s="19">
        <f t="shared" si="46"/>
        <v>26</v>
      </c>
      <c r="M1020" s="18" t="str">
        <f>IF(I1020&lt;&gt;"Sí","",IF(YEAR(F1020)&lt;&gt;2026,"",INDEX({"Enero","Febrero","Marzo","Abril","Mayo","Junio","Julio","Agosto","Septiembre","Octubre","Noviembre","Diciembre"},MONTH(F1020))))</f>
        <v>Julio</v>
      </c>
      <c r="N1020" s="18" t="str">
        <f t="shared" si="47"/>
        <v>Julio|26</v>
      </c>
    </row>
    <row r="1021" spans="1:14" ht="14.5" x14ac:dyDescent="0.25">
      <c r="A1021" s="19">
        <v>33</v>
      </c>
      <c r="B1021" s="18" t="s">
        <v>40</v>
      </c>
      <c r="C1021" s="18" t="s">
        <v>110</v>
      </c>
      <c r="D1021" s="18" t="s">
        <v>1395</v>
      </c>
      <c r="E1021" s="18" t="s">
        <v>1578</v>
      </c>
      <c r="F1021" s="101">
        <v>46213.464583333334</v>
      </c>
      <c r="G1021" s="101">
        <v>46222.854166666664</v>
      </c>
      <c r="H1021" s="18" t="s">
        <v>507</v>
      </c>
      <c r="I1021" s="18" t="s">
        <v>508</v>
      </c>
      <c r="J1021" s="18"/>
      <c r="K1021" s="21">
        <f t="shared" si="45"/>
        <v>225.34999999991851</v>
      </c>
      <c r="L1021" s="19">
        <f t="shared" si="46"/>
        <v>28</v>
      </c>
      <c r="M1021" s="18" t="str">
        <f>IF(I1021&lt;&gt;"Sí","",IF(YEAR(F1021)&lt;&gt;2026,"",INDEX({"Enero","Febrero","Marzo","Abril","Mayo","Junio","Julio","Agosto","Septiembre","Octubre","Noviembre","Diciembre"},MONTH(F1021))))</f>
        <v>Julio</v>
      </c>
      <c r="N1021" s="18" t="str">
        <f t="shared" si="47"/>
        <v>Julio|28</v>
      </c>
    </row>
    <row r="1022" spans="1:14" ht="14.5" x14ac:dyDescent="0.25">
      <c r="A1022" s="19">
        <v>33</v>
      </c>
      <c r="B1022" s="18" t="s">
        <v>40</v>
      </c>
      <c r="C1022" s="18" t="s">
        <v>110</v>
      </c>
      <c r="D1022" s="18" t="s">
        <v>1395</v>
      </c>
      <c r="E1022" s="18" t="s">
        <v>1579</v>
      </c>
      <c r="F1022" s="101">
        <v>46213.464583333334</v>
      </c>
      <c r="G1022" s="101">
        <v>46222.854166666664</v>
      </c>
      <c r="H1022" s="18" t="s">
        <v>507</v>
      </c>
      <c r="I1022" s="18" t="s">
        <v>508</v>
      </c>
      <c r="J1022" s="18"/>
      <c r="K1022" s="21">
        <f t="shared" si="45"/>
        <v>225.34999999991851</v>
      </c>
      <c r="L1022" s="19">
        <f t="shared" si="46"/>
        <v>28</v>
      </c>
      <c r="M1022" s="18" t="str">
        <f>IF(I1022&lt;&gt;"Sí","",IF(YEAR(F1022)&lt;&gt;2026,"",INDEX({"Enero","Febrero","Marzo","Abril","Mayo","Junio","Julio","Agosto","Septiembre","Octubre","Noviembre","Diciembre"},MONTH(F1022))))</f>
        <v>Julio</v>
      </c>
      <c r="N1022" s="18" t="str">
        <f t="shared" si="47"/>
        <v>Julio|28</v>
      </c>
    </row>
    <row r="1023" spans="1:14" ht="14.5" x14ac:dyDescent="0.25">
      <c r="A1023" s="19">
        <v>33</v>
      </c>
      <c r="B1023" s="18" t="s">
        <v>40</v>
      </c>
      <c r="C1023" s="18" t="s">
        <v>92</v>
      </c>
      <c r="D1023" s="18" t="s">
        <v>1580</v>
      </c>
      <c r="E1023" s="18" t="s">
        <v>1581</v>
      </c>
      <c r="F1023" s="101">
        <v>46213.474305555559</v>
      </c>
      <c r="G1023" s="101">
        <v>46220.768055555556</v>
      </c>
      <c r="H1023" s="18" t="s">
        <v>507</v>
      </c>
      <c r="I1023" s="18" t="s">
        <v>508</v>
      </c>
      <c r="J1023" s="18"/>
      <c r="K1023" s="21">
        <f t="shared" si="45"/>
        <v>175.04999999993015</v>
      </c>
      <c r="L1023" s="19">
        <f t="shared" si="46"/>
        <v>29</v>
      </c>
      <c r="M1023" s="18" t="str">
        <f>IF(I1023&lt;&gt;"Sí","",IF(YEAR(F1023)&lt;&gt;2026,"",INDEX({"Enero","Febrero","Marzo","Abril","Mayo","Junio","Julio","Agosto","Septiembre","Octubre","Noviembre","Diciembre"},MONTH(F1023))))</f>
        <v>Julio</v>
      </c>
      <c r="N1023" s="18" t="str">
        <f t="shared" si="47"/>
        <v>Julio|29</v>
      </c>
    </row>
    <row r="1024" spans="1:14" ht="14.5" x14ac:dyDescent="0.25">
      <c r="A1024" s="19">
        <v>33</v>
      </c>
      <c r="B1024" s="18" t="s">
        <v>40</v>
      </c>
      <c r="C1024" s="18" t="s">
        <v>110</v>
      </c>
      <c r="D1024" s="18" t="s">
        <v>1395</v>
      </c>
      <c r="E1024" s="18" t="s">
        <v>1582</v>
      </c>
      <c r="F1024" s="101">
        <v>46213.520833333336</v>
      </c>
      <c r="G1024" s="101">
        <v>46222.583333333336</v>
      </c>
      <c r="H1024" s="18" t="s">
        <v>507</v>
      </c>
      <c r="I1024" s="18" t="s">
        <v>508</v>
      </c>
      <c r="J1024" s="18"/>
      <c r="K1024" s="21">
        <f t="shared" si="45"/>
        <v>217.5</v>
      </c>
      <c r="L1024" s="19">
        <f t="shared" si="46"/>
        <v>31</v>
      </c>
      <c r="M1024" s="18" t="str">
        <f>IF(I1024&lt;&gt;"Sí","",IF(YEAR(F1024)&lt;&gt;2026,"",INDEX({"Enero","Febrero","Marzo","Abril","Mayo","Junio","Julio","Agosto","Septiembre","Octubre","Noviembre","Diciembre"},MONTH(F1024))))</f>
        <v>Julio</v>
      </c>
      <c r="N1024" s="18" t="str">
        <f t="shared" si="47"/>
        <v>Julio|31</v>
      </c>
    </row>
    <row r="1025" spans="1:14" ht="14.5" x14ac:dyDescent="0.25">
      <c r="A1025" s="19">
        <v>33</v>
      </c>
      <c r="B1025" s="18" t="s">
        <v>40</v>
      </c>
      <c r="C1025" s="18" t="s">
        <v>110</v>
      </c>
      <c r="D1025" s="18" t="s">
        <v>1395</v>
      </c>
      <c r="E1025" s="18" t="s">
        <v>1583</v>
      </c>
      <c r="F1025" s="101">
        <v>46213.520833333336</v>
      </c>
      <c r="G1025" s="101">
        <v>46222.579861111109</v>
      </c>
      <c r="H1025" s="18" t="s">
        <v>507</v>
      </c>
      <c r="I1025" s="18" t="s">
        <v>508</v>
      </c>
      <c r="J1025" s="18"/>
      <c r="K1025" s="21">
        <f t="shared" si="45"/>
        <v>217.41666666656965</v>
      </c>
      <c r="L1025" s="19">
        <f t="shared" si="46"/>
        <v>31</v>
      </c>
      <c r="M1025" s="18" t="str">
        <f>IF(I1025&lt;&gt;"Sí","",IF(YEAR(F1025)&lt;&gt;2026,"",INDEX({"Enero","Febrero","Marzo","Abril","Mayo","Junio","Julio","Agosto","Septiembre","Octubre","Noviembre","Diciembre"},MONTH(F1025))))</f>
        <v>Julio</v>
      </c>
      <c r="N1025" s="18" t="str">
        <f t="shared" si="47"/>
        <v>Julio|31</v>
      </c>
    </row>
    <row r="1026" spans="1:14" ht="14.5" x14ac:dyDescent="0.25">
      <c r="A1026" s="19">
        <v>33</v>
      </c>
      <c r="B1026" s="18" t="s">
        <v>40</v>
      </c>
      <c r="C1026" s="18" t="s">
        <v>99</v>
      </c>
      <c r="D1026" s="18" t="s">
        <v>1372</v>
      </c>
      <c r="E1026" s="18" t="s">
        <v>1584</v>
      </c>
      <c r="F1026" s="101"/>
      <c r="G1026" s="101">
        <v>46213.981249999997</v>
      </c>
      <c r="H1026" s="18" t="s">
        <v>523</v>
      </c>
      <c r="I1026" s="18" t="s">
        <v>555</v>
      </c>
      <c r="J1026" s="18" t="s">
        <v>556</v>
      </c>
      <c r="K1026" s="21" t="str">
        <f t="shared" si="45"/>
        <v/>
      </c>
      <c r="L1026" s="19" t="str">
        <f t="shared" si="46"/>
        <v/>
      </c>
      <c r="M1026" s="18" t="str">
        <f>IF(I1026&lt;&gt;"Sí","",IF(YEAR(F1026)&lt;&gt;2026,"",INDEX({"Enero","Febrero","Marzo","Abril","Mayo","Junio","Julio","Agosto","Septiembre","Octubre","Noviembre","Diciembre"},MONTH(F1026))))</f>
        <v/>
      </c>
      <c r="N1026" s="18" t="str">
        <f t="shared" si="47"/>
        <v/>
      </c>
    </row>
    <row r="1027" spans="1:14" ht="14.5" x14ac:dyDescent="0.25">
      <c r="A1027" s="19">
        <v>33</v>
      </c>
      <c r="B1027" s="18" t="s">
        <v>40</v>
      </c>
      <c r="C1027" s="18" t="s">
        <v>178</v>
      </c>
      <c r="D1027" s="18" t="s">
        <v>1585</v>
      </c>
      <c r="E1027" s="18" t="s">
        <v>1586</v>
      </c>
      <c r="F1027" s="101">
        <v>46214.451388888891</v>
      </c>
      <c r="G1027" s="101">
        <v>46218.493750000001</v>
      </c>
      <c r="H1027" s="18" t="s">
        <v>507</v>
      </c>
      <c r="I1027" s="18" t="s">
        <v>508</v>
      </c>
      <c r="J1027" s="18"/>
      <c r="K1027" s="21">
        <f t="shared" si="45"/>
        <v>97.016666666662786</v>
      </c>
      <c r="L1027" s="19">
        <f t="shared" si="46"/>
        <v>32</v>
      </c>
      <c r="M1027" s="18" t="str">
        <f>IF(I1027&lt;&gt;"Sí","",IF(YEAR(F1027)&lt;&gt;2026,"",INDEX({"Enero","Febrero","Marzo","Abril","Mayo","Junio","Julio","Agosto","Septiembre","Octubre","Noviembre","Diciembre"},MONTH(F1027))))</f>
        <v>Julio</v>
      </c>
      <c r="N1027" s="18" t="str">
        <f t="shared" si="47"/>
        <v>Julio|32</v>
      </c>
    </row>
    <row r="1028" spans="1:14" ht="14.5" x14ac:dyDescent="0.25">
      <c r="A1028" s="19">
        <v>33</v>
      </c>
      <c r="B1028" s="18" t="s">
        <v>40</v>
      </c>
      <c r="C1028" s="18" t="s">
        <v>178</v>
      </c>
      <c r="D1028" s="18" t="s">
        <v>1585</v>
      </c>
      <c r="E1028" s="18" t="s">
        <v>1587</v>
      </c>
      <c r="F1028" s="101">
        <v>46214.461111111108</v>
      </c>
      <c r="G1028" s="101">
        <v>46219.493055555555</v>
      </c>
      <c r="H1028" s="18" t="s">
        <v>507</v>
      </c>
      <c r="I1028" s="18" t="s">
        <v>508</v>
      </c>
      <c r="J1028" s="18"/>
      <c r="K1028" s="21">
        <f t="shared" si="45"/>
        <v>120.76666666672099</v>
      </c>
      <c r="L1028" s="19">
        <f t="shared" si="46"/>
        <v>33</v>
      </c>
      <c r="M1028" s="18" t="str">
        <f>IF(I1028&lt;&gt;"Sí","",IF(YEAR(F1028)&lt;&gt;2026,"",INDEX({"Enero","Febrero","Marzo","Abril","Mayo","Junio","Julio","Agosto","Septiembre","Octubre","Noviembre","Diciembre"},MONTH(F1028))))</f>
        <v>Julio</v>
      </c>
      <c r="N1028" s="18" t="str">
        <f t="shared" si="47"/>
        <v>Julio|33</v>
      </c>
    </row>
    <row r="1029" spans="1:14" ht="14.5" x14ac:dyDescent="0.25">
      <c r="A1029" s="19">
        <v>33</v>
      </c>
      <c r="B1029" s="18" t="s">
        <v>40</v>
      </c>
      <c r="C1029" s="18" t="s">
        <v>92</v>
      </c>
      <c r="D1029" s="18" t="s">
        <v>1580</v>
      </c>
      <c r="E1029" s="18" t="s">
        <v>1588</v>
      </c>
      <c r="F1029" s="101">
        <v>46214.494444444441</v>
      </c>
      <c r="G1029" s="101">
        <v>46220.768055555556</v>
      </c>
      <c r="H1029" s="18" t="s">
        <v>507</v>
      </c>
      <c r="I1029" s="18" t="s">
        <v>508</v>
      </c>
      <c r="J1029" s="18"/>
      <c r="K1029" s="21">
        <f t="shared" si="45"/>
        <v>150.56666666676756</v>
      </c>
      <c r="L1029" s="19">
        <f t="shared" si="46"/>
        <v>38</v>
      </c>
      <c r="M1029" s="18" t="str">
        <f>IF(I1029&lt;&gt;"Sí","",IF(YEAR(F1029)&lt;&gt;2026,"",INDEX({"Enero","Febrero","Marzo","Abril","Mayo","Junio","Julio","Agosto","Septiembre","Octubre","Noviembre","Diciembre"},MONTH(F1029))))</f>
        <v>Julio</v>
      </c>
      <c r="N1029" s="18" t="str">
        <f t="shared" si="47"/>
        <v>Julio|38</v>
      </c>
    </row>
    <row r="1030" spans="1:14" ht="14.5" x14ac:dyDescent="0.25">
      <c r="A1030" s="19">
        <v>33</v>
      </c>
      <c r="B1030" s="18" t="s">
        <v>40</v>
      </c>
      <c r="C1030" s="18" t="s">
        <v>92</v>
      </c>
      <c r="D1030" s="18" t="s">
        <v>1580</v>
      </c>
      <c r="E1030" s="18" t="s">
        <v>1589</v>
      </c>
      <c r="F1030" s="101">
        <v>46214.494444444441</v>
      </c>
      <c r="G1030" s="101">
        <v>46220.768055555556</v>
      </c>
      <c r="H1030" s="18" t="s">
        <v>507</v>
      </c>
      <c r="I1030" s="18" t="s">
        <v>508</v>
      </c>
      <c r="J1030" s="18"/>
      <c r="K1030" s="21">
        <f t="shared" si="45"/>
        <v>150.56666666676756</v>
      </c>
      <c r="L1030" s="19">
        <f t="shared" si="46"/>
        <v>38</v>
      </c>
      <c r="M1030" s="18" t="str">
        <f>IF(I1030&lt;&gt;"Sí","",IF(YEAR(F1030)&lt;&gt;2026,"",INDEX({"Enero","Febrero","Marzo","Abril","Mayo","Junio","Julio","Agosto","Septiembre","Octubre","Noviembre","Diciembre"},MONTH(F1030))))</f>
        <v>Julio</v>
      </c>
      <c r="N1030" s="18" t="str">
        <f t="shared" si="47"/>
        <v>Julio|38</v>
      </c>
    </row>
    <row r="1031" spans="1:14" ht="14.5" x14ac:dyDescent="0.25">
      <c r="A1031" s="19">
        <v>33</v>
      </c>
      <c r="B1031" s="18" t="s">
        <v>40</v>
      </c>
      <c r="C1031" s="18" t="s">
        <v>92</v>
      </c>
      <c r="D1031" s="18" t="s">
        <v>1580</v>
      </c>
      <c r="E1031" s="18" t="s">
        <v>1590</v>
      </c>
      <c r="F1031" s="101">
        <v>46214.494444444441</v>
      </c>
      <c r="G1031" s="101">
        <v>46220.768055555556</v>
      </c>
      <c r="H1031" s="18" t="s">
        <v>507</v>
      </c>
      <c r="I1031" s="18" t="s">
        <v>508</v>
      </c>
      <c r="J1031" s="18"/>
      <c r="K1031" s="21">
        <f t="shared" ref="K1031:K1094" si="48">IF(I1031="Sí",(G1031-F1031)*24,"")</f>
        <v>150.56666666676756</v>
      </c>
      <c r="L1031" s="19">
        <f t="shared" ref="L1031:L1094" si="49">IF(I1031="Sí",COUNTIFS($F$7:$F$4000,"&lt;="&amp;F1031,$G$7:$G$4000,"&gt;"&amp;F1031,$I$7:$I$4000,"Sí"),"")</f>
        <v>38</v>
      </c>
      <c r="M1031" s="18" t="str">
        <f>IF(I1031&lt;&gt;"Sí","",IF(YEAR(F1031)&lt;&gt;2026,"",INDEX({"Enero","Febrero","Marzo","Abril","Mayo","Junio","Julio","Agosto","Septiembre","Octubre","Noviembre","Diciembre"},MONTH(F1031))))</f>
        <v>Julio</v>
      </c>
      <c r="N1031" s="18" t="str">
        <f t="shared" ref="N1031:N1094" si="50">IF(M1031="","",M1031&amp;"|"&amp;L1031)</f>
        <v>Julio|38</v>
      </c>
    </row>
    <row r="1032" spans="1:14" ht="14.5" x14ac:dyDescent="0.25">
      <c r="A1032" s="19">
        <v>33</v>
      </c>
      <c r="B1032" s="18" t="s">
        <v>40</v>
      </c>
      <c r="C1032" s="18" t="s">
        <v>92</v>
      </c>
      <c r="D1032" s="18" t="s">
        <v>1580</v>
      </c>
      <c r="E1032" s="18" t="s">
        <v>1591</v>
      </c>
      <c r="F1032" s="101">
        <v>46214.494444444441</v>
      </c>
      <c r="G1032" s="101">
        <v>46220.768055555556</v>
      </c>
      <c r="H1032" s="18" t="s">
        <v>507</v>
      </c>
      <c r="I1032" s="18" t="s">
        <v>508</v>
      </c>
      <c r="J1032" s="18"/>
      <c r="K1032" s="21">
        <f t="shared" si="48"/>
        <v>150.56666666676756</v>
      </c>
      <c r="L1032" s="19">
        <f t="shared" si="49"/>
        <v>38</v>
      </c>
      <c r="M1032" s="18" t="str">
        <f>IF(I1032&lt;&gt;"Sí","",IF(YEAR(F1032)&lt;&gt;2026,"",INDEX({"Enero","Febrero","Marzo","Abril","Mayo","Junio","Julio","Agosto","Septiembre","Octubre","Noviembre","Diciembre"},MONTH(F1032))))</f>
        <v>Julio</v>
      </c>
      <c r="N1032" s="18" t="str">
        <f t="shared" si="50"/>
        <v>Julio|38</v>
      </c>
    </row>
    <row r="1033" spans="1:14" ht="14.5" x14ac:dyDescent="0.25">
      <c r="A1033" s="19">
        <v>33</v>
      </c>
      <c r="B1033" s="18" t="s">
        <v>40</v>
      </c>
      <c r="C1033" s="18" t="s">
        <v>110</v>
      </c>
      <c r="D1033" s="18" t="s">
        <v>1395</v>
      </c>
      <c r="E1033" s="18" t="s">
        <v>1592</v>
      </c>
      <c r="F1033" s="101">
        <v>46214.494444444441</v>
      </c>
      <c r="G1033" s="101">
        <v>46222.854166666664</v>
      </c>
      <c r="H1033" s="18" t="s">
        <v>507</v>
      </c>
      <c r="I1033" s="18" t="s">
        <v>508</v>
      </c>
      <c r="J1033" s="18"/>
      <c r="K1033" s="21">
        <f t="shared" si="48"/>
        <v>200.6333333333605</v>
      </c>
      <c r="L1033" s="19">
        <f t="shared" si="49"/>
        <v>38</v>
      </c>
      <c r="M1033" s="18" t="str">
        <f>IF(I1033&lt;&gt;"Sí","",IF(YEAR(F1033)&lt;&gt;2026,"",INDEX({"Enero","Febrero","Marzo","Abril","Mayo","Junio","Julio","Agosto","Septiembre","Octubre","Noviembre","Diciembre"},MONTH(F1033))))</f>
        <v>Julio</v>
      </c>
      <c r="N1033" s="18" t="str">
        <f t="shared" si="50"/>
        <v>Julio|38</v>
      </c>
    </row>
    <row r="1034" spans="1:14" ht="14.5" x14ac:dyDescent="0.25">
      <c r="A1034" s="19">
        <v>33</v>
      </c>
      <c r="B1034" s="18" t="s">
        <v>40</v>
      </c>
      <c r="C1034" s="18" t="s">
        <v>92</v>
      </c>
      <c r="D1034" s="18" t="s">
        <v>1580</v>
      </c>
      <c r="E1034" s="18" t="s">
        <v>1593</v>
      </c>
      <c r="F1034" s="101">
        <v>46214.555555555555</v>
      </c>
      <c r="G1034" s="101">
        <v>46220.768055555556</v>
      </c>
      <c r="H1034" s="18" t="s">
        <v>507</v>
      </c>
      <c r="I1034" s="18" t="s">
        <v>508</v>
      </c>
      <c r="J1034" s="18"/>
      <c r="K1034" s="21">
        <f t="shared" si="48"/>
        <v>149.10000000003492</v>
      </c>
      <c r="L1034" s="19">
        <f t="shared" si="49"/>
        <v>36</v>
      </c>
      <c r="M1034" s="18" t="str">
        <f>IF(I1034&lt;&gt;"Sí","",IF(YEAR(F1034)&lt;&gt;2026,"",INDEX({"Enero","Febrero","Marzo","Abril","Mayo","Junio","Julio","Agosto","Septiembre","Octubre","Noviembre","Diciembre"},MONTH(F1034))))</f>
        <v>Julio</v>
      </c>
      <c r="N1034" s="18" t="str">
        <f t="shared" si="50"/>
        <v>Julio|36</v>
      </c>
    </row>
    <row r="1035" spans="1:14" ht="14.5" x14ac:dyDescent="0.25">
      <c r="A1035" s="19">
        <v>33</v>
      </c>
      <c r="B1035" s="18" t="s">
        <v>40</v>
      </c>
      <c r="C1035" s="18" t="s">
        <v>110</v>
      </c>
      <c r="D1035" s="18" t="s">
        <v>1395</v>
      </c>
      <c r="E1035" s="18" t="s">
        <v>1594</v>
      </c>
      <c r="F1035" s="101">
        <v>46216</v>
      </c>
      <c r="G1035" s="101">
        <v>46222.713888888888</v>
      </c>
      <c r="H1035" s="18" t="s">
        <v>507</v>
      </c>
      <c r="I1035" s="18" t="s">
        <v>508</v>
      </c>
      <c r="J1035" s="18"/>
      <c r="K1035" s="21">
        <f t="shared" si="48"/>
        <v>161.13333333330229</v>
      </c>
      <c r="L1035" s="19">
        <f t="shared" si="49"/>
        <v>32</v>
      </c>
      <c r="M1035" s="18" t="str">
        <f>IF(I1035&lt;&gt;"Sí","",IF(YEAR(F1035)&lt;&gt;2026,"",INDEX({"Enero","Febrero","Marzo","Abril","Mayo","Junio","Julio","Agosto","Septiembre","Octubre","Noviembre","Diciembre"},MONTH(F1035))))</f>
        <v>Julio</v>
      </c>
      <c r="N1035" s="18" t="str">
        <f t="shared" si="50"/>
        <v>Julio|32</v>
      </c>
    </row>
    <row r="1036" spans="1:14" ht="14.5" x14ac:dyDescent="0.25">
      <c r="A1036" s="19">
        <v>33</v>
      </c>
      <c r="B1036" s="18" t="s">
        <v>40</v>
      </c>
      <c r="C1036" s="18" t="s">
        <v>110</v>
      </c>
      <c r="D1036" s="18" t="s">
        <v>1395</v>
      </c>
      <c r="E1036" s="18" t="s">
        <v>1595</v>
      </c>
      <c r="F1036" s="101">
        <v>46216.531944444447</v>
      </c>
      <c r="G1036" s="101">
        <v>46222.713888888888</v>
      </c>
      <c r="H1036" s="18" t="s">
        <v>507</v>
      </c>
      <c r="I1036" s="18" t="s">
        <v>508</v>
      </c>
      <c r="J1036" s="18"/>
      <c r="K1036" s="21">
        <f t="shared" si="48"/>
        <v>148.3666666665813</v>
      </c>
      <c r="L1036" s="19">
        <f t="shared" si="49"/>
        <v>33</v>
      </c>
      <c r="M1036" s="18" t="str">
        <f>IF(I1036&lt;&gt;"Sí","",IF(YEAR(F1036)&lt;&gt;2026,"",INDEX({"Enero","Febrero","Marzo","Abril","Mayo","Junio","Julio","Agosto","Septiembre","Octubre","Noviembre","Diciembre"},MONTH(F1036))))</f>
        <v>Julio</v>
      </c>
      <c r="N1036" s="18" t="str">
        <f t="shared" si="50"/>
        <v>Julio|33</v>
      </c>
    </row>
    <row r="1037" spans="1:14" ht="14.5" x14ac:dyDescent="0.25">
      <c r="A1037" s="19">
        <v>33</v>
      </c>
      <c r="B1037" s="18" t="s">
        <v>40</v>
      </c>
      <c r="C1037" s="18" t="s">
        <v>92</v>
      </c>
      <c r="D1037" s="18" t="s">
        <v>1580</v>
      </c>
      <c r="E1037" s="18" t="s">
        <v>1596</v>
      </c>
      <c r="F1037" s="101">
        <v>46217.633333333331</v>
      </c>
      <c r="G1037" s="101">
        <v>46220.768055555556</v>
      </c>
      <c r="H1037" s="18" t="s">
        <v>507</v>
      </c>
      <c r="I1037" s="18" t="s">
        <v>508</v>
      </c>
      <c r="J1037" s="18"/>
      <c r="K1037" s="21">
        <f t="shared" si="48"/>
        <v>75.233333333395422</v>
      </c>
      <c r="L1037" s="19">
        <f t="shared" si="49"/>
        <v>36</v>
      </c>
      <c r="M1037" s="18" t="str">
        <f>IF(I1037&lt;&gt;"Sí","",IF(YEAR(F1037)&lt;&gt;2026,"",INDEX({"Enero","Febrero","Marzo","Abril","Mayo","Junio","Julio","Agosto","Septiembre","Octubre","Noviembre","Diciembre"},MONTH(F1037))))</f>
        <v>Julio</v>
      </c>
      <c r="N1037" s="18" t="str">
        <f t="shared" si="50"/>
        <v>Julio|36</v>
      </c>
    </row>
    <row r="1038" spans="1:14" ht="14.5" x14ac:dyDescent="0.25">
      <c r="A1038" s="19">
        <v>33</v>
      </c>
      <c r="B1038" s="18" t="s">
        <v>40</v>
      </c>
      <c r="C1038" s="18" t="s">
        <v>110</v>
      </c>
      <c r="D1038" s="18" t="s">
        <v>1395</v>
      </c>
      <c r="E1038" s="18" t="s">
        <v>1597</v>
      </c>
      <c r="F1038" s="101">
        <v>46217.633333333331</v>
      </c>
      <c r="G1038" s="101">
        <v>46222.713888888888</v>
      </c>
      <c r="H1038" s="18" t="s">
        <v>507</v>
      </c>
      <c r="I1038" s="18" t="s">
        <v>508</v>
      </c>
      <c r="J1038" s="18"/>
      <c r="K1038" s="21">
        <f t="shared" si="48"/>
        <v>121.93333333334886</v>
      </c>
      <c r="L1038" s="19">
        <f t="shared" si="49"/>
        <v>36</v>
      </c>
      <c r="M1038" s="18" t="str">
        <f>IF(I1038&lt;&gt;"Sí","",IF(YEAR(F1038)&lt;&gt;2026,"",INDEX({"Enero","Febrero","Marzo","Abril","Mayo","Junio","Julio","Agosto","Septiembre","Octubre","Noviembre","Diciembre"},MONTH(F1038))))</f>
        <v>Julio</v>
      </c>
      <c r="N1038" s="18" t="str">
        <f t="shared" si="50"/>
        <v>Julio|36</v>
      </c>
    </row>
    <row r="1039" spans="1:14" ht="14.5" x14ac:dyDescent="0.25">
      <c r="A1039" s="19">
        <v>33</v>
      </c>
      <c r="B1039" s="18" t="s">
        <v>40</v>
      </c>
      <c r="C1039" s="18" t="s">
        <v>110</v>
      </c>
      <c r="D1039" s="18" t="s">
        <v>1395</v>
      </c>
      <c r="E1039" s="18" t="s">
        <v>1598</v>
      </c>
      <c r="F1039" s="101">
        <v>46217.633333333331</v>
      </c>
      <c r="G1039" s="101">
        <v>46222.713888888888</v>
      </c>
      <c r="H1039" s="18" t="s">
        <v>507</v>
      </c>
      <c r="I1039" s="18" t="s">
        <v>508</v>
      </c>
      <c r="J1039" s="18"/>
      <c r="K1039" s="21">
        <f t="shared" si="48"/>
        <v>121.93333333334886</v>
      </c>
      <c r="L1039" s="19">
        <f t="shared" si="49"/>
        <v>36</v>
      </c>
      <c r="M1039" s="18" t="str">
        <f>IF(I1039&lt;&gt;"Sí","",IF(YEAR(F1039)&lt;&gt;2026,"",INDEX({"Enero","Febrero","Marzo","Abril","Mayo","Junio","Julio","Agosto","Septiembre","Octubre","Noviembre","Diciembre"},MONTH(F1039))))</f>
        <v>Julio</v>
      </c>
      <c r="N1039" s="18" t="str">
        <f t="shared" si="50"/>
        <v>Julio|36</v>
      </c>
    </row>
    <row r="1040" spans="1:14" ht="14.5" x14ac:dyDescent="0.25">
      <c r="A1040" s="19">
        <v>33</v>
      </c>
      <c r="B1040" s="18" t="s">
        <v>40</v>
      </c>
      <c r="C1040" s="18" t="s">
        <v>110</v>
      </c>
      <c r="D1040" s="18" t="s">
        <v>1395</v>
      </c>
      <c r="E1040" s="18" t="s">
        <v>1599</v>
      </c>
      <c r="F1040" s="101">
        <v>46218.549305555556</v>
      </c>
      <c r="G1040" s="101">
        <v>46222.713888888888</v>
      </c>
      <c r="H1040" s="18" t="s">
        <v>507</v>
      </c>
      <c r="I1040" s="18" t="s">
        <v>508</v>
      </c>
      <c r="J1040" s="18"/>
      <c r="K1040" s="21">
        <f t="shared" si="48"/>
        <v>99.949999999953434</v>
      </c>
      <c r="L1040" s="19">
        <f t="shared" si="49"/>
        <v>36</v>
      </c>
      <c r="M1040" s="18" t="str">
        <f>IF(I1040&lt;&gt;"Sí","",IF(YEAR(F1040)&lt;&gt;2026,"",INDEX({"Enero","Febrero","Marzo","Abril","Mayo","Junio","Julio","Agosto","Septiembre","Octubre","Noviembre","Diciembre"},MONTH(F1040))))</f>
        <v>Julio</v>
      </c>
      <c r="N1040" s="18" t="str">
        <f t="shared" si="50"/>
        <v>Julio|36</v>
      </c>
    </row>
    <row r="1041" spans="1:14" ht="14.5" x14ac:dyDescent="0.25">
      <c r="A1041" s="19">
        <v>33</v>
      </c>
      <c r="B1041" s="18" t="s">
        <v>40</v>
      </c>
      <c r="C1041" s="18" t="s">
        <v>110</v>
      </c>
      <c r="D1041" s="18" t="s">
        <v>1395</v>
      </c>
      <c r="E1041" s="18" t="s">
        <v>1600</v>
      </c>
      <c r="F1041" s="101">
        <v>46218.623611111114</v>
      </c>
      <c r="G1041" s="101">
        <v>46222.713888888888</v>
      </c>
      <c r="H1041" s="18" t="s">
        <v>507</v>
      </c>
      <c r="I1041" s="18" t="s">
        <v>508</v>
      </c>
      <c r="J1041" s="18"/>
      <c r="K1041" s="21">
        <f t="shared" si="48"/>
        <v>98.166666666569654</v>
      </c>
      <c r="L1041" s="19">
        <f t="shared" si="49"/>
        <v>39</v>
      </c>
      <c r="M1041" s="18" t="str">
        <f>IF(I1041&lt;&gt;"Sí","",IF(YEAR(F1041)&lt;&gt;2026,"",INDEX({"Enero","Febrero","Marzo","Abril","Mayo","Junio","Julio","Agosto","Septiembre","Octubre","Noviembre","Diciembre"},MONTH(F1041))))</f>
        <v>Julio</v>
      </c>
      <c r="N1041" s="18" t="str">
        <f t="shared" si="50"/>
        <v>Julio|39</v>
      </c>
    </row>
    <row r="1042" spans="1:14" ht="14.5" x14ac:dyDescent="0.25">
      <c r="A1042" s="19">
        <v>33</v>
      </c>
      <c r="B1042" s="18" t="s">
        <v>40</v>
      </c>
      <c r="C1042" s="18" t="s">
        <v>110</v>
      </c>
      <c r="D1042" s="18" t="s">
        <v>1395</v>
      </c>
      <c r="E1042" s="18" t="s">
        <v>1601</v>
      </c>
      <c r="F1042" s="101">
        <v>46218.623611111114</v>
      </c>
      <c r="G1042" s="101">
        <v>46223.615277777775</v>
      </c>
      <c r="H1042" s="18" t="s">
        <v>507</v>
      </c>
      <c r="I1042" s="18" t="s">
        <v>508</v>
      </c>
      <c r="J1042" s="18"/>
      <c r="K1042" s="21">
        <f t="shared" si="48"/>
        <v>119.79999999987194</v>
      </c>
      <c r="L1042" s="19">
        <f t="shared" si="49"/>
        <v>39</v>
      </c>
      <c r="M1042" s="18" t="str">
        <f>IF(I1042&lt;&gt;"Sí","",IF(YEAR(F1042)&lt;&gt;2026,"",INDEX({"Enero","Febrero","Marzo","Abril","Mayo","Junio","Julio","Agosto","Septiembre","Octubre","Noviembre","Diciembre"},MONTH(F1042))))</f>
        <v>Julio</v>
      </c>
      <c r="N1042" s="18" t="str">
        <f t="shared" si="50"/>
        <v>Julio|39</v>
      </c>
    </row>
    <row r="1043" spans="1:14" ht="14.5" x14ac:dyDescent="0.25">
      <c r="A1043" s="19">
        <v>33</v>
      </c>
      <c r="B1043" s="18" t="s">
        <v>40</v>
      </c>
      <c r="C1043" s="18" t="s">
        <v>110</v>
      </c>
      <c r="D1043" s="18" t="s">
        <v>1395</v>
      </c>
      <c r="E1043" s="18" t="s">
        <v>891</v>
      </c>
      <c r="F1043" s="101">
        <v>46218.623611111114</v>
      </c>
      <c r="G1043" s="101">
        <v>46223.615277777775</v>
      </c>
      <c r="H1043" s="18" t="s">
        <v>507</v>
      </c>
      <c r="I1043" s="18" t="s">
        <v>508</v>
      </c>
      <c r="J1043" s="18"/>
      <c r="K1043" s="21">
        <f t="shared" si="48"/>
        <v>119.79999999987194</v>
      </c>
      <c r="L1043" s="19">
        <f t="shared" si="49"/>
        <v>39</v>
      </c>
      <c r="M1043" s="18" t="str">
        <f>IF(I1043&lt;&gt;"Sí","",IF(YEAR(F1043)&lt;&gt;2026,"",INDEX({"Enero","Febrero","Marzo","Abril","Mayo","Junio","Julio","Agosto","Septiembre","Octubre","Noviembre","Diciembre"},MONTH(F1043))))</f>
        <v>Julio</v>
      </c>
      <c r="N1043" s="18" t="str">
        <f t="shared" si="50"/>
        <v>Julio|39</v>
      </c>
    </row>
    <row r="1044" spans="1:14" ht="14.5" x14ac:dyDescent="0.25">
      <c r="A1044" s="19">
        <v>33</v>
      </c>
      <c r="B1044" s="18" t="s">
        <v>40</v>
      </c>
      <c r="C1044" s="18" t="s">
        <v>92</v>
      </c>
      <c r="D1044" s="18" t="s">
        <v>1580</v>
      </c>
      <c r="E1044" s="18" t="s">
        <v>1602</v>
      </c>
      <c r="F1044" s="101">
        <v>46218.729166666664</v>
      </c>
      <c r="G1044" s="101">
        <v>46220.768055555556</v>
      </c>
      <c r="H1044" s="18" t="s">
        <v>507</v>
      </c>
      <c r="I1044" s="18" t="s">
        <v>508</v>
      </c>
      <c r="J1044" s="18"/>
      <c r="K1044" s="21">
        <f t="shared" si="48"/>
        <v>48.933333333407063</v>
      </c>
      <c r="L1044" s="19">
        <f t="shared" si="49"/>
        <v>49</v>
      </c>
      <c r="M1044" s="18" t="str">
        <f>IF(I1044&lt;&gt;"Sí","",IF(YEAR(F1044)&lt;&gt;2026,"",INDEX({"Enero","Febrero","Marzo","Abril","Mayo","Junio","Julio","Agosto","Septiembre","Octubre","Noviembre","Diciembre"},MONTH(F1044))))</f>
        <v>Julio</v>
      </c>
      <c r="N1044" s="18" t="str">
        <f t="shared" si="50"/>
        <v>Julio|49</v>
      </c>
    </row>
    <row r="1045" spans="1:14" ht="14.5" x14ac:dyDescent="0.25">
      <c r="A1045" s="19">
        <v>33</v>
      </c>
      <c r="B1045" s="18" t="s">
        <v>40</v>
      </c>
      <c r="C1045" s="18" t="s">
        <v>92</v>
      </c>
      <c r="D1045" s="18" t="s">
        <v>1580</v>
      </c>
      <c r="E1045" s="18" t="s">
        <v>1603</v>
      </c>
      <c r="F1045" s="101">
        <v>46218.729166666664</v>
      </c>
      <c r="G1045" s="101">
        <v>46220.768055555556</v>
      </c>
      <c r="H1045" s="18" t="s">
        <v>507</v>
      </c>
      <c r="I1045" s="18" t="s">
        <v>508</v>
      </c>
      <c r="J1045" s="18"/>
      <c r="K1045" s="21">
        <f t="shared" si="48"/>
        <v>48.933333333407063</v>
      </c>
      <c r="L1045" s="19">
        <f t="shared" si="49"/>
        <v>49</v>
      </c>
      <c r="M1045" s="18" t="str">
        <f>IF(I1045&lt;&gt;"Sí","",IF(YEAR(F1045)&lt;&gt;2026,"",INDEX({"Enero","Febrero","Marzo","Abril","Mayo","Junio","Julio","Agosto","Septiembre","Octubre","Noviembre","Diciembre"},MONTH(F1045))))</f>
        <v>Julio</v>
      </c>
      <c r="N1045" s="18" t="str">
        <f t="shared" si="50"/>
        <v>Julio|49</v>
      </c>
    </row>
    <row r="1046" spans="1:14" ht="14.5" x14ac:dyDescent="0.25">
      <c r="A1046" s="19">
        <v>33</v>
      </c>
      <c r="B1046" s="18" t="s">
        <v>40</v>
      </c>
      <c r="C1046" s="18" t="s">
        <v>92</v>
      </c>
      <c r="D1046" s="18" t="s">
        <v>1580</v>
      </c>
      <c r="E1046" s="18" t="s">
        <v>1604</v>
      </c>
      <c r="F1046" s="101">
        <v>46218.729166666664</v>
      </c>
      <c r="G1046" s="101">
        <v>46220.768055555556</v>
      </c>
      <c r="H1046" s="18" t="s">
        <v>507</v>
      </c>
      <c r="I1046" s="18" t="s">
        <v>508</v>
      </c>
      <c r="J1046" s="18"/>
      <c r="K1046" s="21">
        <f t="shared" si="48"/>
        <v>48.933333333407063</v>
      </c>
      <c r="L1046" s="19">
        <f t="shared" si="49"/>
        <v>49</v>
      </c>
      <c r="M1046" s="18" t="str">
        <f>IF(I1046&lt;&gt;"Sí","",IF(YEAR(F1046)&lt;&gt;2026,"",INDEX({"Enero","Febrero","Marzo","Abril","Mayo","Junio","Julio","Agosto","Septiembre","Octubre","Noviembre","Diciembre"},MONTH(F1046))))</f>
        <v>Julio</v>
      </c>
      <c r="N1046" s="18" t="str">
        <f t="shared" si="50"/>
        <v>Julio|49</v>
      </c>
    </row>
    <row r="1047" spans="1:14" ht="14.5" x14ac:dyDescent="0.25">
      <c r="A1047" s="19">
        <v>33</v>
      </c>
      <c r="B1047" s="18" t="s">
        <v>40</v>
      </c>
      <c r="C1047" s="18" t="s">
        <v>92</v>
      </c>
      <c r="D1047" s="18" t="s">
        <v>1580</v>
      </c>
      <c r="E1047" s="18" t="s">
        <v>1053</v>
      </c>
      <c r="F1047" s="101">
        <v>46218.729166666664</v>
      </c>
      <c r="G1047" s="101">
        <v>46220.768055555556</v>
      </c>
      <c r="H1047" s="18" t="s">
        <v>507</v>
      </c>
      <c r="I1047" s="18" t="s">
        <v>508</v>
      </c>
      <c r="J1047" s="18"/>
      <c r="K1047" s="21">
        <f t="shared" si="48"/>
        <v>48.933333333407063</v>
      </c>
      <c r="L1047" s="19">
        <f t="shared" si="49"/>
        <v>49</v>
      </c>
      <c r="M1047" s="18" t="str">
        <f>IF(I1047&lt;&gt;"Sí","",IF(YEAR(F1047)&lt;&gt;2026,"",INDEX({"Enero","Febrero","Marzo","Abril","Mayo","Junio","Julio","Agosto","Septiembre","Octubre","Noviembre","Diciembre"},MONTH(F1047))))</f>
        <v>Julio</v>
      </c>
      <c r="N1047" s="18" t="str">
        <f t="shared" si="50"/>
        <v>Julio|49</v>
      </c>
    </row>
    <row r="1048" spans="1:14" ht="14.5" x14ac:dyDescent="0.25">
      <c r="A1048" s="19">
        <v>33</v>
      </c>
      <c r="B1048" s="18" t="s">
        <v>40</v>
      </c>
      <c r="C1048" s="18" t="s">
        <v>92</v>
      </c>
      <c r="D1048" s="18" t="s">
        <v>1580</v>
      </c>
      <c r="E1048" s="18" t="s">
        <v>1605</v>
      </c>
      <c r="F1048" s="101">
        <v>46218.729166666664</v>
      </c>
      <c r="G1048" s="101">
        <v>46220.768055555556</v>
      </c>
      <c r="H1048" s="18" t="s">
        <v>507</v>
      </c>
      <c r="I1048" s="18" t="s">
        <v>508</v>
      </c>
      <c r="J1048" s="18"/>
      <c r="K1048" s="21">
        <f t="shared" si="48"/>
        <v>48.933333333407063</v>
      </c>
      <c r="L1048" s="19">
        <f t="shared" si="49"/>
        <v>49</v>
      </c>
      <c r="M1048" s="18" t="str">
        <f>IF(I1048&lt;&gt;"Sí","",IF(YEAR(F1048)&lt;&gt;2026,"",INDEX({"Enero","Febrero","Marzo","Abril","Mayo","Junio","Julio","Agosto","Septiembre","Octubre","Noviembre","Diciembre"},MONTH(F1048))))</f>
        <v>Julio</v>
      </c>
      <c r="N1048" s="18" t="str">
        <f t="shared" si="50"/>
        <v>Julio|49</v>
      </c>
    </row>
    <row r="1049" spans="1:14" ht="14.5" x14ac:dyDescent="0.25">
      <c r="A1049" s="19">
        <v>33</v>
      </c>
      <c r="B1049" s="18" t="s">
        <v>40</v>
      </c>
      <c r="C1049" s="18" t="s">
        <v>92</v>
      </c>
      <c r="D1049" s="18" t="s">
        <v>1580</v>
      </c>
      <c r="E1049" s="18" t="s">
        <v>1606</v>
      </c>
      <c r="F1049" s="101">
        <v>46218.729166666664</v>
      </c>
      <c r="G1049" s="101">
        <v>46220.768055555556</v>
      </c>
      <c r="H1049" s="18" t="s">
        <v>507</v>
      </c>
      <c r="I1049" s="18" t="s">
        <v>508</v>
      </c>
      <c r="J1049" s="18"/>
      <c r="K1049" s="21">
        <f t="shared" si="48"/>
        <v>48.933333333407063</v>
      </c>
      <c r="L1049" s="19">
        <f t="shared" si="49"/>
        <v>49</v>
      </c>
      <c r="M1049" s="18" t="str">
        <f>IF(I1049&lt;&gt;"Sí","",IF(YEAR(F1049)&lt;&gt;2026,"",INDEX({"Enero","Febrero","Marzo","Abril","Mayo","Junio","Julio","Agosto","Septiembre","Octubre","Noviembre","Diciembre"},MONTH(F1049))))</f>
        <v>Julio</v>
      </c>
      <c r="N1049" s="18" t="str">
        <f t="shared" si="50"/>
        <v>Julio|49</v>
      </c>
    </row>
    <row r="1050" spans="1:14" ht="14.5" x14ac:dyDescent="0.25">
      <c r="A1050" s="19">
        <v>33</v>
      </c>
      <c r="B1050" s="18" t="s">
        <v>40</v>
      </c>
      <c r="C1050" s="18" t="s">
        <v>92</v>
      </c>
      <c r="D1050" s="18" t="s">
        <v>1580</v>
      </c>
      <c r="E1050" s="18" t="s">
        <v>1607</v>
      </c>
      <c r="F1050" s="101">
        <v>46218.729166666664</v>
      </c>
      <c r="G1050" s="101">
        <v>46220.768055555556</v>
      </c>
      <c r="H1050" s="18" t="s">
        <v>507</v>
      </c>
      <c r="I1050" s="18" t="s">
        <v>508</v>
      </c>
      <c r="J1050" s="18"/>
      <c r="K1050" s="21">
        <f t="shared" si="48"/>
        <v>48.933333333407063</v>
      </c>
      <c r="L1050" s="19">
        <f t="shared" si="49"/>
        <v>49</v>
      </c>
      <c r="M1050" s="18" t="str">
        <f>IF(I1050&lt;&gt;"Sí","",IF(YEAR(F1050)&lt;&gt;2026,"",INDEX({"Enero","Febrero","Marzo","Abril","Mayo","Junio","Julio","Agosto","Septiembre","Octubre","Noviembre","Diciembre"},MONTH(F1050))))</f>
        <v>Julio</v>
      </c>
      <c r="N1050" s="18" t="str">
        <f t="shared" si="50"/>
        <v>Julio|49</v>
      </c>
    </row>
    <row r="1051" spans="1:14" ht="14.5" x14ac:dyDescent="0.25">
      <c r="A1051" s="19">
        <v>33</v>
      </c>
      <c r="B1051" s="18" t="s">
        <v>40</v>
      </c>
      <c r="C1051" s="18" t="s">
        <v>110</v>
      </c>
      <c r="D1051" s="18" t="s">
        <v>1395</v>
      </c>
      <c r="E1051" s="18" t="s">
        <v>1608</v>
      </c>
      <c r="F1051" s="101">
        <v>46218.729166666664</v>
      </c>
      <c r="G1051" s="101">
        <v>46223.615277777775</v>
      </c>
      <c r="H1051" s="18" t="s">
        <v>507</v>
      </c>
      <c r="I1051" s="18" t="s">
        <v>508</v>
      </c>
      <c r="J1051" s="18"/>
      <c r="K1051" s="21">
        <f t="shared" si="48"/>
        <v>117.26666666666279</v>
      </c>
      <c r="L1051" s="19">
        <f t="shared" si="49"/>
        <v>49</v>
      </c>
      <c r="M1051" s="18" t="str">
        <f>IF(I1051&lt;&gt;"Sí","",IF(YEAR(F1051)&lt;&gt;2026,"",INDEX({"Enero","Febrero","Marzo","Abril","Mayo","Junio","Julio","Agosto","Septiembre","Octubre","Noviembre","Diciembre"},MONTH(F1051))))</f>
        <v>Julio</v>
      </c>
      <c r="N1051" s="18" t="str">
        <f t="shared" si="50"/>
        <v>Julio|49</v>
      </c>
    </row>
    <row r="1052" spans="1:14" ht="14.5" x14ac:dyDescent="0.25">
      <c r="A1052" s="19">
        <v>33</v>
      </c>
      <c r="B1052" s="18" t="s">
        <v>40</v>
      </c>
      <c r="C1052" s="18" t="s">
        <v>110</v>
      </c>
      <c r="D1052" s="18" t="s">
        <v>1395</v>
      </c>
      <c r="E1052" s="18" t="s">
        <v>1609</v>
      </c>
      <c r="F1052" s="101">
        <v>46218.729166666664</v>
      </c>
      <c r="G1052" s="101">
        <v>46222.724305555559</v>
      </c>
      <c r="H1052" s="18" t="s">
        <v>507</v>
      </c>
      <c r="I1052" s="18" t="s">
        <v>508</v>
      </c>
      <c r="J1052" s="18"/>
      <c r="K1052" s="21">
        <f t="shared" si="48"/>
        <v>95.883333333476912</v>
      </c>
      <c r="L1052" s="19">
        <f t="shared" si="49"/>
        <v>49</v>
      </c>
      <c r="M1052" s="18" t="str">
        <f>IF(I1052&lt;&gt;"Sí","",IF(YEAR(F1052)&lt;&gt;2026,"",INDEX({"Enero","Febrero","Marzo","Abril","Mayo","Junio","Julio","Agosto","Septiembre","Octubre","Noviembre","Diciembre"},MONTH(F1052))))</f>
        <v>Julio</v>
      </c>
      <c r="N1052" s="18" t="str">
        <f t="shared" si="50"/>
        <v>Julio|49</v>
      </c>
    </row>
    <row r="1053" spans="1:14" ht="14.5" x14ac:dyDescent="0.25">
      <c r="A1053" s="19">
        <v>33</v>
      </c>
      <c r="B1053" s="18" t="s">
        <v>40</v>
      </c>
      <c r="C1053" s="18" t="s">
        <v>110</v>
      </c>
      <c r="D1053" s="18" t="s">
        <v>1395</v>
      </c>
      <c r="E1053" s="18" t="s">
        <v>1610</v>
      </c>
      <c r="F1053" s="101">
        <v>46218.729166666664</v>
      </c>
      <c r="G1053" s="101">
        <v>46223.615277777775</v>
      </c>
      <c r="H1053" s="18" t="s">
        <v>507</v>
      </c>
      <c r="I1053" s="18" t="s">
        <v>508</v>
      </c>
      <c r="J1053" s="18"/>
      <c r="K1053" s="21">
        <f t="shared" si="48"/>
        <v>117.26666666666279</v>
      </c>
      <c r="L1053" s="19">
        <f t="shared" si="49"/>
        <v>49</v>
      </c>
      <c r="M1053" s="18" t="str">
        <f>IF(I1053&lt;&gt;"Sí","",IF(YEAR(F1053)&lt;&gt;2026,"",INDEX({"Enero","Febrero","Marzo","Abril","Mayo","Junio","Julio","Agosto","Septiembre","Octubre","Noviembre","Diciembre"},MONTH(F1053))))</f>
        <v>Julio</v>
      </c>
      <c r="N1053" s="18" t="str">
        <f t="shared" si="50"/>
        <v>Julio|49</v>
      </c>
    </row>
    <row r="1054" spans="1:14" ht="14.5" x14ac:dyDescent="0.25">
      <c r="A1054" s="19">
        <v>33</v>
      </c>
      <c r="B1054" s="18" t="s">
        <v>40</v>
      </c>
      <c r="C1054" s="18" t="s">
        <v>95</v>
      </c>
      <c r="D1054" s="18" t="s">
        <v>1611</v>
      </c>
      <c r="E1054" s="18" t="s">
        <v>1612</v>
      </c>
      <c r="F1054" s="101">
        <v>46220.638888888891</v>
      </c>
      <c r="G1054" s="101">
        <v>46228</v>
      </c>
      <c r="H1054" s="18" t="s">
        <v>507</v>
      </c>
      <c r="I1054" s="18" t="s">
        <v>508</v>
      </c>
      <c r="J1054" s="18"/>
      <c r="K1054" s="21">
        <f t="shared" si="48"/>
        <v>176.66666666662786</v>
      </c>
      <c r="L1054" s="19">
        <f t="shared" si="49"/>
        <v>52</v>
      </c>
      <c r="M1054" s="18" t="str">
        <f>IF(I1054&lt;&gt;"Sí","",IF(YEAR(F1054)&lt;&gt;2026,"",INDEX({"Enero","Febrero","Marzo","Abril","Mayo","Junio","Julio","Agosto","Septiembre","Octubre","Noviembre","Diciembre"},MONTH(F1054))))</f>
        <v>Julio</v>
      </c>
      <c r="N1054" s="18" t="str">
        <f t="shared" si="50"/>
        <v>Julio|52</v>
      </c>
    </row>
    <row r="1055" spans="1:14" ht="14.5" x14ac:dyDescent="0.25">
      <c r="A1055" s="19">
        <v>33</v>
      </c>
      <c r="B1055" s="18" t="s">
        <v>40</v>
      </c>
      <c r="C1055" s="18" t="s">
        <v>95</v>
      </c>
      <c r="D1055" s="18" t="s">
        <v>1611</v>
      </c>
      <c r="E1055" s="18" t="s">
        <v>1369</v>
      </c>
      <c r="F1055" s="101">
        <v>46220.638888888891</v>
      </c>
      <c r="G1055" s="101">
        <v>46228.231249999997</v>
      </c>
      <c r="H1055" s="18" t="s">
        <v>507</v>
      </c>
      <c r="I1055" s="18" t="s">
        <v>508</v>
      </c>
      <c r="J1055" s="18"/>
      <c r="K1055" s="21">
        <f t="shared" si="48"/>
        <v>182.21666666655801</v>
      </c>
      <c r="L1055" s="19">
        <f t="shared" si="49"/>
        <v>52</v>
      </c>
      <c r="M1055" s="18" t="str">
        <f>IF(I1055&lt;&gt;"Sí","",IF(YEAR(F1055)&lt;&gt;2026,"",INDEX({"Enero","Febrero","Marzo","Abril","Mayo","Junio","Julio","Agosto","Septiembre","Octubre","Noviembre","Diciembre"},MONTH(F1055))))</f>
        <v>Julio</v>
      </c>
      <c r="N1055" s="18" t="str">
        <f t="shared" si="50"/>
        <v>Julio|52</v>
      </c>
    </row>
    <row r="1056" spans="1:14" ht="14.5" x14ac:dyDescent="0.25">
      <c r="A1056" s="19">
        <v>33</v>
      </c>
      <c r="B1056" s="18" t="s">
        <v>40</v>
      </c>
      <c r="C1056" s="18" t="s">
        <v>95</v>
      </c>
      <c r="D1056" s="18" t="s">
        <v>1611</v>
      </c>
      <c r="E1056" s="18" t="s">
        <v>1613</v>
      </c>
      <c r="F1056" s="101">
        <v>46220.638888888891</v>
      </c>
      <c r="G1056" s="101">
        <v>46228.229166666664</v>
      </c>
      <c r="H1056" s="18" t="s">
        <v>507</v>
      </c>
      <c r="I1056" s="18" t="s">
        <v>508</v>
      </c>
      <c r="J1056" s="18"/>
      <c r="K1056" s="21">
        <f t="shared" si="48"/>
        <v>182.16666666656965</v>
      </c>
      <c r="L1056" s="19">
        <f t="shared" si="49"/>
        <v>52</v>
      </c>
      <c r="M1056" s="18" t="str">
        <f>IF(I1056&lt;&gt;"Sí","",IF(YEAR(F1056)&lt;&gt;2026,"",INDEX({"Enero","Febrero","Marzo","Abril","Mayo","Junio","Julio","Agosto","Septiembre","Octubre","Noviembre","Diciembre"},MONTH(F1056))))</f>
        <v>Julio</v>
      </c>
      <c r="N1056" s="18" t="str">
        <f t="shared" si="50"/>
        <v>Julio|52</v>
      </c>
    </row>
    <row r="1057" spans="1:14" ht="14.5" x14ac:dyDescent="0.25">
      <c r="A1057" s="19">
        <v>33</v>
      </c>
      <c r="B1057" s="18" t="s">
        <v>40</v>
      </c>
      <c r="C1057" s="18" t="s">
        <v>95</v>
      </c>
      <c r="D1057" s="18" t="s">
        <v>1611</v>
      </c>
      <c r="E1057" s="18" t="s">
        <v>1614</v>
      </c>
      <c r="F1057" s="101">
        <v>46220.638888888891</v>
      </c>
      <c r="G1057" s="101">
        <v>46228.234027777777</v>
      </c>
      <c r="H1057" s="18" t="s">
        <v>507</v>
      </c>
      <c r="I1057" s="18" t="s">
        <v>508</v>
      </c>
      <c r="J1057" s="18"/>
      <c r="K1057" s="21">
        <f t="shared" si="48"/>
        <v>182.28333333326736</v>
      </c>
      <c r="L1057" s="19">
        <f t="shared" si="49"/>
        <v>52</v>
      </c>
      <c r="M1057" s="18" t="str">
        <f>IF(I1057&lt;&gt;"Sí","",IF(YEAR(F1057)&lt;&gt;2026,"",INDEX({"Enero","Febrero","Marzo","Abril","Mayo","Junio","Julio","Agosto","Septiembre","Octubre","Noviembre","Diciembre"},MONTH(F1057))))</f>
        <v>Julio</v>
      </c>
      <c r="N1057" s="18" t="str">
        <f t="shared" si="50"/>
        <v>Julio|52</v>
      </c>
    </row>
    <row r="1058" spans="1:14" ht="14.5" x14ac:dyDescent="0.25">
      <c r="A1058" s="19">
        <v>33</v>
      </c>
      <c r="B1058" s="18" t="s">
        <v>40</v>
      </c>
      <c r="C1058" s="18" t="s">
        <v>112</v>
      </c>
      <c r="D1058" s="18" t="s">
        <v>1615</v>
      </c>
      <c r="E1058" s="18" t="s">
        <v>1616</v>
      </c>
      <c r="F1058" s="101">
        <v>46220.640277777777</v>
      </c>
      <c r="G1058" s="101">
        <v>46231.263888888891</v>
      </c>
      <c r="H1058" s="18" t="s">
        <v>507</v>
      </c>
      <c r="I1058" s="18" t="s">
        <v>508</v>
      </c>
      <c r="J1058" s="18"/>
      <c r="K1058" s="21">
        <f t="shared" si="48"/>
        <v>254.96666666673264</v>
      </c>
      <c r="L1058" s="19">
        <f t="shared" si="49"/>
        <v>54</v>
      </c>
      <c r="M1058" s="18" t="str">
        <f>IF(I1058&lt;&gt;"Sí","",IF(YEAR(F1058)&lt;&gt;2026,"",INDEX({"Enero","Febrero","Marzo","Abril","Mayo","Junio","Julio","Agosto","Septiembre","Octubre","Noviembre","Diciembre"},MONTH(F1058))))</f>
        <v>Julio</v>
      </c>
      <c r="N1058" s="18" t="str">
        <f t="shared" si="50"/>
        <v>Julio|54</v>
      </c>
    </row>
    <row r="1059" spans="1:14" ht="14.5" x14ac:dyDescent="0.25">
      <c r="A1059" s="19">
        <v>33</v>
      </c>
      <c r="B1059" s="18" t="s">
        <v>40</v>
      </c>
      <c r="C1059" s="18" t="s">
        <v>97</v>
      </c>
      <c r="D1059" s="18" t="s">
        <v>1617</v>
      </c>
      <c r="E1059" s="18" t="s">
        <v>1618</v>
      </c>
      <c r="F1059" s="101">
        <v>46220.640277777777</v>
      </c>
      <c r="G1059" s="101">
        <v>46235.12777777778</v>
      </c>
      <c r="H1059" s="18" t="s">
        <v>507</v>
      </c>
      <c r="I1059" s="18" t="s">
        <v>508</v>
      </c>
      <c r="J1059" s="18"/>
      <c r="K1059" s="21">
        <f t="shared" si="48"/>
        <v>347.70000000006985</v>
      </c>
      <c r="L1059" s="19">
        <f t="shared" si="49"/>
        <v>54</v>
      </c>
      <c r="M1059" s="18" t="str">
        <f>IF(I1059&lt;&gt;"Sí","",IF(YEAR(F1059)&lt;&gt;2026,"",INDEX({"Enero","Febrero","Marzo","Abril","Mayo","Junio","Julio","Agosto","Septiembre","Octubre","Noviembre","Diciembre"},MONTH(F1059))))</f>
        <v>Julio</v>
      </c>
      <c r="N1059" s="18" t="str">
        <f t="shared" si="50"/>
        <v>Julio|54</v>
      </c>
    </row>
    <row r="1060" spans="1:14" ht="14.5" x14ac:dyDescent="0.25">
      <c r="A1060" s="19">
        <v>33</v>
      </c>
      <c r="B1060" s="18" t="s">
        <v>40</v>
      </c>
      <c r="C1060" s="18" t="s">
        <v>95</v>
      </c>
      <c r="D1060" s="18" t="s">
        <v>1611</v>
      </c>
      <c r="E1060" s="18" t="s">
        <v>1619</v>
      </c>
      <c r="F1060" s="101">
        <v>46221.47152777778</v>
      </c>
      <c r="G1060" s="101">
        <v>46228.236805555556</v>
      </c>
      <c r="H1060" s="18" t="s">
        <v>507</v>
      </c>
      <c r="I1060" s="18" t="s">
        <v>508</v>
      </c>
      <c r="J1060" s="18"/>
      <c r="K1060" s="21">
        <f t="shared" si="48"/>
        <v>162.3666666666395</v>
      </c>
      <c r="L1060" s="19">
        <f t="shared" si="49"/>
        <v>42</v>
      </c>
      <c r="M1060" s="18" t="str">
        <f>IF(I1060&lt;&gt;"Sí","",IF(YEAR(F1060)&lt;&gt;2026,"",INDEX({"Enero","Febrero","Marzo","Abril","Mayo","Junio","Julio","Agosto","Septiembre","Octubre","Noviembre","Diciembre"},MONTH(F1060))))</f>
        <v>Julio</v>
      </c>
      <c r="N1060" s="18" t="str">
        <f t="shared" si="50"/>
        <v>Julio|42</v>
      </c>
    </row>
    <row r="1061" spans="1:14" ht="14.5" x14ac:dyDescent="0.25">
      <c r="A1061" s="19">
        <v>33</v>
      </c>
      <c r="B1061" s="18" t="s">
        <v>40</v>
      </c>
      <c r="C1061" s="18" t="s">
        <v>95</v>
      </c>
      <c r="D1061" s="18" t="s">
        <v>1611</v>
      </c>
      <c r="E1061" s="18" t="s">
        <v>1620</v>
      </c>
      <c r="F1061" s="101">
        <v>46221.47152777778</v>
      </c>
      <c r="G1061" s="101">
        <v>46228.041666666664</v>
      </c>
      <c r="H1061" s="18" t="s">
        <v>507</v>
      </c>
      <c r="I1061" s="18" t="s">
        <v>508</v>
      </c>
      <c r="J1061" s="18"/>
      <c r="K1061" s="21">
        <f t="shared" si="48"/>
        <v>157.68333333323244</v>
      </c>
      <c r="L1061" s="19">
        <f t="shared" si="49"/>
        <v>42</v>
      </c>
      <c r="M1061" s="18" t="str">
        <f>IF(I1061&lt;&gt;"Sí","",IF(YEAR(F1061)&lt;&gt;2026,"",INDEX({"Enero","Febrero","Marzo","Abril","Mayo","Junio","Julio","Agosto","Septiembre","Octubre","Noviembre","Diciembre"},MONTH(F1061))))</f>
        <v>Julio</v>
      </c>
      <c r="N1061" s="18" t="str">
        <f t="shared" si="50"/>
        <v>Julio|42</v>
      </c>
    </row>
    <row r="1062" spans="1:14" ht="14.5" x14ac:dyDescent="0.25">
      <c r="A1062" s="19">
        <v>34</v>
      </c>
      <c r="B1062" s="18" t="s">
        <v>41</v>
      </c>
      <c r="C1062" s="18" t="s">
        <v>99</v>
      </c>
      <c r="D1062" s="18" t="s">
        <v>1621</v>
      </c>
      <c r="E1062" s="18" t="s">
        <v>1622</v>
      </c>
      <c r="F1062" s="101">
        <v>46221.490972222222</v>
      </c>
      <c r="G1062" s="101">
        <v>46242.055555555555</v>
      </c>
      <c r="H1062" s="18" t="s">
        <v>507</v>
      </c>
      <c r="I1062" s="18" t="s">
        <v>508</v>
      </c>
      <c r="J1062" s="18"/>
      <c r="K1062" s="21">
        <f t="shared" si="48"/>
        <v>493.54999999998836</v>
      </c>
      <c r="L1062" s="19">
        <f t="shared" si="49"/>
        <v>43</v>
      </c>
      <c r="M1062" s="18" t="str">
        <f>IF(I1062&lt;&gt;"Sí","",IF(YEAR(F1062)&lt;&gt;2026,"",INDEX({"Enero","Febrero","Marzo","Abril","Mayo","Junio","Julio","Agosto","Septiembre","Octubre","Noviembre","Diciembre"},MONTH(F1062))))</f>
        <v>Julio</v>
      </c>
      <c r="N1062" s="18" t="str">
        <f t="shared" si="50"/>
        <v>Julio|43</v>
      </c>
    </row>
    <row r="1063" spans="1:14" ht="14.5" x14ac:dyDescent="0.25">
      <c r="A1063" s="19">
        <v>33</v>
      </c>
      <c r="B1063" s="18" t="s">
        <v>40</v>
      </c>
      <c r="C1063" s="18" t="s">
        <v>95</v>
      </c>
      <c r="D1063" s="18" t="s">
        <v>1611</v>
      </c>
      <c r="E1063" s="18" t="s">
        <v>1623</v>
      </c>
      <c r="F1063" s="101">
        <v>46223.504166666666</v>
      </c>
      <c r="G1063" s="101">
        <v>46228.245138888888</v>
      </c>
      <c r="H1063" s="18" t="s">
        <v>507</v>
      </c>
      <c r="I1063" s="18" t="s">
        <v>508</v>
      </c>
      <c r="J1063" s="18"/>
      <c r="K1063" s="21">
        <f t="shared" si="48"/>
        <v>113.78333333332557</v>
      </c>
      <c r="L1063" s="19">
        <f t="shared" si="49"/>
        <v>16</v>
      </c>
      <c r="M1063" s="18" t="str">
        <f>IF(I1063&lt;&gt;"Sí","",IF(YEAR(F1063)&lt;&gt;2026,"",INDEX({"Enero","Febrero","Marzo","Abril","Mayo","Junio","Julio","Agosto","Septiembre","Octubre","Noviembre","Diciembre"},MONTH(F1063))))</f>
        <v>Julio</v>
      </c>
      <c r="N1063" s="18" t="str">
        <f t="shared" si="50"/>
        <v>Julio|16</v>
      </c>
    </row>
    <row r="1064" spans="1:14" ht="14.5" x14ac:dyDescent="0.25">
      <c r="A1064" s="19">
        <v>33</v>
      </c>
      <c r="B1064" s="18" t="s">
        <v>40</v>
      </c>
      <c r="C1064" s="18" t="s">
        <v>95</v>
      </c>
      <c r="D1064" s="18" t="s">
        <v>1611</v>
      </c>
      <c r="E1064" s="18" t="s">
        <v>1624</v>
      </c>
      <c r="F1064" s="101">
        <v>46223.504166666666</v>
      </c>
      <c r="G1064" s="101">
        <v>46228.242361111108</v>
      </c>
      <c r="H1064" s="18" t="s">
        <v>507</v>
      </c>
      <c r="I1064" s="18" t="s">
        <v>508</v>
      </c>
      <c r="J1064" s="18"/>
      <c r="K1064" s="21">
        <f t="shared" si="48"/>
        <v>113.71666666661622</v>
      </c>
      <c r="L1064" s="19">
        <f t="shared" si="49"/>
        <v>16</v>
      </c>
      <c r="M1064" s="18" t="str">
        <f>IF(I1064&lt;&gt;"Sí","",IF(YEAR(F1064)&lt;&gt;2026,"",INDEX({"Enero","Febrero","Marzo","Abril","Mayo","Junio","Julio","Agosto","Septiembre","Octubre","Noviembre","Diciembre"},MONTH(F1064))))</f>
        <v>Julio</v>
      </c>
      <c r="N1064" s="18" t="str">
        <f t="shared" si="50"/>
        <v>Julio|16</v>
      </c>
    </row>
    <row r="1065" spans="1:14" ht="14.5" x14ac:dyDescent="0.25">
      <c r="A1065" s="19">
        <v>34</v>
      </c>
      <c r="B1065" s="18" t="s">
        <v>41</v>
      </c>
      <c r="C1065" s="18" t="s">
        <v>1054</v>
      </c>
      <c r="D1065" s="18" t="s">
        <v>1625</v>
      </c>
      <c r="E1065" s="18" t="s">
        <v>1626</v>
      </c>
      <c r="F1065" s="101">
        <v>46223.504166666666</v>
      </c>
      <c r="G1065" s="101">
        <v>46240.795138888891</v>
      </c>
      <c r="H1065" s="18" t="s">
        <v>507</v>
      </c>
      <c r="I1065" s="18" t="s">
        <v>508</v>
      </c>
      <c r="J1065" s="18"/>
      <c r="K1065" s="21">
        <f t="shared" si="48"/>
        <v>414.98333333339542</v>
      </c>
      <c r="L1065" s="19">
        <f t="shared" si="49"/>
        <v>16</v>
      </c>
      <c r="M1065" s="18" t="str">
        <f>IF(I1065&lt;&gt;"Sí","",IF(YEAR(F1065)&lt;&gt;2026,"",INDEX({"Enero","Febrero","Marzo","Abril","Mayo","Junio","Julio","Agosto","Septiembre","Octubre","Noviembre","Diciembre"},MONTH(F1065))))</f>
        <v>Julio</v>
      </c>
      <c r="N1065" s="18" t="str">
        <f t="shared" si="50"/>
        <v>Julio|16</v>
      </c>
    </row>
    <row r="1066" spans="1:14" ht="14.5" x14ac:dyDescent="0.25">
      <c r="A1066" s="19">
        <v>33</v>
      </c>
      <c r="B1066" s="18" t="s">
        <v>40</v>
      </c>
      <c r="C1066" s="18" t="s">
        <v>95</v>
      </c>
      <c r="D1066" s="18" t="s">
        <v>1611</v>
      </c>
      <c r="E1066" s="18" t="s">
        <v>1627</v>
      </c>
      <c r="F1066" s="101">
        <v>46223.538888888892</v>
      </c>
      <c r="G1066" s="101">
        <v>46228.239583333336</v>
      </c>
      <c r="H1066" s="18" t="s">
        <v>507</v>
      </c>
      <c r="I1066" s="18" t="s">
        <v>508</v>
      </c>
      <c r="J1066" s="18"/>
      <c r="K1066" s="21">
        <f t="shared" si="48"/>
        <v>112.81666666665114</v>
      </c>
      <c r="L1066" s="19">
        <f t="shared" si="49"/>
        <v>17</v>
      </c>
      <c r="M1066" s="18" t="str">
        <f>IF(I1066&lt;&gt;"Sí","",IF(YEAR(F1066)&lt;&gt;2026,"",INDEX({"Enero","Febrero","Marzo","Abril","Mayo","Junio","Julio","Agosto","Septiembre","Octubre","Noviembre","Diciembre"},MONTH(F1066))))</f>
        <v>Julio</v>
      </c>
      <c r="N1066" s="18" t="str">
        <f t="shared" si="50"/>
        <v>Julio|17</v>
      </c>
    </row>
    <row r="1067" spans="1:14" ht="14.5" x14ac:dyDescent="0.25">
      <c r="A1067" s="19">
        <v>33</v>
      </c>
      <c r="B1067" s="18" t="s">
        <v>40</v>
      </c>
      <c r="C1067" s="18" t="s">
        <v>112</v>
      </c>
      <c r="D1067" s="18" t="s">
        <v>1615</v>
      </c>
      <c r="E1067" s="18" t="s">
        <v>1628</v>
      </c>
      <c r="F1067" s="101">
        <v>46223.601388888892</v>
      </c>
      <c r="G1067" s="101">
        <v>46230.73333333333</v>
      </c>
      <c r="H1067" s="18" t="s">
        <v>507</v>
      </c>
      <c r="I1067" s="18" t="s">
        <v>508</v>
      </c>
      <c r="J1067" s="18"/>
      <c r="K1067" s="21">
        <f t="shared" si="48"/>
        <v>171.16666666651145</v>
      </c>
      <c r="L1067" s="19">
        <f t="shared" si="49"/>
        <v>19</v>
      </c>
      <c r="M1067" s="18" t="str">
        <f>IF(I1067&lt;&gt;"Sí","",IF(YEAR(F1067)&lt;&gt;2026,"",INDEX({"Enero","Febrero","Marzo","Abril","Mayo","Junio","Julio","Agosto","Septiembre","Octubre","Noviembre","Diciembre"},MONTH(F1067))))</f>
        <v>Julio</v>
      </c>
      <c r="N1067" s="18" t="str">
        <f t="shared" si="50"/>
        <v>Julio|19</v>
      </c>
    </row>
    <row r="1068" spans="1:14" ht="14.5" x14ac:dyDescent="0.25">
      <c r="A1068" s="19">
        <v>33</v>
      </c>
      <c r="B1068" s="18" t="s">
        <v>40</v>
      </c>
      <c r="C1068" s="18" t="s">
        <v>112</v>
      </c>
      <c r="D1068" s="18" t="s">
        <v>1615</v>
      </c>
      <c r="E1068" s="18" t="s">
        <v>1629</v>
      </c>
      <c r="F1068" s="101">
        <v>46223.601388888892</v>
      </c>
      <c r="G1068" s="101">
        <v>46230.92291666667</v>
      </c>
      <c r="H1068" s="18" t="s">
        <v>507</v>
      </c>
      <c r="I1068" s="18" t="s">
        <v>508</v>
      </c>
      <c r="J1068" s="18"/>
      <c r="K1068" s="21">
        <f t="shared" si="48"/>
        <v>175.71666666667443</v>
      </c>
      <c r="L1068" s="19">
        <f t="shared" si="49"/>
        <v>19</v>
      </c>
      <c r="M1068" s="18" t="str">
        <f>IF(I1068&lt;&gt;"Sí","",IF(YEAR(F1068)&lt;&gt;2026,"",INDEX({"Enero","Febrero","Marzo","Abril","Mayo","Junio","Julio","Agosto","Septiembre","Octubre","Noviembre","Diciembre"},MONTH(F1068))))</f>
        <v>Julio</v>
      </c>
      <c r="N1068" s="18" t="str">
        <f t="shared" si="50"/>
        <v>Julio|19</v>
      </c>
    </row>
    <row r="1069" spans="1:14" ht="14.5" x14ac:dyDescent="0.25">
      <c r="A1069" s="19">
        <v>33</v>
      </c>
      <c r="B1069" s="18" t="s">
        <v>40</v>
      </c>
      <c r="C1069" s="18" t="s">
        <v>95</v>
      </c>
      <c r="D1069" s="18" t="s">
        <v>1611</v>
      </c>
      <c r="E1069" s="18" t="s">
        <v>1630</v>
      </c>
      <c r="F1069" s="101">
        <v>46224.49722222222</v>
      </c>
      <c r="G1069" s="101">
        <v>46228.227083333331</v>
      </c>
      <c r="H1069" s="18" t="s">
        <v>507</v>
      </c>
      <c r="I1069" s="18" t="s">
        <v>508</v>
      </c>
      <c r="J1069" s="18"/>
      <c r="K1069" s="21">
        <f t="shared" si="48"/>
        <v>89.516666666662786</v>
      </c>
      <c r="L1069" s="19">
        <f t="shared" si="49"/>
        <v>16</v>
      </c>
      <c r="M1069" s="18" t="str">
        <f>IF(I1069&lt;&gt;"Sí","",IF(YEAR(F1069)&lt;&gt;2026,"",INDEX({"Enero","Febrero","Marzo","Abril","Mayo","Junio","Julio","Agosto","Septiembre","Octubre","Noviembre","Diciembre"},MONTH(F1069))))</f>
        <v>Julio</v>
      </c>
      <c r="N1069" s="18" t="str">
        <f t="shared" si="50"/>
        <v>Julio|16</v>
      </c>
    </row>
    <row r="1070" spans="1:14" ht="14.5" x14ac:dyDescent="0.25">
      <c r="A1070" s="19">
        <v>33</v>
      </c>
      <c r="B1070" s="18" t="s">
        <v>40</v>
      </c>
      <c r="C1070" s="18" t="s">
        <v>95</v>
      </c>
      <c r="D1070" s="18" t="s">
        <v>1611</v>
      </c>
      <c r="E1070" s="18" t="s">
        <v>1631</v>
      </c>
      <c r="F1070" s="101">
        <v>46224.533333333333</v>
      </c>
      <c r="G1070" s="101">
        <v>46228.224999999999</v>
      </c>
      <c r="H1070" s="18" t="s">
        <v>507</v>
      </c>
      <c r="I1070" s="18" t="s">
        <v>508</v>
      </c>
      <c r="J1070" s="18"/>
      <c r="K1070" s="21">
        <f t="shared" si="48"/>
        <v>88.599999999976717</v>
      </c>
      <c r="L1070" s="19">
        <f t="shared" si="49"/>
        <v>18</v>
      </c>
      <c r="M1070" s="18" t="str">
        <f>IF(I1070&lt;&gt;"Sí","",IF(YEAR(F1070)&lt;&gt;2026,"",INDEX({"Enero","Febrero","Marzo","Abril","Mayo","Junio","Julio","Agosto","Septiembre","Octubre","Noviembre","Diciembre"},MONTH(F1070))))</f>
        <v>Julio</v>
      </c>
      <c r="N1070" s="18" t="str">
        <f t="shared" si="50"/>
        <v>Julio|18</v>
      </c>
    </row>
    <row r="1071" spans="1:14" ht="14.5" x14ac:dyDescent="0.25">
      <c r="A1071" s="19">
        <v>33</v>
      </c>
      <c r="B1071" s="18" t="s">
        <v>40</v>
      </c>
      <c r="C1071" s="18" t="s">
        <v>95</v>
      </c>
      <c r="D1071" s="18" t="s">
        <v>1611</v>
      </c>
      <c r="E1071" s="18" t="s">
        <v>1632</v>
      </c>
      <c r="F1071" s="101">
        <v>46224.533333333333</v>
      </c>
      <c r="G1071" s="101">
        <v>46228.222916666666</v>
      </c>
      <c r="H1071" s="18" t="s">
        <v>507</v>
      </c>
      <c r="I1071" s="18" t="s">
        <v>508</v>
      </c>
      <c r="J1071" s="18"/>
      <c r="K1071" s="21">
        <f t="shared" si="48"/>
        <v>88.549999999988358</v>
      </c>
      <c r="L1071" s="19">
        <f t="shared" si="49"/>
        <v>18</v>
      </c>
      <c r="M1071" s="18" t="str">
        <f>IF(I1071&lt;&gt;"Sí","",IF(YEAR(F1071)&lt;&gt;2026,"",INDEX({"Enero","Febrero","Marzo","Abril","Mayo","Junio","Julio","Agosto","Septiembre","Octubre","Noviembre","Diciembre"},MONTH(F1071))))</f>
        <v>Julio</v>
      </c>
      <c r="N1071" s="18" t="str">
        <f t="shared" si="50"/>
        <v>Julio|18</v>
      </c>
    </row>
    <row r="1072" spans="1:14" ht="14.5" x14ac:dyDescent="0.25">
      <c r="A1072" s="19">
        <v>33</v>
      </c>
      <c r="B1072" s="18" t="s">
        <v>40</v>
      </c>
      <c r="C1072" s="18" t="s">
        <v>95</v>
      </c>
      <c r="D1072" s="18" t="s">
        <v>1611</v>
      </c>
      <c r="E1072" s="18" t="s">
        <v>1633</v>
      </c>
      <c r="F1072" s="101">
        <v>46224.625694444447</v>
      </c>
      <c r="G1072" s="101">
        <v>46228.220138888886</v>
      </c>
      <c r="H1072" s="18" t="s">
        <v>507</v>
      </c>
      <c r="I1072" s="18" t="s">
        <v>508</v>
      </c>
      <c r="J1072" s="18"/>
      <c r="K1072" s="21">
        <f t="shared" si="48"/>
        <v>86.266666666546371</v>
      </c>
      <c r="L1072" s="19">
        <f t="shared" si="49"/>
        <v>19</v>
      </c>
      <c r="M1072" s="18" t="str">
        <f>IF(I1072&lt;&gt;"Sí","",IF(YEAR(F1072)&lt;&gt;2026,"",INDEX({"Enero","Febrero","Marzo","Abril","Mayo","Junio","Julio","Agosto","Septiembre","Octubre","Noviembre","Diciembre"},MONTH(F1072))))</f>
        <v>Julio</v>
      </c>
      <c r="N1072" s="18" t="str">
        <f t="shared" si="50"/>
        <v>Julio|19</v>
      </c>
    </row>
    <row r="1073" spans="1:14" ht="14.5" x14ac:dyDescent="0.25">
      <c r="A1073" s="19">
        <v>33</v>
      </c>
      <c r="B1073" s="18" t="s">
        <v>40</v>
      </c>
      <c r="C1073" s="18" t="s">
        <v>95</v>
      </c>
      <c r="D1073" s="18" t="s">
        <v>1611</v>
      </c>
      <c r="E1073" s="18" t="s">
        <v>1634</v>
      </c>
      <c r="F1073" s="101">
        <v>46225</v>
      </c>
      <c r="G1073" s="101">
        <v>46227.833333333336</v>
      </c>
      <c r="H1073" s="18" t="s">
        <v>507</v>
      </c>
      <c r="I1073" s="18" t="s">
        <v>508</v>
      </c>
      <c r="J1073" s="18"/>
      <c r="K1073" s="21">
        <f t="shared" si="48"/>
        <v>68.000000000058208</v>
      </c>
      <c r="L1073" s="19">
        <f t="shared" si="49"/>
        <v>20</v>
      </c>
      <c r="M1073" s="18" t="str">
        <f>IF(I1073&lt;&gt;"Sí","",IF(YEAR(F1073)&lt;&gt;2026,"",INDEX({"Enero","Febrero","Marzo","Abril","Mayo","Junio","Julio","Agosto","Septiembre","Octubre","Noviembre","Diciembre"},MONTH(F1073))))</f>
        <v>Julio</v>
      </c>
      <c r="N1073" s="18" t="str">
        <f t="shared" si="50"/>
        <v>Julio|20</v>
      </c>
    </row>
    <row r="1074" spans="1:14" ht="14.5" x14ac:dyDescent="0.25">
      <c r="A1074" s="19">
        <v>33</v>
      </c>
      <c r="B1074" s="18" t="s">
        <v>40</v>
      </c>
      <c r="C1074" s="18" t="s">
        <v>106</v>
      </c>
      <c r="D1074" s="18" t="s">
        <v>1635</v>
      </c>
      <c r="E1074" s="18" t="s">
        <v>1636</v>
      </c>
      <c r="F1074" s="101"/>
      <c r="G1074" s="101">
        <v>46225.36041666667</v>
      </c>
      <c r="H1074" s="18" t="s">
        <v>554</v>
      </c>
      <c r="I1074" s="18" t="s">
        <v>555</v>
      </c>
      <c r="J1074" s="18" t="s">
        <v>556</v>
      </c>
      <c r="K1074" s="21" t="str">
        <f t="shared" si="48"/>
        <v/>
      </c>
      <c r="L1074" s="19" t="str">
        <f t="shared" si="49"/>
        <v/>
      </c>
      <c r="M1074" s="18" t="str">
        <f>IF(I1074&lt;&gt;"Sí","",IF(YEAR(F1074)&lt;&gt;2026,"",INDEX({"Enero","Febrero","Marzo","Abril","Mayo","Junio","Julio","Agosto","Septiembre","Octubre","Noviembre","Diciembre"},MONTH(F1074))))</f>
        <v/>
      </c>
      <c r="N1074" s="18" t="str">
        <f t="shared" si="50"/>
        <v/>
      </c>
    </row>
    <row r="1075" spans="1:14" ht="14.5" x14ac:dyDescent="0.25">
      <c r="A1075" s="19">
        <v>33</v>
      </c>
      <c r="B1075" s="18" t="s">
        <v>40</v>
      </c>
      <c r="C1075" s="18" t="s">
        <v>106</v>
      </c>
      <c r="D1075" s="18" t="s">
        <v>1635</v>
      </c>
      <c r="E1075" s="18" t="s">
        <v>1636</v>
      </c>
      <c r="F1075" s="101">
        <v>46225.387499999997</v>
      </c>
      <c r="G1075" s="101">
        <v>46230.582638888889</v>
      </c>
      <c r="H1075" s="18" t="s">
        <v>554</v>
      </c>
      <c r="I1075" s="18" t="s">
        <v>508</v>
      </c>
      <c r="J1075" s="18"/>
      <c r="K1075" s="21">
        <f t="shared" si="48"/>
        <v>124.68333333340706</v>
      </c>
      <c r="L1075" s="19">
        <f t="shared" si="49"/>
        <v>21</v>
      </c>
      <c r="M1075" s="18" t="str">
        <f>IF(I1075&lt;&gt;"Sí","",IF(YEAR(F1075)&lt;&gt;2026,"",INDEX({"Enero","Febrero","Marzo","Abril","Mayo","Junio","Julio","Agosto","Septiembre","Octubre","Noviembre","Diciembre"},MONTH(F1075))))</f>
        <v>Julio</v>
      </c>
      <c r="N1075" s="18" t="str">
        <f t="shared" si="50"/>
        <v>Julio|21</v>
      </c>
    </row>
    <row r="1076" spans="1:14" ht="14.5" x14ac:dyDescent="0.25">
      <c r="A1076" s="19">
        <v>33</v>
      </c>
      <c r="B1076" s="18" t="s">
        <v>40</v>
      </c>
      <c r="C1076" s="18" t="s">
        <v>95</v>
      </c>
      <c r="D1076" s="18" t="s">
        <v>1611</v>
      </c>
      <c r="E1076" s="18" t="s">
        <v>1637</v>
      </c>
      <c r="F1076" s="101">
        <v>46225.62777777778</v>
      </c>
      <c r="G1076" s="101">
        <v>46228.217361111114</v>
      </c>
      <c r="H1076" s="18" t="s">
        <v>507</v>
      </c>
      <c r="I1076" s="18" t="s">
        <v>508</v>
      </c>
      <c r="J1076" s="18"/>
      <c r="K1076" s="21">
        <f t="shared" si="48"/>
        <v>62.150000000023283</v>
      </c>
      <c r="L1076" s="19">
        <f t="shared" si="49"/>
        <v>23</v>
      </c>
      <c r="M1076" s="18" t="str">
        <f>IF(I1076&lt;&gt;"Sí","",IF(YEAR(F1076)&lt;&gt;2026,"",INDEX({"Enero","Febrero","Marzo","Abril","Mayo","Junio","Julio","Agosto","Septiembre","Octubre","Noviembre","Diciembre"},MONTH(F1076))))</f>
        <v>Julio</v>
      </c>
      <c r="N1076" s="18" t="str">
        <f t="shared" si="50"/>
        <v>Julio|23</v>
      </c>
    </row>
    <row r="1077" spans="1:14" ht="14.5" x14ac:dyDescent="0.25">
      <c r="A1077" s="19">
        <v>33</v>
      </c>
      <c r="B1077" s="18" t="s">
        <v>40</v>
      </c>
      <c r="C1077" s="18" t="s">
        <v>95</v>
      </c>
      <c r="D1077" s="18" t="s">
        <v>1611</v>
      </c>
      <c r="E1077" s="18" t="s">
        <v>1638</v>
      </c>
      <c r="F1077" s="101">
        <v>46225.62777777778</v>
      </c>
      <c r="G1077" s="101">
        <v>46228.038194444445</v>
      </c>
      <c r="H1077" s="18" t="s">
        <v>507</v>
      </c>
      <c r="I1077" s="18" t="s">
        <v>508</v>
      </c>
      <c r="J1077" s="18"/>
      <c r="K1077" s="21">
        <f t="shared" si="48"/>
        <v>57.849999999976717</v>
      </c>
      <c r="L1077" s="19">
        <f t="shared" si="49"/>
        <v>23</v>
      </c>
      <c r="M1077" s="18" t="str">
        <f>IF(I1077&lt;&gt;"Sí","",IF(YEAR(F1077)&lt;&gt;2026,"",INDEX({"Enero","Febrero","Marzo","Abril","Mayo","Junio","Julio","Agosto","Septiembre","Octubre","Noviembre","Diciembre"},MONTH(F1077))))</f>
        <v>Julio</v>
      </c>
      <c r="N1077" s="18" t="str">
        <f t="shared" si="50"/>
        <v>Julio|23</v>
      </c>
    </row>
    <row r="1078" spans="1:14" ht="14.5" x14ac:dyDescent="0.25">
      <c r="A1078" s="19">
        <v>33</v>
      </c>
      <c r="B1078" s="18" t="s">
        <v>40</v>
      </c>
      <c r="C1078" s="18" t="s">
        <v>95</v>
      </c>
      <c r="D1078" s="18" t="s">
        <v>1611</v>
      </c>
      <c r="E1078" s="18" t="s">
        <v>1639</v>
      </c>
      <c r="F1078" s="101">
        <v>46225.810416666667</v>
      </c>
      <c r="G1078" s="101">
        <v>46227.833333333336</v>
      </c>
      <c r="H1078" s="18" t="s">
        <v>507</v>
      </c>
      <c r="I1078" s="18" t="s">
        <v>508</v>
      </c>
      <c r="J1078" s="18"/>
      <c r="K1078" s="21">
        <f t="shared" si="48"/>
        <v>48.550000000046566</v>
      </c>
      <c r="L1078" s="19">
        <f t="shared" si="49"/>
        <v>24</v>
      </c>
      <c r="M1078" s="18" t="str">
        <f>IF(I1078&lt;&gt;"Sí","",IF(YEAR(F1078)&lt;&gt;2026,"",INDEX({"Enero","Febrero","Marzo","Abril","Mayo","Junio","Julio","Agosto","Septiembre","Octubre","Noviembre","Diciembre"},MONTH(F1078))))</f>
        <v>Julio</v>
      </c>
      <c r="N1078" s="18" t="str">
        <f t="shared" si="50"/>
        <v>Julio|24</v>
      </c>
    </row>
    <row r="1079" spans="1:14" ht="14.5" x14ac:dyDescent="0.25">
      <c r="A1079" s="19">
        <v>33</v>
      </c>
      <c r="B1079" s="18" t="s">
        <v>40</v>
      </c>
      <c r="C1079" s="18" t="s">
        <v>95</v>
      </c>
      <c r="D1079" s="18" t="s">
        <v>1611</v>
      </c>
      <c r="E1079" s="18" t="s">
        <v>1640</v>
      </c>
      <c r="F1079" s="101">
        <v>46225.8125</v>
      </c>
      <c r="G1079" s="101">
        <v>46227.788194444445</v>
      </c>
      <c r="H1079" s="18" t="s">
        <v>507</v>
      </c>
      <c r="I1079" s="18" t="s">
        <v>508</v>
      </c>
      <c r="J1079" s="18"/>
      <c r="K1079" s="21">
        <f t="shared" si="48"/>
        <v>47.416666666686069</v>
      </c>
      <c r="L1079" s="19">
        <f t="shared" si="49"/>
        <v>25</v>
      </c>
      <c r="M1079" s="18" t="str">
        <f>IF(I1079&lt;&gt;"Sí","",IF(YEAR(F1079)&lt;&gt;2026,"",INDEX({"Enero","Febrero","Marzo","Abril","Mayo","Junio","Julio","Agosto","Septiembre","Octubre","Noviembre","Diciembre"},MONTH(F1079))))</f>
        <v>Julio</v>
      </c>
      <c r="N1079" s="18" t="str">
        <f t="shared" si="50"/>
        <v>Julio|25</v>
      </c>
    </row>
    <row r="1080" spans="1:14" ht="14.5" x14ac:dyDescent="0.25">
      <c r="A1080" s="19">
        <v>33</v>
      </c>
      <c r="B1080" s="18" t="s">
        <v>40</v>
      </c>
      <c r="C1080" s="18" t="s">
        <v>95</v>
      </c>
      <c r="D1080" s="18" t="s">
        <v>1611</v>
      </c>
      <c r="E1080" s="18" t="s">
        <v>1641</v>
      </c>
      <c r="F1080" s="101">
        <v>46225.813888888886</v>
      </c>
      <c r="G1080" s="101">
        <v>46227.78125</v>
      </c>
      <c r="H1080" s="18" t="s">
        <v>507</v>
      </c>
      <c r="I1080" s="18" t="s">
        <v>508</v>
      </c>
      <c r="J1080" s="18"/>
      <c r="K1080" s="21">
        <f t="shared" si="48"/>
        <v>47.216666666732635</v>
      </c>
      <c r="L1080" s="19">
        <f t="shared" si="49"/>
        <v>26</v>
      </c>
      <c r="M1080" s="18" t="str">
        <f>IF(I1080&lt;&gt;"Sí","",IF(YEAR(F1080)&lt;&gt;2026,"",INDEX({"Enero","Febrero","Marzo","Abril","Mayo","Junio","Julio","Agosto","Septiembre","Octubre","Noviembre","Diciembre"},MONTH(F1080))))</f>
        <v>Julio</v>
      </c>
      <c r="N1080" s="18" t="str">
        <f t="shared" si="50"/>
        <v>Julio|26</v>
      </c>
    </row>
    <row r="1081" spans="1:14" ht="14.5" x14ac:dyDescent="0.25">
      <c r="A1081" s="19">
        <v>33</v>
      </c>
      <c r="B1081" s="18" t="s">
        <v>40</v>
      </c>
      <c r="C1081" s="18" t="s">
        <v>95</v>
      </c>
      <c r="D1081" s="18" t="s">
        <v>1611</v>
      </c>
      <c r="E1081" s="18" t="s">
        <v>1642</v>
      </c>
      <c r="F1081" s="101">
        <v>46225.814583333333</v>
      </c>
      <c r="G1081" s="101">
        <v>46227.833333333336</v>
      </c>
      <c r="H1081" s="18" t="s">
        <v>507</v>
      </c>
      <c r="I1081" s="18" t="s">
        <v>508</v>
      </c>
      <c r="J1081" s="18"/>
      <c r="K1081" s="21">
        <f t="shared" si="48"/>
        <v>48.450000000069849</v>
      </c>
      <c r="L1081" s="19">
        <f t="shared" si="49"/>
        <v>27</v>
      </c>
      <c r="M1081" s="18" t="str">
        <f>IF(I1081&lt;&gt;"Sí","",IF(YEAR(F1081)&lt;&gt;2026,"",INDEX({"Enero","Febrero","Marzo","Abril","Mayo","Junio","Julio","Agosto","Septiembre","Octubre","Noviembre","Diciembre"},MONTH(F1081))))</f>
        <v>Julio</v>
      </c>
      <c r="N1081" s="18" t="str">
        <f t="shared" si="50"/>
        <v>Julio|27</v>
      </c>
    </row>
    <row r="1082" spans="1:14" ht="14.5" x14ac:dyDescent="0.25">
      <c r="A1082" s="19">
        <v>33</v>
      </c>
      <c r="B1082" s="18" t="s">
        <v>40</v>
      </c>
      <c r="C1082" s="18" t="s">
        <v>95</v>
      </c>
      <c r="D1082" s="18" t="s">
        <v>1611</v>
      </c>
      <c r="E1082" s="18" t="s">
        <v>1643</v>
      </c>
      <c r="F1082" s="101">
        <v>46225.815972222219</v>
      </c>
      <c r="G1082" s="101">
        <v>46228.229166666664</v>
      </c>
      <c r="H1082" s="18" t="s">
        <v>507</v>
      </c>
      <c r="I1082" s="18" t="s">
        <v>508</v>
      </c>
      <c r="J1082" s="18"/>
      <c r="K1082" s="21">
        <f t="shared" si="48"/>
        <v>57.916666666686069</v>
      </c>
      <c r="L1082" s="19">
        <f t="shared" si="49"/>
        <v>28</v>
      </c>
      <c r="M1082" s="18" t="str">
        <f>IF(I1082&lt;&gt;"Sí","",IF(YEAR(F1082)&lt;&gt;2026,"",INDEX({"Enero","Febrero","Marzo","Abril","Mayo","Junio","Julio","Agosto","Septiembre","Octubre","Noviembre","Diciembre"},MONTH(F1082))))</f>
        <v>Julio</v>
      </c>
      <c r="N1082" s="18" t="str">
        <f t="shared" si="50"/>
        <v>Julio|28</v>
      </c>
    </row>
    <row r="1083" spans="1:14" ht="14.5" x14ac:dyDescent="0.25">
      <c r="A1083" s="19">
        <v>33</v>
      </c>
      <c r="B1083" s="18" t="s">
        <v>40</v>
      </c>
      <c r="C1083" s="18" t="s">
        <v>95</v>
      </c>
      <c r="D1083" s="18" t="s">
        <v>1611</v>
      </c>
      <c r="E1083" s="18" t="s">
        <v>1644</v>
      </c>
      <c r="F1083" s="101">
        <v>46225.816666666666</v>
      </c>
      <c r="G1083" s="101">
        <v>46227.775694444441</v>
      </c>
      <c r="H1083" s="18" t="s">
        <v>507</v>
      </c>
      <c r="I1083" s="18" t="s">
        <v>508</v>
      </c>
      <c r="J1083" s="18"/>
      <c r="K1083" s="21">
        <f t="shared" si="48"/>
        <v>47.016666666604578</v>
      </c>
      <c r="L1083" s="19">
        <f t="shared" si="49"/>
        <v>29</v>
      </c>
      <c r="M1083" s="18" t="str">
        <f>IF(I1083&lt;&gt;"Sí","",IF(YEAR(F1083)&lt;&gt;2026,"",INDEX({"Enero","Febrero","Marzo","Abril","Mayo","Junio","Julio","Agosto","Septiembre","Octubre","Noviembre","Diciembre"},MONTH(F1083))))</f>
        <v>Julio</v>
      </c>
      <c r="N1083" s="18" t="str">
        <f t="shared" si="50"/>
        <v>Julio|29</v>
      </c>
    </row>
    <row r="1084" spans="1:14" ht="14.5" x14ac:dyDescent="0.25">
      <c r="A1084" s="19">
        <v>33</v>
      </c>
      <c r="B1084" s="18" t="s">
        <v>40</v>
      </c>
      <c r="C1084" s="18" t="s">
        <v>95</v>
      </c>
      <c r="D1084" s="18" t="s">
        <v>1611</v>
      </c>
      <c r="E1084" s="18" t="s">
        <v>1645</v>
      </c>
      <c r="F1084" s="101">
        <v>46225.817361111112</v>
      </c>
      <c r="G1084" s="101">
        <v>46227.754166666666</v>
      </c>
      <c r="H1084" s="18" t="s">
        <v>507</v>
      </c>
      <c r="I1084" s="18" t="s">
        <v>508</v>
      </c>
      <c r="J1084" s="18"/>
      <c r="K1084" s="21">
        <f t="shared" si="48"/>
        <v>46.483333333279006</v>
      </c>
      <c r="L1084" s="19">
        <f t="shared" si="49"/>
        <v>30</v>
      </c>
      <c r="M1084" s="18" t="str">
        <f>IF(I1084&lt;&gt;"Sí","",IF(YEAR(F1084)&lt;&gt;2026,"",INDEX({"Enero","Febrero","Marzo","Abril","Mayo","Junio","Julio","Agosto","Septiembre","Octubre","Noviembre","Diciembre"},MONTH(F1084))))</f>
        <v>Julio</v>
      </c>
      <c r="N1084" s="18" t="str">
        <f t="shared" si="50"/>
        <v>Julio|30</v>
      </c>
    </row>
    <row r="1085" spans="1:14" ht="14.5" x14ac:dyDescent="0.25">
      <c r="A1085" s="19">
        <v>33</v>
      </c>
      <c r="B1085" s="18" t="s">
        <v>40</v>
      </c>
      <c r="C1085" s="18" t="s">
        <v>95</v>
      </c>
      <c r="D1085" s="18" t="s">
        <v>1611</v>
      </c>
      <c r="E1085" s="18" t="s">
        <v>1646</v>
      </c>
      <c r="F1085" s="101">
        <v>46225.822222222225</v>
      </c>
      <c r="G1085" s="101">
        <v>46227.786805555559</v>
      </c>
      <c r="H1085" s="18" t="s">
        <v>507</v>
      </c>
      <c r="I1085" s="18" t="s">
        <v>508</v>
      </c>
      <c r="J1085" s="18"/>
      <c r="K1085" s="21">
        <f t="shared" si="48"/>
        <v>47.150000000023283</v>
      </c>
      <c r="L1085" s="19">
        <f t="shared" si="49"/>
        <v>31</v>
      </c>
      <c r="M1085" s="18" t="str">
        <f>IF(I1085&lt;&gt;"Sí","",IF(YEAR(F1085)&lt;&gt;2026,"",INDEX({"Enero","Febrero","Marzo","Abril","Mayo","Junio","Julio","Agosto","Septiembre","Octubre","Noviembre","Diciembre"},MONTH(F1085))))</f>
        <v>Julio</v>
      </c>
      <c r="N1085" s="18" t="str">
        <f t="shared" si="50"/>
        <v>Julio|31</v>
      </c>
    </row>
    <row r="1086" spans="1:14" ht="14.5" x14ac:dyDescent="0.25">
      <c r="A1086" s="19">
        <v>33</v>
      </c>
      <c r="B1086" s="18" t="s">
        <v>40</v>
      </c>
      <c r="C1086" s="18" t="s">
        <v>95</v>
      </c>
      <c r="D1086" s="18" t="s">
        <v>1611</v>
      </c>
      <c r="E1086" s="18" t="s">
        <v>1647</v>
      </c>
      <c r="F1086" s="101">
        <v>46225.825694444444</v>
      </c>
      <c r="G1086" s="101">
        <v>46227.762499999997</v>
      </c>
      <c r="H1086" s="18" t="s">
        <v>507</v>
      </c>
      <c r="I1086" s="18" t="s">
        <v>508</v>
      </c>
      <c r="J1086" s="18"/>
      <c r="K1086" s="21">
        <f t="shared" si="48"/>
        <v>46.483333333279006</v>
      </c>
      <c r="L1086" s="19">
        <f t="shared" si="49"/>
        <v>32</v>
      </c>
      <c r="M1086" s="18" t="str">
        <f>IF(I1086&lt;&gt;"Sí","",IF(YEAR(F1086)&lt;&gt;2026,"",INDEX({"Enero","Febrero","Marzo","Abril","Mayo","Junio","Julio","Agosto","Septiembre","Octubre","Noviembre","Diciembre"},MONTH(F1086))))</f>
        <v>Julio</v>
      </c>
      <c r="N1086" s="18" t="str">
        <f t="shared" si="50"/>
        <v>Julio|32</v>
      </c>
    </row>
    <row r="1087" spans="1:14" ht="14.5" x14ac:dyDescent="0.25">
      <c r="A1087" s="19">
        <v>33</v>
      </c>
      <c r="B1087" s="18" t="s">
        <v>40</v>
      </c>
      <c r="C1087" s="18" t="s">
        <v>95</v>
      </c>
      <c r="D1087" s="18" t="s">
        <v>1611</v>
      </c>
      <c r="E1087" s="18" t="s">
        <v>1648</v>
      </c>
      <c r="F1087" s="101">
        <v>46225.82708333333</v>
      </c>
      <c r="G1087" s="101">
        <v>46227.743055555555</v>
      </c>
      <c r="H1087" s="18" t="s">
        <v>507</v>
      </c>
      <c r="I1087" s="18" t="s">
        <v>508</v>
      </c>
      <c r="J1087" s="18"/>
      <c r="K1087" s="21">
        <f t="shared" si="48"/>
        <v>45.983333333395422</v>
      </c>
      <c r="L1087" s="19">
        <f t="shared" si="49"/>
        <v>33</v>
      </c>
      <c r="M1087" s="18" t="str">
        <f>IF(I1087&lt;&gt;"Sí","",IF(YEAR(F1087)&lt;&gt;2026,"",INDEX({"Enero","Febrero","Marzo","Abril","Mayo","Junio","Julio","Agosto","Septiembre","Octubre","Noviembre","Diciembre"},MONTH(F1087))))</f>
        <v>Julio</v>
      </c>
      <c r="N1087" s="18" t="str">
        <f t="shared" si="50"/>
        <v>Julio|33</v>
      </c>
    </row>
    <row r="1088" spans="1:14" ht="14.5" x14ac:dyDescent="0.25">
      <c r="A1088" s="19">
        <v>33</v>
      </c>
      <c r="B1088" s="18" t="s">
        <v>40</v>
      </c>
      <c r="C1088" s="18" t="s">
        <v>95</v>
      </c>
      <c r="D1088" s="18" t="s">
        <v>1611</v>
      </c>
      <c r="E1088" s="18" t="s">
        <v>1649</v>
      </c>
      <c r="F1088" s="101">
        <v>46225.827777777777</v>
      </c>
      <c r="G1088" s="101">
        <v>46227.734027777777</v>
      </c>
      <c r="H1088" s="18" t="s">
        <v>507</v>
      </c>
      <c r="I1088" s="18" t="s">
        <v>508</v>
      </c>
      <c r="J1088" s="18"/>
      <c r="K1088" s="21">
        <f t="shared" si="48"/>
        <v>45.75</v>
      </c>
      <c r="L1088" s="19">
        <f t="shared" si="49"/>
        <v>34</v>
      </c>
      <c r="M1088" s="18" t="str">
        <f>IF(I1088&lt;&gt;"Sí","",IF(YEAR(F1088)&lt;&gt;2026,"",INDEX({"Enero","Febrero","Marzo","Abril","Mayo","Junio","Julio","Agosto","Septiembre","Octubre","Noviembre","Diciembre"},MONTH(F1088))))</f>
        <v>Julio</v>
      </c>
      <c r="N1088" s="18" t="str">
        <f t="shared" si="50"/>
        <v>Julio|34</v>
      </c>
    </row>
    <row r="1089" spans="1:14" ht="14.5" x14ac:dyDescent="0.25">
      <c r="A1089" s="19">
        <v>33</v>
      </c>
      <c r="B1089" s="18" t="s">
        <v>40</v>
      </c>
      <c r="C1089" s="18" t="s">
        <v>95</v>
      </c>
      <c r="D1089" s="18" t="s">
        <v>1611</v>
      </c>
      <c r="E1089" s="18" t="s">
        <v>1650</v>
      </c>
      <c r="F1089" s="101">
        <v>46225.828472222223</v>
      </c>
      <c r="G1089" s="101">
        <v>46227.874305555553</v>
      </c>
      <c r="H1089" s="18" t="s">
        <v>507</v>
      </c>
      <c r="I1089" s="18" t="s">
        <v>508</v>
      </c>
      <c r="J1089" s="18"/>
      <c r="K1089" s="21">
        <f t="shared" si="48"/>
        <v>49.099999999918509</v>
      </c>
      <c r="L1089" s="19">
        <f t="shared" si="49"/>
        <v>35</v>
      </c>
      <c r="M1089" s="18" t="str">
        <f>IF(I1089&lt;&gt;"Sí","",IF(YEAR(F1089)&lt;&gt;2026,"",INDEX({"Enero","Febrero","Marzo","Abril","Mayo","Junio","Julio","Agosto","Septiembre","Octubre","Noviembre","Diciembre"},MONTH(F1089))))</f>
        <v>Julio</v>
      </c>
      <c r="N1089" s="18" t="str">
        <f t="shared" si="50"/>
        <v>Julio|35</v>
      </c>
    </row>
    <row r="1090" spans="1:14" ht="14.5" x14ac:dyDescent="0.25">
      <c r="A1090" s="19">
        <v>33</v>
      </c>
      <c r="B1090" s="18" t="s">
        <v>40</v>
      </c>
      <c r="C1090" s="18" t="s">
        <v>95</v>
      </c>
      <c r="D1090" s="18" t="s">
        <v>1611</v>
      </c>
      <c r="E1090" s="18" t="s">
        <v>1651</v>
      </c>
      <c r="F1090" s="101">
        <v>46225.82916666667</v>
      </c>
      <c r="G1090" s="101">
        <v>46227.75</v>
      </c>
      <c r="H1090" s="18" t="s">
        <v>507</v>
      </c>
      <c r="I1090" s="18" t="s">
        <v>508</v>
      </c>
      <c r="J1090" s="18"/>
      <c r="K1090" s="21">
        <f t="shared" si="48"/>
        <v>46.099999999918509</v>
      </c>
      <c r="L1090" s="19">
        <f t="shared" si="49"/>
        <v>36</v>
      </c>
      <c r="M1090" s="18" t="str">
        <f>IF(I1090&lt;&gt;"Sí","",IF(YEAR(F1090)&lt;&gt;2026,"",INDEX({"Enero","Febrero","Marzo","Abril","Mayo","Junio","Julio","Agosto","Septiembre","Octubre","Noviembre","Diciembre"},MONTH(F1090))))</f>
        <v>Julio</v>
      </c>
      <c r="N1090" s="18" t="str">
        <f t="shared" si="50"/>
        <v>Julio|36</v>
      </c>
    </row>
    <row r="1091" spans="1:14" ht="14.5" x14ac:dyDescent="0.25">
      <c r="A1091" s="19">
        <v>33</v>
      </c>
      <c r="B1091" s="18" t="s">
        <v>40</v>
      </c>
      <c r="C1091" s="18" t="s">
        <v>95</v>
      </c>
      <c r="D1091" s="18" t="s">
        <v>1611</v>
      </c>
      <c r="E1091" s="18" t="s">
        <v>1652</v>
      </c>
      <c r="F1091" s="101">
        <v>46225.835416666669</v>
      </c>
      <c r="G1091" s="101">
        <v>46227.734027777777</v>
      </c>
      <c r="H1091" s="18" t="s">
        <v>507</v>
      </c>
      <c r="I1091" s="18" t="s">
        <v>508</v>
      </c>
      <c r="J1091" s="18"/>
      <c r="K1091" s="21">
        <f t="shared" si="48"/>
        <v>45.566666666592937</v>
      </c>
      <c r="L1091" s="19">
        <f t="shared" si="49"/>
        <v>37</v>
      </c>
      <c r="M1091" s="18" t="str">
        <f>IF(I1091&lt;&gt;"Sí","",IF(YEAR(F1091)&lt;&gt;2026,"",INDEX({"Enero","Febrero","Marzo","Abril","Mayo","Junio","Julio","Agosto","Septiembre","Octubre","Noviembre","Diciembre"},MONTH(F1091))))</f>
        <v>Julio</v>
      </c>
      <c r="N1091" s="18" t="str">
        <f t="shared" si="50"/>
        <v>Julio|37</v>
      </c>
    </row>
    <row r="1092" spans="1:14" ht="14.5" x14ac:dyDescent="0.25">
      <c r="A1092" s="19">
        <v>33</v>
      </c>
      <c r="B1092" s="18" t="s">
        <v>40</v>
      </c>
      <c r="C1092" s="18" t="s">
        <v>95</v>
      </c>
      <c r="D1092" s="18" t="s">
        <v>1611</v>
      </c>
      <c r="E1092" s="18" t="s">
        <v>1653</v>
      </c>
      <c r="F1092" s="101">
        <v>46226.458333333336</v>
      </c>
      <c r="G1092" s="101">
        <v>46228.247916666667</v>
      </c>
      <c r="H1092" s="18" t="s">
        <v>507</v>
      </c>
      <c r="I1092" s="18" t="s">
        <v>508</v>
      </c>
      <c r="J1092" s="18"/>
      <c r="K1092" s="21">
        <f t="shared" si="48"/>
        <v>42.949999999953434</v>
      </c>
      <c r="L1092" s="19">
        <f t="shared" si="49"/>
        <v>40</v>
      </c>
      <c r="M1092" s="18" t="str">
        <f>IF(I1092&lt;&gt;"Sí","",IF(YEAR(F1092)&lt;&gt;2026,"",INDEX({"Enero","Febrero","Marzo","Abril","Mayo","Junio","Julio","Agosto","Septiembre","Octubre","Noviembre","Diciembre"},MONTH(F1092))))</f>
        <v>Julio</v>
      </c>
      <c r="N1092" s="18" t="str">
        <f t="shared" si="50"/>
        <v>Julio|40</v>
      </c>
    </row>
    <row r="1093" spans="1:14" ht="14.5" x14ac:dyDescent="0.25">
      <c r="A1093" s="19">
        <v>33</v>
      </c>
      <c r="B1093" s="18" t="s">
        <v>40</v>
      </c>
      <c r="C1093" s="18" t="s">
        <v>95</v>
      </c>
      <c r="D1093" s="18" t="s">
        <v>1611</v>
      </c>
      <c r="E1093" s="18" t="s">
        <v>1654</v>
      </c>
      <c r="F1093" s="101">
        <v>46226.458333333336</v>
      </c>
      <c r="G1093" s="101">
        <v>46228.484027777777</v>
      </c>
      <c r="H1093" s="18" t="s">
        <v>507</v>
      </c>
      <c r="I1093" s="18" t="s">
        <v>508</v>
      </c>
      <c r="J1093" s="18"/>
      <c r="K1093" s="21">
        <f t="shared" si="48"/>
        <v>48.616666666581295</v>
      </c>
      <c r="L1093" s="19">
        <f t="shared" si="49"/>
        <v>40</v>
      </c>
      <c r="M1093" s="18" t="str">
        <f>IF(I1093&lt;&gt;"Sí","",IF(YEAR(F1093)&lt;&gt;2026,"",INDEX({"Enero","Febrero","Marzo","Abril","Mayo","Junio","Julio","Agosto","Septiembre","Octubre","Noviembre","Diciembre"},MONTH(F1093))))</f>
        <v>Julio</v>
      </c>
      <c r="N1093" s="18" t="str">
        <f t="shared" si="50"/>
        <v>Julio|40</v>
      </c>
    </row>
    <row r="1094" spans="1:14" ht="14.5" x14ac:dyDescent="0.25">
      <c r="A1094" s="19">
        <v>33</v>
      </c>
      <c r="B1094" s="18" t="s">
        <v>40</v>
      </c>
      <c r="C1094" s="18" t="s">
        <v>95</v>
      </c>
      <c r="D1094" s="18" t="s">
        <v>1611</v>
      </c>
      <c r="E1094" s="18" t="s">
        <v>1104</v>
      </c>
      <c r="F1094" s="101">
        <v>46226.458333333336</v>
      </c>
      <c r="G1094" s="101">
        <v>46228.253472222219</v>
      </c>
      <c r="H1094" s="18" t="s">
        <v>507</v>
      </c>
      <c r="I1094" s="18" t="s">
        <v>508</v>
      </c>
      <c r="J1094" s="18"/>
      <c r="K1094" s="21">
        <f t="shared" si="48"/>
        <v>43.083333333197515</v>
      </c>
      <c r="L1094" s="19">
        <f t="shared" si="49"/>
        <v>40</v>
      </c>
      <c r="M1094" s="18" t="str">
        <f>IF(I1094&lt;&gt;"Sí","",IF(YEAR(F1094)&lt;&gt;2026,"",INDEX({"Enero","Febrero","Marzo","Abril","Mayo","Junio","Julio","Agosto","Septiembre","Octubre","Noviembre","Diciembre"},MONTH(F1094))))</f>
        <v>Julio</v>
      </c>
      <c r="N1094" s="18" t="str">
        <f t="shared" si="50"/>
        <v>Julio|40</v>
      </c>
    </row>
    <row r="1095" spans="1:14" ht="14.5" x14ac:dyDescent="0.25">
      <c r="A1095" s="19">
        <v>34</v>
      </c>
      <c r="B1095" s="18" t="s">
        <v>41</v>
      </c>
      <c r="C1095" s="18" t="s">
        <v>1054</v>
      </c>
      <c r="D1095" s="18" t="s">
        <v>1625</v>
      </c>
      <c r="E1095" s="18" t="s">
        <v>1655</v>
      </c>
      <c r="F1095" s="101">
        <v>46226.497916666667</v>
      </c>
      <c r="G1095" s="101">
        <v>46240.811111111114</v>
      </c>
      <c r="H1095" s="18" t="s">
        <v>507</v>
      </c>
      <c r="I1095" s="18" t="s">
        <v>508</v>
      </c>
      <c r="J1095" s="18"/>
      <c r="K1095" s="21">
        <f t="shared" ref="K1095:K1158" si="51">IF(I1095="Sí",(G1095-F1095)*24,"")</f>
        <v>343.51666666672099</v>
      </c>
      <c r="L1095" s="19">
        <f t="shared" ref="L1095:L1158" si="52">IF(I1095="Sí",COUNTIFS($F$7:$F$4000,"&lt;="&amp;F1095,$G$7:$G$4000,"&gt;"&amp;F1095,$I$7:$I$4000,"Sí"),"")</f>
        <v>41</v>
      </c>
      <c r="M1095" s="18" t="str">
        <f>IF(I1095&lt;&gt;"Sí","",IF(YEAR(F1095)&lt;&gt;2026,"",INDEX({"Enero","Febrero","Marzo","Abril","Mayo","Junio","Julio","Agosto","Septiembre","Octubre","Noviembre","Diciembre"},MONTH(F1095))))</f>
        <v>Julio</v>
      </c>
      <c r="N1095" s="18" t="str">
        <f t="shared" ref="N1095:N1158" si="53">IF(M1095="","",M1095&amp;"|"&amp;L1095)</f>
        <v>Julio|41</v>
      </c>
    </row>
    <row r="1096" spans="1:14" ht="14.5" x14ac:dyDescent="0.25">
      <c r="A1096" s="19">
        <v>34</v>
      </c>
      <c r="B1096" s="18" t="s">
        <v>41</v>
      </c>
      <c r="C1096" s="18" t="s">
        <v>1054</v>
      </c>
      <c r="D1096" s="18" t="s">
        <v>1625</v>
      </c>
      <c r="E1096" s="18" t="s">
        <v>1656</v>
      </c>
      <c r="F1096" s="101">
        <v>46226.620138888888</v>
      </c>
      <c r="G1096" s="101">
        <v>46240.811111111114</v>
      </c>
      <c r="H1096" s="18" t="s">
        <v>507</v>
      </c>
      <c r="I1096" s="18" t="s">
        <v>508</v>
      </c>
      <c r="J1096" s="18"/>
      <c r="K1096" s="21">
        <f t="shared" si="51"/>
        <v>340.58333333343035</v>
      </c>
      <c r="L1096" s="19">
        <f t="shared" si="52"/>
        <v>42</v>
      </c>
      <c r="M1096" s="18" t="str">
        <f>IF(I1096&lt;&gt;"Sí","",IF(YEAR(F1096)&lt;&gt;2026,"",INDEX({"Enero","Febrero","Marzo","Abril","Mayo","Junio","Julio","Agosto","Septiembre","Octubre","Noviembre","Diciembre"},MONTH(F1096))))</f>
        <v>Julio</v>
      </c>
      <c r="N1096" s="18" t="str">
        <f t="shared" si="53"/>
        <v>Julio|42</v>
      </c>
    </row>
    <row r="1097" spans="1:14" ht="14.5" x14ac:dyDescent="0.25">
      <c r="A1097" s="19">
        <v>33</v>
      </c>
      <c r="B1097" s="18" t="s">
        <v>40</v>
      </c>
      <c r="C1097" s="18" t="s">
        <v>95</v>
      </c>
      <c r="D1097" s="18" t="s">
        <v>1611</v>
      </c>
      <c r="E1097" s="18" t="s">
        <v>1657</v>
      </c>
      <c r="F1097" s="101">
        <v>46226.704861111109</v>
      </c>
      <c r="G1097" s="101">
        <v>46228.179166666669</v>
      </c>
      <c r="H1097" s="18" t="s">
        <v>507</v>
      </c>
      <c r="I1097" s="18" t="s">
        <v>508</v>
      </c>
      <c r="J1097" s="18"/>
      <c r="K1097" s="21">
        <f t="shared" si="51"/>
        <v>35.383333333418705</v>
      </c>
      <c r="L1097" s="19">
        <f t="shared" si="52"/>
        <v>43</v>
      </c>
      <c r="M1097" s="18" t="str">
        <f>IF(I1097&lt;&gt;"Sí","",IF(YEAR(F1097)&lt;&gt;2026,"",INDEX({"Enero","Febrero","Marzo","Abril","Mayo","Junio","Julio","Agosto","Septiembre","Octubre","Noviembre","Diciembre"},MONTH(F1097))))</f>
        <v>Julio</v>
      </c>
      <c r="N1097" s="18" t="str">
        <f t="shared" si="53"/>
        <v>Julio|43</v>
      </c>
    </row>
    <row r="1098" spans="1:14" ht="14.5" x14ac:dyDescent="0.25">
      <c r="A1098" s="19">
        <v>33</v>
      </c>
      <c r="B1098" s="18" t="s">
        <v>40</v>
      </c>
      <c r="C1098" s="18" t="s">
        <v>95</v>
      </c>
      <c r="D1098" s="18" t="s">
        <v>1611</v>
      </c>
      <c r="E1098" s="18" t="s">
        <v>1658</v>
      </c>
      <c r="F1098" s="101">
        <v>46226.706250000003</v>
      </c>
      <c r="G1098" s="101">
        <v>46227.833333333336</v>
      </c>
      <c r="H1098" s="18" t="s">
        <v>507</v>
      </c>
      <c r="I1098" s="18" t="s">
        <v>508</v>
      </c>
      <c r="J1098" s="18"/>
      <c r="K1098" s="21">
        <f t="shared" si="51"/>
        <v>27.049999999988358</v>
      </c>
      <c r="L1098" s="19">
        <f t="shared" si="52"/>
        <v>44</v>
      </c>
      <c r="M1098" s="18" t="str">
        <f>IF(I1098&lt;&gt;"Sí","",IF(YEAR(F1098)&lt;&gt;2026,"",INDEX({"Enero","Febrero","Marzo","Abril","Mayo","Junio","Julio","Agosto","Septiembre","Octubre","Noviembre","Diciembre"},MONTH(F1098))))</f>
        <v>Julio</v>
      </c>
      <c r="N1098" s="18" t="str">
        <f t="shared" si="53"/>
        <v>Julio|44</v>
      </c>
    </row>
    <row r="1099" spans="1:14" ht="14.5" x14ac:dyDescent="0.25">
      <c r="A1099" s="19">
        <v>33</v>
      </c>
      <c r="B1099" s="18" t="s">
        <v>40</v>
      </c>
      <c r="C1099" s="18" t="s">
        <v>95</v>
      </c>
      <c r="D1099" s="18" t="s">
        <v>1611</v>
      </c>
      <c r="E1099" s="18" t="s">
        <v>1659</v>
      </c>
      <c r="F1099" s="101">
        <v>46226.709027777775</v>
      </c>
      <c r="G1099" s="101">
        <v>46227.833333333336</v>
      </c>
      <c r="H1099" s="18" t="s">
        <v>507</v>
      </c>
      <c r="I1099" s="18" t="s">
        <v>508</v>
      </c>
      <c r="J1099" s="18"/>
      <c r="K1099" s="21">
        <f t="shared" si="51"/>
        <v>26.983333333453629</v>
      </c>
      <c r="L1099" s="19">
        <f t="shared" si="52"/>
        <v>46</v>
      </c>
      <c r="M1099" s="18" t="str">
        <f>IF(I1099&lt;&gt;"Sí","",IF(YEAR(F1099)&lt;&gt;2026,"",INDEX({"Enero","Febrero","Marzo","Abril","Mayo","Junio","Julio","Agosto","Septiembre","Octubre","Noviembre","Diciembre"},MONTH(F1099))))</f>
        <v>Julio</v>
      </c>
      <c r="N1099" s="18" t="str">
        <f t="shared" si="53"/>
        <v>Julio|46</v>
      </c>
    </row>
    <row r="1100" spans="1:14" ht="14.5" x14ac:dyDescent="0.25">
      <c r="A1100" s="19">
        <v>33</v>
      </c>
      <c r="B1100" s="18" t="s">
        <v>40</v>
      </c>
      <c r="C1100" s="18" t="s">
        <v>95</v>
      </c>
      <c r="D1100" s="18" t="s">
        <v>1611</v>
      </c>
      <c r="E1100" s="18" t="s">
        <v>1660</v>
      </c>
      <c r="F1100" s="101">
        <v>46226.709027777775</v>
      </c>
      <c r="G1100" s="101">
        <v>46227.833333333336</v>
      </c>
      <c r="H1100" s="18" t="s">
        <v>507</v>
      </c>
      <c r="I1100" s="18" t="s">
        <v>508</v>
      </c>
      <c r="J1100" s="18"/>
      <c r="K1100" s="21">
        <f t="shared" si="51"/>
        <v>26.983333333453629</v>
      </c>
      <c r="L1100" s="19">
        <f t="shared" si="52"/>
        <v>46</v>
      </c>
      <c r="M1100" s="18" t="str">
        <f>IF(I1100&lt;&gt;"Sí","",IF(YEAR(F1100)&lt;&gt;2026,"",INDEX({"Enero","Febrero","Marzo","Abril","Mayo","Junio","Julio","Agosto","Septiembre","Octubre","Noviembre","Diciembre"},MONTH(F1100))))</f>
        <v>Julio</v>
      </c>
      <c r="N1100" s="18" t="str">
        <f t="shared" si="53"/>
        <v>Julio|46</v>
      </c>
    </row>
    <row r="1101" spans="1:14" ht="14.5" x14ac:dyDescent="0.25">
      <c r="A1101" s="19">
        <v>33</v>
      </c>
      <c r="B1101" s="18" t="s">
        <v>40</v>
      </c>
      <c r="C1101" s="18" t="s">
        <v>95</v>
      </c>
      <c r="D1101" s="18" t="s">
        <v>1611</v>
      </c>
      <c r="E1101" s="18" t="s">
        <v>1661</v>
      </c>
      <c r="F1101" s="101">
        <v>46226.710416666669</v>
      </c>
      <c r="G1101" s="101">
        <v>46227.788194444445</v>
      </c>
      <c r="H1101" s="18" t="s">
        <v>507</v>
      </c>
      <c r="I1101" s="18" t="s">
        <v>508</v>
      </c>
      <c r="J1101" s="18"/>
      <c r="K1101" s="21">
        <f t="shared" si="51"/>
        <v>25.866666666639503</v>
      </c>
      <c r="L1101" s="19">
        <f t="shared" si="52"/>
        <v>47</v>
      </c>
      <c r="M1101" s="18" t="str">
        <f>IF(I1101&lt;&gt;"Sí","",IF(YEAR(F1101)&lt;&gt;2026,"",INDEX({"Enero","Febrero","Marzo","Abril","Mayo","Junio","Julio","Agosto","Septiembre","Octubre","Noviembre","Diciembre"},MONTH(F1101))))</f>
        <v>Julio</v>
      </c>
      <c r="N1101" s="18" t="str">
        <f t="shared" si="53"/>
        <v>Julio|47</v>
      </c>
    </row>
    <row r="1102" spans="1:14" ht="14.5" x14ac:dyDescent="0.25">
      <c r="A1102" s="19">
        <v>33</v>
      </c>
      <c r="B1102" s="18" t="s">
        <v>40</v>
      </c>
      <c r="C1102" s="18" t="s">
        <v>95</v>
      </c>
      <c r="D1102" s="18" t="s">
        <v>1611</v>
      </c>
      <c r="E1102" s="18" t="s">
        <v>1662</v>
      </c>
      <c r="F1102" s="101">
        <v>46226.711805555555</v>
      </c>
      <c r="G1102" s="101">
        <v>46227.78125</v>
      </c>
      <c r="H1102" s="18" t="s">
        <v>507</v>
      </c>
      <c r="I1102" s="18" t="s">
        <v>508</v>
      </c>
      <c r="J1102" s="18"/>
      <c r="K1102" s="21">
        <f t="shared" si="51"/>
        <v>25.666666666686069</v>
      </c>
      <c r="L1102" s="19">
        <f t="shared" si="52"/>
        <v>48</v>
      </c>
      <c r="M1102" s="18" t="str">
        <f>IF(I1102&lt;&gt;"Sí","",IF(YEAR(F1102)&lt;&gt;2026,"",INDEX({"Enero","Febrero","Marzo","Abril","Mayo","Junio","Julio","Agosto","Septiembre","Octubre","Noviembre","Diciembre"},MONTH(F1102))))</f>
        <v>Julio</v>
      </c>
      <c r="N1102" s="18" t="str">
        <f t="shared" si="53"/>
        <v>Julio|48</v>
      </c>
    </row>
    <row r="1103" spans="1:14" ht="14.5" x14ac:dyDescent="0.25">
      <c r="A1103" s="19">
        <v>33</v>
      </c>
      <c r="B1103" s="18" t="s">
        <v>40</v>
      </c>
      <c r="C1103" s="18" t="s">
        <v>95</v>
      </c>
      <c r="D1103" s="18" t="s">
        <v>1611</v>
      </c>
      <c r="E1103" s="18" t="s">
        <v>1663</v>
      </c>
      <c r="F1103" s="101">
        <v>46226.713194444441</v>
      </c>
      <c r="G1103" s="101">
        <v>46228.183333333334</v>
      </c>
      <c r="H1103" s="18" t="s">
        <v>507</v>
      </c>
      <c r="I1103" s="18" t="s">
        <v>508</v>
      </c>
      <c r="J1103" s="18"/>
      <c r="K1103" s="21">
        <f t="shared" si="51"/>
        <v>35.283333333441988</v>
      </c>
      <c r="L1103" s="19">
        <f t="shared" si="52"/>
        <v>49</v>
      </c>
      <c r="M1103" s="18" t="str">
        <f>IF(I1103&lt;&gt;"Sí","",IF(YEAR(F1103)&lt;&gt;2026,"",INDEX({"Enero","Febrero","Marzo","Abril","Mayo","Junio","Julio","Agosto","Septiembre","Octubre","Noviembre","Diciembre"},MONTH(F1103))))</f>
        <v>Julio</v>
      </c>
      <c r="N1103" s="18" t="str">
        <f t="shared" si="53"/>
        <v>Julio|49</v>
      </c>
    </row>
    <row r="1104" spans="1:14" ht="14.5" x14ac:dyDescent="0.25">
      <c r="A1104" s="19">
        <v>33</v>
      </c>
      <c r="B1104" s="18" t="s">
        <v>40</v>
      </c>
      <c r="C1104" s="18" t="s">
        <v>95</v>
      </c>
      <c r="D1104" s="18" t="s">
        <v>1611</v>
      </c>
      <c r="E1104" s="18" t="s">
        <v>1664</v>
      </c>
      <c r="F1104" s="101">
        <v>46226.722222222219</v>
      </c>
      <c r="G1104" s="101">
        <v>46228.181250000001</v>
      </c>
      <c r="H1104" s="18" t="s">
        <v>507</v>
      </c>
      <c r="I1104" s="18" t="s">
        <v>508</v>
      </c>
      <c r="J1104" s="18"/>
      <c r="K1104" s="21">
        <f t="shared" si="51"/>
        <v>35.016666666779201</v>
      </c>
      <c r="L1104" s="19">
        <f t="shared" si="52"/>
        <v>50</v>
      </c>
      <c r="M1104" s="18" t="str">
        <f>IF(I1104&lt;&gt;"Sí","",IF(YEAR(F1104)&lt;&gt;2026,"",INDEX({"Enero","Febrero","Marzo","Abril","Mayo","Junio","Julio","Agosto","Septiembre","Octubre","Noviembre","Diciembre"},MONTH(F1104))))</f>
        <v>Julio</v>
      </c>
      <c r="N1104" s="18" t="str">
        <f t="shared" si="53"/>
        <v>Julio|50</v>
      </c>
    </row>
    <row r="1105" spans="1:14" ht="14.5" x14ac:dyDescent="0.25">
      <c r="A1105" s="19">
        <v>33</v>
      </c>
      <c r="B1105" s="18" t="s">
        <v>40</v>
      </c>
      <c r="C1105" s="18" t="s">
        <v>95</v>
      </c>
      <c r="D1105" s="18" t="s">
        <v>1611</v>
      </c>
      <c r="E1105" s="18" t="s">
        <v>1665</v>
      </c>
      <c r="F1105" s="101">
        <v>46226.722916666666</v>
      </c>
      <c r="G1105" s="101">
        <v>46227.804166666669</v>
      </c>
      <c r="H1105" s="18" t="s">
        <v>507</v>
      </c>
      <c r="I1105" s="18" t="s">
        <v>508</v>
      </c>
      <c r="J1105" s="18"/>
      <c r="K1105" s="21">
        <f t="shared" si="51"/>
        <v>25.950000000069849</v>
      </c>
      <c r="L1105" s="19">
        <f t="shared" si="52"/>
        <v>51</v>
      </c>
      <c r="M1105" s="18" t="str">
        <f>IF(I1105&lt;&gt;"Sí","",IF(YEAR(F1105)&lt;&gt;2026,"",INDEX({"Enero","Febrero","Marzo","Abril","Mayo","Junio","Julio","Agosto","Septiembre","Octubre","Noviembre","Diciembre"},MONTH(F1105))))</f>
        <v>Julio</v>
      </c>
      <c r="N1105" s="18" t="str">
        <f t="shared" si="53"/>
        <v>Julio|51</v>
      </c>
    </row>
    <row r="1106" spans="1:14" ht="14.5" x14ac:dyDescent="0.25">
      <c r="A1106" s="19">
        <v>33</v>
      </c>
      <c r="B1106" s="18" t="s">
        <v>40</v>
      </c>
      <c r="C1106" s="18" t="s">
        <v>95</v>
      </c>
      <c r="D1106" s="18" t="s">
        <v>1611</v>
      </c>
      <c r="E1106" s="18" t="s">
        <v>1666</v>
      </c>
      <c r="F1106" s="101">
        <v>46226.725694444445</v>
      </c>
      <c r="G1106" s="101">
        <v>46227.791666666664</v>
      </c>
      <c r="H1106" s="18" t="s">
        <v>507</v>
      </c>
      <c r="I1106" s="18" t="s">
        <v>508</v>
      </c>
      <c r="J1106" s="18"/>
      <c r="K1106" s="21">
        <f t="shared" si="51"/>
        <v>25.583333333255723</v>
      </c>
      <c r="L1106" s="19">
        <f t="shared" si="52"/>
        <v>52</v>
      </c>
      <c r="M1106" s="18" t="str">
        <f>IF(I1106&lt;&gt;"Sí","",IF(YEAR(F1106)&lt;&gt;2026,"",INDEX({"Enero","Febrero","Marzo","Abril","Mayo","Junio","Julio","Agosto","Septiembre","Octubre","Noviembre","Diciembre"},MONTH(F1106))))</f>
        <v>Julio</v>
      </c>
      <c r="N1106" s="18" t="str">
        <f t="shared" si="53"/>
        <v>Julio|52</v>
      </c>
    </row>
    <row r="1107" spans="1:14" ht="14.5" x14ac:dyDescent="0.25">
      <c r="A1107" s="19">
        <v>33</v>
      </c>
      <c r="B1107" s="18" t="s">
        <v>40</v>
      </c>
      <c r="C1107" s="18" t="s">
        <v>95</v>
      </c>
      <c r="D1107" s="18" t="s">
        <v>1611</v>
      </c>
      <c r="E1107" s="18" t="s">
        <v>1667</v>
      </c>
      <c r="F1107" s="101">
        <v>46226.736111111109</v>
      </c>
      <c r="G1107" s="101">
        <v>46227.877083333333</v>
      </c>
      <c r="H1107" s="18" t="s">
        <v>507</v>
      </c>
      <c r="I1107" s="18" t="s">
        <v>508</v>
      </c>
      <c r="J1107" s="18"/>
      <c r="K1107" s="21">
        <f t="shared" si="51"/>
        <v>27.383333333360497</v>
      </c>
      <c r="L1107" s="19">
        <f t="shared" si="52"/>
        <v>53</v>
      </c>
      <c r="M1107" s="18" t="str">
        <f>IF(I1107&lt;&gt;"Sí","",IF(YEAR(F1107)&lt;&gt;2026,"",INDEX({"Enero","Febrero","Marzo","Abril","Mayo","Junio","Julio","Agosto","Septiembre","Octubre","Noviembre","Diciembre"},MONTH(F1107))))</f>
        <v>Julio</v>
      </c>
      <c r="N1107" s="18" t="str">
        <f t="shared" si="53"/>
        <v>Julio|53</v>
      </c>
    </row>
    <row r="1108" spans="1:14" ht="14.5" x14ac:dyDescent="0.25">
      <c r="A1108" s="19">
        <v>33</v>
      </c>
      <c r="B1108" s="18" t="s">
        <v>40</v>
      </c>
      <c r="C1108" s="18" t="s">
        <v>95</v>
      </c>
      <c r="D1108" s="18" t="s">
        <v>1611</v>
      </c>
      <c r="E1108" s="18" t="s">
        <v>1668</v>
      </c>
      <c r="F1108" s="101">
        <v>46226.739583333336</v>
      </c>
      <c r="G1108" s="101">
        <v>46227.802777777775</v>
      </c>
      <c r="H1108" s="18" t="s">
        <v>507</v>
      </c>
      <c r="I1108" s="18" t="s">
        <v>508</v>
      </c>
      <c r="J1108" s="18"/>
      <c r="K1108" s="21">
        <f t="shared" si="51"/>
        <v>25.516666666546371</v>
      </c>
      <c r="L1108" s="19">
        <f t="shared" si="52"/>
        <v>55</v>
      </c>
      <c r="M1108" s="18" t="str">
        <f>IF(I1108&lt;&gt;"Sí","",IF(YEAR(F1108)&lt;&gt;2026,"",INDEX({"Enero","Febrero","Marzo","Abril","Mayo","Junio","Julio","Agosto","Septiembre","Octubre","Noviembre","Diciembre"},MONTH(F1108))))</f>
        <v>Julio</v>
      </c>
      <c r="N1108" s="18" t="str">
        <f t="shared" si="53"/>
        <v>Julio|55</v>
      </c>
    </row>
    <row r="1109" spans="1:14" ht="14.5" x14ac:dyDescent="0.25">
      <c r="A1109" s="19">
        <v>33</v>
      </c>
      <c r="B1109" s="18" t="s">
        <v>40</v>
      </c>
      <c r="C1109" s="18" t="s">
        <v>95</v>
      </c>
      <c r="D1109" s="18" t="s">
        <v>1611</v>
      </c>
      <c r="E1109" s="18" t="s">
        <v>1669</v>
      </c>
      <c r="F1109" s="101">
        <v>46226.739583333336</v>
      </c>
      <c r="G1109" s="101">
        <v>46227.798611111109</v>
      </c>
      <c r="H1109" s="18" t="s">
        <v>507</v>
      </c>
      <c r="I1109" s="18" t="s">
        <v>508</v>
      </c>
      <c r="J1109" s="18"/>
      <c r="K1109" s="21">
        <f t="shared" si="51"/>
        <v>25.416666666569654</v>
      </c>
      <c r="L1109" s="19">
        <f t="shared" si="52"/>
        <v>55</v>
      </c>
      <c r="M1109" s="18" t="str">
        <f>IF(I1109&lt;&gt;"Sí","",IF(YEAR(F1109)&lt;&gt;2026,"",INDEX({"Enero","Febrero","Marzo","Abril","Mayo","Junio","Julio","Agosto","Septiembre","Octubre","Noviembre","Diciembre"},MONTH(F1109))))</f>
        <v>Julio</v>
      </c>
      <c r="N1109" s="18" t="str">
        <f t="shared" si="53"/>
        <v>Julio|55</v>
      </c>
    </row>
    <row r="1110" spans="1:14" ht="14.5" x14ac:dyDescent="0.25">
      <c r="A1110" s="19">
        <v>33</v>
      </c>
      <c r="B1110" s="18" t="s">
        <v>40</v>
      </c>
      <c r="C1110" s="18" t="s">
        <v>95</v>
      </c>
      <c r="D1110" s="18" t="s">
        <v>1611</v>
      </c>
      <c r="E1110" s="18" t="s">
        <v>1670</v>
      </c>
      <c r="F1110" s="101">
        <v>46226.741666666669</v>
      </c>
      <c r="G1110" s="101">
        <v>46227.806944444441</v>
      </c>
      <c r="H1110" s="18" t="s">
        <v>507</v>
      </c>
      <c r="I1110" s="18" t="s">
        <v>508</v>
      </c>
      <c r="J1110" s="18"/>
      <c r="K1110" s="21">
        <f t="shared" si="51"/>
        <v>25.566666666534729</v>
      </c>
      <c r="L1110" s="19">
        <f t="shared" si="52"/>
        <v>56</v>
      </c>
      <c r="M1110" s="18" t="str">
        <f>IF(I1110&lt;&gt;"Sí","",IF(YEAR(F1110)&lt;&gt;2026,"",INDEX({"Enero","Febrero","Marzo","Abril","Mayo","Junio","Julio","Agosto","Septiembre","Octubre","Noviembre","Diciembre"},MONTH(F1110))))</f>
        <v>Julio</v>
      </c>
      <c r="N1110" s="18" t="str">
        <f t="shared" si="53"/>
        <v>Julio|56</v>
      </c>
    </row>
    <row r="1111" spans="1:14" ht="14.5" x14ac:dyDescent="0.25">
      <c r="A1111" s="19">
        <v>33</v>
      </c>
      <c r="B1111" s="18" t="s">
        <v>40</v>
      </c>
      <c r="C1111" s="18" t="s">
        <v>95</v>
      </c>
      <c r="D1111" s="18" t="s">
        <v>1611</v>
      </c>
      <c r="E1111" s="18" t="s">
        <v>1671</v>
      </c>
      <c r="F1111" s="101">
        <v>46226.746527777781</v>
      </c>
      <c r="G1111" s="101">
        <v>46227.881944444445</v>
      </c>
      <c r="H1111" s="18" t="s">
        <v>507</v>
      </c>
      <c r="I1111" s="18" t="s">
        <v>508</v>
      </c>
      <c r="J1111" s="18"/>
      <c r="K1111" s="21">
        <f t="shared" si="51"/>
        <v>27.249999999941792</v>
      </c>
      <c r="L1111" s="19">
        <f t="shared" si="52"/>
        <v>57</v>
      </c>
      <c r="M1111" s="18" t="str">
        <f>IF(I1111&lt;&gt;"Sí","",IF(YEAR(F1111)&lt;&gt;2026,"",INDEX({"Enero","Febrero","Marzo","Abril","Mayo","Junio","Julio","Agosto","Septiembre","Octubre","Noviembre","Diciembre"},MONTH(F1111))))</f>
        <v>Julio</v>
      </c>
      <c r="N1111" s="18" t="str">
        <f t="shared" si="53"/>
        <v>Julio|57</v>
      </c>
    </row>
    <row r="1112" spans="1:14" ht="14.5" x14ac:dyDescent="0.25">
      <c r="A1112" s="19">
        <v>33</v>
      </c>
      <c r="B1112" s="18" t="s">
        <v>40</v>
      </c>
      <c r="C1112" s="18" t="s">
        <v>95</v>
      </c>
      <c r="D1112" s="18" t="s">
        <v>1611</v>
      </c>
      <c r="E1112" s="18" t="s">
        <v>1672</v>
      </c>
      <c r="F1112" s="101">
        <v>46226.747916666667</v>
      </c>
      <c r="G1112" s="101">
        <v>46227.881944444445</v>
      </c>
      <c r="H1112" s="18" t="s">
        <v>507</v>
      </c>
      <c r="I1112" s="18" t="s">
        <v>508</v>
      </c>
      <c r="J1112" s="18"/>
      <c r="K1112" s="21">
        <f t="shared" si="51"/>
        <v>27.216666666674428</v>
      </c>
      <c r="L1112" s="19">
        <f t="shared" si="52"/>
        <v>58</v>
      </c>
      <c r="M1112" s="18" t="str">
        <f>IF(I1112&lt;&gt;"Sí","",IF(YEAR(F1112)&lt;&gt;2026,"",INDEX({"Enero","Febrero","Marzo","Abril","Mayo","Junio","Julio","Agosto","Septiembre","Octubre","Noviembre","Diciembre"},MONTH(F1112))))</f>
        <v>Julio</v>
      </c>
      <c r="N1112" s="18" t="str">
        <f t="shared" si="53"/>
        <v>Julio|58</v>
      </c>
    </row>
    <row r="1113" spans="1:14" ht="14.5" x14ac:dyDescent="0.25">
      <c r="A1113" s="19">
        <v>33</v>
      </c>
      <c r="B1113" s="18" t="s">
        <v>40</v>
      </c>
      <c r="C1113" s="18" t="s">
        <v>95</v>
      </c>
      <c r="D1113" s="18" t="s">
        <v>1611</v>
      </c>
      <c r="E1113" s="18" t="s">
        <v>1120</v>
      </c>
      <c r="F1113" s="101">
        <v>46226.749305555553</v>
      </c>
      <c r="G1113" s="101">
        <v>46227.87777777778</v>
      </c>
      <c r="H1113" s="18" t="s">
        <v>507</v>
      </c>
      <c r="I1113" s="18" t="s">
        <v>508</v>
      </c>
      <c r="J1113" s="18"/>
      <c r="K1113" s="21">
        <f t="shared" si="51"/>
        <v>27.083333333430346</v>
      </c>
      <c r="L1113" s="19">
        <f t="shared" si="52"/>
        <v>59</v>
      </c>
      <c r="M1113" s="18" t="str">
        <f>IF(I1113&lt;&gt;"Sí","",IF(YEAR(F1113)&lt;&gt;2026,"",INDEX({"Enero","Febrero","Marzo","Abril","Mayo","Junio","Julio","Agosto","Septiembre","Octubre","Noviembre","Diciembre"},MONTH(F1113))))</f>
        <v>Julio</v>
      </c>
      <c r="N1113" s="18" t="str">
        <f t="shared" si="53"/>
        <v>Julio|59</v>
      </c>
    </row>
    <row r="1114" spans="1:14" ht="14.5" x14ac:dyDescent="0.25">
      <c r="A1114" s="19">
        <v>33</v>
      </c>
      <c r="B1114" s="18" t="s">
        <v>40</v>
      </c>
      <c r="C1114" s="18" t="s">
        <v>95</v>
      </c>
      <c r="D1114" s="18" t="s">
        <v>1611</v>
      </c>
      <c r="E1114" s="18" t="s">
        <v>1673</v>
      </c>
      <c r="F1114" s="101">
        <v>46226.750694444447</v>
      </c>
      <c r="G1114" s="101">
        <v>46227.90625</v>
      </c>
      <c r="H1114" s="18" t="s">
        <v>507</v>
      </c>
      <c r="I1114" s="18" t="s">
        <v>508</v>
      </c>
      <c r="J1114" s="18"/>
      <c r="K1114" s="21">
        <f t="shared" si="51"/>
        <v>27.733333333279006</v>
      </c>
      <c r="L1114" s="19">
        <f t="shared" si="52"/>
        <v>60</v>
      </c>
      <c r="M1114" s="18" t="str">
        <f>IF(I1114&lt;&gt;"Sí","",IF(YEAR(F1114)&lt;&gt;2026,"",INDEX({"Enero","Febrero","Marzo","Abril","Mayo","Junio","Julio","Agosto","Septiembre","Octubre","Noviembre","Diciembre"},MONTH(F1114))))</f>
        <v>Julio</v>
      </c>
      <c r="N1114" s="18" t="str">
        <f t="shared" si="53"/>
        <v>Julio|60</v>
      </c>
    </row>
    <row r="1115" spans="1:14" ht="14.5" x14ac:dyDescent="0.25">
      <c r="A1115" s="19">
        <v>33</v>
      </c>
      <c r="B1115" s="18" t="s">
        <v>40</v>
      </c>
      <c r="C1115" s="18" t="s">
        <v>95</v>
      </c>
      <c r="D1115" s="18" t="s">
        <v>1611</v>
      </c>
      <c r="E1115" s="18" t="s">
        <v>1674</v>
      </c>
      <c r="F1115" s="101">
        <v>46226.753472222219</v>
      </c>
      <c r="G1115" s="101">
        <v>46228.211805555555</v>
      </c>
      <c r="H1115" s="18" t="s">
        <v>507</v>
      </c>
      <c r="I1115" s="18" t="s">
        <v>508</v>
      </c>
      <c r="J1115" s="18"/>
      <c r="K1115" s="21">
        <f t="shared" si="51"/>
        <v>35.000000000058208</v>
      </c>
      <c r="L1115" s="19">
        <f t="shared" si="52"/>
        <v>61</v>
      </c>
      <c r="M1115" s="18" t="str">
        <f>IF(I1115&lt;&gt;"Sí","",IF(YEAR(F1115)&lt;&gt;2026,"",INDEX({"Enero","Febrero","Marzo","Abril","Mayo","Junio","Julio","Agosto","Septiembre","Octubre","Noviembre","Diciembre"},MONTH(F1115))))</f>
        <v>Julio</v>
      </c>
      <c r="N1115" s="18" t="str">
        <f t="shared" si="53"/>
        <v>Julio|61</v>
      </c>
    </row>
    <row r="1116" spans="1:14" ht="14.5" x14ac:dyDescent="0.25">
      <c r="A1116" s="19">
        <v>33</v>
      </c>
      <c r="B1116" s="18" t="s">
        <v>40</v>
      </c>
      <c r="C1116" s="18" t="s">
        <v>95</v>
      </c>
      <c r="D1116" s="18" t="s">
        <v>1611</v>
      </c>
      <c r="E1116" s="18" t="s">
        <v>1675</v>
      </c>
      <c r="F1116" s="101">
        <v>46226.754861111112</v>
      </c>
      <c r="G1116" s="101">
        <v>46228.208333333336</v>
      </c>
      <c r="H1116" s="18" t="s">
        <v>507</v>
      </c>
      <c r="I1116" s="18" t="s">
        <v>508</v>
      </c>
      <c r="J1116" s="18"/>
      <c r="K1116" s="21">
        <f t="shared" si="51"/>
        <v>34.883333333360497</v>
      </c>
      <c r="L1116" s="19">
        <f t="shared" si="52"/>
        <v>62</v>
      </c>
      <c r="M1116" s="18" t="str">
        <f>IF(I1116&lt;&gt;"Sí","",IF(YEAR(F1116)&lt;&gt;2026,"",INDEX({"Enero","Febrero","Marzo","Abril","Mayo","Junio","Julio","Agosto","Septiembre","Octubre","Noviembre","Diciembre"},MONTH(F1116))))</f>
        <v>Julio</v>
      </c>
      <c r="N1116" s="18" t="str">
        <f t="shared" si="53"/>
        <v>Julio|62</v>
      </c>
    </row>
    <row r="1117" spans="1:14" ht="14.5" x14ac:dyDescent="0.25">
      <c r="A1117" s="19">
        <v>33</v>
      </c>
      <c r="B1117" s="18" t="s">
        <v>40</v>
      </c>
      <c r="C1117" s="18" t="s">
        <v>95</v>
      </c>
      <c r="D1117" s="18" t="s">
        <v>1611</v>
      </c>
      <c r="E1117" s="18" t="s">
        <v>1313</v>
      </c>
      <c r="F1117" s="101">
        <v>46226.756249999999</v>
      </c>
      <c r="G1117" s="101">
        <v>46228.206944444442</v>
      </c>
      <c r="H1117" s="18" t="s">
        <v>507</v>
      </c>
      <c r="I1117" s="18" t="s">
        <v>508</v>
      </c>
      <c r="J1117" s="18"/>
      <c r="K1117" s="21">
        <f t="shared" si="51"/>
        <v>34.816666666651145</v>
      </c>
      <c r="L1117" s="19">
        <f t="shared" si="52"/>
        <v>63</v>
      </c>
      <c r="M1117" s="18" t="str">
        <f>IF(I1117&lt;&gt;"Sí","",IF(YEAR(F1117)&lt;&gt;2026,"",INDEX({"Enero","Febrero","Marzo","Abril","Mayo","Junio","Julio","Agosto","Septiembre","Octubre","Noviembre","Diciembre"},MONTH(F1117))))</f>
        <v>Julio</v>
      </c>
      <c r="N1117" s="18" t="str">
        <f t="shared" si="53"/>
        <v>Julio|63</v>
      </c>
    </row>
    <row r="1118" spans="1:14" ht="14.5" x14ac:dyDescent="0.25">
      <c r="A1118" s="19">
        <v>33</v>
      </c>
      <c r="B1118" s="18" t="s">
        <v>40</v>
      </c>
      <c r="C1118" s="18" t="s">
        <v>95</v>
      </c>
      <c r="D1118" s="18" t="s">
        <v>1611</v>
      </c>
      <c r="E1118" s="18" t="s">
        <v>1108</v>
      </c>
      <c r="F1118" s="101">
        <v>46226.758333333331</v>
      </c>
      <c r="G1118" s="101">
        <v>46228.205555555556</v>
      </c>
      <c r="H1118" s="18" t="s">
        <v>507</v>
      </c>
      <c r="I1118" s="18" t="s">
        <v>508</v>
      </c>
      <c r="J1118" s="18"/>
      <c r="K1118" s="21">
        <f t="shared" si="51"/>
        <v>34.733333333395422</v>
      </c>
      <c r="L1118" s="19">
        <f t="shared" si="52"/>
        <v>64</v>
      </c>
      <c r="M1118" s="18" t="str">
        <f>IF(I1118&lt;&gt;"Sí","",IF(YEAR(F1118)&lt;&gt;2026,"",INDEX({"Enero","Febrero","Marzo","Abril","Mayo","Junio","Julio","Agosto","Septiembre","Octubre","Noviembre","Diciembre"},MONTH(F1118))))</f>
        <v>Julio</v>
      </c>
      <c r="N1118" s="18" t="str">
        <f t="shared" si="53"/>
        <v>Julio|64</v>
      </c>
    </row>
    <row r="1119" spans="1:14" ht="14.5" x14ac:dyDescent="0.25">
      <c r="A1119" s="19">
        <v>33</v>
      </c>
      <c r="B1119" s="18" t="s">
        <v>40</v>
      </c>
      <c r="C1119" s="18" t="s">
        <v>95</v>
      </c>
      <c r="D1119" s="18" t="s">
        <v>1611</v>
      </c>
      <c r="E1119" s="18" t="s">
        <v>1676</v>
      </c>
      <c r="F1119" s="101">
        <v>46226.759722222225</v>
      </c>
      <c r="G1119" s="101">
        <v>46228.20416666667</v>
      </c>
      <c r="H1119" s="18" t="s">
        <v>507</v>
      </c>
      <c r="I1119" s="18" t="s">
        <v>508</v>
      </c>
      <c r="J1119" s="18"/>
      <c r="K1119" s="21">
        <f t="shared" si="51"/>
        <v>34.666666666686069</v>
      </c>
      <c r="L1119" s="19">
        <f t="shared" si="52"/>
        <v>65</v>
      </c>
      <c r="M1119" s="18" t="str">
        <f>IF(I1119&lt;&gt;"Sí","",IF(YEAR(F1119)&lt;&gt;2026,"",INDEX({"Enero","Febrero","Marzo","Abril","Mayo","Junio","Julio","Agosto","Septiembre","Octubre","Noviembre","Diciembre"},MONTH(F1119))))</f>
        <v>Julio</v>
      </c>
      <c r="N1119" s="18" t="str">
        <f t="shared" si="53"/>
        <v>Julio|65</v>
      </c>
    </row>
    <row r="1120" spans="1:14" ht="14.5" x14ac:dyDescent="0.25">
      <c r="A1120" s="19">
        <v>33</v>
      </c>
      <c r="B1120" s="18" t="s">
        <v>40</v>
      </c>
      <c r="C1120" s="18" t="s">
        <v>95</v>
      </c>
      <c r="D1120" s="18" t="s">
        <v>1611</v>
      </c>
      <c r="E1120" s="18" t="s">
        <v>1677</v>
      </c>
      <c r="F1120" s="101">
        <v>46226.763888888891</v>
      </c>
      <c r="G1120" s="101">
        <v>46228.202777777777</v>
      </c>
      <c r="H1120" s="18" t="s">
        <v>507</v>
      </c>
      <c r="I1120" s="18" t="s">
        <v>508</v>
      </c>
      <c r="J1120" s="18"/>
      <c r="K1120" s="21">
        <f t="shared" si="51"/>
        <v>34.533333333267365</v>
      </c>
      <c r="L1120" s="19">
        <f t="shared" si="52"/>
        <v>66</v>
      </c>
      <c r="M1120" s="18" t="str">
        <f>IF(I1120&lt;&gt;"Sí","",IF(YEAR(F1120)&lt;&gt;2026,"",INDEX({"Enero","Febrero","Marzo","Abril","Mayo","Junio","Julio","Agosto","Septiembre","Octubre","Noviembre","Diciembre"},MONTH(F1120))))</f>
        <v>Julio</v>
      </c>
      <c r="N1120" s="18" t="str">
        <f t="shared" si="53"/>
        <v>Julio|66</v>
      </c>
    </row>
    <row r="1121" spans="1:14" ht="14.5" x14ac:dyDescent="0.25">
      <c r="A1121" s="19">
        <v>33</v>
      </c>
      <c r="B1121" s="18" t="s">
        <v>40</v>
      </c>
      <c r="C1121" s="18" t="s">
        <v>95</v>
      </c>
      <c r="D1121" s="18" t="s">
        <v>1611</v>
      </c>
      <c r="E1121" s="18" t="s">
        <v>1678</v>
      </c>
      <c r="F1121" s="101">
        <v>46226.765277777777</v>
      </c>
      <c r="G1121" s="101">
        <v>46228.201388888891</v>
      </c>
      <c r="H1121" s="18" t="s">
        <v>507</v>
      </c>
      <c r="I1121" s="18" t="s">
        <v>508</v>
      </c>
      <c r="J1121" s="18"/>
      <c r="K1121" s="21">
        <f t="shared" si="51"/>
        <v>34.466666666732635</v>
      </c>
      <c r="L1121" s="19">
        <f t="shared" si="52"/>
        <v>67</v>
      </c>
      <c r="M1121" s="18" t="str">
        <f>IF(I1121&lt;&gt;"Sí","",IF(YEAR(F1121)&lt;&gt;2026,"",INDEX({"Enero","Febrero","Marzo","Abril","Mayo","Junio","Julio","Agosto","Septiembre","Octubre","Noviembre","Diciembre"},MONTH(F1121))))</f>
        <v>Julio</v>
      </c>
      <c r="N1121" s="18" t="str">
        <f t="shared" si="53"/>
        <v>Julio|67</v>
      </c>
    </row>
    <row r="1122" spans="1:14" ht="14.5" x14ac:dyDescent="0.25">
      <c r="A1122" s="19">
        <v>33</v>
      </c>
      <c r="B1122" s="18" t="s">
        <v>40</v>
      </c>
      <c r="C1122" s="18" t="s">
        <v>95</v>
      </c>
      <c r="D1122" s="18" t="s">
        <v>1611</v>
      </c>
      <c r="E1122" s="18" t="s">
        <v>1679</v>
      </c>
      <c r="F1122" s="101">
        <v>46226.770833333336</v>
      </c>
      <c r="G1122" s="101">
        <v>46228.2</v>
      </c>
      <c r="H1122" s="18" t="s">
        <v>507</v>
      </c>
      <c r="I1122" s="18" t="s">
        <v>508</v>
      </c>
      <c r="J1122" s="18"/>
      <c r="K1122" s="21">
        <f t="shared" si="51"/>
        <v>34.299999999871943</v>
      </c>
      <c r="L1122" s="19">
        <f t="shared" si="52"/>
        <v>68</v>
      </c>
      <c r="M1122" s="18" t="str">
        <f>IF(I1122&lt;&gt;"Sí","",IF(YEAR(F1122)&lt;&gt;2026,"",INDEX({"Enero","Febrero","Marzo","Abril","Mayo","Junio","Julio","Agosto","Septiembre","Octubre","Noviembre","Diciembre"},MONTH(F1122))))</f>
        <v>Julio</v>
      </c>
      <c r="N1122" s="18" t="str">
        <f t="shared" si="53"/>
        <v>Julio|68</v>
      </c>
    </row>
    <row r="1123" spans="1:14" ht="14.5" x14ac:dyDescent="0.25">
      <c r="A1123" s="19">
        <v>33</v>
      </c>
      <c r="B1123" s="18" t="s">
        <v>40</v>
      </c>
      <c r="C1123" s="18" t="s">
        <v>95</v>
      </c>
      <c r="D1123" s="18" t="s">
        <v>1611</v>
      </c>
      <c r="E1123" s="18" t="s">
        <v>1680</v>
      </c>
      <c r="F1123" s="101">
        <v>46226.772916666669</v>
      </c>
      <c r="G1123" s="101">
        <v>46228.198611111111</v>
      </c>
      <c r="H1123" s="18" t="s">
        <v>507</v>
      </c>
      <c r="I1123" s="18" t="s">
        <v>508</v>
      </c>
      <c r="J1123" s="18"/>
      <c r="K1123" s="21">
        <f t="shared" si="51"/>
        <v>34.21666666661622</v>
      </c>
      <c r="L1123" s="19">
        <f t="shared" si="52"/>
        <v>69</v>
      </c>
      <c r="M1123" s="18" t="str">
        <f>IF(I1123&lt;&gt;"Sí","",IF(YEAR(F1123)&lt;&gt;2026,"",INDEX({"Enero","Febrero","Marzo","Abril","Mayo","Junio","Julio","Agosto","Septiembre","Octubre","Noviembre","Diciembre"},MONTH(F1123))))</f>
        <v>Julio</v>
      </c>
      <c r="N1123" s="18" t="str">
        <f t="shared" si="53"/>
        <v>Julio|69</v>
      </c>
    </row>
    <row r="1124" spans="1:14" ht="14.5" x14ac:dyDescent="0.25">
      <c r="A1124" s="19">
        <v>33</v>
      </c>
      <c r="B1124" s="18" t="s">
        <v>40</v>
      </c>
      <c r="C1124" s="18" t="s">
        <v>95</v>
      </c>
      <c r="D1124" s="18" t="s">
        <v>1611</v>
      </c>
      <c r="E1124" s="18" t="s">
        <v>1681</v>
      </c>
      <c r="F1124" s="101">
        <v>46226.774305555555</v>
      </c>
      <c r="G1124" s="101">
        <v>46228.111111111109</v>
      </c>
      <c r="H1124" s="18" t="s">
        <v>507</v>
      </c>
      <c r="I1124" s="18" t="s">
        <v>508</v>
      </c>
      <c r="J1124" s="18"/>
      <c r="K1124" s="21">
        <f t="shared" si="51"/>
        <v>32.083333333313931</v>
      </c>
      <c r="L1124" s="19">
        <f t="shared" si="52"/>
        <v>70</v>
      </c>
      <c r="M1124" s="18" t="str">
        <f>IF(I1124&lt;&gt;"Sí","",IF(YEAR(F1124)&lt;&gt;2026,"",INDEX({"Enero","Febrero","Marzo","Abril","Mayo","Junio","Julio","Agosto","Septiembre","Octubre","Noviembre","Diciembre"},MONTH(F1124))))</f>
        <v>Julio</v>
      </c>
      <c r="N1124" s="18" t="str">
        <f t="shared" si="53"/>
        <v>Julio|70</v>
      </c>
    </row>
    <row r="1125" spans="1:14" ht="14.5" x14ac:dyDescent="0.25">
      <c r="A1125" s="19">
        <v>33</v>
      </c>
      <c r="B1125" s="18" t="s">
        <v>40</v>
      </c>
      <c r="C1125" s="18" t="s">
        <v>95</v>
      </c>
      <c r="D1125" s="18" t="s">
        <v>1611</v>
      </c>
      <c r="E1125" s="18" t="s">
        <v>1682</v>
      </c>
      <c r="F1125" s="101">
        <v>46226.775694444441</v>
      </c>
      <c r="G1125" s="101">
        <v>46228.109027777777</v>
      </c>
      <c r="H1125" s="18" t="s">
        <v>507</v>
      </c>
      <c r="I1125" s="18" t="s">
        <v>508</v>
      </c>
      <c r="J1125" s="18"/>
      <c r="K1125" s="21">
        <f t="shared" si="51"/>
        <v>32.000000000058208</v>
      </c>
      <c r="L1125" s="19">
        <f t="shared" si="52"/>
        <v>71</v>
      </c>
      <c r="M1125" s="18" t="str">
        <f>IF(I1125&lt;&gt;"Sí","",IF(YEAR(F1125)&lt;&gt;2026,"",INDEX({"Enero","Febrero","Marzo","Abril","Mayo","Junio","Julio","Agosto","Septiembre","Octubre","Noviembre","Diciembre"},MONTH(F1125))))</f>
        <v>Julio</v>
      </c>
      <c r="N1125" s="18" t="str">
        <f t="shared" si="53"/>
        <v>Julio|71</v>
      </c>
    </row>
    <row r="1126" spans="1:14" ht="14.5" x14ac:dyDescent="0.25">
      <c r="A1126" s="19">
        <v>33</v>
      </c>
      <c r="B1126" s="18" t="s">
        <v>40</v>
      </c>
      <c r="C1126" s="18" t="s">
        <v>95</v>
      </c>
      <c r="D1126" s="18" t="s">
        <v>1611</v>
      </c>
      <c r="E1126" s="18" t="s">
        <v>1683</v>
      </c>
      <c r="F1126" s="101">
        <v>46226.777777777781</v>
      </c>
      <c r="G1126" s="101">
        <v>46228.106944444444</v>
      </c>
      <c r="H1126" s="18" t="s">
        <v>507</v>
      </c>
      <c r="I1126" s="18" t="s">
        <v>508</v>
      </c>
      <c r="J1126" s="18"/>
      <c r="K1126" s="21">
        <f t="shared" si="51"/>
        <v>31.899999999906868</v>
      </c>
      <c r="L1126" s="19">
        <f t="shared" si="52"/>
        <v>72</v>
      </c>
      <c r="M1126" s="18" t="str">
        <f>IF(I1126&lt;&gt;"Sí","",IF(YEAR(F1126)&lt;&gt;2026,"",INDEX({"Enero","Febrero","Marzo","Abril","Mayo","Junio","Julio","Agosto","Septiembre","Octubre","Noviembre","Diciembre"},MONTH(F1126))))</f>
        <v>Julio</v>
      </c>
      <c r="N1126" s="18" t="str">
        <f t="shared" si="53"/>
        <v>Julio|72</v>
      </c>
    </row>
    <row r="1127" spans="1:14" ht="14.5" x14ac:dyDescent="0.25">
      <c r="A1127" s="19">
        <v>33</v>
      </c>
      <c r="B1127" s="18" t="s">
        <v>40</v>
      </c>
      <c r="C1127" s="18" t="s">
        <v>95</v>
      </c>
      <c r="D1127" s="18" t="s">
        <v>1611</v>
      </c>
      <c r="E1127" s="18" t="s">
        <v>1684</v>
      </c>
      <c r="F1127" s="101">
        <v>46226.779166666667</v>
      </c>
      <c r="G1127" s="101">
        <v>46228.022222222222</v>
      </c>
      <c r="H1127" s="18" t="s">
        <v>507</v>
      </c>
      <c r="I1127" s="18" t="s">
        <v>508</v>
      </c>
      <c r="J1127" s="18"/>
      <c r="K1127" s="21">
        <f t="shared" si="51"/>
        <v>29.833333333313931</v>
      </c>
      <c r="L1127" s="19">
        <f t="shared" si="52"/>
        <v>73</v>
      </c>
      <c r="M1127" s="18" t="str">
        <f>IF(I1127&lt;&gt;"Sí","",IF(YEAR(F1127)&lt;&gt;2026,"",INDEX({"Enero","Febrero","Marzo","Abril","Mayo","Junio","Julio","Agosto","Septiembre","Octubre","Noviembre","Diciembre"},MONTH(F1127))))</f>
        <v>Julio</v>
      </c>
      <c r="N1127" s="18" t="str">
        <f t="shared" si="53"/>
        <v>Julio|73</v>
      </c>
    </row>
    <row r="1128" spans="1:14" ht="14.5" x14ac:dyDescent="0.25">
      <c r="A1128" s="19">
        <v>33</v>
      </c>
      <c r="B1128" s="18" t="s">
        <v>40</v>
      </c>
      <c r="C1128" s="18" t="s">
        <v>95</v>
      </c>
      <c r="D1128" s="18" t="s">
        <v>1611</v>
      </c>
      <c r="E1128" s="18" t="s">
        <v>1685</v>
      </c>
      <c r="F1128" s="101">
        <v>46226.78125</v>
      </c>
      <c r="G1128" s="101">
        <v>46228.020138888889</v>
      </c>
      <c r="H1128" s="18" t="s">
        <v>507</v>
      </c>
      <c r="I1128" s="18" t="s">
        <v>508</v>
      </c>
      <c r="J1128" s="18"/>
      <c r="K1128" s="21">
        <f t="shared" si="51"/>
        <v>29.733333333337214</v>
      </c>
      <c r="L1128" s="19">
        <f t="shared" si="52"/>
        <v>74</v>
      </c>
      <c r="M1128" s="18" t="str">
        <f>IF(I1128&lt;&gt;"Sí","",IF(YEAR(F1128)&lt;&gt;2026,"",INDEX({"Enero","Febrero","Marzo","Abril","Mayo","Junio","Julio","Agosto","Septiembre","Octubre","Noviembre","Diciembre"},MONTH(F1128))))</f>
        <v>Julio</v>
      </c>
      <c r="N1128" s="18" t="str">
        <f t="shared" si="53"/>
        <v>Julio|74</v>
      </c>
    </row>
    <row r="1129" spans="1:14" ht="14.5" x14ac:dyDescent="0.25">
      <c r="A1129" s="19">
        <v>33</v>
      </c>
      <c r="B1129" s="18" t="s">
        <v>40</v>
      </c>
      <c r="C1129" s="18" t="s">
        <v>95</v>
      </c>
      <c r="D1129" s="18" t="s">
        <v>1611</v>
      </c>
      <c r="E1129" s="18" t="s">
        <v>1686</v>
      </c>
      <c r="F1129" s="101">
        <v>46226.782638888886</v>
      </c>
      <c r="G1129" s="101">
        <v>46228.018055555556</v>
      </c>
      <c r="H1129" s="18" t="s">
        <v>507</v>
      </c>
      <c r="I1129" s="18" t="s">
        <v>508</v>
      </c>
      <c r="J1129" s="18"/>
      <c r="K1129" s="21">
        <f t="shared" si="51"/>
        <v>29.650000000081491</v>
      </c>
      <c r="L1129" s="19">
        <f t="shared" si="52"/>
        <v>75</v>
      </c>
      <c r="M1129" s="18" t="str">
        <f>IF(I1129&lt;&gt;"Sí","",IF(YEAR(F1129)&lt;&gt;2026,"",INDEX({"Enero","Febrero","Marzo","Abril","Mayo","Junio","Julio","Agosto","Septiembre","Octubre","Noviembre","Diciembre"},MONTH(F1129))))</f>
        <v>Julio</v>
      </c>
      <c r="N1129" s="18" t="str">
        <f t="shared" si="53"/>
        <v>Julio|75</v>
      </c>
    </row>
    <row r="1130" spans="1:14" ht="14.5" x14ac:dyDescent="0.25">
      <c r="A1130" s="19">
        <v>33</v>
      </c>
      <c r="B1130" s="18" t="s">
        <v>40</v>
      </c>
      <c r="C1130" s="18" t="s">
        <v>95</v>
      </c>
      <c r="D1130" s="18" t="s">
        <v>1611</v>
      </c>
      <c r="E1130" s="18" t="s">
        <v>1687</v>
      </c>
      <c r="F1130" s="101">
        <v>46226.78402777778</v>
      </c>
      <c r="G1130" s="101">
        <v>46228.015972222223</v>
      </c>
      <c r="H1130" s="18" t="s">
        <v>507</v>
      </c>
      <c r="I1130" s="18" t="s">
        <v>508</v>
      </c>
      <c r="J1130" s="18"/>
      <c r="K1130" s="21">
        <f t="shared" si="51"/>
        <v>29.566666666651145</v>
      </c>
      <c r="L1130" s="19">
        <f t="shared" si="52"/>
        <v>76</v>
      </c>
      <c r="M1130" s="18" t="str">
        <f>IF(I1130&lt;&gt;"Sí","",IF(YEAR(F1130)&lt;&gt;2026,"",INDEX({"Enero","Febrero","Marzo","Abril","Mayo","Junio","Julio","Agosto","Septiembre","Octubre","Noviembre","Diciembre"},MONTH(F1130))))</f>
        <v>Julio</v>
      </c>
      <c r="N1130" s="18" t="str">
        <f t="shared" si="53"/>
        <v>Julio|76</v>
      </c>
    </row>
    <row r="1131" spans="1:14" ht="14.5" x14ac:dyDescent="0.25">
      <c r="A1131" s="19">
        <v>33</v>
      </c>
      <c r="B1131" s="18" t="s">
        <v>40</v>
      </c>
      <c r="C1131" s="18" t="s">
        <v>95</v>
      </c>
      <c r="D1131" s="18" t="s">
        <v>1611</v>
      </c>
      <c r="E1131" s="18" t="s">
        <v>1688</v>
      </c>
      <c r="F1131" s="101">
        <v>46226.784722222219</v>
      </c>
      <c r="G1131" s="101">
        <v>46228.011805555558</v>
      </c>
      <c r="H1131" s="18" t="s">
        <v>507</v>
      </c>
      <c r="I1131" s="18" t="s">
        <v>508</v>
      </c>
      <c r="J1131" s="18"/>
      <c r="K1131" s="21">
        <f t="shared" si="51"/>
        <v>29.450000000128057</v>
      </c>
      <c r="L1131" s="19">
        <f t="shared" si="52"/>
        <v>77</v>
      </c>
      <c r="M1131" s="18" t="str">
        <f>IF(I1131&lt;&gt;"Sí","",IF(YEAR(F1131)&lt;&gt;2026,"",INDEX({"Enero","Febrero","Marzo","Abril","Mayo","Junio","Julio","Agosto","Septiembre","Octubre","Noviembre","Diciembre"},MONTH(F1131))))</f>
        <v>Julio</v>
      </c>
      <c r="N1131" s="18" t="str">
        <f t="shared" si="53"/>
        <v>Julio|77</v>
      </c>
    </row>
    <row r="1132" spans="1:14" ht="14.5" x14ac:dyDescent="0.25">
      <c r="A1132" s="19">
        <v>33</v>
      </c>
      <c r="B1132" s="18" t="s">
        <v>40</v>
      </c>
      <c r="C1132" s="18" t="s">
        <v>97</v>
      </c>
      <c r="D1132" s="18" t="s">
        <v>1617</v>
      </c>
      <c r="E1132" s="18" t="s">
        <v>1689</v>
      </c>
      <c r="F1132" s="101">
        <v>46226.786111111112</v>
      </c>
      <c r="G1132" s="101">
        <v>46235.045138888891</v>
      </c>
      <c r="H1132" s="18" t="s">
        <v>507</v>
      </c>
      <c r="I1132" s="18" t="s">
        <v>508</v>
      </c>
      <c r="J1132" s="18"/>
      <c r="K1132" s="21">
        <f t="shared" si="51"/>
        <v>198.21666666667443</v>
      </c>
      <c r="L1132" s="19">
        <f t="shared" si="52"/>
        <v>78</v>
      </c>
      <c r="M1132" s="18" t="str">
        <f>IF(I1132&lt;&gt;"Sí","",IF(YEAR(F1132)&lt;&gt;2026,"",INDEX({"Enero","Febrero","Marzo","Abril","Mayo","Junio","Julio","Agosto","Septiembre","Octubre","Noviembre","Diciembre"},MONTH(F1132))))</f>
        <v>Julio</v>
      </c>
      <c r="N1132" s="18" t="str">
        <f t="shared" si="53"/>
        <v>Julio|78</v>
      </c>
    </row>
    <row r="1133" spans="1:14" ht="14.5" x14ac:dyDescent="0.25">
      <c r="A1133" s="19">
        <v>33</v>
      </c>
      <c r="B1133" s="18" t="s">
        <v>40</v>
      </c>
      <c r="C1133" s="18" t="s">
        <v>95</v>
      </c>
      <c r="D1133" s="18" t="s">
        <v>1611</v>
      </c>
      <c r="E1133" s="18" t="s">
        <v>1690</v>
      </c>
      <c r="F1133" s="101">
        <v>46226.787499999999</v>
      </c>
      <c r="G1133" s="101">
        <v>46228.009722222225</v>
      </c>
      <c r="H1133" s="18" t="s">
        <v>507</v>
      </c>
      <c r="I1133" s="18" t="s">
        <v>508</v>
      </c>
      <c r="J1133" s="18"/>
      <c r="K1133" s="21">
        <f t="shared" si="51"/>
        <v>29.333333333430346</v>
      </c>
      <c r="L1133" s="19">
        <f t="shared" si="52"/>
        <v>79</v>
      </c>
      <c r="M1133" s="18" t="str">
        <f>IF(I1133&lt;&gt;"Sí","",IF(YEAR(F1133)&lt;&gt;2026,"",INDEX({"Enero","Febrero","Marzo","Abril","Mayo","Junio","Julio","Agosto","Septiembre","Octubre","Noviembre","Diciembre"},MONTH(F1133))))</f>
        <v>Julio</v>
      </c>
      <c r="N1133" s="18" t="str">
        <f t="shared" si="53"/>
        <v>Julio|79</v>
      </c>
    </row>
    <row r="1134" spans="1:14" ht="14.5" x14ac:dyDescent="0.25">
      <c r="A1134" s="19">
        <v>33</v>
      </c>
      <c r="B1134" s="18" t="s">
        <v>40</v>
      </c>
      <c r="C1134" s="18" t="s">
        <v>95</v>
      </c>
      <c r="D1134" s="18" t="s">
        <v>1611</v>
      </c>
      <c r="E1134" s="18" t="s">
        <v>1106</v>
      </c>
      <c r="F1134" s="101">
        <v>46226.791666666664</v>
      </c>
      <c r="G1134" s="101">
        <v>46228.007638888892</v>
      </c>
      <c r="H1134" s="18" t="s">
        <v>507</v>
      </c>
      <c r="I1134" s="18" t="s">
        <v>508</v>
      </c>
      <c r="J1134" s="18"/>
      <c r="K1134" s="21">
        <f t="shared" si="51"/>
        <v>29.183333333465271</v>
      </c>
      <c r="L1134" s="19">
        <f t="shared" si="52"/>
        <v>80</v>
      </c>
      <c r="M1134" s="18" t="str">
        <f>IF(I1134&lt;&gt;"Sí","",IF(YEAR(F1134)&lt;&gt;2026,"",INDEX({"Enero","Febrero","Marzo","Abril","Mayo","Junio","Julio","Agosto","Septiembre","Octubre","Noviembre","Diciembre"},MONTH(F1134))))</f>
        <v>Julio</v>
      </c>
      <c r="N1134" s="18" t="str">
        <f t="shared" si="53"/>
        <v>Julio|80</v>
      </c>
    </row>
    <row r="1135" spans="1:14" ht="14.5" x14ac:dyDescent="0.25">
      <c r="A1135" s="19">
        <v>33</v>
      </c>
      <c r="B1135" s="18" t="s">
        <v>40</v>
      </c>
      <c r="C1135" s="18" t="s">
        <v>95</v>
      </c>
      <c r="D1135" s="18" t="s">
        <v>1611</v>
      </c>
      <c r="E1135" s="18" t="s">
        <v>1691</v>
      </c>
      <c r="F1135" s="101">
        <v>46226.793055555558</v>
      </c>
      <c r="G1135" s="101">
        <v>46228.005555555559</v>
      </c>
      <c r="H1135" s="18" t="s">
        <v>507</v>
      </c>
      <c r="I1135" s="18" t="s">
        <v>508</v>
      </c>
      <c r="J1135" s="18"/>
      <c r="K1135" s="21">
        <f t="shared" si="51"/>
        <v>29.100000000034925</v>
      </c>
      <c r="L1135" s="19">
        <f t="shared" si="52"/>
        <v>81</v>
      </c>
      <c r="M1135" s="18" t="str">
        <f>IF(I1135&lt;&gt;"Sí","",IF(YEAR(F1135)&lt;&gt;2026,"",INDEX({"Enero","Febrero","Marzo","Abril","Mayo","Junio","Julio","Agosto","Septiembre","Octubre","Noviembre","Diciembre"},MONTH(F1135))))</f>
        <v>Julio</v>
      </c>
      <c r="N1135" s="18" t="str">
        <f t="shared" si="53"/>
        <v>Julio|81</v>
      </c>
    </row>
    <row r="1136" spans="1:14" ht="14.5" x14ac:dyDescent="0.25">
      <c r="A1136" s="19">
        <v>33</v>
      </c>
      <c r="B1136" s="18" t="s">
        <v>40</v>
      </c>
      <c r="C1136" s="18" t="s">
        <v>95</v>
      </c>
      <c r="D1136" s="18" t="s">
        <v>1611</v>
      </c>
      <c r="E1136" s="18" t="s">
        <v>1692</v>
      </c>
      <c r="F1136" s="101">
        <v>46226.795138888891</v>
      </c>
      <c r="G1136" s="101">
        <v>46228.003472222219</v>
      </c>
      <c r="H1136" s="18" t="s">
        <v>507</v>
      </c>
      <c r="I1136" s="18" t="s">
        <v>508</v>
      </c>
      <c r="J1136" s="18"/>
      <c r="K1136" s="21">
        <f t="shared" si="51"/>
        <v>28.999999999883585</v>
      </c>
      <c r="L1136" s="19">
        <f t="shared" si="52"/>
        <v>82</v>
      </c>
      <c r="M1136" s="18" t="str">
        <f>IF(I1136&lt;&gt;"Sí","",IF(YEAR(F1136)&lt;&gt;2026,"",INDEX({"Enero","Febrero","Marzo","Abril","Mayo","Junio","Julio","Agosto","Septiembre","Octubre","Noviembre","Diciembre"},MONTH(F1136))))</f>
        <v>Julio</v>
      </c>
      <c r="N1136" s="18" t="str">
        <f t="shared" si="53"/>
        <v>Julio|82</v>
      </c>
    </row>
    <row r="1137" spans="1:14" ht="14.5" x14ac:dyDescent="0.25">
      <c r="A1137" s="19">
        <v>33</v>
      </c>
      <c r="B1137" s="18" t="s">
        <v>40</v>
      </c>
      <c r="C1137" s="18" t="s">
        <v>95</v>
      </c>
      <c r="D1137" s="18" t="s">
        <v>1611</v>
      </c>
      <c r="E1137" s="18" t="s">
        <v>1033</v>
      </c>
      <c r="F1137" s="101">
        <v>46226.797222222223</v>
      </c>
      <c r="G1137" s="101">
        <v>46228.001388888886</v>
      </c>
      <c r="H1137" s="18" t="s">
        <v>507</v>
      </c>
      <c r="I1137" s="18" t="s">
        <v>508</v>
      </c>
      <c r="J1137" s="18"/>
      <c r="K1137" s="21">
        <f t="shared" si="51"/>
        <v>28.899999999906868</v>
      </c>
      <c r="L1137" s="19">
        <f t="shared" si="52"/>
        <v>83</v>
      </c>
      <c r="M1137" s="18" t="str">
        <f>IF(I1137&lt;&gt;"Sí","",IF(YEAR(F1137)&lt;&gt;2026,"",INDEX({"Enero","Febrero","Marzo","Abril","Mayo","Junio","Julio","Agosto","Septiembre","Octubre","Noviembre","Diciembre"},MONTH(F1137))))</f>
        <v>Julio</v>
      </c>
      <c r="N1137" s="18" t="str">
        <f t="shared" si="53"/>
        <v>Julio|83</v>
      </c>
    </row>
    <row r="1138" spans="1:14" ht="14.5" x14ac:dyDescent="0.25">
      <c r="A1138" s="19">
        <v>33</v>
      </c>
      <c r="B1138" s="18" t="s">
        <v>40</v>
      </c>
      <c r="C1138" s="18" t="s">
        <v>95</v>
      </c>
      <c r="D1138" s="18" t="s">
        <v>1611</v>
      </c>
      <c r="E1138" s="18" t="s">
        <v>1693</v>
      </c>
      <c r="F1138" s="101">
        <v>46226.798611111109</v>
      </c>
      <c r="G1138" s="101">
        <v>46227.90625</v>
      </c>
      <c r="H1138" s="18" t="s">
        <v>507</v>
      </c>
      <c r="I1138" s="18" t="s">
        <v>508</v>
      </c>
      <c r="J1138" s="18"/>
      <c r="K1138" s="21">
        <f t="shared" si="51"/>
        <v>26.583333333372138</v>
      </c>
      <c r="L1138" s="19">
        <f t="shared" si="52"/>
        <v>84</v>
      </c>
      <c r="M1138" s="18" t="str">
        <f>IF(I1138&lt;&gt;"Sí","",IF(YEAR(F1138)&lt;&gt;2026,"",INDEX({"Enero","Febrero","Marzo","Abril","Mayo","Junio","Julio","Agosto","Septiembre","Octubre","Noviembre","Diciembre"},MONTH(F1138))))</f>
        <v>Julio</v>
      </c>
      <c r="N1138" s="18" t="str">
        <f t="shared" si="53"/>
        <v>Julio|84</v>
      </c>
    </row>
    <row r="1139" spans="1:14" ht="14.5" x14ac:dyDescent="0.25">
      <c r="A1139" s="19">
        <v>33</v>
      </c>
      <c r="B1139" s="18" t="s">
        <v>40</v>
      </c>
      <c r="C1139" s="18" t="s">
        <v>95</v>
      </c>
      <c r="D1139" s="18" t="s">
        <v>1611</v>
      </c>
      <c r="E1139" s="18" t="s">
        <v>1694</v>
      </c>
      <c r="F1139" s="101">
        <v>46226.804166666669</v>
      </c>
      <c r="G1139" s="101">
        <v>46227.904861111114</v>
      </c>
      <c r="H1139" s="18" t="s">
        <v>507</v>
      </c>
      <c r="I1139" s="18" t="s">
        <v>508</v>
      </c>
      <c r="J1139" s="18"/>
      <c r="K1139" s="21">
        <f t="shared" si="51"/>
        <v>26.416666666686069</v>
      </c>
      <c r="L1139" s="19">
        <f t="shared" si="52"/>
        <v>85</v>
      </c>
      <c r="M1139" s="18" t="str">
        <f>IF(I1139&lt;&gt;"Sí","",IF(YEAR(F1139)&lt;&gt;2026,"",INDEX({"Enero","Febrero","Marzo","Abril","Mayo","Junio","Julio","Agosto","Septiembre","Octubre","Noviembre","Diciembre"},MONTH(F1139))))</f>
        <v>Julio</v>
      </c>
      <c r="N1139" s="18" t="str">
        <f t="shared" si="53"/>
        <v>Julio|85</v>
      </c>
    </row>
    <row r="1140" spans="1:14" ht="14.5" x14ac:dyDescent="0.25">
      <c r="A1140" s="19">
        <v>33</v>
      </c>
      <c r="B1140" s="18" t="s">
        <v>40</v>
      </c>
      <c r="C1140" s="18" t="s">
        <v>95</v>
      </c>
      <c r="D1140" s="18" t="s">
        <v>1611</v>
      </c>
      <c r="E1140" s="18" t="s">
        <v>1695</v>
      </c>
      <c r="F1140" s="101">
        <v>46226.805555555555</v>
      </c>
      <c r="G1140" s="101">
        <v>46227.904166666667</v>
      </c>
      <c r="H1140" s="18" t="s">
        <v>507</v>
      </c>
      <c r="I1140" s="18" t="s">
        <v>508</v>
      </c>
      <c r="J1140" s="18"/>
      <c r="K1140" s="21">
        <f t="shared" si="51"/>
        <v>26.366666666697711</v>
      </c>
      <c r="L1140" s="19">
        <f t="shared" si="52"/>
        <v>86</v>
      </c>
      <c r="M1140" s="18" t="str">
        <f>IF(I1140&lt;&gt;"Sí","",IF(YEAR(F1140)&lt;&gt;2026,"",INDEX({"Enero","Febrero","Marzo","Abril","Mayo","Junio","Julio","Agosto","Septiembre","Octubre","Noviembre","Diciembre"},MONTH(F1140))))</f>
        <v>Julio</v>
      </c>
      <c r="N1140" s="18" t="str">
        <f t="shared" si="53"/>
        <v>Julio|86</v>
      </c>
    </row>
    <row r="1141" spans="1:14" ht="14.5" x14ac:dyDescent="0.25">
      <c r="A1141" s="19">
        <v>33</v>
      </c>
      <c r="B1141" s="18" t="s">
        <v>40</v>
      </c>
      <c r="C1141" s="18" t="s">
        <v>95</v>
      </c>
      <c r="D1141" s="18" t="s">
        <v>1611</v>
      </c>
      <c r="E1141" s="18" t="s">
        <v>1696</v>
      </c>
      <c r="F1141" s="101">
        <v>46226.806250000001</v>
      </c>
      <c r="G1141" s="101">
        <v>46227.902777777781</v>
      </c>
      <c r="H1141" s="18" t="s">
        <v>507</v>
      </c>
      <c r="I1141" s="18" t="s">
        <v>508</v>
      </c>
      <c r="J1141" s="18"/>
      <c r="K1141" s="21">
        <f t="shared" si="51"/>
        <v>26.316666666709352</v>
      </c>
      <c r="L1141" s="19">
        <f t="shared" si="52"/>
        <v>87</v>
      </c>
      <c r="M1141" s="18" t="str">
        <f>IF(I1141&lt;&gt;"Sí","",IF(YEAR(F1141)&lt;&gt;2026,"",INDEX({"Enero","Febrero","Marzo","Abril","Mayo","Junio","Julio","Agosto","Septiembre","Octubre","Noviembre","Diciembre"},MONTH(F1141))))</f>
        <v>Julio</v>
      </c>
      <c r="N1141" s="18" t="str">
        <f t="shared" si="53"/>
        <v>Julio|87</v>
      </c>
    </row>
    <row r="1142" spans="1:14" ht="14.5" x14ac:dyDescent="0.25">
      <c r="A1142" s="19">
        <v>33</v>
      </c>
      <c r="B1142" s="18" t="s">
        <v>40</v>
      </c>
      <c r="C1142" s="18" t="s">
        <v>95</v>
      </c>
      <c r="D1142" s="18" t="s">
        <v>1611</v>
      </c>
      <c r="E1142" s="18" t="s">
        <v>1697</v>
      </c>
      <c r="F1142" s="101">
        <v>46226.808333333334</v>
      </c>
      <c r="G1142" s="101">
        <v>46227.899305555555</v>
      </c>
      <c r="H1142" s="18" t="s">
        <v>507</v>
      </c>
      <c r="I1142" s="18" t="s">
        <v>508</v>
      </c>
      <c r="J1142" s="18"/>
      <c r="K1142" s="21">
        <f t="shared" si="51"/>
        <v>26.183333333290648</v>
      </c>
      <c r="L1142" s="19">
        <f t="shared" si="52"/>
        <v>88</v>
      </c>
      <c r="M1142" s="18" t="str">
        <f>IF(I1142&lt;&gt;"Sí","",IF(YEAR(F1142)&lt;&gt;2026,"",INDEX({"Enero","Febrero","Marzo","Abril","Mayo","Junio","Julio","Agosto","Septiembre","Octubre","Noviembre","Diciembre"},MONTH(F1142))))</f>
        <v>Julio</v>
      </c>
      <c r="N1142" s="18" t="str">
        <f t="shared" si="53"/>
        <v>Julio|88</v>
      </c>
    </row>
    <row r="1143" spans="1:14" ht="14.5" x14ac:dyDescent="0.25">
      <c r="A1143" s="19">
        <v>33</v>
      </c>
      <c r="B1143" s="18" t="s">
        <v>40</v>
      </c>
      <c r="C1143" s="18" t="s">
        <v>95</v>
      </c>
      <c r="D1143" s="18" t="s">
        <v>1611</v>
      </c>
      <c r="E1143" s="18" t="s">
        <v>1698</v>
      </c>
      <c r="F1143" s="101">
        <v>46226.80972222222</v>
      </c>
      <c r="G1143" s="101">
        <v>46227.899305555555</v>
      </c>
      <c r="H1143" s="18" t="s">
        <v>507</v>
      </c>
      <c r="I1143" s="18" t="s">
        <v>508</v>
      </c>
      <c r="J1143" s="18"/>
      <c r="K1143" s="21">
        <f t="shared" si="51"/>
        <v>26.150000000023283</v>
      </c>
      <c r="L1143" s="19">
        <f t="shared" si="52"/>
        <v>89</v>
      </c>
      <c r="M1143" s="18" t="str">
        <f>IF(I1143&lt;&gt;"Sí","",IF(YEAR(F1143)&lt;&gt;2026,"",INDEX({"Enero","Febrero","Marzo","Abril","Mayo","Junio","Julio","Agosto","Septiembre","Octubre","Noviembre","Diciembre"},MONTH(F1143))))</f>
        <v>Julio</v>
      </c>
      <c r="N1143" s="18" t="str">
        <f t="shared" si="53"/>
        <v>Julio|89</v>
      </c>
    </row>
    <row r="1144" spans="1:14" ht="14.5" x14ac:dyDescent="0.25">
      <c r="A1144" s="19">
        <v>33</v>
      </c>
      <c r="B1144" s="18" t="s">
        <v>40</v>
      </c>
      <c r="C1144" s="18" t="s">
        <v>95</v>
      </c>
      <c r="D1144" s="18" t="s">
        <v>1611</v>
      </c>
      <c r="E1144" s="18" t="s">
        <v>1699</v>
      </c>
      <c r="F1144" s="101">
        <v>46226.810416666667</v>
      </c>
      <c r="G1144" s="101">
        <v>46227.881944444445</v>
      </c>
      <c r="H1144" s="18" t="s">
        <v>507</v>
      </c>
      <c r="I1144" s="18" t="s">
        <v>508</v>
      </c>
      <c r="J1144" s="18"/>
      <c r="K1144" s="21">
        <f t="shared" si="51"/>
        <v>25.716666666674428</v>
      </c>
      <c r="L1144" s="19">
        <f t="shared" si="52"/>
        <v>90</v>
      </c>
      <c r="M1144" s="18" t="str">
        <f>IF(I1144&lt;&gt;"Sí","",IF(YEAR(F1144)&lt;&gt;2026,"",INDEX({"Enero","Febrero","Marzo","Abril","Mayo","Junio","Julio","Agosto","Septiembre","Octubre","Noviembre","Diciembre"},MONTH(F1144))))</f>
        <v>Julio</v>
      </c>
      <c r="N1144" s="18" t="str">
        <f t="shared" si="53"/>
        <v>Julio|90</v>
      </c>
    </row>
    <row r="1145" spans="1:14" ht="14.5" x14ac:dyDescent="0.25">
      <c r="A1145" s="19">
        <v>33</v>
      </c>
      <c r="B1145" s="18" t="s">
        <v>40</v>
      </c>
      <c r="C1145" s="18" t="s">
        <v>95</v>
      </c>
      <c r="D1145" s="18" t="s">
        <v>1611</v>
      </c>
      <c r="E1145" s="18" t="s">
        <v>1700</v>
      </c>
      <c r="F1145" s="101">
        <v>46226.813888888886</v>
      </c>
      <c r="G1145" s="101">
        <v>46227.878472222219</v>
      </c>
      <c r="H1145" s="18" t="s">
        <v>507</v>
      </c>
      <c r="I1145" s="18" t="s">
        <v>508</v>
      </c>
      <c r="J1145" s="18"/>
      <c r="K1145" s="21">
        <f t="shared" si="51"/>
        <v>25.549999999988358</v>
      </c>
      <c r="L1145" s="19">
        <f t="shared" si="52"/>
        <v>91</v>
      </c>
      <c r="M1145" s="18" t="str">
        <f>IF(I1145&lt;&gt;"Sí","",IF(YEAR(F1145)&lt;&gt;2026,"",INDEX({"Enero","Febrero","Marzo","Abril","Mayo","Junio","Julio","Agosto","Septiembre","Octubre","Noviembre","Diciembre"},MONTH(F1145))))</f>
        <v>Julio</v>
      </c>
      <c r="N1145" s="18" t="str">
        <f t="shared" si="53"/>
        <v>Julio|91</v>
      </c>
    </row>
    <row r="1146" spans="1:14" ht="14.5" x14ac:dyDescent="0.25">
      <c r="A1146" s="19">
        <v>33</v>
      </c>
      <c r="B1146" s="18" t="s">
        <v>40</v>
      </c>
      <c r="C1146" s="18" t="s">
        <v>95</v>
      </c>
      <c r="D1146" s="18" t="s">
        <v>1611</v>
      </c>
      <c r="E1146" s="18" t="s">
        <v>1701</v>
      </c>
      <c r="F1146" s="101">
        <v>46226.81527777778</v>
      </c>
      <c r="G1146" s="101">
        <v>46227.887499999997</v>
      </c>
      <c r="H1146" s="18" t="s">
        <v>507</v>
      </c>
      <c r="I1146" s="18" t="s">
        <v>508</v>
      </c>
      <c r="J1146" s="18"/>
      <c r="K1146" s="21">
        <f t="shared" si="51"/>
        <v>25.733333333220799</v>
      </c>
      <c r="L1146" s="19">
        <f t="shared" si="52"/>
        <v>92</v>
      </c>
      <c r="M1146" s="18" t="str">
        <f>IF(I1146&lt;&gt;"Sí","",IF(YEAR(F1146)&lt;&gt;2026,"",INDEX({"Enero","Febrero","Marzo","Abril","Mayo","Junio","Julio","Agosto","Septiembre","Octubre","Noviembre","Diciembre"},MONTH(F1146))))</f>
        <v>Julio</v>
      </c>
      <c r="N1146" s="18" t="str">
        <f t="shared" si="53"/>
        <v>Julio|92</v>
      </c>
    </row>
    <row r="1147" spans="1:14" ht="14.5" x14ac:dyDescent="0.25">
      <c r="A1147" s="19">
        <v>33</v>
      </c>
      <c r="B1147" s="18" t="s">
        <v>40</v>
      </c>
      <c r="C1147" s="18" t="s">
        <v>95</v>
      </c>
      <c r="D1147" s="18" t="s">
        <v>1611</v>
      </c>
      <c r="E1147" s="18" t="s">
        <v>1702</v>
      </c>
      <c r="F1147" s="101">
        <v>46226.819444444445</v>
      </c>
      <c r="G1147" s="101">
        <v>46227.890277777777</v>
      </c>
      <c r="H1147" s="18" t="s">
        <v>507</v>
      </c>
      <c r="I1147" s="18" t="s">
        <v>508</v>
      </c>
      <c r="J1147" s="18"/>
      <c r="K1147" s="21">
        <f t="shared" si="51"/>
        <v>25.699999999953434</v>
      </c>
      <c r="L1147" s="19">
        <f t="shared" si="52"/>
        <v>93</v>
      </c>
      <c r="M1147" s="18" t="str">
        <f>IF(I1147&lt;&gt;"Sí","",IF(YEAR(F1147)&lt;&gt;2026,"",INDEX({"Enero","Febrero","Marzo","Abril","Mayo","Junio","Julio","Agosto","Septiembre","Octubre","Noviembre","Diciembre"},MONTH(F1147))))</f>
        <v>Julio</v>
      </c>
      <c r="N1147" s="18" t="str">
        <f t="shared" si="53"/>
        <v>Julio|93</v>
      </c>
    </row>
    <row r="1148" spans="1:14" ht="14.5" x14ac:dyDescent="0.25">
      <c r="A1148" s="19">
        <v>33</v>
      </c>
      <c r="B1148" s="18" t="s">
        <v>40</v>
      </c>
      <c r="C1148" s="18" t="s">
        <v>95</v>
      </c>
      <c r="D1148" s="18" t="s">
        <v>1611</v>
      </c>
      <c r="E1148" s="18" t="s">
        <v>1703</v>
      </c>
      <c r="F1148" s="101">
        <v>46226.820138888892</v>
      </c>
      <c r="G1148" s="101">
        <v>46227.885416666664</v>
      </c>
      <c r="H1148" s="18" t="s">
        <v>507</v>
      </c>
      <c r="I1148" s="18" t="s">
        <v>508</v>
      </c>
      <c r="J1148" s="18"/>
      <c r="K1148" s="21">
        <f t="shared" si="51"/>
        <v>25.566666666534729</v>
      </c>
      <c r="L1148" s="19">
        <f t="shared" si="52"/>
        <v>94</v>
      </c>
      <c r="M1148" s="18" t="str">
        <f>IF(I1148&lt;&gt;"Sí","",IF(YEAR(F1148)&lt;&gt;2026,"",INDEX({"Enero","Febrero","Marzo","Abril","Mayo","Junio","Julio","Agosto","Septiembre","Octubre","Noviembre","Diciembre"},MONTH(F1148))))</f>
        <v>Julio</v>
      </c>
      <c r="N1148" s="18" t="str">
        <f t="shared" si="53"/>
        <v>Julio|94</v>
      </c>
    </row>
    <row r="1149" spans="1:14" ht="14.5" x14ac:dyDescent="0.25">
      <c r="A1149" s="19">
        <v>33</v>
      </c>
      <c r="B1149" s="18" t="s">
        <v>40</v>
      </c>
      <c r="C1149" s="18" t="s">
        <v>95</v>
      </c>
      <c r="D1149" s="18" t="s">
        <v>1611</v>
      </c>
      <c r="E1149" s="18" t="s">
        <v>1704</v>
      </c>
      <c r="F1149" s="101">
        <v>46226.820833333331</v>
      </c>
      <c r="G1149" s="101">
        <v>46227.888888888891</v>
      </c>
      <c r="H1149" s="18" t="s">
        <v>507</v>
      </c>
      <c r="I1149" s="18" t="s">
        <v>508</v>
      </c>
      <c r="J1149" s="18"/>
      <c r="K1149" s="21">
        <f t="shared" si="51"/>
        <v>25.633333333418705</v>
      </c>
      <c r="L1149" s="19">
        <f t="shared" si="52"/>
        <v>95</v>
      </c>
      <c r="M1149" s="18" t="str">
        <f>IF(I1149&lt;&gt;"Sí","",IF(YEAR(F1149)&lt;&gt;2026,"",INDEX({"Enero","Febrero","Marzo","Abril","Mayo","Junio","Julio","Agosto","Septiembre","Octubre","Noviembre","Diciembre"},MONTH(F1149))))</f>
        <v>Julio</v>
      </c>
      <c r="N1149" s="18" t="str">
        <f t="shared" si="53"/>
        <v>Julio|95</v>
      </c>
    </row>
    <row r="1150" spans="1:14" ht="14.5" x14ac:dyDescent="0.25">
      <c r="A1150" s="19">
        <v>33</v>
      </c>
      <c r="B1150" s="18" t="s">
        <v>40</v>
      </c>
      <c r="C1150" s="18" t="s">
        <v>95</v>
      </c>
      <c r="D1150" s="18" t="s">
        <v>1611</v>
      </c>
      <c r="E1150" s="18" t="s">
        <v>1705</v>
      </c>
      <c r="F1150" s="101">
        <v>46226.821527777778</v>
      </c>
      <c r="G1150" s="101">
        <v>46228.030555555553</v>
      </c>
      <c r="H1150" s="18" t="s">
        <v>507</v>
      </c>
      <c r="I1150" s="18" t="s">
        <v>508</v>
      </c>
      <c r="J1150" s="18"/>
      <c r="K1150" s="21">
        <f t="shared" si="51"/>
        <v>29.016666666604578</v>
      </c>
      <c r="L1150" s="19">
        <f t="shared" si="52"/>
        <v>96</v>
      </c>
      <c r="M1150" s="18" t="str">
        <f>IF(I1150&lt;&gt;"Sí","",IF(YEAR(F1150)&lt;&gt;2026,"",INDEX({"Enero","Febrero","Marzo","Abril","Mayo","Junio","Julio","Agosto","Septiembre","Octubre","Noviembre","Diciembre"},MONTH(F1150))))</f>
        <v>Julio</v>
      </c>
      <c r="N1150" s="18" t="str">
        <f t="shared" si="53"/>
        <v>Julio|96</v>
      </c>
    </row>
    <row r="1151" spans="1:14" ht="14.5" x14ac:dyDescent="0.25">
      <c r="A1151" s="19">
        <v>33</v>
      </c>
      <c r="B1151" s="18" t="s">
        <v>40</v>
      </c>
      <c r="C1151" s="18" t="s">
        <v>95</v>
      </c>
      <c r="D1151" s="18" t="s">
        <v>1611</v>
      </c>
      <c r="E1151" s="18" t="s">
        <v>1706</v>
      </c>
      <c r="F1151" s="101">
        <v>46226.822916666664</v>
      </c>
      <c r="G1151" s="101">
        <v>46228.02847222222</v>
      </c>
      <c r="H1151" s="18" t="s">
        <v>507</v>
      </c>
      <c r="I1151" s="18" t="s">
        <v>508</v>
      </c>
      <c r="J1151" s="18"/>
      <c r="K1151" s="21">
        <f t="shared" si="51"/>
        <v>28.933333333348855</v>
      </c>
      <c r="L1151" s="19">
        <f t="shared" si="52"/>
        <v>98</v>
      </c>
      <c r="M1151" s="18" t="str">
        <f>IF(I1151&lt;&gt;"Sí","",IF(YEAR(F1151)&lt;&gt;2026,"",INDEX({"Enero","Febrero","Marzo","Abril","Mayo","Junio","Julio","Agosto","Septiembre","Octubre","Noviembre","Diciembre"},MONTH(F1151))))</f>
        <v>Julio</v>
      </c>
      <c r="N1151" s="18" t="str">
        <f t="shared" si="53"/>
        <v>Julio|98</v>
      </c>
    </row>
    <row r="1152" spans="1:14" ht="14.5" x14ac:dyDescent="0.25">
      <c r="A1152" s="19">
        <v>33</v>
      </c>
      <c r="B1152" s="18" t="s">
        <v>40</v>
      </c>
      <c r="C1152" s="18" t="s">
        <v>95</v>
      </c>
      <c r="D1152" s="18" t="s">
        <v>1611</v>
      </c>
      <c r="E1152" s="18" t="s">
        <v>1707</v>
      </c>
      <c r="F1152" s="101">
        <v>46226.822916666664</v>
      </c>
      <c r="G1152" s="101">
        <v>46228.232638888891</v>
      </c>
      <c r="H1152" s="18" t="s">
        <v>507</v>
      </c>
      <c r="I1152" s="18" t="s">
        <v>508</v>
      </c>
      <c r="J1152" s="18"/>
      <c r="K1152" s="21">
        <f t="shared" si="51"/>
        <v>33.833333333430346</v>
      </c>
      <c r="L1152" s="19">
        <f t="shared" si="52"/>
        <v>98</v>
      </c>
      <c r="M1152" s="18" t="str">
        <f>IF(I1152&lt;&gt;"Sí","",IF(YEAR(F1152)&lt;&gt;2026,"",INDEX({"Enero","Febrero","Marzo","Abril","Mayo","Junio","Julio","Agosto","Septiembre","Octubre","Noviembre","Diciembre"},MONTH(F1152))))</f>
        <v>Julio</v>
      </c>
      <c r="N1152" s="18" t="str">
        <f t="shared" si="53"/>
        <v>Julio|98</v>
      </c>
    </row>
    <row r="1153" spans="1:14" ht="14.5" x14ac:dyDescent="0.25">
      <c r="A1153" s="19">
        <v>33</v>
      </c>
      <c r="B1153" s="18" t="s">
        <v>40</v>
      </c>
      <c r="C1153" s="18" t="s">
        <v>95</v>
      </c>
      <c r="D1153" s="18" t="s">
        <v>1611</v>
      </c>
      <c r="E1153" s="18" t="s">
        <v>1708</v>
      </c>
      <c r="F1153" s="101">
        <v>46226.823611111111</v>
      </c>
      <c r="G1153" s="101">
        <v>46228.026388888888</v>
      </c>
      <c r="H1153" s="18" t="s">
        <v>507</v>
      </c>
      <c r="I1153" s="18" t="s">
        <v>508</v>
      </c>
      <c r="J1153" s="18"/>
      <c r="K1153" s="21">
        <f t="shared" si="51"/>
        <v>28.866666666639503</v>
      </c>
      <c r="L1153" s="19">
        <f t="shared" si="52"/>
        <v>99</v>
      </c>
      <c r="M1153" s="18" t="str">
        <f>IF(I1153&lt;&gt;"Sí","",IF(YEAR(F1153)&lt;&gt;2026,"",INDEX({"Enero","Febrero","Marzo","Abril","Mayo","Junio","Julio","Agosto","Septiembre","Octubre","Noviembre","Diciembre"},MONTH(F1153))))</f>
        <v>Julio</v>
      </c>
      <c r="N1153" s="18" t="str">
        <f t="shared" si="53"/>
        <v>Julio|99</v>
      </c>
    </row>
    <row r="1154" spans="1:14" ht="14.5" x14ac:dyDescent="0.25">
      <c r="A1154" s="19">
        <v>33</v>
      </c>
      <c r="B1154" s="18" t="s">
        <v>40</v>
      </c>
      <c r="C1154" s="18" t="s">
        <v>95</v>
      </c>
      <c r="D1154" s="18" t="s">
        <v>1611</v>
      </c>
      <c r="E1154" s="18" t="s">
        <v>1709</v>
      </c>
      <c r="F1154" s="101">
        <v>46226.824999999997</v>
      </c>
      <c r="G1154" s="101">
        <v>46228.024305555555</v>
      </c>
      <c r="H1154" s="18" t="s">
        <v>507</v>
      </c>
      <c r="I1154" s="18" t="s">
        <v>508</v>
      </c>
      <c r="J1154" s="18"/>
      <c r="K1154" s="21">
        <f t="shared" si="51"/>
        <v>28.78333333338378</v>
      </c>
      <c r="L1154" s="19">
        <f t="shared" si="52"/>
        <v>100</v>
      </c>
      <c r="M1154" s="18" t="str">
        <f>IF(I1154&lt;&gt;"Sí","",IF(YEAR(F1154)&lt;&gt;2026,"",INDEX({"Enero","Febrero","Marzo","Abril","Mayo","Junio","Julio","Agosto","Septiembre","Octubre","Noviembre","Diciembre"},MONTH(F1154))))</f>
        <v>Julio</v>
      </c>
      <c r="N1154" s="18" t="str">
        <f t="shared" si="53"/>
        <v>Julio|100</v>
      </c>
    </row>
    <row r="1155" spans="1:14" ht="14.5" x14ac:dyDescent="0.25">
      <c r="A1155" s="19">
        <v>33</v>
      </c>
      <c r="B1155" s="18" t="s">
        <v>40</v>
      </c>
      <c r="C1155" s="18" t="s">
        <v>95</v>
      </c>
      <c r="D1155" s="18" t="s">
        <v>1611</v>
      </c>
      <c r="E1155" s="18" t="s">
        <v>1710</v>
      </c>
      <c r="F1155" s="101">
        <v>46226.826388888891</v>
      </c>
      <c r="G1155" s="101">
        <v>46227.87777777778</v>
      </c>
      <c r="H1155" s="18" t="s">
        <v>507</v>
      </c>
      <c r="I1155" s="18" t="s">
        <v>508</v>
      </c>
      <c r="J1155" s="18"/>
      <c r="K1155" s="21">
        <f t="shared" si="51"/>
        <v>25.233333333337214</v>
      </c>
      <c r="L1155" s="19">
        <f t="shared" si="52"/>
        <v>101</v>
      </c>
      <c r="M1155" s="18" t="str">
        <f>IF(I1155&lt;&gt;"Sí","",IF(YEAR(F1155)&lt;&gt;2026,"",INDEX({"Enero","Febrero","Marzo","Abril","Mayo","Junio","Julio","Agosto","Septiembre","Octubre","Noviembre","Diciembre"},MONTH(F1155))))</f>
        <v>Julio</v>
      </c>
      <c r="N1155" s="18" t="str">
        <f t="shared" si="53"/>
        <v>Julio|101</v>
      </c>
    </row>
    <row r="1156" spans="1:14" ht="14.5" x14ac:dyDescent="0.25">
      <c r="A1156" s="19">
        <v>33</v>
      </c>
      <c r="B1156" s="18" t="s">
        <v>40</v>
      </c>
      <c r="C1156" s="18" t="s">
        <v>95</v>
      </c>
      <c r="D1156" s="18" t="s">
        <v>1611</v>
      </c>
      <c r="E1156" s="18" t="s">
        <v>1711</v>
      </c>
      <c r="F1156" s="101">
        <v>46226.829861111109</v>
      </c>
      <c r="G1156" s="101">
        <v>46227.886111111111</v>
      </c>
      <c r="H1156" s="18" t="s">
        <v>507</v>
      </c>
      <c r="I1156" s="18" t="s">
        <v>508</v>
      </c>
      <c r="J1156" s="18"/>
      <c r="K1156" s="21">
        <f t="shared" si="51"/>
        <v>25.350000000034925</v>
      </c>
      <c r="L1156" s="19">
        <f t="shared" si="52"/>
        <v>102</v>
      </c>
      <c r="M1156" s="18" t="str">
        <f>IF(I1156&lt;&gt;"Sí","",IF(YEAR(F1156)&lt;&gt;2026,"",INDEX({"Enero","Febrero","Marzo","Abril","Mayo","Junio","Julio","Agosto","Septiembre","Octubre","Noviembre","Diciembre"},MONTH(F1156))))</f>
        <v>Julio</v>
      </c>
      <c r="N1156" s="18" t="str">
        <f t="shared" si="53"/>
        <v>Julio|102</v>
      </c>
    </row>
    <row r="1157" spans="1:14" ht="14.5" x14ac:dyDescent="0.25">
      <c r="A1157" s="19">
        <v>33</v>
      </c>
      <c r="B1157" s="18" t="s">
        <v>40</v>
      </c>
      <c r="C1157" s="18" t="s">
        <v>95</v>
      </c>
      <c r="D1157" s="18" t="s">
        <v>1611</v>
      </c>
      <c r="E1157" s="18" t="s">
        <v>1712</v>
      </c>
      <c r="F1157" s="101">
        <v>46226.835416666669</v>
      </c>
      <c r="G1157" s="101">
        <v>46228.034722222219</v>
      </c>
      <c r="H1157" s="18" t="s">
        <v>507</v>
      </c>
      <c r="I1157" s="18" t="s">
        <v>508</v>
      </c>
      <c r="J1157" s="18"/>
      <c r="K1157" s="21">
        <f t="shared" si="51"/>
        <v>28.783333333209157</v>
      </c>
      <c r="L1157" s="19">
        <f t="shared" si="52"/>
        <v>103</v>
      </c>
      <c r="M1157" s="18" t="str">
        <f>IF(I1157&lt;&gt;"Sí","",IF(YEAR(F1157)&lt;&gt;2026,"",INDEX({"Enero","Febrero","Marzo","Abril","Mayo","Junio","Julio","Agosto","Septiembre","Octubre","Noviembre","Diciembre"},MONTH(F1157))))</f>
        <v>Julio</v>
      </c>
      <c r="N1157" s="18" t="str">
        <f t="shared" si="53"/>
        <v>Julio|103</v>
      </c>
    </row>
    <row r="1158" spans="1:14" ht="14.5" x14ac:dyDescent="0.25">
      <c r="A1158" s="19">
        <v>33</v>
      </c>
      <c r="B1158" s="18" t="s">
        <v>40</v>
      </c>
      <c r="C1158" s="18" t="s">
        <v>95</v>
      </c>
      <c r="D1158" s="18" t="s">
        <v>1611</v>
      </c>
      <c r="E1158" s="18" t="s">
        <v>1713</v>
      </c>
      <c r="F1158" s="101">
        <v>46226.836805555555</v>
      </c>
      <c r="G1158" s="101">
        <v>46227.75</v>
      </c>
      <c r="H1158" s="18" t="s">
        <v>507</v>
      </c>
      <c r="I1158" s="18" t="s">
        <v>508</v>
      </c>
      <c r="J1158" s="18"/>
      <c r="K1158" s="21">
        <f t="shared" si="51"/>
        <v>21.916666666686069</v>
      </c>
      <c r="L1158" s="19">
        <f t="shared" si="52"/>
        <v>104</v>
      </c>
      <c r="M1158" s="18" t="str">
        <f>IF(I1158&lt;&gt;"Sí","",IF(YEAR(F1158)&lt;&gt;2026,"",INDEX({"Enero","Febrero","Marzo","Abril","Mayo","Junio","Julio","Agosto","Septiembre","Octubre","Noviembre","Diciembre"},MONTH(F1158))))</f>
        <v>Julio</v>
      </c>
      <c r="N1158" s="18" t="str">
        <f t="shared" si="53"/>
        <v>Julio|104</v>
      </c>
    </row>
    <row r="1159" spans="1:14" ht="14.5" x14ac:dyDescent="0.25">
      <c r="A1159" s="19">
        <v>33</v>
      </c>
      <c r="B1159" s="18" t="s">
        <v>40</v>
      </c>
      <c r="C1159" s="18" t="s">
        <v>95</v>
      </c>
      <c r="D1159" s="18" t="s">
        <v>1611</v>
      </c>
      <c r="E1159" s="18" t="s">
        <v>1714</v>
      </c>
      <c r="F1159" s="101">
        <v>46226.838888888888</v>
      </c>
      <c r="G1159" s="101">
        <v>46227.73333333333</v>
      </c>
      <c r="H1159" s="18" t="s">
        <v>507</v>
      </c>
      <c r="I1159" s="18" t="s">
        <v>508</v>
      </c>
      <c r="J1159" s="18"/>
      <c r="K1159" s="21">
        <f t="shared" ref="K1159:K1222" si="54">IF(I1159="Sí",(G1159-F1159)*24,"")</f>
        <v>21.46666666661622</v>
      </c>
      <c r="L1159" s="19">
        <f t="shared" ref="L1159:L1222" si="55">IF(I1159="Sí",COUNTIFS($F$7:$F$4000,"&lt;="&amp;F1159,$G$7:$G$4000,"&gt;"&amp;F1159,$I$7:$I$4000,"Sí"),"")</f>
        <v>105</v>
      </c>
      <c r="M1159" s="18" t="str">
        <f>IF(I1159&lt;&gt;"Sí","",IF(YEAR(F1159)&lt;&gt;2026,"",INDEX({"Enero","Febrero","Marzo","Abril","Mayo","Junio","Julio","Agosto","Septiembre","Octubre","Noviembre","Diciembre"},MONTH(F1159))))</f>
        <v>Julio</v>
      </c>
      <c r="N1159" s="18" t="str">
        <f t="shared" ref="N1159:N1222" si="56">IF(M1159="","",M1159&amp;"|"&amp;L1159)</f>
        <v>Julio|105</v>
      </c>
    </row>
    <row r="1160" spans="1:14" ht="14.5" x14ac:dyDescent="0.25">
      <c r="A1160" s="19">
        <v>33</v>
      </c>
      <c r="B1160" s="18" t="s">
        <v>40</v>
      </c>
      <c r="C1160" s="18" t="s">
        <v>95</v>
      </c>
      <c r="D1160" s="18" t="s">
        <v>1611</v>
      </c>
      <c r="E1160" s="18" t="s">
        <v>1715</v>
      </c>
      <c r="F1160" s="101">
        <v>46226.840277777781</v>
      </c>
      <c r="G1160" s="101">
        <v>46228.032638888886</v>
      </c>
      <c r="H1160" s="18" t="s">
        <v>507</v>
      </c>
      <c r="I1160" s="18" t="s">
        <v>508</v>
      </c>
      <c r="J1160" s="18"/>
      <c r="K1160" s="21">
        <f t="shared" si="54"/>
        <v>28.616666666523088</v>
      </c>
      <c r="L1160" s="19">
        <f t="shared" si="55"/>
        <v>106</v>
      </c>
      <c r="M1160" s="18" t="str">
        <f>IF(I1160&lt;&gt;"Sí","",IF(YEAR(F1160)&lt;&gt;2026,"",INDEX({"Enero","Febrero","Marzo","Abril","Mayo","Junio","Julio","Agosto","Septiembre","Octubre","Noviembre","Diciembre"},MONTH(F1160))))</f>
        <v>Julio</v>
      </c>
      <c r="N1160" s="18" t="str">
        <f t="shared" si="56"/>
        <v>Julio|106</v>
      </c>
    </row>
    <row r="1161" spans="1:14" ht="14.5" x14ac:dyDescent="0.25">
      <c r="A1161" s="19">
        <v>33</v>
      </c>
      <c r="B1161" s="18" t="s">
        <v>40</v>
      </c>
      <c r="C1161" s="18" t="s">
        <v>95</v>
      </c>
      <c r="D1161" s="18" t="s">
        <v>1611</v>
      </c>
      <c r="E1161" s="18" t="s">
        <v>1716</v>
      </c>
      <c r="F1161" s="101">
        <v>46226.84097222222</v>
      </c>
      <c r="G1161" s="101">
        <v>46228.102777777778</v>
      </c>
      <c r="H1161" s="18" t="s">
        <v>507</v>
      </c>
      <c r="I1161" s="18" t="s">
        <v>508</v>
      </c>
      <c r="J1161" s="18"/>
      <c r="K1161" s="21">
        <f t="shared" si="54"/>
        <v>30.28333333338378</v>
      </c>
      <c r="L1161" s="19">
        <f t="shared" si="55"/>
        <v>107</v>
      </c>
      <c r="M1161" s="18" t="str">
        <f>IF(I1161&lt;&gt;"Sí","",IF(YEAR(F1161)&lt;&gt;2026,"",INDEX({"Enero","Febrero","Marzo","Abril","Mayo","Junio","Julio","Agosto","Septiembre","Octubre","Noviembre","Diciembre"},MONTH(F1161))))</f>
        <v>Julio</v>
      </c>
      <c r="N1161" s="18" t="str">
        <f t="shared" si="56"/>
        <v>Julio|107</v>
      </c>
    </row>
    <row r="1162" spans="1:14" ht="14.5" x14ac:dyDescent="0.25">
      <c r="A1162" s="19">
        <v>33</v>
      </c>
      <c r="B1162" s="18" t="s">
        <v>40</v>
      </c>
      <c r="C1162" s="18" t="s">
        <v>95</v>
      </c>
      <c r="D1162" s="18" t="s">
        <v>1611</v>
      </c>
      <c r="E1162" s="18" t="s">
        <v>1717</v>
      </c>
      <c r="F1162" s="101">
        <v>46226.84375</v>
      </c>
      <c r="G1162" s="101">
        <v>46228.100694444445</v>
      </c>
      <c r="H1162" s="18" t="s">
        <v>507</v>
      </c>
      <c r="I1162" s="18" t="s">
        <v>508</v>
      </c>
      <c r="J1162" s="18"/>
      <c r="K1162" s="21">
        <f t="shared" si="54"/>
        <v>30.166666666686069</v>
      </c>
      <c r="L1162" s="19">
        <f t="shared" si="55"/>
        <v>108</v>
      </c>
      <c r="M1162" s="18" t="str">
        <f>IF(I1162&lt;&gt;"Sí","",IF(YEAR(F1162)&lt;&gt;2026,"",INDEX({"Enero","Febrero","Marzo","Abril","Mayo","Junio","Julio","Agosto","Septiembre","Octubre","Noviembre","Diciembre"},MONTH(F1162))))</f>
        <v>Julio</v>
      </c>
      <c r="N1162" s="18" t="str">
        <f t="shared" si="56"/>
        <v>Julio|108</v>
      </c>
    </row>
    <row r="1163" spans="1:14" ht="14.5" x14ac:dyDescent="0.25">
      <c r="A1163" s="19">
        <v>33</v>
      </c>
      <c r="B1163" s="18" t="s">
        <v>40</v>
      </c>
      <c r="C1163" s="18" t="s">
        <v>95</v>
      </c>
      <c r="D1163" s="18" t="s">
        <v>1611</v>
      </c>
      <c r="E1163" s="18" t="s">
        <v>1718</v>
      </c>
      <c r="F1163" s="101">
        <v>46226.85</v>
      </c>
      <c r="G1163" s="101">
        <v>46228.104861111111</v>
      </c>
      <c r="H1163" s="18" t="s">
        <v>507</v>
      </c>
      <c r="I1163" s="18" t="s">
        <v>508</v>
      </c>
      <c r="J1163" s="18"/>
      <c r="K1163" s="21">
        <f t="shared" si="54"/>
        <v>30.116666666697711</v>
      </c>
      <c r="L1163" s="19">
        <f t="shared" si="55"/>
        <v>109</v>
      </c>
      <c r="M1163" s="18" t="str">
        <f>IF(I1163&lt;&gt;"Sí","",IF(YEAR(F1163)&lt;&gt;2026,"",INDEX({"Enero","Febrero","Marzo","Abril","Mayo","Junio","Julio","Agosto","Septiembre","Octubre","Noviembre","Diciembre"},MONTH(F1163))))</f>
        <v>Julio</v>
      </c>
      <c r="N1163" s="18" t="str">
        <f t="shared" si="56"/>
        <v>Julio|109</v>
      </c>
    </row>
    <row r="1164" spans="1:14" ht="14.5" x14ac:dyDescent="0.25">
      <c r="A1164" s="19">
        <v>33</v>
      </c>
      <c r="B1164" s="18" t="s">
        <v>40</v>
      </c>
      <c r="C1164" s="18" t="s">
        <v>97</v>
      </c>
      <c r="D1164" s="18" t="s">
        <v>1617</v>
      </c>
      <c r="E1164" s="18" t="s">
        <v>1719</v>
      </c>
      <c r="F1164" s="101">
        <v>46227.506944444445</v>
      </c>
      <c r="G1164" s="101">
        <v>46235.050694444442</v>
      </c>
      <c r="H1164" s="18" t="s">
        <v>507</v>
      </c>
      <c r="I1164" s="18" t="s">
        <v>508</v>
      </c>
      <c r="J1164" s="18"/>
      <c r="K1164" s="21">
        <f t="shared" si="54"/>
        <v>181.04999999993015</v>
      </c>
      <c r="L1164" s="19">
        <f t="shared" si="55"/>
        <v>111</v>
      </c>
      <c r="M1164" s="18" t="str">
        <f>IF(I1164&lt;&gt;"Sí","",IF(YEAR(F1164)&lt;&gt;2026,"",INDEX({"Enero","Febrero","Marzo","Abril","Mayo","Junio","Julio","Agosto","Septiembre","Octubre","Noviembre","Diciembre"},MONTH(F1164))))</f>
        <v>Julio</v>
      </c>
      <c r="N1164" s="18" t="str">
        <f t="shared" si="56"/>
        <v>Julio|111</v>
      </c>
    </row>
    <row r="1165" spans="1:14" ht="14.5" x14ac:dyDescent="0.25">
      <c r="A1165" s="19">
        <v>33</v>
      </c>
      <c r="B1165" s="18" t="s">
        <v>40</v>
      </c>
      <c r="C1165" s="18" t="s">
        <v>97</v>
      </c>
      <c r="D1165" s="18" t="s">
        <v>1617</v>
      </c>
      <c r="E1165" s="18" t="s">
        <v>1720</v>
      </c>
      <c r="F1165" s="101">
        <v>46227.506944444445</v>
      </c>
      <c r="G1165" s="101">
        <v>46235.050694444442</v>
      </c>
      <c r="H1165" s="18" t="s">
        <v>507</v>
      </c>
      <c r="I1165" s="18" t="s">
        <v>508</v>
      </c>
      <c r="J1165" s="18"/>
      <c r="K1165" s="21">
        <f t="shared" si="54"/>
        <v>181.04999999993015</v>
      </c>
      <c r="L1165" s="19">
        <f t="shared" si="55"/>
        <v>111</v>
      </c>
      <c r="M1165" s="18" t="str">
        <f>IF(I1165&lt;&gt;"Sí","",IF(YEAR(F1165)&lt;&gt;2026,"",INDEX({"Enero","Febrero","Marzo","Abril","Mayo","Junio","Julio","Agosto","Septiembre","Octubre","Noviembre","Diciembre"},MONTH(F1165))))</f>
        <v>Julio</v>
      </c>
      <c r="N1165" s="18" t="str">
        <f t="shared" si="56"/>
        <v>Julio|111</v>
      </c>
    </row>
    <row r="1166" spans="1:14" ht="14.5" x14ac:dyDescent="0.25">
      <c r="A1166" s="19">
        <v>34</v>
      </c>
      <c r="B1166" s="18" t="s">
        <v>41</v>
      </c>
      <c r="C1166" s="18" t="s">
        <v>1054</v>
      </c>
      <c r="D1166" s="18" t="s">
        <v>1625</v>
      </c>
      <c r="E1166" s="18" t="s">
        <v>1721</v>
      </c>
      <c r="F1166" s="101">
        <v>46227.570833333331</v>
      </c>
      <c r="G1166" s="101">
        <v>46240.168749999997</v>
      </c>
      <c r="H1166" s="18" t="s">
        <v>507</v>
      </c>
      <c r="I1166" s="18" t="s">
        <v>508</v>
      </c>
      <c r="J1166" s="18"/>
      <c r="K1166" s="21">
        <f t="shared" si="54"/>
        <v>302.34999999997672</v>
      </c>
      <c r="L1166" s="19">
        <f t="shared" si="55"/>
        <v>113</v>
      </c>
      <c r="M1166" s="18" t="str">
        <f>IF(I1166&lt;&gt;"Sí","",IF(YEAR(F1166)&lt;&gt;2026,"",INDEX({"Enero","Febrero","Marzo","Abril","Mayo","Junio","Julio","Agosto","Septiembre","Octubre","Noviembre","Diciembre"},MONTH(F1166))))</f>
        <v>Julio</v>
      </c>
      <c r="N1166" s="18" t="str">
        <f t="shared" si="56"/>
        <v>Julio|113</v>
      </c>
    </row>
    <row r="1167" spans="1:14" ht="14.5" x14ac:dyDescent="0.25">
      <c r="A1167" s="19">
        <v>34</v>
      </c>
      <c r="B1167" s="18" t="s">
        <v>41</v>
      </c>
      <c r="C1167" s="18" t="s">
        <v>1054</v>
      </c>
      <c r="D1167" s="18" t="s">
        <v>1625</v>
      </c>
      <c r="E1167" s="18" t="s">
        <v>1722</v>
      </c>
      <c r="F1167" s="101">
        <v>46227.570833333331</v>
      </c>
      <c r="G1167" s="101">
        <v>46240.775694444441</v>
      </c>
      <c r="H1167" s="18" t="s">
        <v>507</v>
      </c>
      <c r="I1167" s="18" t="s">
        <v>508</v>
      </c>
      <c r="J1167" s="18"/>
      <c r="K1167" s="21">
        <f t="shared" si="54"/>
        <v>316.91666666662786</v>
      </c>
      <c r="L1167" s="19">
        <f t="shared" si="55"/>
        <v>113</v>
      </c>
      <c r="M1167" s="18" t="str">
        <f>IF(I1167&lt;&gt;"Sí","",IF(YEAR(F1167)&lt;&gt;2026,"",INDEX({"Enero","Febrero","Marzo","Abril","Mayo","Junio","Julio","Agosto","Septiembre","Octubre","Noviembre","Diciembre"},MONTH(F1167))))</f>
        <v>Julio</v>
      </c>
      <c r="N1167" s="18" t="str">
        <f t="shared" si="56"/>
        <v>Julio|113</v>
      </c>
    </row>
    <row r="1168" spans="1:14" ht="14.5" x14ac:dyDescent="0.25">
      <c r="A1168" s="19">
        <v>34</v>
      </c>
      <c r="B1168" s="18" t="s">
        <v>41</v>
      </c>
      <c r="C1168" s="18" t="s">
        <v>1054</v>
      </c>
      <c r="D1168" s="18" t="s">
        <v>1625</v>
      </c>
      <c r="E1168" s="18" t="s">
        <v>1723</v>
      </c>
      <c r="F1168" s="101">
        <v>46227.650694444441</v>
      </c>
      <c r="G1168" s="101">
        <v>46240.18472222222</v>
      </c>
      <c r="H1168" s="18" t="s">
        <v>507</v>
      </c>
      <c r="I1168" s="18" t="s">
        <v>508</v>
      </c>
      <c r="J1168" s="18"/>
      <c r="K1168" s="21">
        <f t="shared" si="54"/>
        <v>300.81666666670935</v>
      </c>
      <c r="L1168" s="19">
        <f t="shared" si="55"/>
        <v>114</v>
      </c>
      <c r="M1168" s="18" t="str">
        <f>IF(I1168&lt;&gt;"Sí","",IF(YEAR(F1168)&lt;&gt;2026,"",INDEX({"Enero","Febrero","Marzo","Abril","Mayo","Junio","Julio","Agosto","Septiembre","Octubre","Noviembre","Diciembre"},MONTH(F1168))))</f>
        <v>Julio</v>
      </c>
      <c r="N1168" s="18" t="str">
        <f t="shared" si="56"/>
        <v>Julio|114</v>
      </c>
    </row>
    <row r="1169" spans="1:14" ht="14.5" x14ac:dyDescent="0.25">
      <c r="A1169" s="19">
        <v>33</v>
      </c>
      <c r="B1169" s="18" t="s">
        <v>40</v>
      </c>
      <c r="C1169" s="18" t="s">
        <v>180</v>
      </c>
      <c r="D1169" s="18" t="s">
        <v>1724</v>
      </c>
      <c r="E1169" s="18" t="s">
        <v>1725</v>
      </c>
      <c r="F1169" s="101">
        <v>46228.549305555556</v>
      </c>
      <c r="G1169" s="101">
        <v>46232.552083333336</v>
      </c>
      <c r="H1169" s="18" t="s">
        <v>507</v>
      </c>
      <c r="I1169" s="18" t="s">
        <v>508</v>
      </c>
      <c r="J1169" s="18"/>
      <c r="K1169" s="21">
        <f t="shared" si="54"/>
        <v>96.066666666709352</v>
      </c>
      <c r="L1169" s="19">
        <f t="shared" si="55"/>
        <v>19</v>
      </c>
      <c r="M1169" s="18" t="str">
        <f>IF(I1169&lt;&gt;"Sí","",IF(YEAR(F1169)&lt;&gt;2026,"",INDEX({"Enero","Febrero","Marzo","Abril","Mayo","Junio","Julio","Agosto","Septiembre","Octubre","Noviembre","Diciembre"},MONTH(F1169))))</f>
        <v>Julio</v>
      </c>
      <c r="N1169" s="18" t="str">
        <f t="shared" si="56"/>
        <v>Julio|19</v>
      </c>
    </row>
    <row r="1170" spans="1:14" ht="14.5" x14ac:dyDescent="0.25">
      <c r="A1170" s="19">
        <v>33</v>
      </c>
      <c r="B1170" s="18" t="s">
        <v>40</v>
      </c>
      <c r="C1170" s="18" t="s">
        <v>97</v>
      </c>
      <c r="D1170" s="18" t="s">
        <v>1617</v>
      </c>
      <c r="E1170" s="18" t="s">
        <v>1726</v>
      </c>
      <c r="F1170" s="101">
        <v>46228.549305555556</v>
      </c>
      <c r="G1170" s="101">
        <v>46235.121527777781</v>
      </c>
      <c r="H1170" s="18" t="s">
        <v>507</v>
      </c>
      <c r="I1170" s="18" t="s">
        <v>508</v>
      </c>
      <c r="J1170" s="18"/>
      <c r="K1170" s="21">
        <f t="shared" si="54"/>
        <v>157.73333333339542</v>
      </c>
      <c r="L1170" s="19">
        <f t="shared" si="55"/>
        <v>19</v>
      </c>
      <c r="M1170" s="18" t="str">
        <f>IF(I1170&lt;&gt;"Sí","",IF(YEAR(F1170)&lt;&gt;2026,"",INDEX({"Enero","Febrero","Marzo","Abril","Mayo","Junio","Julio","Agosto","Septiembre","Octubre","Noviembre","Diciembre"},MONTH(F1170))))</f>
        <v>Julio</v>
      </c>
      <c r="N1170" s="18" t="str">
        <f t="shared" si="56"/>
        <v>Julio|19</v>
      </c>
    </row>
    <row r="1171" spans="1:14" ht="14.5" x14ac:dyDescent="0.25">
      <c r="A1171" s="19">
        <v>34</v>
      </c>
      <c r="B1171" s="18" t="s">
        <v>41</v>
      </c>
      <c r="C1171" s="18" t="s">
        <v>1054</v>
      </c>
      <c r="D1171" s="18" t="s">
        <v>1625</v>
      </c>
      <c r="E1171" s="18" t="s">
        <v>1727</v>
      </c>
      <c r="F1171" s="101">
        <v>46228.549305555556</v>
      </c>
      <c r="G1171" s="101">
        <v>46240.795138888891</v>
      </c>
      <c r="H1171" s="18" t="s">
        <v>507</v>
      </c>
      <c r="I1171" s="18" t="s">
        <v>508</v>
      </c>
      <c r="J1171" s="18"/>
      <c r="K1171" s="21">
        <f t="shared" si="54"/>
        <v>293.90000000002328</v>
      </c>
      <c r="L1171" s="19">
        <f t="shared" si="55"/>
        <v>19</v>
      </c>
      <c r="M1171" s="18" t="str">
        <f>IF(I1171&lt;&gt;"Sí","",IF(YEAR(F1171)&lt;&gt;2026,"",INDEX({"Enero","Febrero","Marzo","Abril","Mayo","Junio","Julio","Agosto","Septiembre","Octubre","Noviembre","Diciembre"},MONTH(F1171))))</f>
        <v>Julio</v>
      </c>
      <c r="N1171" s="18" t="str">
        <f t="shared" si="56"/>
        <v>Julio|19</v>
      </c>
    </row>
    <row r="1172" spans="1:14" ht="14.5" x14ac:dyDescent="0.25">
      <c r="A1172" s="19">
        <v>34</v>
      </c>
      <c r="B1172" s="18" t="s">
        <v>41</v>
      </c>
      <c r="C1172" s="18" t="s">
        <v>1054</v>
      </c>
      <c r="D1172" s="18" t="s">
        <v>1625</v>
      </c>
      <c r="E1172" s="18" t="s">
        <v>1728</v>
      </c>
      <c r="F1172" s="101">
        <v>46228.549305555556</v>
      </c>
      <c r="G1172" s="101">
        <v>46240.811111111114</v>
      </c>
      <c r="H1172" s="18" t="s">
        <v>507</v>
      </c>
      <c r="I1172" s="18" t="s">
        <v>508</v>
      </c>
      <c r="J1172" s="18"/>
      <c r="K1172" s="21">
        <f t="shared" si="54"/>
        <v>294.28333333338378</v>
      </c>
      <c r="L1172" s="19">
        <f t="shared" si="55"/>
        <v>19</v>
      </c>
      <c r="M1172" s="18" t="str">
        <f>IF(I1172&lt;&gt;"Sí","",IF(YEAR(F1172)&lt;&gt;2026,"",INDEX({"Enero","Febrero","Marzo","Abril","Mayo","Junio","Julio","Agosto","Septiembre","Octubre","Noviembre","Diciembre"},MONTH(F1172))))</f>
        <v>Julio</v>
      </c>
      <c r="N1172" s="18" t="str">
        <f t="shared" si="56"/>
        <v>Julio|19</v>
      </c>
    </row>
    <row r="1173" spans="1:14" ht="14.5" x14ac:dyDescent="0.25">
      <c r="A1173" s="19">
        <v>34</v>
      </c>
      <c r="B1173" s="18" t="s">
        <v>41</v>
      </c>
      <c r="C1173" s="18" t="s">
        <v>1054</v>
      </c>
      <c r="D1173" s="18" t="s">
        <v>1625</v>
      </c>
      <c r="E1173" s="18" t="s">
        <v>1729</v>
      </c>
      <c r="F1173" s="101">
        <v>46230.513194444444</v>
      </c>
      <c r="G1173" s="101">
        <v>46240.811111111114</v>
      </c>
      <c r="H1173" s="18" t="s">
        <v>507</v>
      </c>
      <c r="I1173" s="18" t="s">
        <v>508</v>
      </c>
      <c r="J1173" s="18"/>
      <c r="K1173" s="21">
        <f t="shared" si="54"/>
        <v>247.15000000008149</v>
      </c>
      <c r="L1173" s="19">
        <f t="shared" si="55"/>
        <v>20</v>
      </c>
      <c r="M1173" s="18" t="str">
        <f>IF(I1173&lt;&gt;"Sí","",IF(YEAR(F1173)&lt;&gt;2026,"",INDEX({"Enero","Febrero","Marzo","Abril","Mayo","Junio","Julio","Agosto","Septiembre","Octubre","Noviembre","Diciembre"},MONTH(F1173))))</f>
        <v>Julio</v>
      </c>
      <c r="N1173" s="18" t="str">
        <f t="shared" si="56"/>
        <v>Julio|20</v>
      </c>
    </row>
    <row r="1174" spans="1:14" ht="14.5" x14ac:dyDescent="0.25">
      <c r="A1174" s="19">
        <v>34</v>
      </c>
      <c r="B1174" s="18" t="s">
        <v>41</v>
      </c>
      <c r="C1174" s="18" t="s">
        <v>1054</v>
      </c>
      <c r="D1174" s="18" t="s">
        <v>1625</v>
      </c>
      <c r="E1174" s="18" t="s">
        <v>1730</v>
      </c>
      <c r="F1174" s="101">
        <v>46230.543055555558</v>
      </c>
      <c r="G1174" s="101">
        <v>46240.811111111114</v>
      </c>
      <c r="H1174" s="18" t="s">
        <v>507</v>
      </c>
      <c r="I1174" s="18" t="s">
        <v>508</v>
      </c>
      <c r="J1174" s="18"/>
      <c r="K1174" s="21">
        <f t="shared" si="54"/>
        <v>246.43333333334886</v>
      </c>
      <c r="L1174" s="19">
        <f t="shared" si="55"/>
        <v>21</v>
      </c>
      <c r="M1174" s="18" t="str">
        <f>IF(I1174&lt;&gt;"Sí","",IF(YEAR(F1174)&lt;&gt;2026,"",INDEX({"Enero","Febrero","Marzo","Abril","Mayo","Junio","Julio","Agosto","Septiembre","Octubre","Noviembre","Diciembre"},MONTH(F1174))))</f>
        <v>Julio</v>
      </c>
      <c r="N1174" s="18" t="str">
        <f t="shared" si="56"/>
        <v>Julio|21</v>
      </c>
    </row>
    <row r="1175" spans="1:14" ht="14.5" x14ac:dyDescent="0.25">
      <c r="A1175" s="19">
        <v>34</v>
      </c>
      <c r="B1175" s="18" t="s">
        <v>41</v>
      </c>
      <c r="C1175" s="18" t="s">
        <v>1054</v>
      </c>
      <c r="D1175" s="18" t="s">
        <v>1625</v>
      </c>
      <c r="E1175" s="18" t="s">
        <v>1731</v>
      </c>
      <c r="F1175" s="101">
        <v>46230.684027777781</v>
      </c>
      <c r="G1175" s="101">
        <v>46240.795138888891</v>
      </c>
      <c r="H1175" s="18" t="s">
        <v>507</v>
      </c>
      <c r="I1175" s="18" t="s">
        <v>508</v>
      </c>
      <c r="J1175" s="18"/>
      <c r="K1175" s="21">
        <f t="shared" si="54"/>
        <v>242.66666666662786</v>
      </c>
      <c r="L1175" s="19">
        <f t="shared" si="55"/>
        <v>21</v>
      </c>
      <c r="M1175" s="18" t="str">
        <f>IF(I1175&lt;&gt;"Sí","",IF(YEAR(F1175)&lt;&gt;2026,"",INDEX({"Enero","Febrero","Marzo","Abril","Mayo","Junio","Julio","Agosto","Septiembre","Octubre","Noviembre","Diciembre"},MONTH(F1175))))</f>
        <v>Julio</v>
      </c>
      <c r="N1175" s="18" t="str">
        <f t="shared" si="56"/>
        <v>Julio|21</v>
      </c>
    </row>
    <row r="1176" spans="1:14" ht="14.5" x14ac:dyDescent="0.25">
      <c r="A1176" s="19">
        <v>34</v>
      </c>
      <c r="B1176" s="18" t="s">
        <v>41</v>
      </c>
      <c r="C1176" s="18" t="s">
        <v>1054</v>
      </c>
      <c r="D1176" s="18" t="s">
        <v>1625</v>
      </c>
      <c r="E1176" s="18" t="s">
        <v>1732</v>
      </c>
      <c r="F1176" s="101">
        <v>46231</v>
      </c>
      <c r="G1176" s="101">
        <v>46240.795138888891</v>
      </c>
      <c r="H1176" s="18" t="s">
        <v>507</v>
      </c>
      <c r="I1176" s="18" t="s">
        <v>508</v>
      </c>
      <c r="J1176" s="18"/>
      <c r="K1176" s="21">
        <f t="shared" si="54"/>
        <v>235.08333333337214</v>
      </c>
      <c r="L1176" s="19">
        <f t="shared" si="55"/>
        <v>21</v>
      </c>
      <c r="M1176" s="18" t="str">
        <f>IF(I1176&lt;&gt;"Sí","",IF(YEAR(F1176)&lt;&gt;2026,"",INDEX({"Enero","Febrero","Marzo","Abril","Mayo","Junio","Julio","Agosto","Septiembre","Octubre","Noviembre","Diciembre"},MONTH(F1176))))</f>
        <v>Julio</v>
      </c>
      <c r="N1176" s="18" t="str">
        <f t="shared" si="56"/>
        <v>Julio|21</v>
      </c>
    </row>
    <row r="1177" spans="1:14" ht="14.5" x14ac:dyDescent="0.25">
      <c r="A1177" s="19">
        <v>34</v>
      </c>
      <c r="B1177" s="18" t="s">
        <v>41</v>
      </c>
      <c r="C1177" s="18" t="s">
        <v>1054</v>
      </c>
      <c r="D1177" s="18" t="s">
        <v>1625</v>
      </c>
      <c r="E1177" s="18" t="s">
        <v>1733</v>
      </c>
      <c r="F1177" s="101">
        <v>46231</v>
      </c>
      <c r="G1177" s="101">
        <v>46240.795138888891</v>
      </c>
      <c r="H1177" s="18" t="s">
        <v>507</v>
      </c>
      <c r="I1177" s="18" t="s">
        <v>508</v>
      </c>
      <c r="J1177" s="18"/>
      <c r="K1177" s="21">
        <f t="shared" si="54"/>
        <v>235.08333333337214</v>
      </c>
      <c r="L1177" s="19">
        <f t="shared" si="55"/>
        <v>21</v>
      </c>
      <c r="M1177" s="18" t="str">
        <f>IF(I1177&lt;&gt;"Sí","",IF(YEAR(F1177)&lt;&gt;2026,"",INDEX({"Enero","Febrero","Marzo","Abril","Mayo","Junio","Julio","Agosto","Septiembre","Octubre","Noviembre","Diciembre"},MONTH(F1177))))</f>
        <v>Julio</v>
      </c>
      <c r="N1177" s="18" t="str">
        <f t="shared" si="56"/>
        <v>Julio|21</v>
      </c>
    </row>
    <row r="1178" spans="1:14" ht="14.5" x14ac:dyDescent="0.25">
      <c r="A1178" s="19">
        <v>34</v>
      </c>
      <c r="B1178" s="18" t="s">
        <v>41</v>
      </c>
      <c r="C1178" s="18" t="s">
        <v>188</v>
      </c>
      <c r="D1178" s="18" t="s">
        <v>1734</v>
      </c>
      <c r="E1178" s="18" t="s">
        <v>1735</v>
      </c>
      <c r="F1178" s="101">
        <v>46232.618750000001</v>
      </c>
      <c r="G1178" s="101">
        <v>46244.852083333331</v>
      </c>
      <c r="H1178" s="18" t="s">
        <v>507</v>
      </c>
      <c r="I1178" s="18" t="s">
        <v>508</v>
      </c>
      <c r="J1178" s="18"/>
      <c r="K1178" s="21">
        <f t="shared" si="54"/>
        <v>293.59999999991851</v>
      </c>
      <c r="L1178" s="19">
        <f t="shared" si="55"/>
        <v>20</v>
      </c>
      <c r="M1178" s="18" t="str">
        <f>IF(I1178&lt;&gt;"Sí","",IF(YEAR(F1178)&lt;&gt;2026,"",INDEX({"Enero","Febrero","Marzo","Abril","Mayo","Junio","Julio","Agosto","Septiembre","Octubre","Noviembre","Diciembre"},MONTH(F1178))))</f>
        <v>Julio</v>
      </c>
      <c r="N1178" s="18" t="str">
        <f t="shared" si="56"/>
        <v>Julio|20</v>
      </c>
    </row>
    <row r="1179" spans="1:14" ht="14.5" x14ac:dyDescent="0.25">
      <c r="A1179" s="19">
        <v>34</v>
      </c>
      <c r="B1179" s="18" t="s">
        <v>41</v>
      </c>
      <c r="C1179" s="18" t="s">
        <v>1054</v>
      </c>
      <c r="D1179" s="18" t="s">
        <v>1625</v>
      </c>
      <c r="E1179" s="18" t="s">
        <v>1736</v>
      </c>
      <c r="F1179" s="101">
        <v>46232.625694444447</v>
      </c>
      <c r="G1179" s="101">
        <v>46240.17083333333</v>
      </c>
      <c r="H1179" s="18" t="s">
        <v>507</v>
      </c>
      <c r="I1179" s="18" t="s">
        <v>508</v>
      </c>
      <c r="J1179" s="18"/>
      <c r="K1179" s="21">
        <f t="shared" si="54"/>
        <v>181.08333333319752</v>
      </c>
      <c r="L1179" s="19">
        <f t="shared" si="55"/>
        <v>22</v>
      </c>
      <c r="M1179" s="18" t="str">
        <f>IF(I1179&lt;&gt;"Sí","",IF(YEAR(F1179)&lt;&gt;2026,"",INDEX({"Enero","Febrero","Marzo","Abril","Mayo","Junio","Julio","Agosto","Septiembre","Octubre","Noviembre","Diciembre"},MONTH(F1179))))</f>
        <v>Julio</v>
      </c>
      <c r="N1179" s="18" t="str">
        <f t="shared" si="56"/>
        <v>Julio|22</v>
      </c>
    </row>
    <row r="1180" spans="1:14" ht="14.5" x14ac:dyDescent="0.25">
      <c r="A1180" s="19">
        <v>34</v>
      </c>
      <c r="B1180" s="18" t="s">
        <v>41</v>
      </c>
      <c r="C1180" s="18" t="s">
        <v>1054</v>
      </c>
      <c r="D1180" s="18" t="s">
        <v>1625</v>
      </c>
      <c r="E1180" s="18" t="s">
        <v>1737</v>
      </c>
      <c r="F1180" s="101">
        <v>46232.625694444447</v>
      </c>
      <c r="G1180" s="101">
        <v>46240.795138888891</v>
      </c>
      <c r="H1180" s="18" t="s">
        <v>507</v>
      </c>
      <c r="I1180" s="18" t="s">
        <v>508</v>
      </c>
      <c r="J1180" s="18"/>
      <c r="K1180" s="21">
        <f t="shared" si="54"/>
        <v>196.06666666665114</v>
      </c>
      <c r="L1180" s="19">
        <f t="shared" si="55"/>
        <v>22</v>
      </c>
      <c r="M1180" s="18" t="str">
        <f>IF(I1180&lt;&gt;"Sí","",IF(YEAR(F1180)&lt;&gt;2026,"",INDEX({"Enero","Febrero","Marzo","Abril","Mayo","Junio","Julio","Agosto","Septiembre","Octubre","Noviembre","Diciembre"},MONTH(F1180))))</f>
        <v>Julio</v>
      </c>
      <c r="N1180" s="18" t="str">
        <f t="shared" si="56"/>
        <v>Julio|22</v>
      </c>
    </row>
    <row r="1181" spans="1:14" ht="14.5" x14ac:dyDescent="0.25">
      <c r="A1181" s="19">
        <v>34</v>
      </c>
      <c r="B1181" s="18" t="s">
        <v>41</v>
      </c>
      <c r="C1181" s="18" t="s">
        <v>188</v>
      </c>
      <c r="D1181" s="18" t="s">
        <v>1734</v>
      </c>
      <c r="E1181" s="18" t="s">
        <v>1738</v>
      </c>
      <c r="F1181" s="101">
        <v>46232.630555555559</v>
      </c>
      <c r="G1181" s="101">
        <v>46244.851388888892</v>
      </c>
      <c r="H1181" s="18" t="s">
        <v>507</v>
      </c>
      <c r="I1181" s="18" t="s">
        <v>508</v>
      </c>
      <c r="J1181" s="18"/>
      <c r="K1181" s="21">
        <f t="shared" si="54"/>
        <v>293.29999999998836</v>
      </c>
      <c r="L1181" s="19">
        <f t="shared" si="55"/>
        <v>23</v>
      </c>
      <c r="M1181" s="18" t="str">
        <f>IF(I1181&lt;&gt;"Sí","",IF(YEAR(F1181)&lt;&gt;2026,"",INDEX({"Enero","Febrero","Marzo","Abril","Mayo","Junio","Julio","Agosto","Septiembre","Octubre","Noviembre","Diciembre"},MONTH(F1181))))</f>
        <v>Julio</v>
      </c>
      <c r="N1181" s="18" t="str">
        <f t="shared" si="56"/>
        <v>Julio|23</v>
      </c>
    </row>
    <row r="1182" spans="1:14" ht="14.5" x14ac:dyDescent="0.25">
      <c r="A1182" s="19">
        <v>33</v>
      </c>
      <c r="B1182" s="18" t="s">
        <v>40</v>
      </c>
      <c r="C1182" s="18" t="s">
        <v>97</v>
      </c>
      <c r="D1182" s="18" t="s">
        <v>1617</v>
      </c>
      <c r="E1182" s="18" t="s">
        <v>1739</v>
      </c>
      <c r="F1182" s="101">
        <v>46233</v>
      </c>
      <c r="G1182" s="101">
        <v>46234.781944444447</v>
      </c>
      <c r="H1182" s="18" t="s">
        <v>507</v>
      </c>
      <c r="I1182" s="18" t="s">
        <v>508</v>
      </c>
      <c r="J1182" s="18"/>
      <c r="K1182" s="21">
        <f t="shared" si="54"/>
        <v>42.766666666720994</v>
      </c>
      <c r="L1182" s="19">
        <f t="shared" si="55"/>
        <v>24</v>
      </c>
      <c r="M1182" s="18" t="str">
        <f>IF(I1182&lt;&gt;"Sí","",IF(YEAR(F1182)&lt;&gt;2026,"",INDEX({"Enero","Febrero","Marzo","Abril","Mayo","Junio","Julio","Agosto","Septiembre","Octubre","Noviembre","Diciembre"},MONTH(F1182))))</f>
        <v>Julio</v>
      </c>
      <c r="N1182" s="18" t="str">
        <f t="shared" si="56"/>
        <v>Julio|24</v>
      </c>
    </row>
    <row r="1183" spans="1:14" ht="14.5" x14ac:dyDescent="0.25">
      <c r="A1183" s="19">
        <v>33</v>
      </c>
      <c r="B1183" s="18" t="s">
        <v>40</v>
      </c>
      <c r="C1183" s="18" t="s">
        <v>97</v>
      </c>
      <c r="D1183" s="18" t="s">
        <v>1617</v>
      </c>
      <c r="E1183" s="18" t="s">
        <v>1740</v>
      </c>
      <c r="F1183" s="101">
        <v>46233.416666666664</v>
      </c>
      <c r="G1183" s="101">
        <v>46234.936805555553</v>
      </c>
      <c r="H1183" s="18" t="s">
        <v>507</v>
      </c>
      <c r="I1183" s="18" t="s">
        <v>508</v>
      </c>
      <c r="J1183" s="18"/>
      <c r="K1183" s="21">
        <f t="shared" si="54"/>
        <v>36.483333333337214</v>
      </c>
      <c r="L1183" s="19">
        <f t="shared" si="55"/>
        <v>25</v>
      </c>
      <c r="M1183" s="18" t="str">
        <f>IF(I1183&lt;&gt;"Sí","",IF(YEAR(F1183)&lt;&gt;2026,"",INDEX({"Enero","Febrero","Marzo","Abril","Mayo","Junio","Julio","Agosto","Septiembre","Octubre","Noviembre","Diciembre"},MONTH(F1183))))</f>
        <v>Julio</v>
      </c>
      <c r="N1183" s="18" t="str">
        <f t="shared" si="56"/>
        <v>Julio|25</v>
      </c>
    </row>
    <row r="1184" spans="1:14" ht="14.5" x14ac:dyDescent="0.25">
      <c r="A1184" s="19">
        <v>33</v>
      </c>
      <c r="B1184" s="18" t="s">
        <v>40</v>
      </c>
      <c r="C1184" s="18" t="s">
        <v>97</v>
      </c>
      <c r="D1184" s="18" t="s">
        <v>1617</v>
      </c>
      <c r="E1184" s="18" t="s">
        <v>1741</v>
      </c>
      <c r="F1184" s="101">
        <v>46233.417361111111</v>
      </c>
      <c r="G1184" s="101">
        <v>46234.934027777781</v>
      </c>
      <c r="H1184" s="18" t="s">
        <v>507</v>
      </c>
      <c r="I1184" s="18" t="s">
        <v>508</v>
      </c>
      <c r="J1184" s="18"/>
      <c r="K1184" s="21">
        <f t="shared" si="54"/>
        <v>36.400000000081491</v>
      </c>
      <c r="L1184" s="19">
        <f t="shared" si="55"/>
        <v>26</v>
      </c>
      <c r="M1184" s="18" t="str">
        <f>IF(I1184&lt;&gt;"Sí","",IF(YEAR(F1184)&lt;&gt;2026,"",INDEX({"Enero","Febrero","Marzo","Abril","Mayo","Junio","Julio","Agosto","Septiembre","Octubre","Noviembre","Diciembre"},MONTH(F1184))))</f>
        <v>Julio</v>
      </c>
      <c r="N1184" s="18" t="str">
        <f t="shared" si="56"/>
        <v>Julio|26</v>
      </c>
    </row>
    <row r="1185" spans="1:14" ht="14.5" x14ac:dyDescent="0.25">
      <c r="A1185" s="19">
        <v>33</v>
      </c>
      <c r="B1185" s="18" t="s">
        <v>40</v>
      </c>
      <c r="C1185" s="18" t="s">
        <v>97</v>
      </c>
      <c r="D1185" s="18" t="s">
        <v>1617</v>
      </c>
      <c r="E1185" s="18" t="s">
        <v>1742</v>
      </c>
      <c r="F1185" s="101">
        <v>46233.418749999997</v>
      </c>
      <c r="G1185" s="101">
        <v>46234.804166666669</v>
      </c>
      <c r="H1185" s="18" t="s">
        <v>507</v>
      </c>
      <c r="I1185" s="18" t="s">
        <v>508</v>
      </c>
      <c r="J1185" s="18"/>
      <c r="K1185" s="21">
        <f t="shared" si="54"/>
        <v>33.250000000116415</v>
      </c>
      <c r="L1185" s="19">
        <f t="shared" si="55"/>
        <v>27</v>
      </c>
      <c r="M1185" s="18" t="str">
        <f>IF(I1185&lt;&gt;"Sí","",IF(YEAR(F1185)&lt;&gt;2026,"",INDEX({"Enero","Febrero","Marzo","Abril","Mayo","Junio","Julio","Agosto","Septiembre","Octubre","Noviembre","Diciembre"},MONTH(F1185))))</f>
        <v>Julio</v>
      </c>
      <c r="N1185" s="18" t="str">
        <f t="shared" si="56"/>
        <v>Julio|27</v>
      </c>
    </row>
    <row r="1186" spans="1:14" ht="14.5" x14ac:dyDescent="0.25">
      <c r="A1186" s="19">
        <v>33</v>
      </c>
      <c r="B1186" s="18" t="s">
        <v>40</v>
      </c>
      <c r="C1186" s="18" t="s">
        <v>97</v>
      </c>
      <c r="D1186" s="18" t="s">
        <v>1617</v>
      </c>
      <c r="E1186" s="18" t="s">
        <v>1743</v>
      </c>
      <c r="F1186" s="101">
        <v>46233.419444444444</v>
      </c>
      <c r="G1186" s="101">
        <v>46234.800694444442</v>
      </c>
      <c r="H1186" s="18" t="s">
        <v>507</v>
      </c>
      <c r="I1186" s="18" t="s">
        <v>508</v>
      </c>
      <c r="J1186" s="18"/>
      <c r="K1186" s="21">
        <f t="shared" si="54"/>
        <v>33.149999999965075</v>
      </c>
      <c r="L1186" s="19">
        <f t="shared" si="55"/>
        <v>28</v>
      </c>
      <c r="M1186" s="18" t="str">
        <f>IF(I1186&lt;&gt;"Sí","",IF(YEAR(F1186)&lt;&gt;2026,"",INDEX({"Enero","Febrero","Marzo","Abril","Mayo","Junio","Julio","Agosto","Septiembre","Octubre","Noviembre","Diciembre"},MONTH(F1186))))</f>
        <v>Julio</v>
      </c>
      <c r="N1186" s="18" t="str">
        <f t="shared" si="56"/>
        <v>Julio|28</v>
      </c>
    </row>
    <row r="1187" spans="1:14" ht="14.5" x14ac:dyDescent="0.25">
      <c r="A1187" s="19">
        <v>33</v>
      </c>
      <c r="B1187" s="18" t="s">
        <v>40</v>
      </c>
      <c r="C1187" s="18" t="s">
        <v>97</v>
      </c>
      <c r="D1187" s="18" t="s">
        <v>1617</v>
      </c>
      <c r="E1187" s="18" t="s">
        <v>1744</v>
      </c>
      <c r="F1187" s="101">
        <v>46233.42083333333</v>
      </c>
      <c r="G1187" s="101">
        <v>46234.79791666667</v>
      </c>
      <c r="H1187" s="18" t="s">
        <v>507</v>
      </c>
      <c r="I1187" s="18" t="s">
        <v>508</v>
      </c>
      <c r="J1187" s="18"/>
      <c r="K1187" s="21">
        <f t="shared" si="54"/>
        <v>33.050000000162981</v>
      </c>
      <c r="L1187" s="19">
        <f t="shared" si="55"/>
        <v>29</v>
      </c>
      <c r="M1187" s="18" t="str">
        <f>IF(I1187&lt;&gt;"Sí","",IF(YEAR(F1187)&lt;&gt;2026,"",INDEX({"Enero","Febrero","Marzo","Abril","Mayo","Junio","Julio","Agosto","Septiembre","Octubre","Noviembre","Diciembre"},MONTH(F1187))))</f>
        <v>Julio</v>
      </c>
      <c r="N1187" s="18" t="str">
        <f t="shared" si="56"/>
        <v>Julio|29</v>
      </c>
    </row>
    <row r="1188" spans="1:14" ht="14.5" x14ac:dyDescent="0.25">
      <c r="A1188" s="19">
        <v>33</v>
      </c>
      <c r="B1188" s="18" t="s">
        <v>40</v>
      </c>
      <c r="C1188" s="18" t="s">
        <v>97</v>
      </c>
      <c r="D1188" s="18" t="s">
        <v>1617</v>
      </c>
      <c r="E1188" s="18" t="s">
        <v>1745</v>
      </c>
      <c r="F1188" s="101">
        <v>46233.421527777777</v>
      </c>
      <c r="G1188" s="101">
        <v>46234.79583333333</v>
      </c>
      <c r="H1188" s="18" t="s">
        <v>507</v>
      </c>
      <c r="I1188" s="18" t="s">
        <v>508</v>
      </c>
      <c r="J1188" s="18"/>
      <c r="K1188" s="21">
        <f t="shared" si="54"/>
        <v>32.983333333279006</v>
      </c>
      <c r="L1188" s="19">
        <f t="shared" si="55"/>
        <v>30</v>
      </c>
      <c r="M1188" s="18" t="str">
        <f>IF(I1188&lt;&gt;"Sí","",IF(YEAR(F1188)&lt;&gt;2026,"",INDEX({"Enero","Febrero","Marzo","Abril","Mayo","Junio","Julio","Agosto","Septiembre","Octubre","Noviembre","Diciembre"},MONTH(F1188))))</f>
        <v>Julio</v>
      </c>
      <c r="N1188" s="18" t="str">
        <f t="shared" si="56"/>
        <v>Julio|30</v>
      </c>
    </row>
    <row r="1189" spans="1:14" ht="14.5" x14ac:dyDescent="0.25">
      <c r="A1189" s="19">
        <v>33</v>
      </c>
      <c r="B1189" s="18" t="s">
        <v>40</v>
      </c>
      <c r="C1189" s="18" t="s">
        <v>97</v>
      </c>
      <c r="D1189" s="18" t="s">
        <v>1617</v>
      </c>
      <c r="E1189" s="18" t="s">
        <v>1746</v>
      </c>
      <c r="F1189" s="101">
        <v>46233.430555555555</v>
      </c>
      <c r="G1189" s="101">
        <v>46234.929861111108</v>
      </c>
      <c r="H1189" s="18" t="s">
        <v>507</v>
      </c>
      <c r="I1189" s="18" t="s">
        <v>508</v>
      </c>
      <c r="J1189" s="18"/>
      <c r="K1189" s="21">
        <f t="shared" si="54"/>
        <v>35.983333333279006</v>
      </c>
      <c r="L1189" s="19">
        <f t="shared" si="55"/>
        <v>31</v>
      </c>
      <c r="M1189" s="18" t="str">
        <f>IF(I1189&lt;&gt;"Sí","",IF(YEAR(F1189)&lt;&gt;2026,"",INDEX({"Enero","Febrero","Marzo","Abril","Mayo","Junio","Julio","Agosto","Septiembre","Octubre","Noviembre","Diciembre"},MONTH(F1189))))</f>
        <v>Julio</v>
      </c>
      <c r="N1189" s="18" t="str">
        <f t="shared" si="56"/>
        <v>Julio|31</v>
      </c>
    </row>
    <row r="1190" spans="1:14" ht="14.5" x14ac:dyDescent="0.25">
      <c r="A1190" s="19">
        <v>33</v>
      </c>
      <c r="B1190" s="18" t="s">
        <v>40</v>
      </c>
      <c r="C1190" s="18" t="s">
        <v>97</v>
      </c>
      <c r="D1190" s="18" t="s">
        <v>1617</v>
      </c>
      <c r="E1190" s="18" t="s">
        <v>1747</v>
      </c>
      <c r="F1190" s="101">
        <v>46233.431250000001</v>
      </c>
      <c r="G1190" s="101">
        <v>46234.927083333336</v>
      </c>
      <c r="H1190" s="18" t="s">
        <v>507</v>
      </c>
      <c r="I1190" s="18" t="s">
        <v>508</v>
      </c>
      <c r="J1190" s="18"/>
      <c r="K1190" s="21">
        <f t="shared" si="54"/>
        <v>35.900000000023283</v>
      </c>
      <c r="L1190" s="19">
        <f t="shared" si="55"/>
        <v>32</v>
      </c>
      <c r="M1190" s="18" t="str">
        <f>IF(I1190&lt;&gt;"Sí","",IF(YEAR(F1190)&lt;&gt;2026,"",INDEX({"Enero","Febrero","Marzo","Abril","Mayo","Junio","Julio","Agosto","Septiembre","Octubre","Noviembre","Diciembre"},MONTH(F1190))))</f>
        <v>Julio</v>
      </c>
      <c r="N1190" s="18" t="str">
        <f t="shared" si="56"/>
        <v>Julio|32</v>
      </c>
    </row>
    <row r="1191" spans="1:14" ht="14.5" x14ac:dyDescent="0.25">
      <c r="A1191" s="19">
        <v>33</v>
      </c>
      <c r="B1191" s="18" t="s">
        <v>40</v>
      </c>
      <c r="C1191" s="18" t="s">
        <v>97</v>
      </c>
      <c r="D1191" s="18" t="s">
        <v>1617</v>
      </c>
      <c r="E1191" s="18" t="s">
        <v>1748</v>
      </c>
      <c r="F1191" s="101">
        <v>46233.431944444441</v>
      </c>
      <c r="G1191" s="101">
        <v>46234.92291666667</v>
      </c>
      <c r="H1191" s="18" t="s">
        <v>507</v>
      </c>
      <c r="I1191" s="18" t="s">
        <v>508</v>
      </c>
      <c r="J1191" s="18"/>
      <c r="K1191" s="21">
        <f t="shared" si="54"/>
        <v>35.783333333500195</v>
      </c>
      <c r="L1191" s="19">
        <f t="shared" si="55"/>
        <v>33</v>
      </c>
      <c r="M1191" s="18" t="str">
        <f>IF(I1191&lt;&gt;"Sí","",IF(YEAR(F1191)&lt;&gt;2026,"",INDEX({"Enero","Febrero","Marzo","Abril","Mayo","Junio","Julio","Agosto","Septiembre","Octubre","Noviembre","Diciembre"},MONTH(F1191))))</f>
        <v>Julio</v>
      </c>
      <c r="N1191" s="18" t="str">
        <f t="shared" si="56"/>
        <v>Julio|33</v>
      </c>
    </row>
    <row r="1192" spans="1:14" ht="14.5" x14ac:dyDescent="0.25">
      <c r="A1192" s="19">
        <v>33</v>
      </c>
      <c r="B1192" s="18" t="s">
        <v>40</v>
      </c>
      <c r="C1192" s="18" t="s">
        <v>97</v>
      </c>
      <c r="D1192" s="18" t="s">
        <v>1617</v>
      </c>
      <c r="E1192" s="18" t="s">
        <v>1749</v>
      </c>
      <c r="F1192" s="101">
        <v>46233.440972222219</v>
      </c>
      <c r="G1192" s="101">
        <v>46234.78402777778</v>
      </c>
      <c r="H1192" s="18" t="s">
        <v>507</v>
      </c>
      <c r="I1192" s="18" t="s">
        <v>508</v>
      </c>
      <c r="J1192" s="18"/>
      <c r="K1192" s="21">
        <f t="shared" si="54"/>
        <v>32.233333333453629</v>
      </c>
      <c r="L1192" s="19">
        <f t="shared" si="55"/>
        <v>34</v>
      </c>
      <c r="M1192" s="18" t="str">
        <f>IF(I1192&lt;&gt;"Sí","",IF(YEAR(F1192)&lt;&gt;2026,"",INDEX({"Enero","Febrero","Marzo","Abril","Mayo","Junio","Julio","Agosto","Septiembre","Octubre","Noviembre","Diciembre"},MONTH(F1192))))</f>
        <v>Julio</v>
      </c>
      <c r="N1192" s="18" t="str">
        <f t="shared" si="56"/>
        <v>Julio|34</v>
      </c>
    </row>
    <row r="1193" spans="1:14" ht="14.5" x14ac:dyDescent="0.25">
      <c r="A1193" s="19">
        <v>33</v>
      </c>
      <c r="B1193" s="18" t="s">
        <v>40</v>
      </c>
      <c r="C1193" s="18" t="s">
        <v>97</v>
      </c>
      <c r="D1193" s="18" t="s">
        <v>1617</v>
      </c>
      <c r="E1193" s="18" t="s">
        <v>1750</v>
      </c>
      <c r="F1193" s="101">
        <v>46233.442361111112</v>
      </c>
      <c r="G1193" s="101">
        <v>46234.727083333331</v>
      </c>
      <c r="H1193" s="18" t="s">
        <v>507</v>
      </c>
      <c r="I1193" s="18" t="s">
        <v>508</v>
      </c>
      <c r="J1193" s="18"/>
      <c r="K1193" s="21">
        <f t="shared" si="54"/>
        <v>30.833333333255723</v>
      </c>
      <c r="L1193" s="19">
        <f t="shared" si="55"/>
        <v>36</v>
      </c>
      <c r="M1193" s="18" t="str">
        <f>IF(I1193&lt;&gt;"Sí","",IF(YEAR(F1193)&lt;&gt;2026,"",INDEX({"Enero","Febrero","Marzo","Abril","Mayo","Junio","Julio","Agosto","Septiembre","Octubre","Noviembre","Diciembre"},MONTH(F1193))))</f>
        <v>Julio</v>
      </c>
      <c r="N1193" s="18" t="str">
        <f t="shared" si="56"/>
        <v>Julio|36</v>
      </c>
    </row>
    <row r="1194" spans="1:14" ht="14.5" x14ac:dyDescent="0.25">
      <c r="A1194" s="19">
        <v>33</v>
      </c>
      <c r="B1194" s="18" t="s">
        <v>40</v>
      </c>
      <c r="C1194" s="18" t="s">
        <v>97</v>
      </c>
      <c r="D1194" s="18" t="s">
        <v>1617</v>
      </c>
      <c r="E1194" s="18" t="s">
        <v>1751</v>
      </c>
      <c r="F1194" s="101">
        <v>46233.442361111112</v>
      </c>
      <c r="G1194" s="101">
        <v>46234.779166666667</v>
      </c>
      <c r="H1194" s="18" t="s">
        <v>507</v>
      </c>
      <c r="I1194" s="18" t="s">
        <v>508</v>
      </c>
      <c r="J1194" s="18"/>
      <c r="K1194" s="21">
        <f t="shared" si="54"/>
        <v>32.083333333313931</v>
      </c>
      <c r="L1194" s="19">
        <f t="shared" si="55"/>
        <v>36</v>
      </c>
      <c r="M1194" s="18" t="str">
        <f>IF(I1194&lt;&gt;"Sí","",IF(YEAR(F1194)&lt;&gt;2026,"",INDEX({"Enero","Febrero","Marzo","Abril","Mayo","Junio","Julio","Agosto","Septiembre","Octubre","Noviembre","Diciembre"},MONTH(F1194))))</f>
        <v>Julio</v>
      </c>
      <c r="N1194" s="18" t="str">
        <f t="shared" si="56"/>
        <v>Julio|36</v>
      </c>
    </row>
    <row r="1195" spans="1:14" ht="14.5" x14ac:dyDescent="0.25">
      <c r="A1195" s="19">
        <v>33</v>
      </c>
      <c r="B1195" s="18" t="s">
        <v>40</v>
      </c>
      <c r="C1195" s="18" t="s">
        <v>97</v>
      </c>
      <c r="D1195" s="18" t="s">
        <v>1617</v>
      </c>
      <c r="E1195" s="18" t="s">
        <v>1752</v>
      </c>
      <c r="F1195" s="101">
        <v>46233.447916666664</v>
      </c>
      <c r="G1195" s="101">
        <v>46234.777083333334</v>
      </c>
      <c r="H1195" s="18" t="s">
        <v>507</v>
      </c>
      <c r="I1195" s="18" t="s">
        <v>508</v>
      </c>
      <c r="J1195" s="18"/>
      <c r="K1195" s="21">
        <f t="shared" si="54"/>
        <v>31.900000000081491</v>
      </c>
      <c r="L1195" s="19">
        <f t="shared" si="55"/>
        <v>37</v>
      </c>
      <c r="M1195" s="18" t="str">
        <f>IF(I1195&lt;&gt;"Sí","",IF(YEAR(F1195)&lt;&gt;2026,"",INDEX({"Enero","Febrero","Marzo","Abril","Mayo","Junio","Julio","Agosto","Septiembre","Octubre","Noviembre","Diciembre"},MONTH(F1195))))</f>
        <v>Julio</v>
      </c>
      <c r="N1195" s="18" t="str">
        <f t="shared" si="56"/>
        <v>Julio|37</v>
      </c>
    </row>
    <row r="1196" spans="1:14" ht="14.5" x14ac:dyDescent="0.25">
      <c r="A1196" s="19">
        <v>33</v>
      </c>
      <c r="B1196" s="18" t="s">
        <v>40</v>
      </c>
      <c r="C1196" s="18" t="s">
        <v>97</v>
      </c>
      <c r="D1196" s="18" t="s">
        <v>1617</v>
      </c>
      <c r="E1196" s="18" t="s">
        <v>1753</v>
      </c>
      <c r="F1196" s="101">
        <v>46233.450694444444</v>
      </c>
      <c r="G1196" s="101">
        <v>46234.775000000001</v>
      </c>
      <c r="H1196" s="18" t="s">
        <v>507</v>
      </c>
      <c r="I1196" s="18" t="s">
        <v>508</v>
      </c>
      <c r="J1196" s="18"/>
      <c r="K1196" s="21">
        <f t="shared" si="54"/>
        <v>31.78333333338378</v>
      </c>
      <c r="L1196" s="19">
        <f t="shared" si="55"/>
        <v>38</v>
      </c>
      <c r="M1196" s="18" t="str">
        <f>IF(I1196&lt;&gt;"Sí","",IF(YEAR(F1196)&lt;&gt;2026,"",INDEX({"Enero","Febrero","Marzo","Abril","Mayo","Junio","Julio","Agosto","Septiembre","Octubre","Noviembre","Diciembre"},MONTH(F1196))))</f>
        <v>Julio</v>
      </c>
      <c r="N1196" s="18" t="str">
        <f t="shared" si="56"/>
        <v>Julio|38</v>
      </c>
    </row>
    <row r="1197" spans="1:14" ht="14.5" x14ac:dyDescent="0.25">
      <c r="A1197" s="19">
        <v>33</v>
      </c>
      <c r="B1197" s="18" t="s">
        <v>40</v>
      </c>
      <c r="C1197" s="18" t="s">
        <v>97</v>
      </c>
      <c r="D1197" s="18" t="s">
        <v>1617</v>
      </c>
      <c r="E1197" s="18" t="s">
        <v>1754</v>
      </c>
      <c r="F1197" s="101">
        <v>46233.45208333333</v>
      </c>
      <c r="G1197" s="101">
        <v>46234.772916666669</v>
      </c>
      <c r="H1197" s="18" t="s">
        <v>507</v>
      </c>
      <c r="I1197" s="18" t="s">
        <v>508</v>
      </c>
      <c r="J1197" s="18"/>
      <c r="K1197" s="21">
        <f t="shared" si="54"/>
        <v>31.700000000128057</v>
      </c>
      <c r="L1197" s="19">
        <f t="shared" si="55"/>
        <v>39</v>
      </c>
      <c r="M1197" s="18" t="str">
        <f>IF(I1197&lt;&gt;"Sí","",IF(YEAR(F1197)&lt;&gt;2026,"",INDEX({"Enero","Febrero","Marzo","Abril","Mayo","Junio","Julio","Agosto","Septiembre","Octubre","Noviembre","Diciembre"},MONTH(F1197))))</f>
        <v>Julio</v>
      </c>
      <c r="N1197" s="18" t="str">
        <f t="shared" si="56"/>
        <v>Julio|39</v>
      </c>
    </row>
    <row r="1198" spans="1:14" ht="14.5" x14ac:dyDescent="0.25">
      <c r="A1198" s="19">
        <v>33</v>
      </c>
      <c r="B1198" s="18" t="s">
        <v>40</v>
      </c>
      <c r="C1198" s="18" t="s">
        <v>97</v>
      </c>
      <c r="D1198" s="18" t="s">
        <v>1617</v>
      </c>
      <c r="E1198" s="18" t="s">
        <v>1755</v>
      </c>
      <c r="F1198" s="101">
        <v>46233.454861111109</v>
      </c>
      <c r="G1198" s="101">
        <v>46234.92083333333</v>
      </c>
      <c r="H1198" s="18" t="s">
        <v>507</v>
      </c>
      <c r="I1198" s="18" t="s">
        <v>508</v>
      </c>
      <c r="J1198" s="18"/>
      <c r="K1198" s="21">
        <f t="shared" si="54"/>
        <v>35.183333333290648</v>
      </c>
      <c r="L1198" s="19">
        <f t="shared" si="55"/>
        <v>40</v>
      </c>
      <c r="M1198" s="18" t="str">
        <f>IF(I1198&lt;&gt;"Sí","",IF(YEAR(F1198)&lt;&gt;2026,"",INDEX({"Enero","Febrero","Marzo","Abril","Mayo","Junio","Julio","Agosto","Septiembre","Octubre","Noviembre","Diciembre"},MONTH(F1198))))</f>
        <v>Julio</v>
      </c>
      <c r="N1198" s="18" t="str">
        <f t="shared" si="56"/>
        <v>Julio|40</v>
      </c>
    </row>
    <row r="1199" spans="1:14" ht="14.5" x14ac:dyDescent="0.25">
      <c r="A1199" s="19">
        <v>33</v>
      </c>
      <c r="B1199" s="18" t="s">
        <v>40</v>
      </c>
      <c r="C1199" s="18" t="s">
        <v>97</v>
      </c>
      <c r="D1199" s="18" t="s">
        <v>1617</v>
      </c>
      <c r="E1199" s="18" t="s">
        <v>1756</v>
      </c>
      <c r="F1199" s="101">
        <v>46233.458333333336</v>
      </c>
      <c r="G1199" s="101">
        <v>46234.770833333336</v>
      </c>
      <c r="H1199" s="18" t="s">
        <v>507</v>
      </c>
      <c r="I1199" s="18" t="s">
        <v>508</v>
      </c>
      <c r="J1199" s="18"/>
      <c r="K1199" s="21">
        <f t="shared" si="54"/>
        <v>31.5</v>
      </c>
      <c r="L1199" s="19">
        <f t="shared" si="55"/>
        <v>41</v>
      </c>
      <c r="M1199" s="18" t="str">
        <f>IF(I1199&lt;&gt;"Sí","",IF(YEAR(F1199)&lt;&gt;2026,"",INDEX({"Enero","Febrero","Marzo","Abril","Mayo","Junio","Julio","Agosto","Septiembre","Octubre","Noviembre","Diciembre"},MONTH(F1199))))</f>
        <v>Julio</v>
      </c>
      <c r="N1199" s="18" t="str">
        <f t="shared" si="56"/>
        <v>Julio|41</v>
      </c>
    </row>
    <row r="1200" spans="1:14" ht="14.5" x14ac:dyDescent="0.25">
      <c r="A1200" s="19">
        <v>33</v>
      </c>
      <c r="B1200" s="18" t="s">
        <v>40</v>
      </c>
      <c r="C1200" s="18" t="s">
        <v>97</v>
      </c>
      <c r="D1200" s="18" t="s">
        <v>1617</v>
      </c>
      <c r="E1200" s="18" t="s">
        <v>1757</v>
      </c>
      <c r="F1200" s="101">
        <v>46233.461805555555</v>
      </c>
      <c r="G1200" s="101">
        <v>46234.768750000003</v>
      </c>
      <c r="H1200" s="18" t="s">
        <v>507</v>
      </c>
      <c r="I1200" s="18" t="s">
        <v>508</v>
      </c>
      <c r="J1200" s="18"/>
      <c r="K1200" s="21">
        <f t="shared" si="54"/>
        <v>31.366666666755918</v>
      </c>
      <c r="L1200" s="19">
        <f t="shared" si="55"/>
        <v>42</v>
      </c>
      <c r="M1200" s="18" t="str">
        <f>IF(I1200&lt;&gt;"Sí","",IF(YEAR(F1200)&lt;&gt;2026,"",INDEX({"Enero","Febrero","Marzo","Abril","Mayo","Junio","Julio","Agosto","Septiembre","Octubre","Noviembre","Diciembre"},MONTH(F1200))))</f>
        <v>Julio</v>
      </c>
      <c r="N1200" s="18" t="str">
        <f t="shared" si="56"/>
        <v>Julio|42</v>
      </c>
    </row>
    <row r="1201" spans="1:14" ht="14.5" x14ac:dyDescent="0.25">
      <c r="A1201" s="19">
        <v>33</v>
      </c>
      <c r="B1201" s="18" t="s">
        <v>40</v>
      </c>
      <c r="C1201" s="18" t="s">
        <v>97</v>
      </c>
      <c r="D1201" s="18" t="s">
        <v>1617</v>
      </c>
      <c r="E1201" s="18" t="s">
        <v>1758</v>
      </c>
      <c r="F1201" s="101">
        <v>46233.463194444441</v>
      </c>
      <c r="G1201" s="101">
        <v>46234.765972222223</v>
      </c>
      <c r="H1201" s="18" t="s">
        <v>507</v>
      </c>
      <c r="I1201" s="18" t="s">
        <v>508</v>
      </c>
      <c r="J1201" s="18"/>
      <c r="K1201" s="21">
        <f t="shared" si="54"/>
        <v>31.266666666779201</v>
      </c>
      <c r="L1201" s="19">
        <f t="shared" si="55"/>
        <v>43</v>
      </c>
      <c r="M1201" s="18" t="str">
        <f>IF(I1201&lt;&gt;"Sí","",IF(YEAR(F1201)&lt;&gt;2026,"",INDEX({"Enero","Febrero","Marzo","Abril","Mayo","Junio","Julio","Agosto","Septiembre","Octubre","Noviembre","Diciembre"},MONTH(F1201))))</f>
        <v>Julio</v>
      </c>
      <c r="N1201" s="18" t="str">
        <f t="shared" si="56"/>
        <v>Julio|43</v>
      </c>
    </row>
    <row r="1202" spans="1:14" ht="14.5" x14ac:dyDescent="0.25">
      <c r="A1202" s="19">
        <v>33</v>
      </c>
      <c r="B1202" s="18" t="s">
        <v>40</v>
      </c>
      <c r="C1202" s="18" t="s">
        <v>97</v>
      </c>
      <c r="D1202" s="18" t="s">
        <v>1617</v>
      </c>
      <c r="E1202" s="18" t="s">
        <v>1759</v>
      </c>
      <c r="F1202" s="101">
        <v>46233.464583333334</v>
      </c>
      <c r="G1202" s="101">
        <v>46234.763888888891</v>
      </c>
      <c r="H1202" s="18" t="s">
        <v>507</v>
      </c>
      <c r="I1202" s="18" t="s">
        <v>508</v>
      </c>
      <c r="J1202" s="18"/>
      <c r="K1202" s="21">
        <f t="shared" si="54"/>
        <v>31.183333333348855</v>
      </c>
      <c r="L1202" s="19">
        <f t="shared" si="55"/>
        <v>44</v>
      </c>
      <c r="M1202" s="18" t="str">
        <f>IF(I1202&lt;&gt;"Sí","",IF(YEAR(F1202)&lt;&gt;2026,"",INDEX({"Enero","Febrero","Marzo","Abril","Mayo","Junio","Julio","Agosto","Septiembre","Octubre","Noviembre","Diciembre"},MONTH(F1202))))</f>
        <v>Julio</v>
      </c>
      <c r="N1202" s="18" t="str">
        <f t="shared" si="56"/>
        <v>Julio|44</v>
      </c>
    </row>
    <row r="1203" spans="1:14" ht="14.5" x14ac:dyDescent="0.25">
      <c r="A1203" s="19">
        <v>33</v>
      </c>
      <c r="B1203" s="18" t="s">
        <v>40</v>
      </c>
      <c r="C1203" s="18" t="s">
        <v>97</v>
      </c>
      <c r="D1203" s="18" t="s">
        <v>1617</v>
      </c>
      <c r="E1203" s="18" t="s">
        <v>1760</v>
      </c>
      <c r="F1203" s="101">
        <v>46233.466666666667</v>
      </c>
      <c r="G1203" s="101">
        <v>46234.761111111111</v>
      </c>
      <c r="H1203" s="18" t="s">
        <v>507</v>
      </c>
      <c r="I1203" s="18" t="s">
        <v>508</v>
      </c>
      <c r="J1203" s="18"/>
      <c r="K1203" s="21">
        <f t="shared" si="54"/>
        <v>31.066666666651145</v>
      </c>
      <c r="L1203" s="19">
        <f t="shared" si="55"/>
        <v>45</v>
      </c>
      <c r="M1203" s="18" t="str">
        <f>IF(I1203&lt;&gt;"Sí","",IF(YEAR(F1203)&lt;&gt;2026,"",INDEX({"Enero","Febrero","Marzo","Abril","Mayo","Junio","Julio","Agosto","Septiembre","Octubre","Noviembre","Diciembre"},MONTH(F1203))))</f>
        <v>Julio</v>
      </c>
      <c r="N1203" s="18" t="str">
        <f t="shared" si="56"/>
        <v>Julio|45</v>
      </c>
    </row>
    <row r="1204" spans="1:14" ht="14.5" x14ac:dyDescent="0.25">
      <c r="A1204" s="19">
        <v>33</v>
      </c>
      <c r="B1204" s="18" t="s">
        <v>40</v>
      </c>
      <c r="C1204" s="18" t="s">
        <v>97</v>
      </c>
      <c r="D1204" s="18" t="s">
        <v>1617</v>
      </c>
      <c r="E1204" s="18" t="s">
        <v>1761</v>
      </c>
      <c r="F1204" s="101">
        <v>46233.46875</v>
      </c>
      <c r="G1204" s="101">
        <v>46234.759027777778</v>
      </c>
      <c r="H1204" s="18" t="s">
        <v>507</v>
      </c>
      <c r="I1204" s="18" t="s">
        <v>508</v>
      </c>
      <c r="J1204" s="18"/>
      <c r="K1204" s="21">
        <f t="shared" si="54"/>
        <v>30.966666666674428</v>
      </c>
      <c r="L1204" s="19">
        <f t="shared" si="55"/>
        <v>46</v>
      </c>
      <c r="M1204" s="18" t="str">
        <f>IF(I1204&lt;&gt;"Sí","",IF(YEAR(F1204)&lt;&gt;2026,"",INDEX({"Enero","Febrero","Marzo","Abril","Mayo","Junio","Julio","Agosto","Septiembre","Octubre","Noviembre","Diciembre"},MONTH(F1204))))</f>
        <v>Julio</v>
      </c>
      <c r="N1204" s="18" t="str">
        <f t="shared" si="56"/>
        <v>Julio|46</v>
      </c>
    </row>
    <row r="1205" spans="1:14" ht="14.5" x14ac:dyDescent="0.25">
      <c r="A1205" s="19">
        <v>33</v>
      </c>
      <c r="B1205" s="18" t="s">
        <v>40</v>
      </c>
      <c r="C1205" s="18" t="s">
        <v>97</v>
      </c>
      <c r="D1205" s="18" t="s">
        <v>1617</v>
      </c>
      <c r="E1205" s="18" t="s">
        <v>1762</v>
      </c>
      <c r="F1205" s="101">
        <v>46233.470138888886</v>
      </c>
      <c r="G1205" s="101">
        <v>46234.756944444445</v>
      </c>
      <c r="H1205" s="18" t="s">
        <v>507</v>
      </c>
      <c r="I1205" s="18" t="s">
        <v>508</v>
      </c>
      <c r="J1205" s="18"/>
      <c r="K1205" s="21">
        <f t="shared" si="54"/>
        <v>30.883333333418705</v>
      </c>
      <c r="L1205" s="19">
        <f t="shared" si="55"/>
        <v>47</v>
      </c>
      <c r="M1205" s="18" t="str">
        <f>IF(I1205&lt;&gt;"Sí","",IF(YEAR(F1205)&lt;&gt;2026,"",INDEX({"Enero","Febrero","Marzo","Abril","Mayo","Junio","Julio","Agosto","Septiembre","Octubre","Noviembre","Diciembre"},MONTH(F1205))))</f>
        <v>Julio</v>
      </c>
      <c r="N1205" s="18" t="str">
        <f t="shared" si="56"/>
        <v>Julio|47</v>
      </c>
    </row>
    <row r="1206" spans="1:14" ht="14.5" x14ac:dyDescent="0.25">
      <c r="A1206" s="19">
        <v>33</v>
      </c>
      <c r="B1206" s="18" t="s">
        <v>40</v>
      </c>
      <c r="C1206" s="18" t="s">
        <v>97</v>
      </c>
      <c r="D1206" s="18" t="s">
        <v>1617</v>
      </c>
      <c r="E1206" s="18" t="s">
        <v>1763</v>
      </c>
      <c r="F1206" s="101">
        <v>46233.47152777778</v>
      </c>
      <c r="G1206" s="101">
        <v>46234.754861111112</v>
      </c>
      <c r="H1206" s="18" t="s">
        <v>507</v>
      </c>
      <c r="I1206" s="18" t="s">
        <v>508</v>
      </c>
      <c r="J1206" s="18"/>
      <c r="K1206" s="21">
        <f t="shared" si="54"/>
        <v>30.799999999988358</v>
      </c>
      <c r="L1206" s="19">
        <f t="shared" si="55"/>
        <v>48</v>
      </c>
      <c r="M1206" s="18" t="str">
        <f>IF(I1206&lt;&gt;"Sí","",IF(YEAR(F1206)&lt;&gt;2026,"",INDEX({"Enero","Febrero","Marzo","Abril","Mayo","Junio","Julio","Agosto","Septiembre","Octubre","Noviembre","Diciembre"},MONTH(F1206))))</f>
        <v>Julio</v>
      </c>
      <c r="N1206" s="18" t="str">
        <f t="shared" si="56"/>
        <v>Julio|48</v>
      </c>
    </row>
    <row r="1207" spans="1:14" ht="14.5" x14ac:dyDescent="0.25">
      <c r="A1207" s="19">
        <v>33</v>
      </c>
      <c r="B1207" s="18" t="s">
        <v>40</v>
      </c>
      <c r="C1207" s="18" t="s">
        <v>97</v>
      </c>
      <c r="D1207" s="18" t="s">
        <v>1617</v>
      </c>
      <c r="E1207" s="18" t="s">
        <v>1764</v>
      </c>
      <c r="F1207" s="101">
        <v>46233.475694444445</v>
      </c>
      <c r="G1207" s="101">
        <v>46234.75277777778</v>
      </c>
      <c r="H1207" s="18" t="s">
        <v>507</v>
      </c>
      <c r="I1207" s="18" t="s">
        <v>508</v>
      </c>
      <c r="J1207" s="18"/>
      <c r="K1207" s="21">
        <f t="shared" si="54"/>
        <v>30.650000000023283</v>
      </c>
      <c r="L1207" s="19">
        <f t="shared" si="55"/>
        <v>49</v>
      </c>
      <c r="M1207" s="18" t="str">
        <f>IF(I1207&lt;&gt;"Sí","",IF(YEAR(F1207)&lt;&gt;2026,"",INDEX({"Enero","Febrero","Marzo","Abril","Mayo","Junio","Julio","Agosto","Septiembre","Octubre","Noviembre","Diciembre"},MONTH(F1207))))</f>
        <v>Julio</v>
      </c>
      <c r="N1207" s="18" t="str">
        <f t="shared" si="56"/>
        <v>Julio|49</v>
      </c>
    </row>
    <row r="1208" spans="1:14" ht="14.5" x14ac:dyDescent="0.25">
      <c r="A1208" s="19">
        <v>33</v>
      </c>
      <c r="B1208" s="18" t="s">
        <v>40</v>
      </c>
      <c r="C1208" s="18" t="s">
        <v>97</v>
      </c>
      <c r="D1208" s="18" t="s">
        <v>1617</v>
      </c>
      <c r="E1208" s="18" t="s">
        <v>1765</v>
      </c>
      <c r="F1208" s="101">
        <v>46233.477083333331</v>
      </c>
      <c r="G1208" s="101">
        <v>46234.750694444447</v>
      </c>
      <c r="H1208" s="18" t="s">
        <v>507</v>
      </c>
      <c r="I1208" s="18" t="s">
        <v>508</v>
      </c>
      <c r="J1208" s="18"/>
      <c r="K1208" s="21">
        <f t="shared" si="54"/>
        <v>30.56666666676756</v>
      </c>
      <c r="L1208" s="19">
        <f t="shared" si="55"/>
        <v>50</v>
      </c>
      <c r="M1208" s="18" t="str">
        <f>IF(I1208&lt;&gt;"Sí","",IF(YEAR(F1208)&lt;&gt;2026,"",INDEX({"Enero","Febrero","Marzo","Abril","Mayo","Junio","Julio","Agosto","Septiembre","Octubre","Noviembre","Diciembre"},MONTH(F1208))))</f>
        <v>Julio</v>
      </c>
      <c r="N1208" s="18" t="str">
        <f t="shared" si="56"/>
        <v>Julio|50</v>
      </c>
    </row>
    <row r="1209" spans="1:14" ht="14.5" x14ac:dyDescent="0.25">
      <c r="A1209" s="19">
        <v>33</v>
      </c>
      <c r="B1209" s="18" t="s">
        <v>40</v>
      </c>
      <c r="C1209" s="18" t="s">
        <v>97</v>
      </c>
      <c r="D1209" s="18" t="s">
        <v>1617</v>
      </c>
      <c r="E1209" s="18" t="s">
        <v>1766</v>
      </c>
      <c r="F1209" s="101">
        <v>46233.478472222225</v>
      </c>
      <c r="G1209" s="101">
        <v>46234.747916666667</v>
      </c>
      <c r="H1209" s="18" t="s">
        <v>507</v>
      </c>
      <c r="I1209" s="18" t="s">
        <v>508</v>
      </c>
      <c r="J1209" s="18"/>
      <c r="K1209" s="21">
        <f t="shared" si="54"/>
        <v>30.46666666661622</v>
      </c>
      <c r="L1209" s="19">
        <f t="shared" si="55"/>
        <v>51</v>
      </c>
      <c r="M1209" s="18" t="str">
        <f>IF(I1209&lt;&gt;"Sí","",IF(YEAR(F1209)&lt;&gt;2026,"",INDEX({"Enero","Febrero","Marzo","Abril","Mayo","Junio","Julio","Agosto","Septiembre","Octubre","Noviembre","Diciembre"},MONTH(F1209))))</f>
        <v>Julio</v>
      </c>
      <c r="N1209" s="18" t="str">
        <f t="shared" si="56"/>
        <v>Julio|51</v>
      </c>
    </row>
    <row r="1210" spans="1:14" ht="14.5" x14ac:dyDescent="0.25">
      <c r="A1210" s="19">
        <v>33</v>
      </c>
      <c r="B1210" s="18" t="s">
        <v>40</v>
      </c>
      <c r="C1210" s="18" t="s">
        <v>97</v>
      </c>
      <c r="D1210" s="18" t="s">
        <v>1617</v>
      </c>
      <c r="E1210" s="18" t="s">
        <v>1767</v>
      </c>
      <c r="F1210" s="101">
        <v>46233.482638888891</v>
      </c>
      <c r="G1210" s="101">
        <v>46234.745833333334</v>
      </c>
      <c r="H1210" s="18" t="s">
        <v>507</v>
      </c>
      <c r="I1210" s="18" t="s">
        <v>508</v>
      </c>
      <c r="J1210" s="18"/>
      <c r="K1210" s="21">
        <f t="shared" si="54"/>
        <v>30.316666666651145</v>
      </c>
      <c r="L1210" s="19">
        <f t="shared" si="55"/>
        <v>52</v>
      </c>
      <c r="M1210" s="18" t="str">
        <f>IF(I1210&lt;&gt;"Sí","",IF(YEAR(F1210)&lt;&gt;2026,"",INDEX({"Enero","Febrero","Marzo","Abril","Mayo","Junio","Julio","Agosto","Septiembre","Octubre","Noviembre","Diciembre"},MONTH(F1210))))</f>
        <v>Julio</v>
      </c>
      <c r="N1210" s="18" t="str">
        <f t="shared" si="56"/>
        <v>Julio|52</v>
      </c>
    </row>
    <row r="1211" spans="1:14" ht="14.5" x14ac:dyDescent="0.25">
      <c r="A1211" s="19">
        <v>33</v>
      </c>
      <c r="B1211" s="18" t="s">
        <v>40</v>
      </c>
      <c r="C1211" s="18" t="s">
        <v>97</v>
      </c>
      <c r="D1211" s="18" t="s">
        <v>1617</v>
      </c>
      <c r="E1211" s="18" t="s">
        <v>1768</v>
      </c>
      <c r="F1211" s="101">
        <v>46233.484722222223</v>
      </c>
      <c r="G1211" s="101">
        <v>46234.743055555555</v>
      </c>
      <c r="H1211" s="18" t="s">
        <v>507</v>
      </c>
      <c r="I1211" s="18" t="s">
        <v>508</v>
      </c>
      <c r="J1211" s="18"/>
      <c r="K1211" s="21">
        <f t="shared" si="54"/>
        <v>30.199999999953434</v>
      </c>
      <c r="L1211" s="19">
        <f t="shared" si="55"/>
        <v>53</v>
      </c>
      <c r="M1211" s="18" t="str">
        <f>IF(I1211&lt;&gt;"Sí","",IF(YEAR(F1211)&lt;&gt;2026,"",INDEX({"Enero","Febrero","Marzo","Abril","Mayo","Junio","Julio","Agosto","Septiembre","Octubre","Noviembre","Diciembre"},MONTH(F1211))))</f>
        <v>Julio</v>
      </c>
      <c r="N1211" s="18" t="str">
        <f t="shared" si="56"/>
        <v>Julio|53</v>
      </c>
    </row>
    <row r="1212" spans="1:14" ht="14.5" x14ac:dyDescent="0.25">
      <c r="A1212" s="19">
        <v>33</v>
      </c>
      <c r="B1212" s="18" t="s">
        <v>40</v>
      </c>
      <c r="C1212" s="18" t="s">
        <v>97</v>
      </c>
      <c r="D1212" s="18" t="s">
        <v>1617</v>
      </c>
      <c r="E1212" s="18" t="s">
        <v>1769</v>
      </c>
      <c r="F1212" s="101">
        <v>46233.486805555556</v>
      </c>
      <c r="G1212" s="101">
        <v>46234.740972222222</v>
      </c>
      <c r="H1212" s="18" t="s">
        <v>507</v>
      </c>
      <c r="I1212" s="18" t="s">
        <v>508</v>
      </c>
      <c r="J1212" s="18"/>
      <c r="K1212" s="21">
        <f t="shared" si="54"/>
        <v>30.099999999976717</v>
      </c>
      <c r="L1212" s="19">
        <f t="shared" si="55"/>
        <v>54</v>
      </c>
      <c r="M1212" s="18" t="str">
        <f>IF(I1212&lt;&gt;"Sí","",IF(YEAR(F1212)&lt;&gt;2026,"",INDEX({"Enero","Febrero","Marzo","Abril","Mayo","Junio","Julio","Agosto","Septiembre","Octubre","Noviembre","Diciembre"},MONTH(F1212))))</f>
        <v>Julio</v>
      </c>
      <c r="N1212" s="18" t="str">
        <f t="shared" si="56"/>
        <v>Julio|54</v>
      </c>
    </row>
    <row r="1213" spans="1:14" ht="14.5" x14ac:dyDescent="0.25">
      <c r="A1213" s="19">
        <v>33</v>
      </c>
      <c r="B1213" s="18" t="s">
        <v>40</v>
      </c>
      <c r="C1213" s="18" t="s">
        <v>97</v>
      </c>
      <c r="D1213" s="18" t="s">
        <v>1617</v>
      </c>
      <c r="E1213" s="18" t="s">
        <v>1770</v>
      </c>
      <c r="F1213" s="101">
        <v>46233.488194444442</v>
      </c>
      <c r="G1213" s="101">
        <v>46234.527777777781</v>
      </c>
      <c r="H1213" s="18" t="s">
        <v>507</v>
      </c>
      <c r="I1213" s="18" t="s">
        <v>508</v>
      </c>
      <c r="J1213" s="18"/>
      <c r="K1213" s="21">
        <f t="shared" si="54"/>
        <v>24.950000000128057</v>
      </c>
      <c r="L1213" s="19">
        <f t="shared" si="55"/>
        <v>55</v>
      </c>
      <c r="M1213" s="18" t="str">
        <f>IF(I1213&lt;&gt;"Sí","",IF(YEAR(F1213)&lt;&gt;2026,"",INDEX({"Enero","Febrero","Marzo","Abril","Mayo","Junio","Julio","Agosto","Septiembre","Octubre","Noviembre","Diciembre"},MONTH(F1213))))</f>
        <v>Julio</v>
      </c>
      <c r="N1213" s="18" t="str">
        <f t="shared" si="56"/>
        <v>Julio|55</v>
      </c>
    </row>
    <row r="1214" spans="1:14" ht="14.5" x14ac:dyDescent="0.25">
      <c r="A1214" s="19">
        <v>33</v>
      </c>
      <c r="B1214" s="18" t="s">
        <v>40</v>
      </c>
      <c r="C1214" s="18" t="s">
        <v>97</v>
      </c>
      <c r="D1214" s="18" t="s">
        <v>1617</v>
      </c>
      <c r="E1214" s="18" t="s">
        <v>1771</v>
      </c>
      <c r="F1214" s="101">
        <v>46233.491666666669</v>
      </c>
      <c r="G1214" s="101">
        <v>46234.526388888888</v>
      </c>
      <c r="H1214" s="18" t="s">
        <v>507</v>
      </c>
      <c r="I1214" s="18" t="s">
        <v>508</v>
      </c>
      <c r="J1214" s="18"/>
      <c r="K1214" s="21">
        <f t="shared" si="54"/>
        <v>24.833333333255723</v>
      </c>
      <c r="L1214" s="19">
        <f t="shared" si="55"/>
        <v>56</v>
      </c>
      <c r="M1214" s="18" t="str">
        <f>IF(I1214&lt;&gt;"Sí","",IF(YEAR(F1214)&lt;&gt;2026,"",INDEX({"Enero","Febrero","Marzo","Abril","Mayo","Junio","Julio","Agosto","Septiembre","Octubre","Noviembre","Diciembre"},MONTH(F1214))))</f>
        <v>Julio</v>
      </c>
      <c r="N1214" s="18" t="str">
        <f t="shared" si="56"/>
        <v>Julio|56</v>
      </c>
    </row>
    <row r="1215" spans="1:14" ht="14.5" x14ac:dyDescent="0.25">
      <c r="A1215" s="19">
        <v>33</v>
      </c>
      <c r="B1215" s="18" t="s">
        <v>40</v>
      </c>
      <c r="C1215" s="18" t="s">
        <v>97</v>
      </c>
      <c r="D1215" s="18" t="s">
        <v>1617</v>
      </c>
      <c r="E1215" s="18" t="s">
        <v>1772</v>
      </c>
      <c r="F1215" s="101">
        <v>46233.493750000001</v>
      </c>
      <c r="G1215" s="101">
        <v>46234.493750000001</v>
      </c>
      <c r="H1215" s="18" t="s">
        <v>507</v>
      </c>
      <c r="I1215" s="18" t="s">
        <v>508</v>
      </c>
      <c r="J1215" s="18"/>
      <c r="K1215" s="21">
        <f t="shared" si="54"/>
        <v>24</v>
      </c>
      <c r="L1215" s="19">
        <f t="shared" si="55"/>
        <v>57</v>
      </c>
      <c r="M1215" s="18" t="str">
        <f>IF(I1215&lt;&gt;"Sí","",IF(YEAR(F1215)&lt;&gt;2026,"",INDEX({"Enero","Febrero","Marzo","Abril","Mayo","Junio","Julio","Agosto","Septiembre","Octubre","Noviembre","Diciembre"},MONTH(F1215))))</f>
        <v>Julio</v>
      </c>
      <c r="N1215" s="18" t="str">
        <f t="shared" si="56"/>
        <v>Julio|57</v>
      </c>
    </row>
    <row r="1216" spans="1:14" ht="14.5" x14ac:dyDescent="0.25">
      <c r="A1216" s="19">
        <v>33</v>
      </c>
      <c r="B1216" s="18" t="s">
        <v>40</v>
      </c>
      <c r="C1216" s="18" t="s">
        <v>97</v>
      </c>
      <c r="D1216" s="18" t="s">
        <v>1617</v>
      </c>
      <c r="E1216" s="18" t="s">
        <v>1773</v>
      </c>
      <c r="F1216" s="101">
        <v>46233.495138888888</v>
      </c>
      <c r="G1216" s="101">
        <v>46234.491666666669</v>
      </c>
      <c r="H1216" s="18" t="s">
        <v>507</v>
      </c>
      <c r="I1216" s="18" t="s">
        <v>508</v>
      </c>
      <c r="J1216" s="18"/>
      <c r="K1216" s="21">
        <f t="shared" si="54"/>
        <v>23.916666666744277</v>
      </c>
      <c r="L1216" s="19">
        <f t="shared" si="55"/>
        <v>58</v>
      </c>
      <c r="M1216" s="18" t="str">
        <f>IF(I1216&lt;&gt;"Sí","",IF(YEAR(F1216)&lt;&gt;2026,"",INDEX({"Enero","Febrero","Marzo","Abril","Mayo","Junio","Julio","Agosto","Septiembre","Octubre","Noviembre","Diciembre"},MONTH(F1216))))</f>
        <v>Julio</v>
      </c>
      <c r="N1216" s="18" t="str">
        <f t="shared" si="56"/>
        <v>Julio|58</v>
      </c>
    </row>
    <row r="1217" spans="1:14" ht="14.5" x14ac:dyDescent="0.25">
      <c r="A1217" s="19">
        <v>33</v>
      </c>
      <c r="B1217" s="18" t="s">
        <v>40</v>
      </c>
      <c r="C1217" s="18" t="s">
        <v>97</v>
      </c>
      <c r="D1217" s="18" t="s">
        <v>1617</v>
      </c>
      <c r="E1217" s="18" t="s">
        <v>1774</v>
      </c>
      <c r="F1217" s="101">
        <v>46233.496527777781</v>
      </c>
      <c r="G1217" s="101">
        <v>46234.488888888889</v>
      </c>
      <c r="H1217" s="18" t="s">
        <v>507</v>
      </c>
      <c r="I1217" s="18" t="s">
        <v>508</v>
      </c>
      <c r="J1217" s="18"/>
      <c r="K1217" s="21">
        <f t="shared" si="54"/>
        <v>23.816666666592937</v>
      </c>
      <c r="L1217" s="19">
        <f t="shared" si="55"/>
        <v>59</v>
      </c>
      <c r="M1217" s="18" t="str">
        <f>IF(I1217&lt;&gt;"Sí","",IF(YEAR(F1217)&lt;&gt;2026,"",INDEX({"Enero","Febrero","Marzo","Abril","Mayo","Junio","Julio","Agosto","Septiembre","Octubre","Noviembre","Diciembre"},MONTH(F1217))))</f>
        <v>Julio</v>
      </c>
      <c r="N1217" s="18" t="str">
        <f t="shared" si="56"/>
        <v>Julio|59</v>
      </c>
    </row>
    <row r="1218" spans="1:14" ht="14.5" x14ac:dyDescent="0.25">
      <c r="A1218" s="19">
        <v>33</v>
      </c>
      <c r="B1218" s="18" t="s">
        <v>40</v>
      </c>
      <c r="C1218" s="18" t="s">
        <v>97</v>
      </c>
      <c r="D1218" s="18" t="s">
        <v>1617</v>
      </c>
      <c r="E1218" s="18" t="s">
        <v>1775</v>
      </c>
      <c r="F1218" s="101">
        <v>46233.497916666667</v>
      </c>
      <c r="G1218" s="101">
        <v>46234.486805555556</v>
      </c>
      <c r="H1218" s="18" t="s">
        <v>507</v>
      </c>
      <c r="I1218" s="18" t="s">
        <v>508</v>
      </c>
      <c r="J1218" s="18"/>
      <c r="K1218" s="21">
        <f t="shared" si="54"/>
        <v>23.733333333337214</v>
      </c>
      <c r="L1218" s="19">
        <f t="shared" si="55"/>
        <v>60</v>
      </c>
      <c r="M1218" s="18" t="str">
        <f>IF(I1218&lt;&gt;"Sí","",IF(YEAR(F1218)&lt;&gt;2026,"",INDEX({"Enero","Febrero","Marzo","Abril","Mayo","Junio","Julio","Agosto","Septiembre","Octubre","Noviembre","Diciembre"},MONTH(F1218))))</f>
        <v>Julio</v>
      </c>
      <c r="N1218" s="18" t="str">
        <f t="shared" si="56"/>
        <v>Julio|60</v>
      </c>
    </row>
    <row r="1219" spans="1:14" ht="14.5" x14ac:dyDescent="0.25">
      <c r="A1219" s="19">
        <v>33</v>
      </c>
      <c r="B1219" s="18" t="s">
        <v>40</v>
      </c>
      <c r="C1219" s="18" t="s">
        <v>97</v>
      </c>
      <c r="D1219" s="18" t="s">
        <v>1617</v>
      </c>
      <c r="E1219" s="18" t="s">
        <v>1776</v>
      </c>
      <c r="F1219" s="101">
        <v>46233.499305555553</v>
      </c>
      <c r="G1219" s="101">
        <v>46234.882638888892</v>
      </c>
      <c r="H1219" s="18" t="s">
        <v>507</v>
      </c>
      <c r="I1219" s="18" t="s">
        <v>508</v>
      </c>
      <c r="J1219" s="18"/>
      <c r="K1219" s="21">
        <f t="shared" si="54"/>
        <v>33.200000000128057</v>
      </c>
      <c r="L1219" s="19">
        <f t="shared" si="55"/>
        <v>61</v>
      </c>
      <c r="M1219" s="18" t="str">
        <f>IF(I1219&lt;&gt;"Sí","",IF(YEAR(F1219)&lt;&gt;2026,"",INDEX({"Enero","Febrero","Marzo","Abril","Mayo","Junio","Julio","Agosto","Septiembre","Octubre","Noviembre","Diciembre"},MONTH(F1219))))</f>
        <v>Julio</v>
      </c>
      <c r="N1219" s="18" t="str">
        <f t="shared" si="56"/>
        <v>Julio|61</v>
      </c>
    </row>
    <row r="1220" spans="1:14" ht="14.5" x14ac:dyDescent="0.25">
      <c r="A1220" s="19">
        <v>33</v>
      </c>
      <c r="B1220" s="18" t="s">
        <v>40</v>
      </c>
      <c r="C1220" s="18" t="s">
        <v>97</v>
      </c>
      <c r="D1220" s="18" t="s">
        <v>1617</v>
      </c>
      <c r="E1220" s="18" t="s">
        <v>1777</v>
      </c>
      <c r="F1220" s="101">
        <v>46233.501388888886</v>
      </c>
      <c r="G1220" s="101">
        <v>46234.879861111112</v>
      </c>
      <c r="H1220" s="18" t="s">
        <v>507</v>
      </c>
      <c r="I1220" s="18" t="s">
        <v>508</v>
      </c>
      <c r="J1220" s="18"/>
      <c r="K1220" s="21">
        <f t="shared" si="54"/>
        <v>33.083333333430346</v>
      </c>
      <c r="L1220" s="19">
        <f t="shared" si="55"/>
        <v>62</v>
      </c>
      <c r="M1220" s="18" t="str">
        <f>IF(I1220&lt;&gt;"Sí","",IF(YEAR(F1220)&lt;&gt;2026,"",INDEX({"Enero","Febrero","Marzo","Abril","Mayo","Junio","Julio","Agosto","Septiembre","Octubre","Noviembre","Diciembre"},MONTH(F1220))))</f>
        <v>Julio</v>
      </c>
      <c r="N1220" s="18" t="str">
        <f t="shared" si="56"/>
        <v>Julio|62</v>
      </c>
    </row>
    <row r="1221" spans="1:14" ht="14.5" x14ac:dyDescent="0.25">
      <c r="A1221" s="19">
        <v>33</v>
      </c>
      <c r="B1221" s="18" t="s">
        <v>40</v>
      </c>
      <c r="C1221" s="18" t="s">
        <v>97</v>
      </c>
      <c r="D1221" s="18" t="s">
        <v>1617</v>
      </c>
      <c r="E1221" s="18" t="s">
        <v>1778</v>
      </c>
      <c r="F1221" s="101">
        <v>46233.50277777778</v>
      </c>
      <c r="G1221" s="101">
        <v>46234.876388888886</v>
      </c>
      <c r="H1221" s="18" t="s">
        <v>507</v>
      </c>
      <c r="I1221" s="18" t="s">
        <v>508</v>
      </c>
      <c r="J1221" s="18"/>
      <c r="K1221" s="21">
        <f t="shared" si="54"/>
        <v>32.966666666558012</v>
      </c>
      <c r="L1221" s="19">
        <f t="shared" si="55"/>
        <v>63</v>
      </c>
      <c r="M1221" s="18" t="str">
        <f>IF(I1221&lt;&gt;"Sí","",IF(YEAR(F1221)&lt;&gt;2026,"",INDEX({"Enero","Febrero","Marzo","Abril","Mayo","Junio","Julio","Agosto","Septiembre","Octubre","Noviembre","Diciembre"},MONTH(F1221))))</f>
        <v>Julio</v>
      </c>
      <c r="N1221" s="18" t="str">
        <f t="shared" si="56"/>
        <v>Julio|63</v>
      </c>
    </row>
    <row r="1222" spans="1:14" ht="14.5" x14ac:dyDescent="0.25">
      <c r="A1222" s="19">
        <v>33</v>
      </c>
      <c r="B1222" s="18" t="s">
        <v>40</v>
      </c>
      <c r="C1222" s="18" t="s">
        <v>97</v>
      </c>
      <c r="D1222" s="18" t="s">
        <v>1617</v>
      </c>
      <c r="E1222" s="18" t="s">
        <v>1779</v>
      </c>
      <c r="F1222" s="101">
        <v>46233.506944444445</v>
      </c>
      <c r="G1222" s="101">
        <v>46234.918055555558</v>
      </c>
      <c r="H1222" s="18" t="s">
        <v>507</v>
      </c>
      <c r="I1222" s="18" t="s">
        <v>508</v>
      </c>
      <c r="J1222" s="18"/>
      <c r="K1222" s="21">
        <f t="shared" si="54"/>
        <v>33.866666666697711</v>
      </c>
      <c r="L1222" s="19">
        <f t="shared" si="55"/>
        <v>64</v>
      </c>
      <c r="M1222" s="18" t="str">
        <f>IF(I1222&lt;&gt;"Sí","",IF(YEAR(F1222)&lt;&gt;2026,"",INDEX({"Enero","Febrero","Marzo","Abril","Mayo","Junio","Julio","Agosto","Septiembre","Octubre","Noviembre","Diciembre"},MONTH(F1222))))</f>
        <v>Julio</v>
      </c>
      <c r="N1222" s="18" t="str">
        <f t="shared" si="56"/>
        <v>Julio|64</v>
      </c>
    </row>
    <row r="1223" spans="1:14" ht="14.5" x14ac:dyDescent="0.25">
      <c r="A1223" s="19">
        <v>33</v>
      </c>
      <c r="B1223" s="18" t="s">
        <v>40</v>
      </c>
      <c r="C1223" s="18" t="s">
        <v>97</v>
      </c>
      <c r="D1223" s="18" t="s">
        <v>1617</v>
      </c>
      <c r="E1223" s="18" t="s">
        <v>1780</v>
      </c>
      <c r="F1223" s="101">
        <v>46233.510416666664</v>
      </c>
      <c r="G1223" s="101">
        <v>46234.87222222222</v>
      </c>
      <c r="H1223" s="18" t="s">
        <v>507</v>
      </c>
      <c r="I1223" s="18" t="s">
        <v>508</v>
      </c>
      <c r="J1223" s="18"/>
      <c r="K1223" s="21">
        <f t="shared" ref="K1223:K1286" si="57">IF(I1223="Sí",(G1223-F1223)*24,"")</f>
        <v>32.683333333348855</v>
      </c>
      <c r="L1223" s="19">
        <f t="shared" ref="L1223:L1286" si="58">IF(I1223="Sí",COUNTIFS($F$7:$F$4000,"&lt;="&amp;F1223,$G$7:$G$4000,"&gt;"&amp;F1223,$I$7:$I$4000,"Sí"),"")</f>
        <v>65</v>
      </c>
      <c r="M1223" s="18" t="str">
        <f>IF(I1223&lt;&gt;"Sí","",IF(YEAR(F1223)&lt;&gt;2026,"",INDEX({"Enero","Febrero","Marzo","Abril","Mayo","Junio","Julio","Agosto","Septiembre","Octubre","Noviembre","Diciembre"},MONTH(F1223))))</f>
        <v>Julio</v>
      </c>
      <c r="N1223" s="18" t="str">
        <f t="shared" ref="N1223:N1286" si="59">IF(M1223="","",M1223&amp;"|"&amp;L1223)</f>
        <v>Julio|65</v>
      </c>
    </row>
    <row r="1224" spans="1:14" ht="14.5" x14ac:dyDescent="0.25">
      <c r="A1224" s="19">
        <v>33</v>
      </c>
      <c r="B1224" s="18" t="s">
        <v>40</v>
      </c>
      <c r="C1224" s="18" t="s">
        <v>97</v>
      </c>
      <c r="D1224" s="18" t="s">
        <v>1617</v>
      </c>
      <c r="E1224" s="18" t="s">
        <v>1781</v>
      </c>
      <c r="F1224" s="101">
        <v>46233.512499999997</v>
      </c>
      <c r="G1224" s="101">
        <v>46234.914583333331</v>
      </c>
      <c r="H1224" s="18" t="s">
        <v>507</v>
      </c>
      <c r="I1224" s="18" t="s">
        <v>508</v>
      </c>
      <c r="J1224" s="18"/>
      <c r="K1224" s="21">
        <f t="shared" si="57"/>
        <v>33.650000000023283</v>
      </c>
      <c r="L1224" s="19">
        <f t="shared" si="58"/>
        <v>66</v>
      </c>
      <c r="M1224" s="18" t="str">
        <f>IF(I1224&lt;&gt;"Sí","",IF(YEAR(F1224)&lt;&gt;2026,"",INDEX({"Enero","Febrero","Marzo","Abril","Mayo","Junio","Julio","Agosto","Septiembre","Octubre","Noviembre","Diciembre"},MONTH(F1224))))</f>
        <v>Julio</v>
      </c>
      <c r="N1224" s="18" t="str">
        <f t="shared" si="59"/>
        <v>Julio|66</v>
      </c>
    </row>
    <row r="1225" spans="1:14" ht="14.5" x14ac:dyDescent="0.25">
      <c r="A1225" s="19">
        <v>33</v>
      </c>
      <c r="B1225" s="18" t="s">
        <v>40</v>
      </c>
      <c r="C1225" s="18" t="s">
        <v>97</v>
      </c>
      <c r="D1225" s="18" t="s">
        <v>1617</v>
      </c>
      <c r="E1225" s="18" t="s">
        <v>1782</v>
      </c>
      <c r="F1225" s="101">
        <v>46233.513888888891</v>
      </c>
      <c r="G1225" s="101">
        <v>46234.870138888888</v>
      </c>
      <c r="H1225" s="18" t="s">
        <v>507</v>
      </c>
      <c r="I1225" s="18" t="s">
        <v>508</v>
      </c>
      <c r="J1225" s="18"/>
      <c r="K1225" s="21">
        <f t="shared" si="57"/>
        <v>32.549999999930151</v>
      </c>
      <c r="L1225" s="19">
        <f t="shared" si="58"/>
        <v>67</v>
      </c>
      <c r="M1225" s="18" t="str">
        <f>IF(I1225&lt;&gt;"Sí","",IF(YEAR(F1225)&lt;&gt;2026,"",INDEX({"Enero","Febrero","Marzo","Abril","Mayo","Junio","Julio","Agosto","Septiembre","Octubre","Noviembre","Diciembre"},MONTH(F1225))))</f>
        <v>Julio</v>
      </c>
      <c r="N1225" s="18" t="str">
        <f t="shared" si="59"/>
        <v>Julio|67</v>
      </c>
    </row>
    <row r="1226" spans="1:14" ht="14.5" x14ac:dyDescent="0.25">
      <c r="A1226" s="19">
        <v>33</v>
      </c>
      <c r="B1226" s="18" t="s">
        <v>40</v>
      </c>
      <c r="C1226" s="18" t="s">
        <v>97</v>
      </c>
      <c r="D1226" s="18" t="s">
        <v>1617</v>
      </c>
      <c r="E1226" s="18" t="s">
        <v>1783</v>
      </c>
      <c r="F1226" s="101">
        <v>46233.517361111109</v>
      </c>
      <c r="G1226" s="101">
        <v>46234.867361111108</v>
      </c>
      <c r="H1226" s="18" t="s">
        <v>507</v>
      </c>
      <c r="I1226" s="18" t="s">
        <v>508</v>
      </c>
      <c r="J1226" s="18"/>
      <c r="K1226" s="21">
        <f t="shared" si="57"/>
        <v>32.399999999965075</v>
      </c>
      <c r="L1226" s="19">
        <f t="shared" si="58"/>
        <v>68</v>
      </c>
      <c r="M1226" s="18" t="str">
        <f>IF(I1226&lt;&gt;"Sí","",IF(YEAR(F1226)&lt;&gt;2026,"",INDEX({"Enero","Febrero","Marzo","Abril","Mayo","Junio","Julio","Agosto","Septiembre","Octubre","Noviembre","Diciembre"},MONTH(F1226))))</f>
        <v>Julio</v>
      </c>
      <c r="N1226" s="18" t="str">
        <f t="shared" si="59"/>
        <v>Julio|68</v>
      </c>
    </row>
    <row r="1227" spans="1:14" ht="14.5" x14ac:dyDescent="0.25">
      <c r="A1227" s="19">
        <v>33</v>
      </c>
      <c r="B1227" s="18" t="s">
        <v>40</v>
      </c>
      <c r="C1227" s="18" t="s">
        <v>97</v>
      </c>
      <c r="D1227" s="18" t="s">
        <v>1617</v>
      </c>
      <c r="E1227" s="18" t="s">
        <v>1784</v>
      </c>
      <c r="F1227" s="101">
        <v>46233.520833333336</v>
      </c>
      <c r="G1227" s="101">
        <v>46234.865277777775</v>
      </c>
      <c r="H1227" s="18" t="s">
        <v>507</v>
      </c>
      <c r="I1227" s="18" t="s">
        <v>508</v>
      </c>
      <c r="J1227" s="18"/>
      <c r="K1227" s="21">
        <f t="shared" si="57"/>
        <v>32.266666666546371</v>
      </c>
      <c r="L1227" s="19">
        <f t="shared" si="58"/>
        <v>69</v>
      </c>
      <c r="M1227" s="18" t="str">
        <f>IF(I1227&lt;&gt;"Sí","",IF(YEAR(F1227)&lt;&gt;2026,"",INDEX({"Enero","Febrero","Marzo","Abril","Mayo","Junio","Julio","Agosto","Septiembre","Octubre","Noviembre","Diciembre"},MONTH(F1227))))</f>
        <v>Julio</v>
      </c>
      <c r="N1227" s="18" t="str">
        <f t="shared" si="59"/>
        <v>Julio|69</v>
      </c>
    </row>
    <row r="1228" spans="1:14" ht="14.5" x14ac:dyDescent="0.25">
      <c r="A1228" s="19">
        <v>33</v>
      </c>
      <c r="B1228" s="18" t="s">
        <v>40</v>
      </c>
      <c r="C1228" s="18" t="s">
        <v>97</v>
      </c>
      <c r="D1228" s="18" t="s">
        <v>1617</v>
      </c>
      <c r="E1228" s="18" t="s">
        <v>1785</v>
      </c>
      <c r="F1228" s="101">
        <v>46233.522916666669</v>
      </c>
      <c r="G1228" s="101">
        <v>46234.863194444442</v>
      </c>
      <c r="H1228" s="18" t="s">
        <v>507</v>
      </c>
      <c r="I1228" s="18" t="s">
        <v>508</v>
      </c>
      <c r="J1228" s="18"/>
      <c r="K1228" s="21">
        <f t="shared" si="57"/>
        <v>32.166666666569654</v>
      </c>
      <c r="L1228" s="19">
        <f t="shared" si="58"/>
        <v>70</v>
      </c>
      <c r="M1228" s="18" t="str">
        <f>IF(I1228&lt;&gt;"Sí","",IF(YEAR(F1228)&lt;&gt;2026,"",INDEX({"Enero","Febrero","Marzo","Abril","Mayo","Junio","Julio","Agosto","Septiembre","Octubre","Noviembre","Diciembre"},MONTH(F1228))))</f>
        <v>Julio</v>
      </c>
      <c r="N1228" s="18" t="str">
        <f t="shared" si="59"/>
        <v>Julio|70</v>
      </c>
    </row>
    <row r="1229" spans="1:14" ht="14.5" x14ac:dyDescent="0.25">
      <c r="A1229" s="19">
        <v>33</v>
      </c>
      <c r="B1229" s="18" t="s">
        <v>40</v>
      </c>
      <c r="C1229" s="18" t="s">
        <v>97</v>
      </c>
      <c r="D1229" s="18" t="s">
        <v>1617</v>
      </c>
      <c r="E1229" s="18" t="s">
        <v>1786</v>
      </c>
      <c r="F1229" s="101">
        <v>46233.529166666667</v>
      </c>
      <c r="G1229" s="101">
        <v>46234.885416666664</v>
      </c>
      <c r="H1229" s="18" t="s">
        <v>507</v>
      </c>
      <c r="I1229" s="18" t="s">
        <v>508</v>
      </c>
      <c r="J1229" s="18"/>
      <c r="K1229" s="21">
        <f t="shared" si="57"/>
        <v>32.549999999930151</v>
      </c>
      <c r="L1229" s="19">
        <f t="shared" si="58"/>
        <v>71</v>
      </c>
      <c r="M1229" s="18" t="str">
        <f>IF(I1229&lt;&gt;"Sí","",IF(YEAR(F1229)&lt;&gt;2026,"",INDEX({"Enero","Febrero","Marzo","Abril","Mayo","Junio","Julio","Agosto","Septiembre","Octubre","Noviembre","Diciembre"},MONTH(F1229))))</f>
        <v>Julio</v>
      </c>
      <c r="N1229" s="18" t="str">
        <f t="shared" si="59"/>
        <v>Julio|71</v>
      </c>
    </row>
    <row r="1230" spans="1:14" ht="14.5" x14ac:dyDescent="0.25">
      <c r="A1230" s="19">
        <v>33</v>
      </c>
      <c r="B1230" s="18" t="s">
        <v>40</v>
      </c>
      <c r="C1230" s="18" t="s">
        <v>97</v>
      </c>
      <c r="D1230" s="18" t="s">
        <v>1617</v>
      </c>
      <c r="E1230" s="18" t="s">
        <v>1787</v>
      </c>
      <c r="F1230" s="101">
        <v>46233.53125</v>
      </c>
      <c r="G1230" s="101">
        <v>46234.861111111109</v>
      </c>
      <c r="H1230" s="18" t="s">
        <v>507</v>
      </c>
      <c r="I1230" s="18" t="s">
        <v>508</v>
      </c>
      <c r="J1230" s="18"/>
      <c r="K1230" s="21">
        <f t="shared" si="57"/>
        <v>31.916666666627862</v>
      </c>
      <c r="L1230" s="19">
        <f t="shared" si="58"/>
        <v>72</v>
      </c>
      <c r="M1230" s="18" t="str">
        <f>IF(I1230&lt;&gt;"Sí","",IF(YEAR(F1230)&lt;&gt;2026,"",INDEX({"Enero","Febrero","Marzo","Abril","Mayo","Junio","Julio","Agosto","Septiembre","Octubre","Noviembre","Diciembre"},MONTH(F1230))))</f>
        <v>Julio</v>
      </c>
      <c r="N1230" s="18" t="str">
        <f t="shared" si="59"/>
        <v>Julio|72</v>
      </c>
    </row>
    <row r="1231" spans="1:14" ht="14.5" x14ac:dyDescent="0.25">
      <c r="A1231" s="19">
        <v>33</v>
      </c>
      <c r="B1231" s="18" t="s">
        <v>40</v>
      </c>
      <c r="C1231" s="18" t="s">
        <v>97</v>
      </c>
      <c r="D1231" s="18" t="s">
        <v>1617</v>
      </c>
      <c r="E1231" s="18" t="s">
        <v>1788</v>
      </c>
      <c r="F1231" s="101">
        <v>46233.532638888886</v>
      </c>
      <c r="G1231" s="101">
        <v>46234.855555555558</v>
      </c>
      <c r="H1231" s="18" t="s">
        <v>507</v>
      </c>
      <c r="I1231" s="18" t="s">
        <v>508</v>
      </c>
      <c r="J1231" s="18"/>
      <c r="K1231" s="21">
        <f t="shared" si="57"/>
        <v>31.750000000116415</v>
      </c>
      <c r="L1231" s="19">
        <f t="shared" si="58"/>
        <v>73</v>
      </c>
      <c r="M1231" s="18" t="str">
        <f>IF(I1231&lt;&gt;"Sí","",IF(YEAR(F1231)&lt;&gt;2026,"",INDEX({"Enero","Febrero","Marzo","Abril","Mayo","Junio","Julio","Agosto","Septiembre","Octubre","Noviembre","Diciembre"},MONTH(F1231))))</f>
        <v>Julio</v>
      </c>
      <c r="N1231" s="18" t="str">
        <f t="shared" si="59"/>
        <v>Julio|73</v>
      </c>
    </row>
    <row r="1232" spans="1:14" ht="14.5" x14ac:dyDescent="0.25">
      <c r="A1232" s="19">
        <v>33</v>
      </c>
      <c r="B1232" s="18" t="s">
        <v>40</v>
      </c>
      <c r="C1232" s="18" t="s">
        <v>97</v>
      </c>
      <c r="D1232" s="18" t="s">
        <v>1617</v>
      </c>
      <c r="E1232" s="18" t="s">
        <v>1789</v>
      </c>
      <c r="F1232" s="101">
        <v>46233.53402777778</v>
      </c>
      <c r="G1232" s="101">
        <v>46234.85833333333</v>
      </c>
      <c r="H1232" s="18" t="s">
        <v>507</v>
      </c>
      <c r="I1232" s="18" t="s">
        <v>508</v>
      </c>
      <c r="J1232" s="18"/>
      <c r="K1232" s="21">
        <f t="shared" si="57"/>
        <v>31.783333333209157</v>
      </c>
      <c r="L1232" s="19">
        <f t="shared" si="58"/>
        <v>74</v>
      </c>
      <c r="M1232" s="18" t="str">
        <f>IF(I1232&lt;&gt;"Sí","",IF(YEAR(F1232)&lt;&gt;2026,"",INDEX({"Enero","Febrero","Marzo","Abril","Mayo","Junio","Julio","Agosto","Septiembre","Octubre","Noviembre","Diciembre"},MONTH(F1232))))</f>
        <v>Julio</v>
      </c>
      <c r="N1232" s="18" t="str">
        <f t="shared" si="59"/>
        <v>Julio|74</v>
      </c>
    </row>
    <row r="1233" spans="1:14" ht="14.5" x14ac:dyDescent="0.25">
      <c r="A1233" s="19">
        <v>33</v>
      </c>
      <c r="B1233" s="18" t="s">
        <v>40</v>
      </c>
      <c r="C1233" s="18" t="s">
        <v>97</v>
      </c>
      <c r="D1233" s="18" t="s">
        <v>1617</v>
      </c>
      <c r="E1233" s="18" t="s">
        <v>1790</v>
      </c>
      <c r="F1233" s="101">
        <v>46233.534722222219</v>
      </c>
      <c r="G1233" s="101">
        <v>46234.854861111111</v>
      </c>
      <c r="H1233" s="18" t="s">
        <v>507</v>
      </c>
      <c r="I1233" s="18" t="s">
        <v>508</v>
      </c>
      <c r="J1233" s="18"/>
      <c r="K1233" s="21">
        <f t="shared" si="57"/>
        <v>31.683333333407063</v>
      </c>
      <c r="L1233" s="19">
        <f t="shared" si="58"/>
        <v>75</v>
      </c>
      <c r="M1233" s="18" t="str">
        <f>IF(I1233&lt;&gt;"Sí","",IF(YEAR(F1233)&lt;&gt;2026,"",INDEX({"Enero","Febrero","Marzo","Abril","Mayo","Junio","Julio","Agosto","Septiembre","Octubre","Noviembre","Diciembre"},MONTH(F1233))))</f>
        <v>Julio</v>
      </c>
      <c r="N1233" s="18" t="str">
        <f t="shared" si="59"/>
        <v>Julio|75</v>
      </c>
    </row>
    <row r="1234" spans="1:14" ht="14.5" x14ac:dyDescent="0.25">
      <c r="A1234" s="19">
        <v>33</v>
      </c>
      <c r="B1234" s="18" t="s">
        <v>40</v>
      </c>
      <c r="C1234" s="18" t="s">
        <v>97</v>
      </c>
      <c r="D1234" s="18" t="s">
        <v>1617</v>
      </c>
      <c r="E1234" s="18" t="s">
        <v>1791</v>
      </c>
      <c r="F1234" s="101">
        <v>46233.543055555558</v>
      </c>
      <c r="G1234" s="101">
        <v>46234.852083333331</v>
      </c>
      <c r="H1234" s="18" t="s">
        <v>507</v>
      </c>
      <c r="I1234" s="18" t="s">
        <v>508</v>
      </c>
      <c r="J1234" s="18"/>
      <c r="K1234" s="21">
        <f t="shared" si="57"/>
        <v>31.416666666569654</v>
      </c>
      <c r="L1234" s="19">
        <f t="shared" si="58"/>
        <v>76</v>
      </c>
      <c r="M1234" s="18" t="str">
        <f>IF(I1234&lt;&gt;"Sí","",IF(YEAR(F1234)&lt;&gt;2026,"",INDEX({"Enero","Febrero","Marzo","Abril","Mayo","Junio","Julio","Agosto","Septiembre","Octubre","Noviembre","Diciembre"},MONTH(F1234))))</f>
        <v>Julio</v>
      </c>
      <c r="N1234" s="18" t="str">
        <f t="shared" si="59"/>
        <v>Julio|76</v>
      </c>
    </row>
    <row r="1235" spans="1:14" ht="14.5" x14ac:dyDescent="0.25">
      <c r="A1235" s="19">
        <v>33</v>
      </c>
      <c r="B1235" s="18" t="s">
        <v>40</v>
      </c>
      <c r="C1235" s="18" t="s">
        <v>97</v>
      </c>
      <c r="D1235" s="18" t="s">
        <v>1617</v>
      </c>
      <c r="E1235" s="18" t="s">
        <v>1792</v>
      </c>
      <c r="F1235" s="101">
        <v>46233.554166666669</v>
      </c>
      <c r="G1235" s="101">
        <v>46234.849305555559</v>
      </c>
      <c r="H1235" s="18" t="s">
        <v>507</v>
      </c>
      <c r="I1235" s="18" t="s">
        <v>508</v>
      </c>
      <c r="J1235" s="18"/>
      <c r="K1235" s="21">
        <f t="shared" si="57"/>
        <v>31.083333333372138</v>
      </c>
      <c r="L1235" s="19">
        <f t="shared" si="58"/>
        <v>77</v>
      </c>
      <c r="M1235" s="18" t="str">
        <f>IF(I1235&lt;&gt;"Sí","",IF(YEAR(F1235)&lt;&gt;2026,"",INDEX({"Enero","Febrero","Marzo","Abril","Mayo","Junio","Julio","Agosto","Septiembre","Octubre","Noviembre","Diciembre"},MONTH(F1235))))</f>
        <v>Julio</v>
      </c>
      <c r="N1235" s="18" t="str">
        <f t="shared" si="59"/>
        <v>Julio|77</v>
      </c>
    </row>
    <row r="1236" spans="1:14" ht="14.5" x14ac:dyDescent="0.25">
      <c r="A1236" s="19">
        <v>33</v>
      </c>
      <c r="B1236" s="18" t="s">
        <v>40</v>
      </c>
      <c r="C1236" s="18" t="s">
        <v>97</v>
      </c>
      <c r="D1236" s="18" t="s">
        <v>1617</v>
      </c>
      <c r="E1236" s="18" t="s">
        <v>1793</v>
      </c>
      <c r="F1236" s="101">
        <v>46233.555555555555</v>
      </c>
      <c r="G1236" s="101">
        <v>46234.847222222219</v>
      </c>
      <c r="H1236" s="18" t="s">
        <v>507</v>
      </c>
      <c r="I1236" s="18" t="s">
        <v>508</v>
      </c>
      <c r="J1236" s="18"/>
      <c r="K1236" s="21">
        <f t="shared" si="57"/>
        <v>30.999999999941792</v>
      </c>
      <c r="L1236" s="19">
        <f t="shared" si="58"/>
        <v>78</v>
      </c>
      <c r="M1236" s="18" t="str">
        <f>IF(I1236&lt;&gt;"Sí","",IF(YEAR(F1236)&lt;&gt;2026,"",INDEX({"Enero","Febrero","Marzo","Abril","Mayo","Junio","Julio","Agosto","Septiembre","Octubre","Noviembre","Diciembre"},MONTH(F1236))))</f>
        <v>Julio</v>
      </c>
      <c r="N1236" s="18" t="str">
        <f t="shared" si="59"/>
        <v>Julio|78</v>
      </c>
    </row>
    <row r="1237" spans="1:14" ht="14.5" x14ac:dyDescent="0.25">
      <c r="A1237" s="19">
        <v>33</v>
      </c>
      <c r="B1237" s="18" t="s">
        <v>40</v>
      </c>
      <c r="C1237" s="18" t="s">
        <v>97</v>
      </c>
      <c r="D1237" s="18" t="s">
        <v>1617</v>
      </c>
      <c r="E1237" s="18" t="s">
        <v>1794</v>
      </c>
      <c r="F1237" s="101">
        <v>46233.556944444441</v>
      </c>
      <c r="G1237" s="101">
        <v>46234.84375</v>
      </c>
      <c r="H1237" s="18" t="s">
        <v>507</v>
      </c>
      <c r="I1237" s="18" t="s">
        <v>508</v>
      </c>
      <c r="J1237" s="18"/>
      <c r="K1237" s="21">
        <f t="shared" si="57"/>
        <v>30.883333333418705</v>
      </c>
      <c r="L1237" s="19">
        <f t="shared" si="58"/>
        <v>79</v>
      </c>
      <c r="M1237" s="18" t="str">
        <f>IF(I1237&lt;&gt;"Sí","",IF(YEAR(F1237)&lt;&gt;2026,"",INDEX({"Enero","Febrero","Marzo","Abril","Mayo","Junio","Julio","Agosto","Septiembre","Octubre","Noviembre","Diciembre"},MONTH(F1237))))</f>
        <v>Julio</v>
      </c>
      <c r="N1237" s="18" t="str">
        <f t="shared" si="59"/>
        <v>Julio|79</v>
      </c>
    </row>
    <row r="1238" spans="1:14" ht="14.5" x14ac:dyDescent="0.25">
      <c r="A1238" s="19">
        <v>33</v>
      </c>
      <c r="B1238" s="18" t="s">
        <v>40</v>
      </c>
      <c r="C1238" s="18" t="s">
        <v>97</v>
      </c>
      <c r="D1238" s="18" t="s">
        <v>1617</v>
      </c>
      <c r="E1238" s="18" t="s">
        <v>1795</v>
      </c>
      <c r="F1238" s="101">
        <v>46233.558333333334</v>
      </c>
      <c r="G1238" s="101">
        <v>46234.793749999997</v>
      </c>
      <c r="H1238" s="18" t="s">
        <v>507</v>
      </c>
      <c r="I1238" s="18" t="s">
        <v>508</v>
      </c>
      <c r="J1238" s="18"/>
      <c r="K1238" s="21">
        <f t="shared" si="57"/>
        <v>29.649999999906868</v>
      </c>
      <c r="L1238" s="19">
        <f t="shared" si="58"/>
        <v>80</v>
      </c>
      <c r="M1238" s="18" t="str">
        <f>IF(I1238&lt;&gt;"Sí","",IF(YEAR(F1238)&lt;&gt;2026,"",INDEX({"Enero","Febrero","Marzo","Abril","Mayo","Junio","Julio","Agosto","Septiembre","Octubre","Noviembre","Diciembre"},MONTH(F1238))))</f>
        <v>Julio</v>
      </c>
      <c r="N1238" s="18" t="str">
        <f t="shared" si="59"/>
        <v>Julio|80</v>
      </c>
    </row>
    <row r="1239" spans="1:14" ht="14.5" x14ac:dyDescent="0.25">
      <c r="A1239" s="19">
        <v>33</v>
      </c>
      <c r="B1239" s="18" t="s">
        <v>40</v>
      </c>
      <c r="C1239" s="18" t="s">
        <v>97</v>
      </c>
      <c r="D1239" s="18" t="s">
        <v>1617</v>
      </c>
      <c r="E1239" s="18" t="s">
        <v>1796</v>
      </c>
      <c r="F1239" s="101">
        <v>46233.559027777781</v>
      </c>
      <c r="G1239" s="101">
        <v>46234.788194444445</v>
      </c>
      <c r="H1239" s="18" t="s">
        <v>507</v>
      </c>
      <c r="I1239" s="18" t="s">
        <v>508</v>
      </c>
      <c r="J1239" s="18"/>
      <c r="K1239" s="21">
        <f t="shared" si="57"/>
        <v>29.499999999941792</v>
      </c>
      <c r="L1239" s="19">
        <f t="shared" si="58"/>
        <v>82</v>
      </c>
      <c r="M1239" s="18" t="str">
        <f>IF(I1239&lt;&gt;"Sí","",IF(YEAR(F1239)&lt;&gt;2026,"",INDEX({"Enero","Febrero","Marzo","Abril","Mayo","Junio","Julio","Agosto","Septiembre","Octubre","Noviembre","Diciembre"},MONTH(F1239))))</f>
        <v>Julio</v>
      </c>
      <c r="N1239" s="18" t="str">
        <f t="shared" si="59"/>
        <v>Julio|82</v>
      </c>
    </row>
    <row r="1240" spans="1:14" ht="14.5" x14ac:dyDescent="0.25">
      <c r="A1240" s="19">
        <v>33</v>
      </c>
      <c r="B1240" s="18" t="s">
        <v>40</v>
      </c>
      <c r="C1240" s="18" t="s">
        <v>97</v>
      </c>
      <c r="D1240" s="18" t="s">
        <v>1617</v>
      </c>
      <c r="E1240" s="18" t="s">
        <v>1797</v>
      </c>
      <c r="F1240" s="101">
        <v>46233.559027777781</v>
      </c>
      <c r="G1240" s="101">
        <v>46234.790972222225</v>
      </c>
      <c r="H1240" s="18" t="s">
        <v>507</v>
      </c>
      <c r="I1240" s="18" t="s">
        <v>508</v>
      </c>
      <c r="J1240" s="18"/>
      <c r="K1240" s="21">
        <f t="shared" si="57"/>
        <v>29.566666666651145</v>
      </c>
      <c r="L1240" s="19">
        <f t="shared" si="58"/>
        <v>82</v>
      </c>
      <c r="M1240" s="18" t="str">
        <f>IF(I1240&lt;&gt;"Sí","",IF(YEAR(F1240)&lt;&gt;2026,"",INDEX({"Enero","Febrero","Marzo","Abril","Mayo","Junio","Julio","Agosto","Septiembre","Octubre","Noviembre","Diciembre"},MONTH(F1240))))</f>
        <v>Julio</v>
      </c>
      <c r="N1240" s="18" t="str">
        <f t="shared" si="59"/>
        <v>Julio|82</v>
      </c>
    </row>
    <row r="1241" spans="1:14" ht="14.5" x14ac:dyDescent="0.25">
      <c r="A1241" s="19">
        <v>33</v>
      </c>
      <c r="B1241" s="18" t="s">
        <v>40</v>
      </c>
      <c r="C1241" s="18" t="s">
        <v>97</v>
      </c>
      <c r="D1241" s="18" t="s">
        <v>1617</v>
      </c>
      <c r="E1241" s="18" t="s">
        <v>1798</v>
      </c>
      <c r="F1241" s="101">
        <v>46233.5625</v>
      </c>
      <c r="G1241" s="101">
        <v>46234.786111111112</v>
      </c>
      <c r="H1241" s="18" t="s">
        <v>507</v>
      </c>
      <c r="I1241" s="18" t="s">
        <v>508</v>
      </c>
      <c r="J1241" s="18"/>
      <c r="K1241" s="21">
        <f t="shared" si="57"/>
        <v>29.366666666697711</v>
      </c>
      <c r="L1241" s="19">
        <f t="shared" si="58"/>
        <v>83</v>
      </c>
      <c r="M1241" s="18" t="str">
        <f>IF(I1241&lt;&gt;"Sí","",IF(YEAR(F1241)&lt;&gt;2026,"",INDEX({"Enero","Febrero","Marzo","Abril","Mayo","Junio","Julio","Agosto","Septiembre","Octubre","Noviembre","Diciembre"},MONTH(F1241))))</f>
        <v>Julio</v>
      </c>
      <c r="N1241" s="18" t="str">
        <f t="shared" si="59"/>
        <v>Julio|83</v>
      </c>
    </row>
    <row r="1242" spans="1:14" ht="14.5" x14ac:dyDescent="0.25">
      <c r="A1242" s="19">
        <v>33</v>
      </c>
      <c r="B1242" s="18" t="s">
        <v>40</v>
      </c>
      <c r="C1242" s="18" t="s">
        <v>97</v>
      </c>
      <c r="D1242" s="18" t="s">
        <v>1617</v>
      </c>
      <c r="E1242" s="18" t="s">
        <v>1799</v>
      </c>
      <c r="F1242" s="101">
        <v>46233.564583333333</v>
      </c>
      <c r="G1242" s="101">
        <v>46234.874305555553</v>
      </c>
      <c r="H1242" s="18" t="s">
        <v>507</v>
      </c>
      <c r="I1242" s="18" t="s">
        <v>508</v>
      </c>
      <c r="J1242" s="18"/>
      <c r="K1242" s="21">
        <f t="shared" si="57"/>
        <v>31.433333333290648</v>
      </c>
      <c r="L1242" s="19">
        <f t="shared" si="58"/>
        <v>84</v>
      </c>
      <c r="M1242" s="18" t="str">
        <f>IF(I1242&lt;&gt;"Sí","",IF(YEAR(F1242)&lt;&gt;2026,"",INDEX({"Enero","Febrero","Marzo","Abril","Mayo","Junio","Julio","Agosto","Septiembre","Octubre","Noviembre","Diciembre"},MONTH(F1242))))</f>
        <v>Julio</v>
      </c>
      <c r="N1242" s="18" t="str">
        <f t="shared" si="59"/>
        <v>Julio|84</v>
      </c>
    </row>
    <row r="1243" spans="1:14" ht="14.5" x14ac:dyDescent="0.25">
      <c r="A1243" s="19">
        <v>33</v>
      </c>
      <c r="B1243" s="18" t="s">
        <v>40</v>
      </c>
      <c r="C1243" s="18" t="s">
        <v>97</v>
      </c>
      <c r="D1243" s="18" t="s">
        <v>1617</v>
      </c>
      <c r="E1243" s="18" t="s">
        <v>1800</v>
      </c>
      <c r="F1243" s="101">
        <v>46233.578472222223</v>
      </c>
      <c r="G1243" s="101">
        <v>46235.114583333336</v>
      </c>
      <c r="H1243" s="18" t="s">
        <v>507</v>
      </c>
      <c r="I1243" s="18" t="s">
        <v>508</v>
      </c>
      <c r="J1243" s="18"/>
      <c r="K1243" s="21">
        <f t="shared" si="57"/>
        <v>36.866666666697711</v>
      </c>
      <c r="L1243" s="19">
        <f t="shared" si="58"/>
        <v>86</v>
      </c>
      <c r="M1243" s="18" t="str">
        <f>IF(I1243&lt;&gt;"Sí","",IF(YEAR(F1243)&lt;&gt;2026,"",INDEX({"Enero","Febrero","Marzo","Abril","Mayo","Junio","Julio","Agosto","Septiembre","Octubre","Noviembre","Diciembre"},MONTH(F1243))))</f>
        <v>Julio</v>
      </c>
      <c r="N1243" s="18" t="str">
        <f t="shared" si="59"/>
        <v>Julio|86</v>
      </c>
    </row>
    <row r="1244" spans="1:14" ht="14.5" x14ac:dyDescent="0.25">
      <c r="A1244" s="19">
        <v>34</v>
      </c>
      <c r="B1244" s="18" t="s">
        <v>41</v>
      </c>
      <c r="C1244" s="18" t="s">
        <v>188</v>
      </c>
      <c r="D1244" s="18" t="s">
        <v>1734</v>
      </c>
      <c r="E1244" s="18" t="s">
        <v>1801</v>
      </c>
      <c r="F1244" s="101">
        <v>46233.578472222223</v>
      </c>
      <c r="G1244" s="101">
        <v>46244.917361111111</v>
      </c>
      <c r="H1244" s="18" t="s">
        <v>507</v>
      </c>
      <c r="I1244" s="18" t="s">
        <v>508</v>
      </c>
      <c r="J1244" s="18"/>
      <c r="K1244" s="21">
        <f t="shared" si="57"/>
        <v>272.13333333330229</v>
      </c>
      <c r="L1244" s="19">
        <f t="shared" si="58"/>
        <v>86</v>
      </c>
      <c r="M1244" s="18" t="str">
        <f>IF(I1244&lt;&gt;"Sí","",IF(YEAR(F1244)&lt;&gt;2026,"",INDEX({"Enero","Febrero","Marzo","Abril","Mayo","Junio","Julio","Agosto","Septiembre","Octubre","Noviembre","Diciembre"},MONTH(F1244))))</f>
        <v>Julio</v>
      </c>
      <c r="N1244" s="18" t="str">
        <f t="shared" si="59"/>
        <v>Julio|86</v>
      </c>
    </row>
    <row r="1245" spans="1:14" ht="14.5" x14ac:dyDescent="0.25">
      <c r="A1245" s="19">
        <v>33</v>
      </c>
      <c r="B1245" s="18" t="s">
        <v>40</v>
      </c>
      <c r="C1245" s="18" t="s">
        <v>97</v>
      </c>
      <c r="D1245" s="18" t="s">
        <v>1617</v>
      </c>
      <c r="E1245" s="18" t="s">
        <v>1802</v>
      </c>
      <c r="F1245" s="101">
        <v>46233.651388888888</v>
      </c>
      <c r="G1245" s="101">
        <v>46235.121527777781</v>
      </c>
      <c r="H1245" s="18" t="s">
        <v>507</v>
      </c>
      <c r="I1245" s="18" t="s">
        <v>508</v>
      </c>
      <c r="J1245" s="18"/>
      <c r="K1245" s="21">
        <f t="shared" si="57"/>
        <v>35.283333333441988</v>
      </c>
      <c r="L1245" s="19">
        <f t="shared" si="58"/>
        <v>89</v>
      </c>
      <c r="M1245" s="18" t="str">
        <f>IF(I1245&lt;&gt;"Sí","",IF(YEAR(F1245)&lt;&gt;2026,"",INDEX({"Enero","Febrero","Marzo","Abril","Mayo","Junio","Julio","Agosto","Septiembre","Octubre","Noviembre","Diciembre"},MONTH(F1245))))</f>
        <v>Julio</v>
      </c>
      <c r="N1245" s="18" t="str">
        <f t="shared" si="59"/>
        <v>Julio|89</v>
      </c>
    </row>
    <row r="1246" spans="1:14" ht="14.5" x14ac:dyDescent="0.25">
      <c r="A1246" s="19">
        <v>33</v>
      </c>
      <c r="B1246" s="18" t="s">
        <v>40</v>
      </c>
      <c r="C1246" s="18" t="s">
        <v>97</v>
      </c>
      <c r="D1246" s="18" t="s">
        <v>1617</v>
      </c>
      <c r="E1246" s="18" t="s">
        <v>1803</v>
      </c>
      <c r="F1246" s="101">
        <v>46233.651388888888</v>
      </c>
      <c r="G1246" s="101">
        <v>46235.121527777781</v>
      </c>
      <c r="H1246" s="18" t="s">
        <v>507</v>
      </c>
      <c r="I1246" s="18" t="s">
        <v>508</v>
      </c>
      <c r="J1246" s="18"/>
      <c r="K1246" s="21">
        <f t="shared" si="57"/>
        <v>35.283333333441988</v>
      </c>
      <c r="L1246" s="19">
        <f t="shared" si="58"/>
        <v>89</v>
      </c>
      <c r="M1246" s="18" t="str">
        <f>IF(I1246&lt;&gt;"Sí","",IF(YEAR(F1246)&lt;&gt;2026,"",INDEX({"Enero","Febrero","Marzo","Abril","Mayo","Junio","Julio","Agosto","Septiembre","Octubre","Noviembre","Diciembre"},MONTH(F1246))))</f>
        <v>Julio</v>
      </c>
      <c r="N1246" s="18" t="str">
        <f t="shared" si="59"/>
        <v>Julio|89</v>
      </c>
    </row>
    <row r="1247" spans="1:14" ht="14.5" x14ac:dyDescent="0.25">
      <c r="A1247" s="19">
        <v>33</v>
      </c>
      <c r="B1247" s="18" t="s">
        <v>40</v>
      </c>
      <c r="C1247" s="18" t="s">
        <v>97</v>
      </c>
      <c r="D1247" s="18" t="s">
        <v>1617</v>
      </c>
      <c r="E1247" s="18" t="s">
        <v>1804</v>
      </c>
      <c r="F1247" s="101">
        <v>46233.651388888888</v>
      </c>
      <c r="G1247" s="101">
        <v>46235.118055555555</v>
      </c>
      <c r="H1247" s="18" t="s">
        <v>507</v>
      </c>
      <c r="I1247" s="18" t="s">
        <v>508</v>
      </c>
      <c r="J1247" s="18"/>
      <c r="K1247" s="21">
        <f t="shared" si="57"/>
        <v>35.200000000011642</v>
      </c>
      <c r="L1247" s="19">
        <f t="shared" si="58"/>
        <v>89</v>
      </c>
      <c r="M1247" s="18" t="str">
        <f>IF(I1247&lt;&gt;"Sí","",IF(YEAR(F1247)&lt;&gt;2026,"",INDEX({"Enero","Febrero","Marzo","Abril","Mayo","Junio","Julio","Agosto","Septiembre","Octubre","Noviembre","Diciembre"},MONTH(F1247))))</f>
        <v>Julio</v>
      </c>
      <c r="N1247" s="18" t="str">
        <f t="shared" si="59"/>
        <v>Julio|89</v>
      </c>
    </row>
    <row r="1248" spans="1:14" ht="14.5" x14ac:dyDescent="0.25">
      <c r="A1248" s="19">
        <v>33</v>
      </c>
      <c r="B1248" s="18" t="s">
        <v>40</v>
      </c>
      <c r="C1248" s="18" t="s">
        <v>97</v>
      </c>
      <c r="D1248" s="18" t="s">
        <v>1617</v>
      </c>
      <c r="E1248" s="18" t="s">
        <v>1805</v>
      </c>
      <c r="F1248" s="101">
        <v>46233.777083333334</v>
      </c>
      <c r="G1248" s="101">
        <v>46235.114583333336</v>
      </c>
      <c r="H1248" s="18" t="s">
        <v>507</v>
      </c>
      <c r="I1248" s="18" t="s">
        <v>508</v>
      </c>
      <c r="J1248" s="18"/>
      <c r="K1248" s="21">
        <f t="shared" si="57"/>
        <v>32.100000000034925</v>
      </c>
      <c r="L1248" s="19">
        <f t="shared" si="58"/>
        <v>91</v>
      </c>
      <c r="M1248" s="18" t="str">
        <f>IF(I1248&lt;&gt;"Sí","",IF(YEAR(F1248)&lt;&gt;2026,"",INDEX({"Enero","Febrero","Marzo","Abril","Mayo","Junio","Julio","Agosto","Septiembre","Octubre","Noviembre","Diciembre"},MONTH(F1248))))</f>
        <v>Julio</v>
      </c>
      <c r="N1248" s="18" t="str">
        <f t="shared" si="59"/>
        <v>Julio|91</v>
      </c>
    </row>
    <row r="1249" spans="1:14" ht="14.5" x14ac:dyDescent="0.25">
      <c r="A1249" s="19">
        <v>33</v>
      </c>
      <c r="B1249" s="18" t="s">
        <v>40</v>
      </c>
      <c r="C1249" s="18" t="s">
        <v>97</v>
      </c>
      <c r="D1249" s="18" t="s">
        <v>1617</v>
      </c>
      <c r="E1249" s="18" t="s">
        <v>1806</v>
      </c>
      <c r="F1249" s="101">
        <v>46233.777083333334</v>
      </c>
      <c r="G1249" s="101">
        <v>46235.114583333336</v>
      </c>
      <c r="H1249" s="18" t="s">
        <v>507</v>
      </c>
      <c r="I1249" s="18" t="s">
        <v>508</v>
      </c>
      <c r="J1249" s="18"/>
      <c r="K1249" s="21">
        <f t="shared" si="57"/>
        <v>32.100000000034925</v>
      </c>
      <c r="L1249" s="19">
        <f t="shared" si="58"/>
        <v>91</v>
      </c>
      <c r="M1249" s="18" t="str">
        <f>IF(I1249&lt;&gt;"Sí","",IF(YEAR(F1249)&lt;&gt;2026,"",INDEX({"Enero","Febrero","Marzo","Abril","Mayo","Junio","Julio","Agosto","Septiembre","Octubre","Noviembre","Diciembre"},MONTH(F1249))))</f>
        <v>Julio</v>
      </c>
      <c r="N1249" s="18" t="str">
        <f t="shared" si="59"/>
        <v>Julio|91</v>
      </c>
    </row>
    <row r="1250" spans="1:14" ht="14.5" x14ac:dyDescent="0.25">
      <c r="A1250" s="19">
        <v>34</v>
      </c>
      <c r="B1250" s="18" t="s">
        <v>41</v>
      </c>
      <c r="C1250" s="18" t="s">
        <v>95</v>
      </c>
      <c r="D1250" s="18" t="s">
        <v>1807</v>
      </c>
      <c r="E1250" s="18" t="s">
        <v>1808</v>
      </c>
      <c r="F1250" s="101">
        <v>46233.818749999999</v>
      </c>
      <c r="G1250" s="101">
        <v>46258.513888888891</v>
      </c>
      <c r="H1250" s="18" t="s">
        <v>507</v>
      </c>
      <c r="I1250" s="18" t="s">
        <v>508</v>
      </c>
      <c r="J1250" s="18"/>
      <c r="K1250" s="21">
        <f t="shared" si="57"/>
        <v>592.68333333340706</v>
      </c>
      <c r="L1250" s="19">
        <f t="shared" si="58"/>
        <v>92</v>
      </c>
      <c r="M1250" s="18" t="str">
        <f>IF(I1250&lt;&gt;"Sí","",IF(YEAR(F1250)&lt;&gt;2026,"",INDEX({"Enero","Febrero","Marzo","Abril","Mayo","Junio","Julio","Agosto","Septiembre","Octubre","Noviembre","Diciembre"},MONTH(F1250))))</f>
        <v>Julio</v>
      </c>
      <c r="N1250" s="18" t="str">
        <f t="shared" si="59"/>
        <v>Julio|92</v>
      </c>
    </row>
    <row r="1251" spans="1:14" ht="14.5" x14ac:dyDescent="0.25">
      <c r="A1251" s="19">
        <v>33</v>
      </c>
      <c r="B1251" s="18" t="s">
        <v>40</v>
      </c>
      <c r="C1251" s="18" t="s">
        <v>97</v>
      </c>
      <c r="D1251" s="18" t="s">
        <v>1617</v>
      </c>
      <c r="E1251" s="18" t="s">
        <v>1809</v>
      </c>
      <c r="F1251" s="101">
        <v>46233.996527777781</v>
      </c>
      <c r="G1251" s="101">
        <v>46234.865972222222</v>
      </c>
      <c r="H1251" s="18" t="s">
        <v>507</v>
      </c>
      <c r="I1251" s="18" t="s">
        <v>508</v>
      </c>
      <c r="J1251" s="18"/>
      <c r="K1251" s="21">
        <f t="shared" si="57"/>
        <v>20.866666666581295</v>
      </c>
      <c r="L1251" s="19">
        <f t="shared" si="58"/>
        <v>93</v>
      </c>
      <c r="M1251" s="18" t="str">
        <f>IF(I1251&lt;&gt;"Sí","",IF(YEAR(F1251)&lt;&gt;2026,"",INDEX({"Enero","Febrero","Marzo","Abril","Mayo","Junio","Julio","Agosto","Septiembre","Octubre","Noviembre","Diciembre"},MONTH(F1251))))</f>
        <v>Julio</v>
      </c>
      <c r="N1251" s="18" t="str">
        <f t="shared" si="59"/>
        <v>Julio|93</v>
      </c>
    </row>
    <row r="1252" spans="1:14" ht="14.5" x14ac:dyDescent="0.25">
      <c r="A1252" s="19">
        <v>33</v>
      </c>
      <c r="B1252" s="18" t="s">
        <v>40</v>
      </c>
      <c r="C1252" s="18" t="s">
        <v>97</v>
      </c>
      <c r="D1252" s="18" t="s">
        <v>1617</v>
      </c>
      <c r="E1252" s="18" t="s">
        <v>1810</v>
      </c>
      <c r="F1252" s="101">
        <v>46233.998611111114</v>
      </c>
      <c r="G1252" s="101">
        <v>46234.863194444442</v>
      </c>
      <c r="H1252" s="18" t="s">
        <v>507</v>
      </c>
      <c r="I1252" s="18" t="s">
        <v>508</v>
      </c>
      <c r="J1252" s="18"/>
      <c r="K1252" s="21">
        <f t="shared" si="57"/>
        <v>20.749999999883585</v>
      </c>
      <c r="L1252" s="19">
        <f t="shared" si="58"/>
        <v>94</v>
      </c>
      <c r="M1252" s="18" t="str">
        <f>IF(I1252&lt;&gt;"Sí","",IF(YEAR(F1252)&lt;&gt;2026,"",INDEX({"Enero","Febrero","Marzo","Abril","Mayo","Junio","Julio","Agosto","Septiembre","Octubre","Noviembre","Diciembre"},MONTH(F1252))))</f>
        <v>Julio</v>
      </c>
      <c r="N1252" s="18" t="str">
        <f t="shared" si="59"/>
        <v>Julio|94</v>
      </c>
    </row>
    <row r="1253" spans="1:14" ht="14.5" x14ac:dyDescent="0.25">
      <c r="A1253" s="19">
        <v>33</v>
      </c>
      <c r="B1253" s="18" t="s">
        <v>40</v>
      </c>
      <c r="C1253" s="18" t="s">
        <v>97</v>
      </c>
      <c r="D1253" s="18" t="s">
        <v>1617</v>
      </c>
      <c r="E1253" s="18" t="s">
        <v>1811</v>
      </c>
      <c r="F1253" s="101">
        <v>46234.000694444447</v>
      </c>
      <c r="G1253" s="101">
        <v>46234.856944444444</v>
      </c>
      <c r="H1253" s="18" t="s">
        <v>507</v>
      </c>
      <c r="I1253" s="18" t="s">
        <v>508</v>
      </c>
      <c r="J1253" s="18"/>
      <c r="K1253" s="21">
        <f t="shared" si="57"/>
        <v>20.549999999930151</v>
      </c>
      <c r="L1253" s="19">
        <f t="shared" si="58"/>
        <v>95</v>
      </c>
      <c r="M1253" s="18" t="str">
        <f>IF(I1253&lt;&gt;"Sí","",IF(YEAR(F1253)&lt;&gt;2026,"",INDEX({"Enero","Febrero","Marzo","Abril","Mayo","Junio","Julio","Agosto","Septiembre","Octubre","Noviembre","Diciembre"},MONTH(F1253))))</f>
        <v>Julio</v>
      </c>
      <c r="N1253" s="18" t="str">
        <f t="shared" si="59"/>
        <v>Julio|95</v>
      </c>
    </row>
    <row r="1254" spans="1:14" ht="14.5" x14ac:dyDescent="0.25">
      <c r="A1254" s="19">
        <v>33</v>
      </c>
      <c r="B1254" s="18" t="s">
        <v>40</v>
      </c>
      <c r="C1254" s="18" t="s">
        <v>97</v>
      </c>
      <c r="D1254" s="18" t="s">
        <v>1617</v>
      </c>
      <c r="E1254" s="18" t="s">
        <v>1812</v>
      </c>
      <c r="F1254" s="101">
        <v>46234.002083333333</v>
      </c>
      <c r="G1254" s="101">
        <v>46234.852777777778</v>
      </c>
      <c r="H1254" s="18" t="s">
        <v>507</v>
      </c>
      <c r="I1254" s="18" t="s">
        <v>508</v>
      </c>
      <c r="J1254" s="18"/>
      <c r="K1254" s="21">
        <f t="shared" si="57"/>
        <v>20.416666666686069</v>
      </c>
      <c r="L1254" s="19">
        <f t="shared" si="58"/>
        <v>96</v>
      </c>
      <c r="M1254" s="18" t="str">
        <f>IF(I1254&lt;&gt;"Sí","",IF(YEAR(F1254)&lt;&gt;2026,"",INDEX({"Enero","Febrero","Marzo","Abril","Mayo","Junio","Julio","Agosto","Septiembre","Octubre","Noviembre","Diciembre"},MONTH(F1254))))</f>
        <v>Julio</v>
      </c>
      <c r="N1254" s="18" t="str">
        <f t="shared" si="59"/>
        <v>Julio|96</v>
      </c>
    </row>
    <row r="1255" spans="1:14" ht="14.5" x14ac:dyDescent="0.25">
      <c r="A1255" s="19">
        <v>33</v>
      </c>
      <c r="B1255" s="18" t="s">
        <v>40</v>
      </c>
      <c r="C1255" s="18" t="s">
        <v>97</v>
      </c>
      <c r="D1255" s="18" t="s">
        <v>1617</v>
      </c>
      <c r="E1255" s="18" t="s">
        <v>1813</v>
      </c>
      <c r="F1255" s="101">
        <v>46234.003472222219</v>
      </c>
      <c r="G1255" s="101">
        <v>46234.851388888892</v>
      </c>
      <c r="H1255" s="18" t="s">
        <v>507</v>
      </c>
      <c r="I1255" s="18" t="s">
        <v>508</v>
      </c>
      <c r="J1255" s="18"/>
      <c r="K1255" s="21">
        <f t="shared" si="57"/>
        <v>20.35000000015134</v>
      </c>
      <c r="L1255" s="19">
        <f t="shared" si="58"/>
        <v>97</v>
      </c>
      <c r="M1255" s="18" t="str">
        <f>IF(I1255&lt;&gt;"Sí","",IF(YEAR(F1255)&lt;&gt;2026,"",INDEX({"Enero","Febrero","Marzo","Abril","Mayo","Junio","Julio","Agosto","Septiembre","Octubre","Noviembre","Diciembre"},MONTH(F1255))))</f>
        <v>Julio</v>
      </c>
      <c r="N1255" s="18" t="str">
        <f t="shared" si="59"/>
        <v>Julio|97</v>
      </c>
    </row>
    <row r="1256" spans="1:14" ht="14.5" x14ac:dyDescent="0.25">
      <c r="A1256" s="19">
        <v>33</v>
      </c>
      <c r="B1256" s="18" t="s">
        <v>40</v>
      </c>
      <c r="C1256" s="18" t="s">
        <v>97</v>
      </c>
      <c r="D1256" s="18" t="s">
        <v>1617</v>
      </c>
      <c r="E1256" s="18" t="s">
        <v>1814</v>
      </c>
      <c r="F1256" s="101">
        <v>46234.006249999999</v>
      </c>
      <c r="G1256" s="101">
        <v>46234.85</v>
      </c>
      <c r="H1256" s="18" t="s">
        <v>507</v>
      </c>
      <c r="I1256" s="18" t="s">
        <v>508</v>
      </c>
      <c r="J1256" s="18"/>
      <c r="K1256" s="21">
        <f t="shared" si="57"/>
        <v>20.25</v>
      </c>
      <c r="L1256" s="19">
        <f t="shared" si="58"/>
        <v>98</v>
      </c>
      <c r="M1256" s="18" t="str">
        <f>IF(I1256&lt;&gt;"Sí","",IF(YEAR(F1256)&lt;&gt;2026,"",INDEX({"Enero","Febrero","Marzo","Abril","Mayo","Junio","Julio","Agosto","Septiembre","Octubre","Noviembre","Diciembre"},MONTH(F1256))))</f>
        <v>Julio</v>
      </c>
      <c r="N1256" s="18" t="str">
        <f t="shared" si="59"/>
        <v>Julio|98</v>
      </c>
    </row>
    <row r="1257" spans="1:14" ht="14.5" x14ac:dyDescent="0.25">
      <c r="A1257" s="19">
        <v>33</v>
      </c>
      <c r="B1257" s="18" t="s">
        <v>40</v>
      </c>
      <c r="C1257" s="18" t="s">
        <v>97</v>
      </c>
      <c r="D1257" s="18" t="s">
        <v>1617</v>
      </c>
      <c r="E1257" s="18" t="s">
        <v>1815</v>
      </c>
      <c r="F1257" s="101">
        <v>46234.007638888892</v>
      </c>
      <c r="G1257" s="101">
        <v>46234.849305555559</v>
      </c>
      <c r="H1257" s="18" t="s">
        <v>507</v>
      </c>
      <c r="I1257" s="18" t="s">
        <v>508</v>
      </c>
      <c r="J1257" s="18"/>
      <c r="K1257" s="21">
        <f t="shared" si="57"/>
        <v>20.200000000011642</v>
      </c>
      <c r="L1257" s="19">
        <f t="shared" si="58"/>
        <v>99</v>
      </c>
      <c r="M1257" s="18" t="str">
        <f>IF(I1257&lt;&gt;"Sí","",IF(YEAR(F1257)&lt;&gt;2026,"",INDEX({"Enero","Febrero","Marzo","Abril","Mayo","Junio","Julio","Agosto","Septiembre","Octubre","Noviembre","Diciembre"},MONTH(F1257))))</f>
        <v>Julio</v>
      </c>
      <c r="N1257" s="18" t="str">
        <f t="shared" si="59"/>
        <v>Julio|99</v>
      </c>
    </row>
    <row r="1258" spans="1:14" ht="14.5" x14ac:dyDescent="0.25">
      <c r="A1258" s="19">
        <v>33</v>
      </c>
      <c r="B1258" s="18" t="s">
        <v>40</v>
      </c>
      <c r="C1258" s="18" t="s">
        <v>97</v>
      </c>
      <c r="D1258" s="18" t="s">
        <v>1617</v>
      </c>
      <c r="E1258" s="18" t="s">
        <v>1816</v>
      </c>
      <c r="F1258" s="101">
        <v>46234.010416666664</v>
      </c>
      <c r="G1258" s="101">
        <v>46234.847222222219</v>
      </c>
      <c r="H1258" s="18" t="s">
        <v>507</v>
      </c>
      <c r="I1258" s="18" t="s">
        <v>508</v>
      </c>
      <c r="J1258" s="18"/>
      <c r="K1258" s="21">
        <f t="shared" si="57"/>
        <v>20.083333333313931</v>
      </c>
      <c r="L1258" s="19">
        <f t="shared" si="58"/>
        <v>100</v>
      </c>
      <c r="M1258" s="18" t="str">
        <f>IF(I1258&lt;&gt;"Sí","",IF(YEAR(F1258)&lt;&gt;2026,"",INDEX({"Enero","Febrero","Marzo","Abril","Mayo","Junio","Julio","Agosto","Septiembre","Octubre","Noviembre","Diciembre"},MONTH(F1258))))</f>
        <v>Julio</v>
      </c>
      <c r="N1258" s="18" t="str">
        <f t="shared" si="59"/>
        <v>Julio|100</v>
      </c>
    </row>
    <row r="1259" spans="1:14" ht="14.5" x14ac:dyDescent="0.25">
      <c r="A1259" s="19">
        <v>33</v>
      </c>
      <c r="B1259" s="18" t="s">
        <v>40</v>
      </c>
      <c r="C1259" s="18" t="s">
        <v>97</v>
      </c>
      <c r="D1259" s="18" t="s">
        <v>1617</v>
      </c>
      <c r="E1259" s="18" t="s">
        <v>1817</v>
      </c>
      <c r="F1259" s="101">
        <v>46234.012499999997</v>
      </c>
      <c r="G1259" s="101">
        <v>46234.845833333333</v>
      </c>
      <c r="H1259" s="18" t="s">
        <v>507</v>
      </c>
      <c r="I1259" s="18" t="s">
        <v>508</v>
      </c>
      <c r="J1259" s="18"/>
      <c r="K1259" s="21">
        <f t="shared" si="57"/>
        <v>20.000000000058208</v>
      </c>
      <c r="L1259" s="19">
        <f t="shared" si="58"/>
        <v>101</v>
      </c>
      <c r="M1259" s="18" t="str">
        <f>IF(I1259&lt;&gt;"Sí","",IF(YEAR(F1259)&lt;&gt;2026,"",INDEX({"Enero","Febrero","Marzo","Abril","Mayo","Junio","Julio","Agosto","Septiembre","Octubre","Noviembre","Diciembre"},MONTH(F1259))))</f>
        <v>Julio</v>
      </c>
      <c r="N1259" s="18" t="str">
        <f t="shared" si="59"/>
        <v>Julio|101</v>
      </c>
    </row>
    <row r="1260" spans="1:14" ht="14.5" x14ac:dyDescent="0.25">
      <c r="A1260" s="19">
        <v>33</v>
      </c>
      <c r="B1260" s="18" t="s">
        <v>40</v>
      </c>
      <c r="C1260" s="18" t="s">
        <v>97</v>
      </c>
      <c r="D1260" s="18" t="s">
        <v>1617</v>
      </c>
      <c r="E1260" s="18" t="s">
        <v>1818</v>
      </c>
      <c r="F1260" s="101">
        <v>46234.013888888891</v>
      </c>
      <c r="G1260" s="101">
        <v>46234.844444444447</v>
      </c>
      <c r="H1260" s="18" t="s">
        <v>507</v>
      </c>
      <c r="I1260" s="18" t="s">
        <v>508</v>
      </c>
      <c r="J1260" s="18"/>
      <c r="K1260" s="21">
        <f t="shared" si="57"/>
        <v>19.933333333348855</v>
      </c>
      <c r="L1260" s="19">
        <f t="shared" si="58"/>
        <v>102</v>
      </c>
      <c r="M1260" s="18" t="str">
        <f>IF(I1260&lt;&gt;"Sí","",IF(YEAR(F1260)&lt;&gt;2026,"",INDEX({"Enero","Febrero","Marzo","Abril","Mayo","Junio","Julio","Agosto","Septiembre","Octubre","Noviembre","Diciembre"},MONTH(F1260))))</f>
        <v>Julio</v>
      </c>
      <c r="N1260" s="18" t="str">
        <f t="shared" si="59"/>
        <v>Julio|102</v>
      </c>
    </row>
    <row r="1261" spans="1:14" ht="14.5" x14ac:dyDescent="0.25">
      <c r="A1261" s="19">
        <v>33</v>
      </c>
      <c r="B1261" s="18" t="s">
        <v>40</v>
      </c>
      <c r="C1261" s="18" t="s">
        <v>97</v>
      </c>
      <c r="D1261" s="18" t="s">
        <v>1617</v>
      </c>
      <c r="E1261" s="18" t="s">
        <v>1819</v>
      </c>
      <c r="F1261" s="101">
        <v>46234.015972222223</v>
      </c>
      <c r="G1261" s="101">
        <v>46234.843055555553</v>
      </c>
      <c r="H1261" s="18" t="s">
        <v>507</v>
      </c>
      <c r="I1261" s="18" t="s">
        <v>508</v>
      </c>
      <c r="J1261" s="18"/>
      <c r="K1261" s="21">
        <f t="shared" si="57"/>
        <v>19.849999999918509</v>
      </c>
      <c r="L1261" s="19">
        <f t="shared" si="58"/>
        <v>103</v>
      </c>
      <c r="M1261" s="18" t="str">
        <f>IF(I1261&lt;&gt;"Sí","",IF(YEAR(F1261)&lt;&gt;2026,"",INDEX({"Enero","Febrero","Marzo","Abril","Mayo","Junio","Julio","Agosto","Septiembre","Octubre","Noviembre","Diciembre"},MONTH(F1261))))</f>
        <v>Julio</v>
      </c>
      <c r="N1261" s="18" t="str">
        <f t="shared" si="59"/>
        <v>Julio|103</v>
      </c>
    </row>
    <row r="1262" spans="1:14" ht="14.5" x14ac:dyDescent="0.25">
      <c r="A1262" s="19">
        <v>33</v>
      </c>
      <c r="B1262" s="18" t="s">
        <v>40</v>
      </c>
      <c r="C1262" s="18" t="s">
        <v>97</v>
      </c>
      <c r="D1262" s="18" t="s">
        <v>1617</v>
      </c>
      <c r="E1262" s="18" t="s">
        <v>1820</v>
      </c>
      <c r="F1262" s="101">
        <v>46234.017361111109</v>
      </c>
      <c r="G1262" s="101">
        <v>46234.841666666667</v>
      </c>
      <c r="H1262" s="18" t="s">
        <v>507</v>
      </c>
      <c r="I1262" s="18" t="s">
        <v>508</v>
      </c>
      <c r="J1262" s="18"/>
      <c r="K1262" s="21">
        <f t="shared" si="57"/>
        <v>19.78333333338378</v>
      </c>
      <c r="L1262" s="19">
        <f t="shared" si="58"/>
        <v>104</v>
      </c>
      <c r="M1262" s="18" t="str">
        <f>IF(I1262&lt;&gt;"Sí","",IF(YEAR(F1262)&lt;&gt;2026,"",INDEX({"Enero","Febrero","Marzo","Abril","Mayo","Junio","Julio","Agosto","Septiembre","Octubre","Noviembre","Diciembre"},MONTH(F1262))))</f>
        <v>Julio</v>
      </c>
      <c r="N1262" s="18" t="str">
        <f t="shared" si="59"/>
        <v>Julio|104</v>
      </c>
    </row>
    <row r="1263" spans="1:14" ht="14.5" x14ac:dyDescent="0.25">
      <c r="A1263" s="19">
        <v>33</v>
      </c>
      <c r="B1263" s="18" t="s">
        <v>40</v>
      </c>
      <c r="C1263" s="18" t="s">
        <v>97</v>
      </c>
      <c r="D1263" s="18" t="s">
        <v>1617</v>
      </c>
      <c r="E1263" s="18" t="s">
        <v>1821</v>
      </c>
      <c r="F1263" s="101">
        <v>46234.018750000003</v>
      </c>
      <c r="G1263" s="101">
        <v>46234.838194444441</v>
      </c>
      <c r="H1263" s="18" t="s">
        <v>507</v>
      </c>
      <c r="I1263" s="18" t="s">
        <v>508</v>
      </c>
      <c r="J1263" s="18"/>
      <c r="K1263" s="21">
        <f t="shared" si="57"/>
        <v>19.666666666511446</v>
      </c>
      <c r="L1263" s="19">
        <f t="shared" si="58"/>
        <v>105</v>
      </c>
      <c r="M1263" s="18" t="str">
        <f>IF(I1263&lt;&gt;"Sí","",IF(YEAR(F1263)&lt;&gt;2026,"",INDEX({"Enero","Febrero","Marzo","Abril","Mayo","Junio","Julio","Agosto","Septiembre","Octubre","Noviembre","Diciembre"},MONTH(F1263))))</f>
        <v>Julio</v>
      </c>
      <c r="N1263" s="18" t="str">
        <f t="shared" si="59"/>
        <v>Julio|105</v>
      </c>
    </row>
    <row r="1264" spans="1:14" ht="14.5" x14ac:dyDescent="0.25">
      <c r="A1264" s="19">
        <v>33</v>
      </c>
      <c r="B1264" s="18" t="s">
        <v>40</v>
      </c>
      <c r="C1264" s="18" t="s">
        <v>97</v>
      </c>
      <c r="D1264" s="18" t="s">
        <v>1617</v>
      </c>
      <c r="E1264" s="18" t="s">
        <v>1822</v>
      </c>
      <c r="F1264" s="101">
        <v>46234.020138888889</v>
      </c>
      <c r="G1264" s="101">
        <v>46234.836805555555</v>
      </c>
      <c r="H1264" s="18" t="s">
        <v>507</v>
      </c>
      <c r="I1264" s="18" t="s">
        <v>508</v>
      </c>
      <c r="J1264" s="18"/>
      <c r="K1264" s="21">
        <f t="shared" si="57"/>
        <v>19.599999999976717</v>
      </c>
      <c r="L1264" s="19">
        <f t="shared" si="58"/>
        <v>106</v>
      </c>
      <c r="M1264" s="18" t="str">
        <f>IF(I1264&lt;&gt;"Sí","",IF(YEAR(F1264)&lt;&gt;2026,"",INDEX({"Enero","Febrero","Marzo","Abril","Mayo","Junio","Julio","Agosto","Septiembre","Octubre","Noviembre","Diciembre"},MONTH(F1264))))</f>
        <v>Julio</v>
      </c>
      <c r="N1264" s="18" t="str">
        <f t="shared" si="59"/>
        <v>Julio|106</v>
      </c>
    </row>
    <row r="1265" spans="1:14" ht="14.5" x14ac:dyDescent="0.25">
      <c r="A1265" s="19">
        <v>33</v>
      </c>
      <c r="B1265" s="18" t="s">
        <v>40</v>
      </c>
      <c r="C1265" s="18" t="s">
        <v>97</v>
      </c>
      <c r="D1265" s="18" t="s">
        <v>1617</v>
      </c>
      <c r="E1265" s="18" t="s">
        <v>1823</v>
      </c>
      <c r="F1265" s="101">
        <v>46234.020833333336</v>
      </c>
      <c r="G1265" s="101">
        <v>46234.805555555555</v>
      </c>
      <c r="H1265" s="18" t="s">
        <v>507</v>
      </c>
      <c r="I1265" s="18" t="s">
        <v>508</v>
      </c>
      <c r="J1265" s="18"/>
      <c r="K1265" s="21">
        <f t="shared" si="57"/>
        <v>18.833333333255723</v>
      </c>
      <c r="L1265" s="19">
        <f t="shared" si="58"/>
        <v>107</v>
      </c>
      <c r="M1265" s="18" t="str">
        <f>IF(I1265&lt;&gt;"Sí","",IF(YEAR(F1265)&lt;&gt;2026,"",INDEX({"Enero","Febrero","Marzo","Abril","Mayo","Junio","Julio","Agosto","Septiembre","Octubre","Noviembre","Diciembre"},MONTH(F1265))))</f>
        <v>Julio</v>
      </c>
      <c r="N1265" s="18" t="str">
        <f t="shared" si="59"/>
        <v>Julio|107</v>
      </c>
    </row>
    <row r="1266" spans="1:14" ht="14.5" x14ac:dyDescent="0.25">
      <c r="A1266" s="19">
        <v>33</v>
      </c>
      <c r="B1266" s="18" t="s">
        <v>40</v>
      </c>
      <c r="C1266" s="18" t="s">
        <v>97</v>
      </c>
      <c r="D1266" s="18" t="s">
        <v>1617</v>
      </c>
      <c r="E1266" s="18" t="s">
        <v>1824</v>
      </c>
      <c r="F1266" s="101">
        <v>46234.024305555555</v>
      </c>
      <c r="G1266" s="101">
        <v>46234.800694444442</v>
      </c>
      <c r="H1266" s="18" t="s">
        <v>507</v>
      </c>
      <c r="I1266" s="18" t="s">
        <v>508</v>
      </c>
      <c r="J1266" s="18"/>
      <c r="K1266" s="21">
        <f t="shared" si="57"/>
        <v>18.633333333302289</v>
      </c>
      <c r="L1266" s="19">
        <f t="shared" si="58"/>
        <v>108</v>
      </c>
      <c r="M1266" s="18" t="str">
        <f>IF(I1266&lt;&gt;"Sí","",IF(YEAR(F1266)&lt;&gt;2026,"",INDEX({"Enero","Febrero","Marzo","Abril","Mayo","Junio","Julio","Agosto","Septiembre","Octubre","Noviembre","Diciembre"},MONTH(F1266))))</f>
        <v>Julio</v>
      </c>
      <c r="N1266" s="18" t="str">
        <f t="shared" si="59"/>
        <v>Julio|108</v>
      </c>
    </row>
    <row r="1267" spans="1:14" ht="14.5" x14ac:dyDescent="0.25">
      <c r="A1267" s="19">
        <v>33</v>
      </c>
      <c r="B1267" s="18" t="s">
        <v>40</v>
      </c>
      <c r="C1267" s="18" t="s">
        <v>97</v>
      </c>
      <c r="D1267" s="18" t="s">
        <v>1617</v>
      </c>
      <c r="E1267" s="18" t="s">
        <v>1825</v>
      </c>
      <c r="F1267" s="101">
        <v>46234.027083333334</v>
      </c>
      <c r="G1267" s="101">
        <v>46234.798611111109</v>
      </c>
      <c r="H1267" s="18" t="s">
        <v>507</v>
      </c>
      <c r="I1267" s="18" t="s">
        <v>508</v>
      </c>
      <c r="J1267" s="18"/>
      <c r="K1267" s="21">
        <f t="shared" si="57"/>
        <v>18.516666666604578</v>
      </c>
      <c r="L1267" s="19">
        <f t="shared" si="58"/>
        <v>109</v>
      </c>
      <c r="M1267" s="18" t="str">
        <f>IF(I1267&lt;&gt;"Sí","",IF(YEAR(F1267)&lt;&gt;2026,"",INDEX({"Enero","Febrero","Marzo","Abril","Mayo","Junio","Julio","Agosto","Septiembre","Octubre","Noviembre","Diciembre"},MONTH(F1267))))</f>
        <v>Julio</v>
      </c>
      <c r="N1267" s="18" t="str">
        <f t="shared" si="59"/>
        <v>Julio|109</v>
      </c>
    </row>
    <row r="1268" spans="1:14" ht="14.5" x14ac:dyDescent="0.25">
      <c r="A1268" s="19">
        <v>33</v>
      </c>
      <c r="B1268" s="18" t="s">
        <v>40</v>
      </c>
      <c r="C1268" s="18" t="s">
        <v>97</v>
      </c>
      <c r="D1268" s="18" t="s">
        <v>1617</v>
      </c>
      <c r="E1268" s="18" t="s">
        <v>1826</v>
      </c>
      <c r="F1268" s="101">
        <v>46234.029166666667</v>
      </c>
      <c r="G1268" s="101">
        <v>46234.79583333333</v>
      </c>
      <c r="H1268" s="18" t="s">
        <v>507</v>
      </c>
      <c r="I1268" s="18" t="s">
        <v>508</v>
      </c>
      <c r="J1268" s="18"/>
      <c r="K1268" s="21">
        <f t="shared" si="57"/>
        <v>18.399999999906868</v>
      </c>
      <c r="L1268" s="19">
        <f t="shared" si="58"/>
        <v>110</v>
      </c>
      <c r="M1268" s="18" t="str">
        <f>IF(I1268&lt;&gt;"Sí","",IF(YEAR(F1268)&lt;&gt;2026,"",INDEX({"Enero","Febrero","Marzo","Abril","Mayo","Junio","Julio","Agosto","Septiembre","Octubre","Noviembre","Diciembre"},MONTH(F1268))))</f>
        <v>Julio</v>
      </c>
      <c r="N1268" s="18" t="str">
        <f t="shared" si="59"/>
        <v>Julio|110</v>
      </c>
    </row>
    <row r="1269" spans="1:14" ht="14.5" x14ac:dyDescent="0.25">
      <c r="A1269" s="19">
        <v>33</v>
      </c>
      <c r="B1269" s="18" t="s">
        <v>40</v>
      </c>
      <c r="C1269" s="18" t="s">
        <v>97</v>
      </c>
      <c r="D1269" s="18" t="s">
        <v>1617</v>
      </c>
      <c r="E1269" s="18" t="s">
        <v>1827</v>
      </c>
      <c r="F1269" s="101">
        <v>46234.029861111114</v>
      </c>
      <c r="G1269" s="101">
        <v>46234.795138888891</v>
      </c>
      <c r="H1269" s="18" t="s">
        <v>507</v>
      </c>
      <c r="I1269" s="18" t="s">
        <v>508</v>
      </c>
      <c r="J1269" s="18"/>
      <c r="K1269" s="21">
        <f t="shared" si="57"/>
        <v>18.366666666639503</v>
      </c>
      <c r="L1269" s="19">
        <f t="shared" si="58"/>
        <v>111</v>
      </c>
      <c r="M1269" s="18" t="str">
        <f>IF(I1269&lt;&gt;"Sí","",IF(YEAR(F1269)&lt;&gt;2026,"",INDEX({"Enero","Febrero","Marzo","Abril","Mayo","Junio","Julio","Agosto","Septiembre","Octubre","Noviembre","Diciembre"},MONTH(F1269))))</f>
        <v>Julio</v>
      </c>
      <c r="N1269" s="18" t="str">
        <f t="shared" si="59"/>
        <v>Julio|111</v>
      </c>
    </row>
    <row r="1270" spans="1:14" ht="14.5" x14ac:dyDescent="0.25">
      <c r="A1270" s="19">
        <v>33</v>
      </c>
      <c r="B1270" s="18" t="s">
        <v>40</v>
      </c>
      <c r="C1270" s="18" t="s">
        <v>97</v>
      </c>
      <c r="D1270" s="18" t="s">
        <v>1617</v>
      </c>
      <c r="E1270" s="18" t="s">
        <v>1828</v>
      </c>
      <c r="F1270" s="101">
        <v>46234.031944444447</v>
      </c>
      <c r="G1270" s="101">
        <v>46234.791666666664</v>
      </c>
      <c r="H1270" s="18" t="s">
        <v>507</v>
      </c>
      <c r="I1270" s="18" t="s">
        <v>508</v>
      </c>
      <c r="J1270" s="18"/>
      <c r="K1270" s="21">
        <f t="shared" si="57"/>
        <v>18.233333333220799</v>
      </c>
      <c r="L1270" s="19">
        <f t="shared" si="58"/>
        <v>112</v>
      </c>
      <c r="M1270" s="18" t="str">
        <f>IF(I1270&lt;&gt;"Sí","",IF(YEAR(F1270)&lt;&gt;2026,"",INDEX({"Enero","Febrero","Marzo","Abril","Mayo","Junio","Julio","Agosto","Septiembre","Octubre","Noviembre","Diciembre"},MONTH(F1270))))</f>
        <v>Julio</v>
      </c>
      <c r="N1270" s="18" t="str">
        <f t="shared" si="59"/>
        <v>Julio|112</v>
      </c>
    </row>
    <row r="1271" spans="1:14" ht="14.5" x14ac:dyDescent="0.25">
      <c r="A1271" s="19">
        <v>33</v>
      </c>
      <c r="B1271" s="18" t="s">
        <v>40</v>
      </c>
      <c r="C1271" s="18" t="s">
        <v>97</v>
      </c>
      <c r="D1271" s="18" t="s">
        <v>1617</v>
      </c>
      <c r="E1271" s="18" t="s">
        <v>1829</v>
      </c>
      <c r="F1271" s="101">
        <v>46234.034722222219</v>
      </c>
      <c r="G1271" s="101">
        <v>46234.787499999999</v>
      </c>
      <c r="H1271" s="18" t="s">
        <v>507</v>
      </c>
      <c r="I1271" s="18" t="s">
        <v>508</v>
      </c>
      <c r="J1271" s="18"/>
      <c r="K1271" s="21">
        <f t="shared" si="57"/>
        <v>18.066666666709352</v>
      </c>
      <c r="L1271" s="19">
        <f t="shared" si="58"/>
        <v>113</v>
      </c>
      <c r="M1271" s="18" t="str">
        <f>IF(I1271&lt;&gt;"Sí","",IF(YEAR(F1271)&lt;&gt;2026,"",INDEX({"Enero","Febrero","Marzo","Abril","Mayo","Junio","Julio","Agosto","Septiembre","Octubre","Noviembre","Diciembre"},MONTH(F1271))))</f>
        <v>Julio</v>
      </c>
      <c r="N1271" s="18" t="str">
        <f t="shared" si="59"/>
        <v>Julio|113</v>
      </c>
    </row>
    <row r="1272" spans="1:14" ht="14.5" x14ac:dyDescent="0.25">
      <c r="A1272" s="19">
        <v>33</v>
      </c>
      <c r="B1272" s="18" t="s">
        <v>40</v>
      </c>
      <c r="C1272" s="18" t="s">
        <v>97</v>
      </c>
      <c r="D1272" s="18" t="s">
        <v>1617</v>
      </c>
      <c r="E1272" s="18" t="s">
        <v>1830</v>
      </c>
      <c r="F1272" s="101">
        <v>46234.035416666666</v>
      </c>
      <c r="G1272" s="101">
        <v>46234.786111111112</v>
      </c>
      <c r="H1272" s="18" t="s">
        <v>507</v>
      </c>
      <c r="I1272" s="18" t="s">
        <v>508</v>
      </c>
      <c r="J1272" s="18"/>
      <c r="K1272" s="21">
        <f t="shared" si="57"/>
        <v>18.016666666720994</v>
      </c>
      <c r="L1272" s="19">
        <f t="shared" si="58"/>
        <v>114</v>
      </c>
      <c r="M1272" s="18" t="str">
        <f>IF(I1272&lt;&gt;"Sí","",IF(YEAR(F1272)&lt;&gt;2026,"",INDEX({"Enero","Febrero","Marzo","Abril","Mayo","Junio","Julio","Agosto","Septiembre","Octubre","Noviembre","Diciembre"},MONTH(F1272))))</f>
        <v>Julio</v>
      </c>
      <c r="N1272" s="18" t="str">
        <f t="shared" si="59"/>
        <v>Julio|114</v>
      </c>
    </row>
    <row r="1273" spans="1:14" ht="14.5" x14ac:dyDescent="0.25">
      <c r="A1273" s="19">
        <v>33</v>
      </c>
      <c r="B1273" s="18" t="s">
        <v>40</v>
      </c>
      <c r="C1273" s="18" t="s">
        <v>97</v>
      </c>
      <c r="D1273" s="18" t="s">
        <v>1617</v>
      </c>
      <c r="E1273" s="18" t="s">
        <v>1831</v>
      </c>
      <c r="F1273" s="101">
        <v>46234.036111111112</v>
      </c>
      <c r="G1273" s="101">
        <v>46234.78402777778</v>
      </c>
      <c r="H1273" s="18" t="s">
        <v>507</v>
      </c>
      <c r="I1273" s="18" t="s">
        <v>508</v>
      </c>
      <c r="J1273" s="18"/>
      <c r="K1273" s="21">
        <f t="shared" si="57"/>
        <v>17.950000000011642</v>
      </c>
      <c r="L1273" s="19">
        <f t="shared" si="58"/>
        <v>115</v>
      </c>
      <c r="M1273" s="18" t="str">
        <f>IF(I1273&lt;&gt;"Sí","",IF(YEAR(F1273)&lt;&gt;2026,"",INDEX({"Enero","Febrero","Marzo","Abril","Mayo","Junio","Julio","Agosto","Septiembre","Octubre","Noviembre","Diciembre"},MONTH(F1273))))</f>
        <v>Julio</v>
      </c>
      <c r="N1273" s="18" t="str">
        <f t="shared" si="59"/>
        <v>Julio|115</v>
      </c>
    </row>
    <row r="1274" spans="1:14" ht="14.5" x14ac:dyDescent="0.25">
      <c r="A1274" s="19">
        <v>33</v>
      </c>
      <c r="B1274" s="18" t="s">
        <v>40</v>
      </c>
      <c r="C1274" s="18" t="s">
        <v>97</v>
      </c>
      <c r="D1274" s="18" t="s">
        <v>1617</v>
      </c>
      <c r="E1274" s="18" t="s">
        <v>1832</v>
      </c>
      <c r="F1274" s="101">
        <v>46234.038194444445</v>
      </c>
      <c r="G1274" s="101">
        <v>46234.781944444447</v>
      </c>
      <c r="H1274" s="18" t="s">
        <v>507</v>
      </c>
      <c r="I1274" s="18" t="s">
        <v>508</v>
      </c>
      <c r="J1274" s="18"/>
      <c r="K1274" s="21">
        <f t="shared" si="57"/>
        <v>17.850000000034925</v>
      </c>
      <c r="L1274" s="19">
        <f t="shared" si="58"/>
        <v>116</v>
      </c>
      <c r="M1274" s="18" t="str">
        <f>IF(I1274&lt;&gt;"Sí","",IF(YEAR(F1274)&lt;&gt;2026,"",INDEX({"Enero","Febrero","Marzo","Abril","Mayo","Junio","Julio","Agosto","Septiembre","Octubre","Noviembre","Diciembre"},MONTH(F1274))))</f>
        <v>Julio</v>
      </c>
      <c r="N1274" s="18" t="str">
        <f t="shared" si="59"/>
        <v>Julio|116</v>
      </c>
    </row>
    <row r="1275" spans="1:14" ht="14.5" x14ac:dyDescent="0.25">
      <c r="A1275" s="19">
        <v>33</v>
      </c>
      <c r="B1275" s="18" t="s">
        <v>40</v>
      </c>
      <c r="C1275" s="18" t="s">
        <v>97</v>
      </c>
      <c r="D1275" s="18" t="s">
        <v>1617</v>
      </c>
      <c r="E1275" s="18" t="s">
        <v>1833</v>
      </c>
      <c r="F1275" s="101">
        <v>46234.040972222225</v>
      </c>
      <c r="G1275" s="101">
        <v>46234.779861111114</v>
      </c>
      <c r="H1275" s="18" t="s">
        <v>507</v>
      </c>
      <c r="I1275" s="18" t="s">
        <v>508</v>
      </c>
      <c r="J1275" s="18"/>
      <c r="K1275" s="21">
        <f t="shared" si="57"/>
        <v>17.733333333337214</v>
      </c>
      <c r="L1275" s="19">
        <f t="shared" si="58"/>
        <v>117</v>
      </c>
      <c r="M1275" s="18" t="str">
        <f>IF(I1275&lt;&gt;"Sí","",IF(YEAR(F1275)&lt;&gt;2026,"",INDEX({"Enero","Febrero","Marzo","Abril","Mayo","Junio","Julio","Agosto","Septiembre","Octubre","Noviembre","Diciembre"},MONTH(F1275))))</f>
        <v>Julio</v>
      </c>
      <c r="N1275" s="18" t="str">
        <f t="shared" si="59"/>
        <v>Julio|117</v>
      </c>
    </row>
    <row r="1276" spans="1:14" ht="14.5" x14ac:dyDescent="0.25">
      <c r="A1276" s="19">
        <v>33</v>
      </c>
      <c r="B1276" s="18" t="s">
        <v>40</v>
      </c>
      <c r="C1276" s="18" t="s">
        <v>97</v>
      </c>
      <c r="D1276" s="18" t="s">
        <v>1617</v>
      </c>
      <c r="E1276" s="18" t="s">
        <v>1834</v>
      </c>
      <c r="F1276" s="101">
        <v>46234.043055555558</v>
      </c>
      <c r="G1276" s="101">
        <v>46234.77847222222</v>
      </c>
      <c r="H1276" s="18" t="s">
        <v>507</v>
      </c>
      <c r="I1276" s="18" t="s">
        <v>508</v>
      </c>
      <c r="J1276" s="18"/>
      <c r="K1276" s="21">
        <f t="shared" si="57"/>
        <v>17.649999999906868</v>
      </c>
      <c r="L1276" s="19">
        <f t="shared" si="58"/>
        <v>118</v>
      </c>
      <c r="M1276" s="18" t="str">
        <f>IF(I1276&lt;&gt;"Sí","",IF(YEAR(F1276)&lt;&gt;2026,"",INDEX({"Enero","Febrero","Marzo","Abril","Mayo","Junio","Julio","Agosto","Septiembre","Octubre","Noviembre","Diciembre"},MONTH(F1276))))</f>
        <v>Julio</v>
      </c>
      <c r="N1276" s="18" t="str">
        <f t="shared" si="59"/>
        <v>Julio|118</v>
      </c>
    </row>
    <row r="1277" spans="1:14" ht="14.5" x14ac:dyDescent="0.25">
      <c r="A1277" s="19">
        <v>33</v>
      </c>
      <c r="B1277" s="18" t="s">
        <v>40</v>
      </c>
      <c r="C1277" s="18" t="s">
        <v>97</v>
      </c>
      <c r="D1277" s="18" t="s">
        <v>1617</v>
      </c>
      <c r="E1277" s="18" t="s">
        <v>1835</v>
      </c>
      <c r="F1277" s="101">
        <v>46234.047222222223</v>
      </c>
      <c r="G1277" s="101">
        <v>46235.038194444445</v>
      </c>
      <c r="H1277" s="18" t="s">
        <v>507</v>
      </c>
      <c r="I1277" s="18" t="s">
        <v>508</v>
      </c>
      <c r="J1277" s="18"/>
      <c r="K1277" s="21">
        <f t="shared" si="57"/>
        <v>23.783333333325572</v>
      </c>
      <c r="L1277" s="19">
        <f t="shared" si="58"/>
        <v>119</v>
      </c>
      <c r="M1277" s="18" t="str">
        <f>IF(I1277&lt;&gt;"Sí","",IF(YEAR(F1277)&lt;&gt;2026,"",INDEX({"Enero","Febrero","Marzo","Abril","Mayo","Junio","Julio","Agosto","Septiembre","Octubre","Noviembre","Diciembre"},MONTH(F1277))))</f>
        <v>Julio</v>
      </c>
      <c r="N1277" s="18" t="str">
        <f t="shared" si="59"/>
        <v>Julio|119</v>
      </c>
    </row>
    <row r="1278" spans="1:14" ht="14.5" x14ac:dyDescent="0.25">
      <c r="A1278" s="19">
        <v>33</v>
      </c>
      <c r="B1278" s="18" t="s">
        <v>40</v>
      </c>
      <c r="C1278" s="18" t="s">
        <v>97</v>
      </c>
      <c r="D1278" s="18" t="s">
        <v>1617</v>
      </c>
      <c r="E1278" s="18" t="s">
        <v>1836</v>
      </c>
      <c r="F1278" s="101">
        <v>46234.05</v>
      </c>
      <c r="G1278" s="101">
        <v>46235.038194444445</v>
      </c>
      <c r="H1278" s="18" t="s">
        <v>507</v>
      </c>
      <c r="I1278" s="18" t="s">
        <v>508</v>
      </c>
      <c r="J1278" s="18"/>
      <c r="K1278" s="21">
        <f t="shared" si="57"/>
        <v>23.71666666661622</v>
      </c>
      <c r="L1278" s="19">
        <f t="shared" si="58"/>
        <v>120</v>
      </c>
      <c r="M1278" s="18" t="str">
        <f>IF(I1278&lt;&gt;"Sí","",IF(YEAR(F1278)&lt;&gt;2026,"",INDEX({"Enero","Febrero","Marzo","Abril","Mayo","Junio","Julio","Agosto","Septiembre","Octubre","Noviembre","Diciembre"},MONTH(F1278))))</f>
        <v>Julio</v>
      </c>
      <c r="N1278" s="18" t="str">
        <f t="shared" si="59"/>
        <v>Julio|120</v>
      </c>
    </row>
    <row r="1279" spans="1:14" ht="14.5" x14ac:dyDescent="0.25">
      <c r="A1279" s="19">
        <v>33</v>
      </c>
      <c r="B1279" s="18" t="s">
        <v>40</v>
      </c>
      <c r="C1279" s="18" t="s">
        <v>97</v>
      </c>
      <c r="D1279" s="18" t="s">
        <v>1617</v>
      </c>
      <c r="E1279" s="18" t="s">
        <v>1837</v>
      </c>
      <c r="F1279" s="101">
        <v>46234.051388888889</v>
      </c>
      <c r="G1279" s="101">
        <v>46235.034722222219</v>
      </c>
      <c r="H1279" s="18" t="s">
        <v>507</v>
      </c>
      <c r="I1279" s="18" t="s">
        <v>508</v>
      </c>
      <c r="J1279" s="18"/>
      <c r="K1279" s="21">
        <f t="shared" si="57"/>
        <v>23.599999999918509</v>
      </c>
      <c r="L1279" s="19">
        <f t="shared" si="58"/>
        <v>121</v>
      </c>
      <c r="M1279" s="18" t="str">
        <f>IF(I1279&lt;&gt;"Sí","",IF(YEAR(F1279)&lt;&gt;2026,"",INDEX({"Enero","Febrero","Marzo","Abril","Mayo","Junio","Julio","Agosto","Septiembre","Octubre","Noviembre","Diciembre"},MONTH(F1279))))</f>
        <v>Julio</v>
      </c>
      <c r="N1279" s="18" t="str">
        <f t="shared" si="59"/>
        <v>Julio|121</v>
      </c>
    </row>
    <row r="1280" spans="1:14" ht="14.5" x14ac:dyDescent="0.25">
      <c r="A1280" s="19">
        <v>33</v>
      </c>
      <c r="B1280" s="18" t="s">
        <v>40</v>
      </c>
      <c r="C1280" s="18" t="s">
        <v>97</v>
      </c>
      <c r="D1280" s="18" t="s">
        <v>1617</v>
      </c>
      <c r="E1280" s="18" t="s">
        <v>1838</v>
      </c>
      <c r="F1280" s="101">
        <v>46234.052777777775</v>
      </c>
      <c r="G1280" s="101">
        <v>46235.034722222219</v>
      </c>
      <c r="H1280" s="18" t="s">
        <v>507</v>
      </c>
      <c r="I1280" s="18" t="s">
        <v>508</v>
      </c>
      <c r="J1280" s="18"/>
      <c r="K1280" s="21">
        <f t="shared" si="57"/>
        <v>23.566666666651145</v>
      </c>
      <c r="L1280" s="19">
        <f t="shared" si="58"/>
        <v>122</v>
      </c>
      <c r="M1280" s="18" t="str">
        <f>IF(I1280&lt;&gt;"Sí","",IF(YEAR(F1280)&lt;&gt;2026,"",INDEX({"Enero","Febrero","Marzo","Abril","Mayo","Junio","Julio","Agosto","Septiembre","Octubre","Noviembre","Diciembre"},MONTH(F1280))))</f>
        <v>Julio</v>
      </c>
      <c r="N1280" s="18" t="str">
        <f t="shared" si="59"/>
        <v>Julio|122</v>
      </c>
    </row>
    <row r="1281" spans="1:14" ht="14.5" x14ac:dyDescent="0.25">
      <c r="A1281" s="19">
        <v>33</v>
      </c>
      <c r="B1281" s="18" t="s">
        <v>40</v>
      </c>
      <c r="C1281" s="18" t="s">
        <v>97</v>
      </c>
      <c r="D1281" s="18" t="s">
        <v>1617</v>
      </c>
      <c r="E1281" s="18" t="s">
        <v>1839</v>
      </c>
      <c r="F1281" s="101">
        <v>46234.055555555555</v>
      </c>
      <c r="G1281" s="101">
        <v>46235.034722222219</v>
      </c>
      <c r="H1281" s="18" t="s">
        <v>507</v>
      </c>
      <c r="I1281" s="18" t="s">
        <v>508</v>
      </c>
      <c r="J1281" s="18"/>
      <c r="K1281" s="21">
        <f t="shared" si="57"/>
        <v>23.499999999941792</v>
      </c>
      <c r="L1281" s="19">
        <f t="shared" si="58"/>
        <v>123</v>
      </c>
      <c r="M1281" s="18" t="str">
        <f>IF(I1281&lt;&gt;"Sí","",IF(YEAR(F1281)&lt;&gt;2026,"",INDEX({"Enero","Febrero","Marzo","Abril","Mayo","Junio","Julio","Agosto","Septiembre","Octubre","Noviembre","Diciembre"},MONTH(F1281))))</f>
        <v>Julio</v>
      </c>
      <c r="N1281" s="18" t="str">
        <f t="shared" si="59"/>
        <v>Julio|123</v>
      </c>
    </row>
    <row r="1282" spans="1:14" ht="14.5" x14ac:dyDescent="0.25">
      <c r="A1282" s="19">
        <v>33</v>
      </c>
      <c r="B1282" s="18" t="s">
        <v>40</v>
      </c>
      <c r="C1282" s="18" t="s">
        <v>97</v>
      </c>
      <c r="D1282" s="18" t="s">
        <v>1617</v>
      </c>
      <c r="E1282" s="18" t="s">
        <v>1840</v>
      </c>
      <c r="F1282" s="101">
        <v>46234.056944444441</v>
      </c>
      <c r="G1282" s="101">
        <v>46235.034722222219</v>
      </c>
      <c r="H1282" s="18" t="s">
        <v>507</v>
      </c>
      <c r="I1282" s="18" t="s">
        <v>508</v>
      </c>
      <c r="J1282" s="18"/>
      <c r="K1282" s="21">
        <f t="shared" si="57"/>
        <v>23.466666666674428</v>
      </c>
      <c r="L1282" s="19">
        <f t="shared" si="58"/>
        <v>124</v>
      </c>
      <c r="M1282" s="18" t="str">
        <f>IF(I1282&lt;&gt;"Sí","",IF(YEAR(F1282)&lt;&gt;2026,"",INDEX({"Enero","Febrero","Marzo","Abril","Mayo","Junio","Julio","Agosto","Septiembre","Octubre","Noviembre","Diciembre"},MONTH(F1282))))</f>
        <v>Julio</v>
      </c>
      <c r="N1282" s="18" t="str">
        <f t="shared" si="59"/>
        <v>Julio|124</v>
      </c>
    </row>
    <row r="1283" spans="1:14" ht="14.5" x14ac:dyDescent="0.25">
      <c r="A1283" s="19">
        <v>33</v>
      </c>
      <c r="B1283" s="18" t="s">
        <v>40</v>
      </c>
      <c r="C1283" s="18" t="s">
        <v>97</v>
      </c>
      <c r="D1283" s="18" t="s">
        <v>1617</v>
      </c>
      <c r="E1283" s="18" t="s">
        <v>1841</v>
      </c>
      <c r="F1283" s="101">
        <v>46234.058333333334</v>
      </c>
      <c r="G1283" s="101">
        <v>46235.034722222219</v>
      </c>
      <c r="H1283" s="18" t="s">
        <v>507</v>
      </c>
      <c r="I1283" s="18" t="s">
        <v>508</v>
      </c>
      <c r="J1283" s="18"/>
      <c r="K1283" s="21">
        <f t="shared" si="57"/>
        <v>23.43333333323244</v>
      </c>
      <c r="L1283" s="19">
        <f t="shared" si="58"/>
        <v>125</v>
      </c>
      <c r="M1283" s="18" t="str">
        <f>IF(I1283&lt;&gt;"Sí","",IF(YEAR(F1283)&lt;&gt;2026,"",INDEX({"Enero","Febrero","Marzo","Abril","Mayo","Junio","Julio","Agosto","Septiembre","Octubre","Noviembre","Diciembre"},MONTH(F1283))))</f>
        <v>Julio</v>
      </c>
      <c r="N1283" s="18" t="str">
        <f t="shared" si="59"/>
        <v>Julio|125</v>
      </c>
    </row>
    <row r="1284" spans="1:14" ht="14.5" x14ac:dyDescent="0.25">
      <c r="A1284" s="19">
        <v>33</v>
      </c>
      <c r="B1284" s="18" t="s">
        <v>40</v>
      </c>
      <c r="C1284" s="18" t="s">
        <v>97</v>
      </c>
      <c r="D1284" s="18" t="s">
        <v>1617</v>
      </c>
      <c r="E1284" s="18" t="s">
        <v>1842</v>
      </c>
      <c r="F1284" s="101">
        <v>46234.05972222222</v>
      </c>
      <c r="G1284" s="101">
        <v>46235.034722222219</v>
      </c>
      <c r="H1284" s="18" t="s">
        <v>507</v>
      </c>
      <c r="I1284" s="18" t="s">
        <v>508</v>
      </c>
      <c r="J1284" s="18"/>
      <c r="K1284" s="21">
        <f t="shared" si="57"/>
        <v>23.399999999965075</v>
      </c>
      <c r="L1284" s="19">
        <f t="shared" si="58"/>
        <v>126</v>
      </c>
      <c r="M1284" s="18" t="str">
        <f>IF(I1284&lt;&gt;"Sí","",IF(YEAR(F1284)&lt;&gt;2026,"",INDEX({"Enero","Febrero","Marzo","Abril","Mayo","Junio","Julio","Agosto","Septiembre","Octubre","Noviembre","Diciembre"},MONTH(F1284))))</f>
        <v>Julio</v>
      </c>
      <c r="N1284" s="18" t="str">
        <f t="shared" si="59"/>
        <v>Julio|126</v>
      </c>
    </row>
    <row r="1285" spans="1:14" ht="14.5" x14ac:dyDescent="0.25">
      <c r="A1285" s="19">
        <v>33</v>
      </c>
      <c r="B1285" s="18" t="s">
        <v>40</v>
      </c>
      <c r="C1285" s="18" t="s">
        <v>97</v>
      </c>
      <c r="D1285" s="18" t="s">
        <v>1617</v>
      </c>
      <c r="E1285" s="18" t="s">
        <v>1843</v>
      </c>
      <c r="F1285" s="101">
        <v>46234.0625</v>
      </c>
      <c r="G1285" s="101">
        <v>46235.034722222219</v>
      </c>
      <c r="H1285" s="18" t="s">
        <v>507</v>
      </c>
      <c r="I1285" s="18" t="s">
        <v>508</v>
      </c>
      <c r="J1285" s="18"/>
      <c r="K1285" s="21">
        <f t="shared" si="57"/>
        <v>23.333333333255723</v>
      </c>
      <c r="L1285" s="19">
        <f t="shared" si="58"/>
        <v>127</v>
      </c>
      <c r="M1285" s="18" t="str">
        <f>IF(I1285&lt;&gt;"Sí","",IF(YEAR(F1285)&lt;&gt;2026,"",INDEX({"Enero","Febrero","Marzo","Abril","Mayo","Junio","Julio","Agosto","Septiembre","Octubre","Noviembre","Diciembre"},MONTH(F1285))))</f>
        <v>Julio</v>
      </c>
      <c r="N1285" s="18" t="str">
        <f t="shared" si="59"/>
        <v>Julio|127</v>
      </c>
    </row>
    <row r="1286" spans="1:14" ht="14.5" x14ac:dyDescent="0.25">
      <c r="A1286" s="19">
        <v>33</v>
      </c>
      <c r="B1286" s="18" t="s">
        <v>40</v>
      </c>
      <c r="C1286" s="18" t="s">
        <v>97</v>
      </c>
      <c r="D1286" s="18" t="s">
        <v>1617</v>
      </c>
      <c r="E1286" s="18" t="s">
        <v>1844</v>
      </c>
      <c r="F1286" s="101">
        <v>46234.063888888886</v>
      </c>
      <c r="G1286" s="101">
        <v>46235.034722222219</v>
      </c>
      <c r="H1286" s="18" t="s">
        <v>507</v>
      </c>
      <c r="I1286" s="18" t="s">
        <v>508</v>
      </c>
      <c r="J1286" s="18"/>
      <c r="K1286" s="21">
        <f t="shared" si="57"/>
        <v>23.299999999988358</v>
      </c>
      <c r="L1286" s="19">
        <f t="shared" si="58"/>
        <v>128</v>
      </c>
      <c r="M1286" s="18" t="str">
        <f>IF(I1286&lt;&gt;"Sí","",IF(YEAR(F1286)&lt;&gt;2026,"",INDEX({"Enero","Febrero","Marzo","Abril","Mayo","Junio","Julio","Agosto","Septiembre","Octubre","Noviembre","Diciembre"},MONTH(F1286))))</f>
        <v>Julio</v>
      </c>
      <c r="N1286" s="18" t="str">
        <f t="shared" si="59"/>
        <v>Julio|128</v>
      </c>
    </row>
    <row r="1287" spans="1:14" ht="14.5" x14ac:dyDescent="0.25">
      <c r="A1287" s="19">
        <v>33</v>
      </c>
      <c r="B1287" s="18" t="s">
        <v>40</v>
      </c>
      <c r="C1287" s="18" t="s">
        <v>97</v>
      </c>
      <c r="D1287" s="18" t="s">
        <v>1617</v>
      </c>
      <c r="E1287" s="18" t="s">
        <v>1845</v>
      </c>
      <c r="F1287" s="101">
        <v>46234.06527777778</v>
      </c>
      <c r="G1287" s="101">
        <v>46235.024305555555</v>
      </c>
      <c r="H1287" s="18" t="s">
        <v>507</v>
      </c>
      <c r="I1287" s="18" t="s">
        <v>508</v>
      </c>
      <c r="J1287" s="18"/>
      <c r="K1287" s="21">
        <f t="shared" ref="K1287:K1350" si="60">IF(I1287="Sí",(G1287-F1287)*24,"")</f>
        <v>23.016666666604578</v>
      </c>
      <c r="L1287" s="19">
        <f t="shared" ref="L1287:L1350" si="61">IF(I1287="Sí",COUNTIFS($F$7:$F$4000,"&lt;="&amp;F1287,$G$7:$G$4000,"&gt;"&amp;F1287,$I$7:$I$4000,"Sí"),"")</f>
        <v>129</v>
      </c>
      <c r="M1287" s="18" t="str">
        <f>IF(I1287&lt;&gt;"Sí","",IF(YEAR(F1287)&lt;&gt;2026,"",INDEX({"Enero","Febrero","Marzo","Abril","Mayo","Junio","Julio","Agosto","Septiembre","Octubre","Noviembre","Diciembre"},MONTH(F1287))))</f>
        <v>Julio</v>
      </c>
      <c r="N1287" s="18" t="str">
        <f t="shared" ref="N1287:N1350" si="62">IF(M1287="","",M1287&amp;"|"&amp;L1287)</f>
        <v>Julio|129</v>
      </c>
    </row>
    <row r="1288" spans="1:14" ht="14.5" x14ac:dyDescent="0.25">
      <c r="A1288" s="19">
        <v>33</v>
      </c>
      <c r="B1288" s="18" t="s">
        <v>40</v>
      </c>
      <c r="C1288" s="18" t="s">
        <v>97</v>
      </c>
      <c r="D1288" s="18" t="s">
        <v>1617</v>
      </c>
      <c r="E1288" s="18" t="s">
        <v>1846</v>
      </c>
      <c r="F1288" s="101">
        <v>46234.067361111112</v>
      </c>
      <c r="G1288" s="101">
        <v>46234.895833333336</v>
      </c>
      <c r="H1288" s="18" t="s">
        <v>507</v>
      </c>
      <c r="I1288" s="18" t="s">
        <v>508</v>
      </c>
      <c r="J1288" s="18"/>
      <c r="K1288" s="21">
        <f t="shared" si="60"/>
        <v>19.883333333360497</v>
      </c>
      <c r="L1288" s="19">
        <f t="shared" si="61"/>
        <v>131</v>
      </c>
      <c r="M1288" s="18" t="str">
        <f>IF(I1288&lt;&gt;"Sí","",IF(YEAR(F1288)&lt;&gt;2026,"",INDEX({"Enero","Febrero","Marzo","Abril","Mayo","Junio","Julio","Agosto","Septiembre","Octubre","Noviembre","Diciembre"},MONTH(F1288))))</f>
        <v>Julio</v>
      </c>
      <c r="N1288" s="18" t="str">
        <f t="shared" si="62"/>
        <v>Julio|131</v>
      </c>
    </row>
    <row r="1289" spans="1:14" ht="14.5" x14ac:dyDescent="0.25">
      <c r="A1289" s="19">
        <v>33</v>
      </c>
      <c r="B1289" s="18" t="s">
        <v>40</v>
      </c>
      <c r="C1289" s="18" t="s">
        <v>97</v>
      </c>
      <c r="D1289" s="18" t="s">
        <v>1617</v>
      </c>
      <c r="E1289" s="18" t="s">
        <v>1847</v>
      </c>
      <c r="F1289" s="101">
        <v>46234.067361111112</v>
      </c>
      <c r="G1289" s="101">
        <v>46234.777083333334</v>
      </c>
      <c r="H1289" s="18" t="s">
        <v>507</v>
      </c>
      <c r="I1289" s="18" t="s">
        <v>508</v>
      </c>
      <c r="J1289" s="18"/>
      <c r="K1289" s="21">
        <f t="shared" si="60"/>
        <v>17.033333333325572</v>
      </c>
      <c r="L1289" s="19">
        <f t="shared" si="61"/>
        <v>131</v>
      </c>
      <c r="M1289" s="18" t="str">
        <f>IF(I1289&lt;&gt;"Sí","",IF(YEAR(F1289)&lt;&gt;2026,"",INDEX({"Enero","Febrero","Marzo","Abril","Mayo","Junio","Julio","Agosto","Septiembre","Octubre","Noviembre","Diciembre"},MONTH(F1289))))</f>
        <v>Julio</v>
      </c>
      <c r="N1289" s="18" t="str">
        <f t="shared" si="62"/>
        <v>Julio|131</v>
      </c>
    </row>
    <row r="1290" spans="1:14" ht="14.5" x14ac:dyDescent="0.25">
      <c r="A1290" s="19">
        <v>33</v>
      </c>
      <c r="B1290" s="18" t="s">
        <v>40</v>
      </c>
      <c r="C1290" s="18" t="s">
        <v>97</v>
      </c>
      <c r="D1290" s="18" t="s">
        <v>1617</v>
      </c>
      <c r="E1290" s="18" t="s">
        <v>1848</v>
      </c>
      <c r="F1290" s="101">
        <v>46234.069444444445</v>
      </c>
      <c r="G1290" s="101">
        <v>46234.893750000003</v>
      </c>
      <c r="H1290" s="18" t="s">
        <v>507</v>
      </c>
      <c r="I1290" s="18" t="s">
        <v>508</v>
      </c>
      <c r="J1290" s="18"/>
      <c r="K1290" s="21">
        <f t="shared" si="60"/>
        <v>19.78333333338378</v>
      </c>
      <c r="L1290" s="19">
        <f t="shared" si="61"/>
        <v>132</v>
      </c>
      <c r="M1290" s="18" t="str">
        <f>IF(I1290&lt;&gt;"Sí","",IF(YEAR(F1290)&lt;&gt;2026,"",INDEX({"Enero","Febrero","Marzo","Abril","Mayo","Junio","Julio","Agosto","Septiembre","Octubre","Noviembre","Diciembre"},MONTH(F1290))))</f>
        <v>Julio</v>
      </c>
      <c r="N1290" s="18" t="str">
        <f t="shared" si="62"/>
        <v>Julio|132</v>
      </c>
    </row>
    <row r="1291" spans="1:14" ht="14.5" x14ac:dyDescent="0.25">
      <c r="A1291" s="19">
        <v>33</v>
      </c>
      <c r="B1291" s="18" t="s">
        <v>40</v>
      </c>
      <c r="C1291" s="18" t="s">
        <v>97</v>
      </c>
      <c r="D1291" s="18" t="s">
        <v>1617</v>
      </c>
      <c r="E1291" s="18" t="s">
        <v>1849</v>
      </c>
      <c r="F1291" s="101">
        <v>46234.072916666664</v>
      </c>
      <c r="G1291" s="101">
        <v>46234.888888888891</v>
      </c>
      <c r="H1291" s="18" t="s">
        <v>507</v>
      </c>
      <c r="I1291" s="18" t="s">
        <v>508</v>
      </c>
      <c r="J1291" s="18"/>
      <c r="K1291" s="21">
        <f t="shared" si="60"/>
        <v>19.583333333430346</v>
      </c>
      <c r="L1291" s="19">
        <f t="shared" si="61"/>
        <v>133</v>
      </c>
      <c r="M1291" s="18" t="str">
        <f>IF(I1291&lt;&gt;"Sí","",IF(YEAR(F1291)&lt;&gt;2026,"",INDEX({"Enero","Febrero","Marzo","Abril","Mayo","Junio","Julio","Agosto","Septiembre","Octubre","Noviembre","Diciembre"},MONTH(F1291))))</f>
        <v>Julio</v>
      </c>
      <c r="N1291" s="18" t="str">
        <f t="shared" si="62"/>
        <v>Julio|133</v>
      </c>
    </row>
    <row r="1292" spans="1:14" ht="14.5" x14ac:dyDescent="0.25">
      <c r="A1292" s="19">
        <v>33</v>
      </c>
      <c r="B1292" s="18" t="s">
        <v>40</v>
      </c>
      <c r="C1292" s="18" t="s">
        <v>97</v>
      </c>
      <c r="D1292" s="18" t="s">
        <v>1617</v>
      </c>
      <c r="E1292" s="18" t="s">
        <v>1850</v>
      </c>
      <c r="F1292" s="101">
        <v>46234.074305555558</v>
      </c>
      <c r="G1292" s="101">
        <v>46234.888194444444</v>
      </c>
      <c r="H1292" s="18" t="s">
        <v>507</v>
      </c>
      <c r="I1292" s="18" t="s">
        <v>508</v>
      </c>
      <c r="J1292" s="18"/>
      <c r="K1292" s="21">
        <f t="shared" si="60"/>
        <v>19.533333333267365</v>
      </c>
      <c r="L1292" s="19">
        <f t="shared" si="61"/>
        <v>135</v>
      </c>
      <c r="M1292" s="18" t="str">
        <f>IF(I1292&lt;&gt;"Sí","",IF(YEAR(F1292)&lt;&gt;2026,"",INDEX({"Enero","Febrero","Marzo","Abril","Mayo","Junio","Julio","Agosto","Septiembre","Octubre","Noviembre","Diciembre"},MONTH(F1292))))</f>
        <v>Julio</v>
      </c>
      <c r="N1292" s="18" t="str">
        <f t="shared" si="62"/>
        <v>Julio|135</v>
      </c>
    </row>
    <row r="1293" spans="1:14" ht="14.5" x14ac:dyDescent="0.25">
      <c r="A1293" s="19">
        <v>33</v>
      </c>
      <c r="B1293" s="18" t="s">
        <v>40</v>
      </c>
      <c r="C1293" s="18" t="s">
        <v>97</v>
      </c>
      <c r="D1293" s="18" t="s">
        <v>1617</v>
      </c>
      <c r="E1293" s="18" t="s">
        <v>1851</v>
      </c>
      <c r="F1293" s="101">
        <v>46234.074305555558</v>
      </c>
      <c r="G1293" s="101">
        <v>46234.886111111111</v>
      </c>
      <c r="H1293" s="18" t="s">
        <v>507</v>
      </c>
      <c r="I1293" s="18" t="s">
        <v>508</v>
      </c>
      <c r="J1293" s="18"/>
      <c r="K1293" s="21">
        <f t="shared" si="60"/>
        <v>19.483333333279006</v>
      </c>
      <c r="L1293" s="19">
        <f t="shared" si="61"/>
        <v>135</v>
      </c>
      <c r="M1293" s="18" t="str">
        <f>IF(I1293&lt;&gt;"Sí","",IF(YEAR(F1293)&lt;&gt;2026,"",INDEX({"Enero","Febrero","Marzo","Abril","Mayo","Junio","Julio","Agosto","Septiembre","Octubre","Noviembre","Diciembre"},MONTH(F1293))))</f>
        <v>Julio</v>
      </c>
      <c r="N1293" s="18" t="str">
        <f t="shared" si="62"/>
        <v>Julio|135</v>
      </c>
    </row>
    <row r="1294" spans="1:14" ht="14.5" x14ac:dyDescent="0.25">
      <c r="A1294" s="19">
        <v>33</v>
      </c>
      <c r="B1294" s="18" t="s">
        <v>40</v>
      </c>
      <c r="C1294" s="18" t="s">
        <v>97</v>
      </c>
      <c r="D1294" s="18" t="s">
        <v>1617</v>
      </c>
      <c r="E1294" s="18" t="s">
        <v>1852</v>
      </c>
      <c r="F1294" s="101">
        <v>46234.076388888891</v>
      </c>
      <c r="G1294" s="101">
        <v>46234.879166666666</v>
      </c>
      <c r="H1294" s="18" t="s">
        <v>507</v>
      </c>
      <c r="I1294" s="18" t="s">
        <v>508</v>
      </c>
      <c r="J1294" s="18"/>
      <c r="K1294" s="21">
        <f t="shared" si="60"/>
        <v>19.266666666604578</v>
      </c>
      <c r="L1294" s="19">
        <f t="shared" si="61"/>
        <v>136</v>
      </c>
      <c r="M1294" s="18" t="str">
        <f>IF(I1294&lt;&gt;"Sí","",IF(YEAR(F1294)&lt;&gt;2026,"",INDEX({"Enero","Febrero","Marzo","Abril","Mayo","Junio","Julio","Agosto","Septiembre","Octubre","Noviembre","Diciembre"},MONTH(F1294))))</f>
        <v>Julio</v>
      </c>
      <c r="N1294" s="18" t="str">
        <f t="shared" si="62"/>
        <v>Julio|136</v>
      </c>
    </row>
    <row r="1295" spans="1:14" ht="14.5" x14ac:dyDescent="0.25">
      <c r="A1295" s="19">
        <v>33</v>
      </c>
      <c r="B1295" s="18" t="s">
        <v>40</v>
      </c>
      <c r="C1295" s="18" t="s">
        <v>97</v>
      </c>
      <c r="D1295" s="18" t="s">
        <v>1617</v>
      </c>
      <c r="E1295" s="18" t="s">
        <v>1853</v>
      </c>
      <c r="F1295" s="101">
        <v>46234.078472222223</v>
      </c>
      <c r="G1295" s="101">
        <v>46234.878472222219</v>
      </c>
      <c r="H1295" s="18" t="s">
        <v>507</v>
      </c>
      <c r="I1295" s="18" t="s">
        <v>508</v>
      </c>
      <c r="J1295" s="18"/>
      <c r="K1295" s="21">
        <f t="shared" si="60"/>
        <v>19.199999999895226</v>
      </c>
      <c r="L1295" s="19">
        <f t="shared" si="61"/>
        <v>137</v>
      </c>
      <c r="M1295" s="18" t="str">
        <f>IF(I1295&lt;&gt;"Sí","",IF(YEAR(F1295)&lt;&gt;2026,"",INDEX({"Enero","Febrero","Marzo","Abril","Mayo","Junio","Julio","Agosto","Septiembre","Octubre","Noviembre","Diciembre"},MONTH(F1295))))</f>
        <v>Julio</v>
      </c>
      <c r="N1295" s="18" t="str">
        <f t="shared" si="62"/>
        <v>Julio|137</v>
      </c>
    </row>
    <row r="1296" spans="1:14" ht="14.5" x14ac:dyDescent="0.25">
      <c r="A1296" s="19">
        <v>33</v>
      </c>
      <c r="B1296" s="18" t="s">
        <v>40</v>
      </c>
      <c r="C1296" s="18" t="s">
        <v>97</v>
      </c>
      <c r="D1296" s="18" t="s">
        <v>1617</v>
      </c>
      <c r="E1296" s="18" t="s">
        <v>1854</v>
      </c>
      <c r="F1296" s="101">
        <v>46234.080555555556</v>
      </c>
      <c r="G1296" s="101">
        <v>46234.877083333333</v>
      </c>
      <c r="H1296" s="18" t="s">
        <v>507</v>
      </c>
      <c r="I1296" s="18" t="s">
        <v>508</v>
      </c>
      <c r="J1296" s="18"/>
      <c r="K1296" s="21">
        <f t="shared" si="60"/>
        <v>19.116666666639503</v>
      </c>
      <c r="L1296" s="19">
        <f t="shared" si="61"/>
        <v>138</v>
      </c>
      <c r="M1296" s="18" t="str">
        <f>IF(I1296&lt;&gt;"Sí","",IF(YEAR(F1296)&lt;&gt;2026,"",INDEX({"Enero","Febrero","Marzo","Abril","Mayo","Junio","Julio","Agosto","Septiembre","Octubre","Noviembre","Diciembre"},MONTH(F1296))))</f>
        <v>Julio</v>
      </c>
      <c r="N1296" s="18" t="str">
        <f t="shared" si="62"/>
        <v>Julio|138</v>
      </c>
    </row>
    <row r="1297" spans="1:14" ht="14.5" x14ac:dyDescent="0.25">
      <c r="A1297" s="19">
        <v>33</v>
      </c>
      <c r="B1297" s="18" t="s">
        <v>40</v>
      </c>
      <c r="C1297" s="18" t="s">
        <v>97</v>
      </c>
      <c r="D1297" s="18" t="s">
        <v>1617</v>
      </c>
      <c r="E1297" s="18" t="s">
        <v>1855</v>
      </c>
      <c r="F1297" s="101">
        <v>46234.082638888889</v>
      </c>
      <c r="G1297" s="101">
        <v>46234.87222222222</v>
      </c>
      <c r="H1297" s="18" t="s">
        <v>507</v>
      </c>
      <c r="I1297" s="18" t="s">
        <v>508</v>
      </c>
      <c r="J1297" s="18"/>
      <c r="K1297" s="21">
        <f t="shared" si="60"/>
        <v>18.949999999953434</v>
      </c>
      <c r="L1297" s="19">
        <f t="shared" si="61"/>
        <v>139</v>
      </c>
      <c r="M1297" s="18" t="str">
        <f>IF(I1297&lt;&gt;"Sí","",IF(YEAR(F1297)&lt;&gt;2026,"",INDEX({"Enero","Febrero","Marzo","Abril","Mayo","Junio","Julio","Agosto","Septiembre","Octubre","Noviembre","Diciembre"},MONTH(F1297))))</f>
        <v>Julio</v>
      </c>
      <c r="N1297" s="18" t="str">
        <f t="shared" si="62"/>
        <v>Julio|139</v>
      </c>
    </row>
    <row r="1298" spans="1:14" ht="14.5" x14ac:dyDescent="0.25">
      <c r="A1298" s="19">
        <v>33</v>
      </c>
      <c r="B1298" s="18" t="s">
        <v>40</v>
      </c>
      <c r="C1298" s="18" t="s">
        <v>97</v>
      </c>
      <c r="D1298" s="18" t="s">
        <v>1617</v>
      </c>
      <c r="E1298" s="18" t="s">
        <v>1856</v>
      </c>
      <c r="F1298" s="101">
        <v>46234.086805555555</v>
      </c>
      <c r="G1298" s="101">
        <v>46234.870833333334</v>
      </c>
      <c r="H1298" s="18" t="s">
        <v>507</v>
      </c>
      <c r="I1298" s="18" t="s">
        <v>508</v>
      </c>
      <c r="J1298" s="18"/>
      <c r="K1298" s="21">
        <f t="shared" si="60"/>
        <v>18.816666666709352</v>
      </c>
      <c r="L1298" s="19">
        <f t="shared" si="61"/>
        <v>140</v>
      </c>
      <c r="M1298" s="18" t="str">
        <f>IF(I1298&lt;&gt;"Sí","",IF(YEAR(F1298)&lt;&gt;2026,"",INDEX({"Enero","Febrero","Marzo","Abril","Mayo","Junio","Julio","Agosto","Septiembre","Octubre","Noviembre","Diciembre"},MONTH(F1298))))</f>
        <v>Julio</v>
      </c>
      <c r="N1298" s="18" t="str">
        <f t="shared" si="62"/>
        <v>Julio|140</v>
      </c>
    </row>
    <row r="1299" spans="1:14" ht="14.5" x14ac:dyDescent="0.25">
      <c r="A1299" s="19">
        <v>33</v>
      </c>
      <c r="B1299" s="18" t="s">
        <v>40</v>
      </c>
      <c r="C1299" s="18" t="s">
        <v>97</v>
      </c>
      <c r="D1299" s="18" t="s">
        <v>1617</v>
      </c>
      <c r="E1299" s="18" t="s">
        <v>1857</v>
      </c>
      <c r="F1299" s="101">
        <v>46234.088888888888</v>
      </c>
      <c r="G1299" s="101">
        <v>46234.869444444441</v>
      </c>
      <c r="H1299" s="18" t="s">
        <v>507</v>
      </c>
      <c r="I1299" s="18" t="s">
        <v>508</v>
      </c>
      <c r="J1299" s="18"/>
      <c r="K1299" s="21">
        <f t="shared" si="60"/>
        <v>18.733333333279006</v>
      </c>
      <c r="L1299" s="19">
        <f t="shared" si="61"/>
        <v>141</v>
      </c>
      <c r="M1299" s="18" t="str">
        <f>IF(I1299&lt;&gt;"Sí","",IF(YEAR(F1299)&lt;&gt;2026,"",INDEX({"Enero","Febrero","Marzo","Abril","Mayo","Junio","Julio","Agosto","Septiembre","Octubre","Noviembre","Diciembre"},MONTH(F1299))))</f>
        <v>Julio</v>
      </c>
      <c r="N1299" s="18" t="str">
        <f t="shared" si="62"/>
        <v>Julio|141</v>
      </c>
    </row>
    <row r="1300" spans="1:14" ht="14.5" x14ac:dyDescent="0.25">
      <c r="A1300" s="19">
        <v>33</v>
      </c>
      <c r="B1300" s="18" t="s">
        <v>40</v>
      </c>
      <c r="C1300" s="18" t="s">
        <v>97</v>
      </c>
      <c r="D1300" s="18" t="s">
        <v>1617</v>
      </c>
      <c r="E1300" s="18" t="s">
        <v>1858</v>
      </c>
      <c r="F1300" s="101">
        <v>46234.090277777781</v>
      </c>
      <c r="G1300" s="101">
        <v>46234.863888888889</v>
      </c>
      <c r="H1300" s="18" t="s">
        <v>507</v>
      </c>
      <c r="I1300" s="18" t="s">
        <v>508</v>
      </c>
      <c r="J1300" s="18"/>
      <c r="K1300" s="21">
        <f t="shared" si="60"/>
        <v>18.566666666592937</v>
      </c>
      <c r="L1300" s="19">
        <f t="shared" si="61"/>
        <v>142</v>
      </c>
      <c r="M1300" s="18" t="str">
        <f>IF(I1300&lt;&gt;"Sí","",IF(YEAR(F1300)&lt;&gt;2026,"",INDEX({"Enero","Febrero","Marzo","Abril","Mayo","Junio","Julio","Agosto","Septiembre","Octubre","Noviembre","Diciembre"},MONTH(F1300))))</f>
        <v>Julio</v>
      </c>
      <c r="N1300" s="18" t="str">
        <f t="shared" si="62"/>
        <v>Julio|142</v>
      </c>
    </row>
    <row r="1301" spans="1:14" ht="14.5" x14ac:dyDescent="0.25">
      <c r="A1301" s="19">
        <v>33</v>
      </c>
      <c r="B1301" s="18" t="s">
        <v>40</v>
      </c>
      <c r="C1301" s="18" t="s">
        <v>97</v>
      </c>
      <c r="D1301" s="18" t="s">
        <v>1617</v>
      </c>
      <c r="E1301" s="18" t="s">
        <v>1859</v>
      </c>
      <c r="F1301" s="101">
        <v>46234.091666666667</v>
      </c>
      <c r="G1301" s="101">
        <v>46234.808333333334</v>
      </c>
      <c r="H1301" s="18" t="s">
        <v>507</v>
      </c>
      <c r="I1301" s="18" t="s">
        <v>508</v>
      </c>
      <c r="J1301" s="18"/>
      <c r="K1301" s="21">
        <f t="shared" si="60"/>
        <v>17.200000000011642</v>
      </c>
      <c r="L1301" s="19">
        <f t="shared" si="61"/>
        <v>144</v>
      </c>
      <c r="M1301" s="18" t="str">
        <f>IF(I1301&lt;&gt;"Sí","",IF(YEAR(F1301)&lt;&gt;2026,"",INDEX({"Enero","Febrero","Marzo","Abril","Mayo","Junio","Julio","Agosto","Septiembre","Octubre","Noviembre","Diciembre"},MONTH(F1301))))</f>
        <v>Julio</v>
      </c>
      <c r="N1301" s="18" t="str">
        <f t="shared" si="62"/>
        <v>Julio|144</v>
      </c>
    </row>
    <row r="1302" spans="1:14" ht="14.5" x14ac:dyDescent="0.25">
      <c r="A1302" s="19">
        <v>33</v>
      </c>
      <c r="B1302" s="18" t="s">
        <v>40</v>
      </c>
      <c r="C1302" s="18" t="s">
        <v>97</v>
      </c>
      <c r="D1302" s="18" t="s">
        <v>1617</v>
      </c>
      <c r="E1302" s="18" t="s">
        <v>1860</v>
      </c>
      <c r="F1302" s="101">
        <v>46234.091666666667</v>
      </c>
      <c r="G1302" s="101">
        <v>46234.807638888888</v>
      </c>
      <c r="H1302" s="18" t="s">
        <v>507</v>
      </c>
      <c r="I1302" s="18" t="s">
        <v>508</v>
      </c>
      <c r="J1302" s="18"/>
      <c r="K1302" s="21">
        <f t="shared" si="60"/>
        <v>17.183333333290648</v>
      </c>
      <c r="L1302" s="19">
        <f t="shared" si="61"/>
        <v>144</v>
      </c>
      <c r="M1302" s="18" t="str">
        <f>IF(I1302&lt;&gt;"Sí","",IF(YEAR(F1302)&lt;&gt;2026,"",INDEX({"Enero","Febrero","Marzo","Abril","Mayo","Junio","Julio","Agosto","Septiembre","Octubre","Noviembre","Diciembre"},MONTH(F1302))))</f>
        <v>Julio</v>
      </c>
      <c r="N1302" s="18" t="str">
        <f t="shared" si="62"/>
        <v>Julio|144</v>
      </c>
    </row>
    <row r="1303" spans="1:14" ht="14.5" x14ac:dyDescent="0.25">
      <c r="A1303" s="19">
        <v>33</v>
      </c>
      <c r="B1303" s="18" t="s">
        <v>40</v>
      </c>
      <c r="C1303" s="18" t="s">
        <v>97</v>
      </c>
      <c r="D1303" s="18" t="s">
        <v>1617</v>
      </c>
      <c r="E1303" s="18" t="s">
        <v>1861</v>
      </c>
      <c r="F1303" s="101">
        <v>46234.093055555553</v>
      </c>
      <c r="G1303" s="101">
        <v>46234.798611111109</v>
      </c>
      <c r="H1303" s="18" t="s">
        <v>507</v>
      </c>
      <c r="I1303" s="18" t="s">
        <v>508</v>
      </c>
      <c r="J1303" s="18"/>
      <c r="K1303" s="21">
        <f t="shared" si="60"/>
        <v>16.933333333348855</v>
      </c>
      <c r="L1303" s="19">
        <f t="shared" si="61"/>
        <v>145</v>
      </c>
      <c r="M1303" s="18" t="str">
        <f>IF(I1303&lt;&gt;"Sí","",IF(YEAR(F1303)&lt;&gt;2026,"",INDEX({"Enero","Febrero","Marzo","Abril","Mayo","Junio","Julio","Agosto","Septiembre","Octubre","Noviembre","Diciembre"},MONTH(F1303))))</f>
        <v>Julio</v>
      </c>
      <c r="N1303" s="18" t="str">
        <f t="shared" si="62"/>
        <v>Julio|145</v>
      </c>
    </row>
    <row r="1304" spans="1:14" ht="14.5" x14ac:dyDescent="0.25">
      <c r="A1304" s="19">
        <v>33</v>
      </c>
      <c r="B1304" s="18" t="s">
        <v>40</v>
      </c>
      <c r="C1304" s="18" t="s">
        <v>97</v>
      </c>
      <c r="D1304" s="18" t="s">
        <v>1617</v>
      </c>
      <c r="E1304" s="18" t="s">
        <v>1862</v>
      </c>
      <c r="F1304" s="101">
        <v>46234.095833333333</v>
      </c>
      <c r="G1304" s="101">
        <v>46234.798611111109</v>
      </c>
      <c r="H1304" s="18" t="s">
        <v>507</v>
      </c>
      <c r="I1304" s="18" t="s">
        <v>508</v>
      </c>
      <c r="J1304" s="18"/>
      <c r="K1304" s="21">
        <f t="shared" si="60"/>
        <v>16.866666666639503</v>
      </c>
      <c r="L1304" s="19">
        <f t="shared" si="61"/>
        <v>146</v>
      </c>
      <c r="M1304" s="18" t="str">
        <f>IF(I1304&lt;&gt;"Sí","",IF(YEAR(F1304)&lt;&gt;2026,"",INDEX({"Enero","Febrero","Marzo","Abril","Mayo","Junio","Julio","Agosto","Septiembre","Octubre","Noviembre","Diciembre"},MONTH(F1304))))</f>
        <v>Julio</v>
      </c>
      <c r="N1304" s="18" t="str">
        <f t="shared" si="62"/>
        <v>Julio|146</v>
      </c>
    </row>
    <row r="1305" spans="1:14" ht="14.5" x14ac:dyDescent="0.25">
      <c r="A1305" s="19">
        <v>33</v>
      </c>
      <c r="B1305" s="18" t="s">
        <v>40</v>
      </c>
      <c r="C1305" s="18" t="s">
        <v>97</v>
      </c>
      <c r="D1305" s="18" t="s">
        <v>1617</v>
      </c>
      <c r="E1305" s="18" t="s">
        <v>1863</v>
      </c>
      <c r="F1305" s="101">
        <v>46234.097222222219</v>
      </c>
      <c r="G1305" s="101">
        <v>46234.79583333333</v>
      </c>
      <c r="H1305" s="18" t="s">
        <v>507</v>
      </c>
      <c r="I1305" s="18" t="s">
        <v>508</v>
      </c>
      <c r="J1305" s="18"/>
      <c r="K1305" s="21">
        <f t="shared" si="60"/>
        <v>16.766666666662786</v>
      </c>
      <c r="L1305" s="19">
        <f t="shared" si="61"/>
        <v>147</v>
      </c>
      <c r="M1305" s="18" t="str">
        <f>IF(I1305&lt;&gt;"Sí","",IF(YEAR(F1305)&lt;&gt;2026,"",INDEX({"Enero","Febrero","Marzo","Abril","Mayo","Junio","Julio","Agosto","Septiembre","Octubre","Noviembre","Diciembre"},MONTH(F1305))))</f>
        <v>Julio</v>
      </c>
      <c r="N1305" s="18" t="str">
        <f t="shared" si="62"/>
        <v>Julio|147</v>
      </c>
    </row>
    <row r="1306" spans="1:14" ht="14.5" x14ac:dyDescent="0.25">
      <c r="A1306" s="19">
        <v>33</v>
      </c>
      <c r="B1306" s="18" t="s">
        <v>40</v>
      </c>
      <c r="C1306" s="18" t="s">
        <v>97</v>
      </c>
      <c r="D1306" s="18" t="s">
        <v>1617</v>
      </c>
      <c r="E1306" s="18" t="s">
        <v>1864</v>
      </c>
      <c r="F1306" s="101">
        <v>46234.099305555559</v>
      </c>
      <c r="G1306" s="101">
        <v>46234.789583333331</v>
      </c>
      <c r="H1306" s="18" t="s">
        <v>507</v>
      </c>
      <c r="I1306" s="18" t="s">
        <v>508</v>
      </c>
      <c r="J1306" s="18"/>
      <c r="K1306" s="21">
        <f t="shared" si="60"/>
        <v>16.566666666534729</v>
      </c>
      <c r="L1306" s="19">
        <f t="shared" si="61"/>
        <v>148</v>
      </c>
      <c r="M1306" s="18" t="str">
        <f>IF(I1306&lt;&gt;"Sí","",IF(YEAR(F1306)&lt;&gt;2026,"",INDEX({"Enero","Febrero","Marzo","Abril","Mayo","Junio","Julio","Agosto","Septiembre","Octubre","Noviembre","Diciembre"},MONTH(F1306))))</f>
        <v>Julio</v>
      </c>
      <c r="N1306" s="18" t="str">
        <f t="shared" si="62"/>
        <v>Julio|148</v>
      </c>
    </row>
    <row r="1307" spans="1:14" ht="14.5" x14ac:dyDescent="0.25">
      <c r="A1307" s="19">
        <v>33</v>
      </c>
      <c r="B1307" s="18" t="s">
        <v>40</v>
      </c>
      <c r="C1307" s="18" t="s">
        <v>97</v>
      </c>
      <c r="D1307" s="18" t="s">
        <v>1617</v>
      </c>
      <c r="E1307" s="18" t="s">
        <v>1865</v>
      </c>
      <c r="F1307" s="101">
        <v>46234.100694444445</v>
      </c>
      <c r="G1307" s="101">
        <v>46234.789583333331</v>
      </c>
      <c r="H1307" s="18" t="s">
        <v>507</v>
      </c>
      <c r="I1307" s="18" t="s">
        <v>508</v>
      </c>
      <c r="J1307" s="18"/>
      <c r="K1307" s="21">
        <f t="shared" si="60"/>
        <v>16.533333333267365</v>
      </c>
      <c r="L1307" s="19">
        <f t="shared" si="61"/>
        <v>149</v>
      </c>
      <c r="M1307" s="18" t="str">
        <f>IF(I1307&lt;&gt;"Sí","",IF(YEAR(F1307)&lt;&gt;2026,"",INDEX({"Enero","Febrero","Marzo","Abril","Mayo","Junio","Julio","Agosto","Septiembre","Octubre","Noviembre","Diciembre"},MONTH(F1307))))</f>
        <v>Julio</v>
      </c>
      <c r="N1307" s="18" t="str">
        <f t="shared" si="62"/>
        <v>Julio|149</v>
      </c>
    </row>
    <row r="1308" spans="1:14" ht="14.5" x14ac:dyDescent="0.25">
      <c r="A1308" s="19">
        <v>33</v>
      </c>
      <c r="B1308" s="18" t="s">
        <v>40</v>
      </c>
      <c r="C1308" s="18" t="s">
        <v>97</v>
      </c>
      <c r="D1308" s="18" t="s">
        <v>1617</v>
      </c>
      <c r="E1308" s="18" t="s">
        <v>1866</v>
      </c>
      <c r="F1308" s="101">
        <v>46234.103472222225</v>
      </c>
      <c r="G1308" s="101">
        <v>46234.786111111112</v>
      </c>
      <c r="H1308" s="18" t="s">
        <v>507</v>
      </c>
      <c r="I1308" s="18" t="s">
        <v>508</v>
      </c>
      <c r="J1308" s="18"/>
      <c r="K1308" s="21">
        <f t="shared" si="60"/>
        <v>16.383333333302289</v>
      </c>
      <c r="L1308" s="19">
        <f t="shared" si="61"/>
        <v>150</v>
      </c>
      <c r="M1308" s="18" t="str">
        <f>IF(I1308&lt;&gt;"Sí","",IF(YEAR(F1308)&lt;&gt;2026,"",INDEX({"Enero","Febrero","Marzo","Abril","Mayo","Junio","Julio","Agosto","Septiembre","Octubre","Noviembre","Diciembre"},MONTH(F1308))))</f>
        <v>Julio</v>
      </c>
      <c r="N1308" s="18" t="str">
        <f t="shared" si="62"/>
        <v>Julio|150</v>
      </c>
    </row>
    <row r="1309" spans="1:14" ht="14.5" x14ac:dyDescent="0.25">
      <c r="A1309" s="19">
        <v>33</v>
      </c>
      <c r="B1309" s="18" t="s">
        <v>40</v>
      </c>
      <c r="C1309" s="18" t="s">
        <v>97</v>
      </c>
      <c r="D1309" s="18" t="s">
        <v>1617</v>
      </c>
      <c r="E1309" s="18" t="s">
        <v>1867</v>
      </c>
      <c r="F1309" s="101">
        <v>46234.106249999997</v>
      </c>
      <c r="G1309" s="101">
        <v>46234.779166666667</v>
      </c>
      <c r="H1309" s="18" t="s">
        <v>507</v>
      </c>
      <c r="I1309" s="18" t="s">
        <v>508</v>
      </c>
      <c r="J1309" s="18"/>
      <c r="K1309" s="21">
        <f t="shared" si="60"/>
        <v>16.150000000081491</v>
      </c>
      <c r="L1309" s="19">
        <f t="shared" si="61"/>
        <v>151</v>
      </c>
      <c r="M1309" s="18" t="str">
        <f>IF(I1309&lt;&gt;"Sí","",IF(YEAR(F1309)&lt;&gt;2026,"",INDEX({"Enero","Febrero","Marzo","Abril","Mayo","Junio","Julio","Agosto","Septiembre","Octubre","Noviembre","Diciembre"},MONTH(F1309))))</f>
        <v>Julio</v>
      </c>
      <c r="N1309" s="18" t="str">
        <f t="shared" si="62"/>
        <v>Julio|151</v>
      </c>
    </row>
    <row r="1310" spans="1:14" ht="14.5" x14ac:dyDescent="0.25">
      <c r="A1310" s="19">
        <v>33</v>
      </c>
      <c r="B1310" s="18" t="s">
        <v>40</v>
      </c>
      <c r="C1310" s="18" t="s">
        <v>97</v>
      </c>
      <c r="D1310" s="18" t="s">
        <v>1617</v>
      </c>
      <c r="E1310" s="18" t="s">
        <v>1868</v>
      </c>
      <c r="F1310" s="101">
        <v>46234.107638888891</v>
      </c>
      <c r="G1310" s="101">
        <v>46234.777083333334</v>
      </c>
      <c r="H1310" s="18" t="s">
        <v>507</v>
      </c>
      <c r="I1310" s="18" t="s">
        <v>508</v>
      </c>
      <c r="J1310" s="18"/>
      <c r="K1310" s="21">
        <f t="shared" si="60"/>
        <v>16.066666666651145</v>
      </c>
      <c r="L1310" s="19">
        <f t="shared" si="61"/>
        <v>152</v>
      </c>
      <c r="M1310" s="18" t="str">
        <f>IF(I1310&lt;&gt;"Sí","",IF(YEAR(F1310)&lt;&gt;2026,"",INDEX({"Enero","Febrero","Marzo","Abril","Mayo","Junio","Julio","Agosto","Septiembre","Octubre","Noviembre","Diciembre"},MONTH(F1310))))</f>
        <v>Julio</v>
      </c>
      <c r="N1310" s="18" t="str">
        <f t="shared" si="62"/>
        <v>Julio|152</v>
      </c>
    </row>
    <row r="1311" spans="1:14" ht="14.5" x14ac:dyDescent="0.25">
      <c r="A1311" s="19">
        <v>33</v>
      </c>
      <c r="B1311" s="18" t="s">
        <v>40</v>
      </c>
      <c r="C1311" s="18" t="s">
        <v>97</v>
      </c>
      <c r="D1311" s="18" t="s">
        <v>1617</v>
      </c>
      <c r="E1311" s="18" t="s">
        <v>1869</v>
      </c>
      <c r="F1311" s="101">
        <v>46234.109722222223</v>
      </c>
      <c r="G1311" s="101">
        <v>46234.773611111108</v>
      </c>
      <c r="H1311" s="18" t="s">
        <v>507</v>
      </c>
      <c r="I1311" s="18" t="s">
        <v>508</v>
      </c>
      <c r="J1311" s="18"/>
      <c r="K1311" s="21">
        <f t="shared" si="60"/>
        <v>15.93333333323244</v>
      </c>
      <c r="L1311" s="19">
        <f t="shared" si="61"/>
        <v>153</v>
      </c>
      <c r="M1311" s="18" t="str">
        <f>IF(I1311&lt;&gt;"Sí","",IF(YEAR(F1311)&lt;&gt;2026,"",INDEX({"Enero","Febrero","Marzo","Abril","Mayo","Junio","Julio","Agosto","Septiembre","Octubre","Noviembre","Diciembre"},MONTH(F1311))))</f>
        <v>Julio</v>
      </c>
      <c r="N1311" s="18" t="str">
        <f t="shared" si="62"/>
        <v>Julio|153</v>
      </c>
    </row>
    <row r="1312" spans="1:14" ht="14.5" x14ac:dyDescent="0.25">
      <c r="A1312" s="19">
        <v>33</v>
      </c>
      <c r="B1312" s="18" t="s">
        <v>40</v>
      </c>
      <c r="C1312" s="18" t="s">
        <v>97</v>
      </c>
      <c r="D1312" s="18" t="s">
        <v>1617</v>
      </c>
      <c r="E1312" s="18" t="s">
        <v>1870</v>
      </c>
      <c r="F1312" s="101">
        <v>46234.111111111109</v>
      </c>
      <c r="G1312" s="101">
        <v>46234.769444444442</v>
      </c>
      <c r="H1312" s="18" t="s">
        <v>507</v>
      </c>
      <c r="I1312" s="18" t="s">
        <v>508</v>
      </c>
      <c r="J1312" s="18"/>
      <c r="K1312" s="21">
        <f t="shared" si="60"/>
        <v>15.799999999988358</v>
      </c>
      <c r="L1312" s="19">
        <f t="shared" si="61"/>
        <v>154</v>
      </c>
      <c r="M1312" s="18" t="str">
        <f>IF(I1312&lt;&gt;"Sí","",IF(YEAR(F1312)&lt;&gt;2026,"",INDEX({"Enero","Febrero","Marzo","Abril","Mayo","Junio","Julio","Agosto","Septiembre","Octubre","Noviembre","Diciembre"},MONTH(F1312))))</f>
        <v>Julio</v>
      </c>
      <c r="N1312" s="18" t="str">
        <f t="shared" si="62"/>
        <v>Julio|154</v>
      </c>
    </row>
    <row r="1313" spans="1:14" ht="14.5" x14ac:dyDescent="0.25">
      <c r="A1313" s="19">
        <v>33</v>
      </c>
      <c r="B1313" s="18" t="s">
        <v>40</v>
      </c>
      <c r="C1313" s="18" t="s">
        <v>97</v>
      </c>
      <c r="D1313" s="18" t="s">
        <v>1617</v>
      </c>
      <c r="E1313" s="18" t="s">
        <v>1871</v>
      </c>
      <c r="F1313" s="101">
        <v>46234.114583333336</v>
      </c>
      <c r="G1313" s="101">
        <v>46234.769444444442</v>
      </c>
      <c r="H1313" s="18" t="s">
        <v>507</v>
      </c>
      <c r="I1313" s="18" t="s">
        <v>508</v>
      </c>
      <c r="J1313" s="18"/>
      <c r="K1313" s="21">
        <f t="shared" si="60"/>
        <v>15.716666666558012</v>
      </c>
      <c r="L1313" s="19">
        <f t="shared" si="61"/>
        <v>155</v>
      </c>
      <c r="M1313" s="18" t="str">
        <f>IF(I1313&lt;&gt;"Sí","",IF(YEAR(F1313)&lt;&gt;2026,"",INDEX({"Enero","Febrero","Marzo","Abril","Mayo","Junio","Julio","Agosto","Septiembre","Octubre","Noviembre","Diciembre"},MONTH(F1313))))</f>
        <v>Julio</v>
      </c>
      <c r="N1313" s="18" t="str">
        <f t="shared" si="62"/>
        <v>Julio|155</v>
      </c>
    </row>
    <row r="1314" spans="1:14" ht="14.5" x14ac:dyDescent="0.25">
      <c r="A1314" s="19">
        <v>33</v>
      </c>
      <c r="B1314" s="18" t="s">
        <v>40</v>
      </c>
      <c r="C1314" s="18" t="s">
        <v>97</v>
      </c>
      <c r="D1314" s="18" t="s">
        <v>1617</v>
      </c>
      <c r="E1314" s="18" t="s">
        <v>1872</v>
      </c>
      <c r="F1314" s="101">
        <v>46234.115972222222</v>
      </c>
      <c r="G1314" s="101">
        <v>46234.76666666667</v>
      </c>
      <c r="H1314" s="18" t="s">
        <v>507</v>
      </c>
      <c r="I1314" s="18" t="s">
        <v>508</v>
      </c>
      <c r="J1314" s="18"/>
      <c r="K1314" s="21">
        <f t="shared" si="60"/>
        <v>15.616666666755918</v>
      </c>
      <c r="L1314" s="19">
        <f t="shared" si="61"/>
        <v>156</v>
      </c>
      <c r="M1314" s="18" t="str">
        <f>IF(I1314&lt;&gt;"Sí","",IF(YEAR(F1314)&lt;&gt;2026,"",INDEX({"Enero","Febrero","Marzo","Abril","Mayo","Junio","Julio","Agosto","Septiembre","Octubre","Noviembre","Diciembre"},MONTH(F1314))))</f>
        <v>Julio</v>
      </c>
      <c r="N1314" s="18" t="str">
        <f t="shared" si="62"/>
        <v>Julio|156</v>
      </c>
    </row>
    <row r="1315" spans="1:14" ht="14.5" x14ac:dyDescent="0.25">
      <c r="A1315" s="19">
        <v>33</v>
      </c>
      <c r="B1315" s="18" t="s">
        <v>40</v>
      </c>
      <c r="C1315" s="18" t="s">
        <v>97</v>
      </c>
      <c r="D1315" s="18" t="s">
        <v>1617</v>
      </c>
      <c r="E1315" s="18" t="s">
        <v>1873</v>
      </c>
      <c r="F1315" s="101">
        <v>46234.118055555555</v>
      </c>
      <c r="G1315" s="101">
        <v>46234.760416666664</v>
      </c>
      <c r="H1315" s="18" t="s">
        <v>507</v>
      </c>
      <c r="I1315" s="18" t="s">
        <v>508</v>
      </c>
      <c r="J1315" s="18"/>
      <c r="K1315" s="21">
        <f t="shared" si="60"/>
        <v>15.416666666627862</v>
      </c>
      <c r="L1315" s="19">
        <f t="shared" si="61"/>
        <v>157</v>
      </c>
      <c r="M1315" s="18" t="str">
        <f>IF(I1315&lt;&gt;"Sí","",IF(YEAR(F1315)&lt;&gt;2026,"",INDEX({"Enero","Febrero","Marzo","Abril","Mayo","Junio","Julio","Agosto","Septiembre","Octubre","Noviembre","Diciembre"},MONTH(F1315))))</f>
        <v>Julio</v>
      </c>
      <c r="N1315" s="18" t="str">
        <f t="shared" si="62"/>
        <v>Julio|157</v>
      </c>
    </row>
    <row r="1316" spans="1:14" ht="14.5" x14ac:dyDescent="0.25">
      <c r="A1316" s="19">
        <v>33</v>
      </c>
      <c r="B1316" s="18" t="s">
        <v>40</v>
      </c>
      <c r="C1316" s="18" t="s">
        <v>97</v>
      </c>
      <c r="D1316" s="18" t="s">
        <v>1617</v>
      </c>
      <c r="E1316" s="18" t="s">
        <v>1874</v>
      </c>
      <c r="F1316" s="101">
        <v>46234.120138888888</v>
      </c>
      <c r="G1316" s="101">
        <v>46234.755555555559</v>
      </c>
      <c r="H1316" s="18" t="s">
        <v>507</v>
      </c>
      <c r="I1316" s="18" t="s">
        <v>508</v>
      </c>
      <c r="J1316" s="18"/>
      <c r="K1316" s="21">
        <f t="shared" si="60"/>
        <v>15.250000000116415</v>
      </c>
      <c r="L1316" s="19">
        <f t="shared" si="61"/>
        <v>158</v>
      </c>
      <c r="M1316" s="18" t="str">
        <f>IF(I1316&lt;&gt;"Sí","",IF(YEAR(F1316)&lt;&gt;2026,"",INDEX({"Enero","Febrero","Marzo","Abril","Mayo","Junio","Julio","Agosto","Septiembre","Octubre","Noviembre","Diciembre"},MONTH(F1316))))</f>
        <v>Julio</v>
      </c>
      <c r="N1316" s="18" t="str">
        <f t="shared" si="62"/>
        <v>Julio|158</v>
      </c>
    </row>
    <row r="1317" spans="1:14" ht="14.5" x14ac:dyDescent="0.25">
      <c r="A1317" s="19">
        <v>33</v>
      </c>
      <c r="B1317" s="18" t="s">
        <v>40</v>
      </c>
      <c r="C1317" s="18" t="s">
        <v>97</v>
      </c>
      <c r="D1317" s="18" t="s">
        <v>1617</v>
      </c>
      <c r="E1317" s="18" t="s">
        <v>1875</v>
      </c>
      <c r="F1317" s="101">
        <v>46234.122916666667</v>
      </c>
      <c r="G1317" s="101">
        <v>46234.755555555559</v>
      </c>
      <c r="H1317" s="18" t="s">
        <v>507</v>
      </c>
      <c r="I1317" s="18" t="s">
        <v>508</v>
      </c>
      <c r="J1317" s="18"/>
      <c r="K1317" s="21">
        <f t="shared" si="60"/>
        <v>15.183333333407063</v>
      </c>
      <c r="L1317" s="19">
        <f t="shared" si="61"/>
        <v>159</v>
      </c>
      <c r="M1317" s="18" t="str">
        <f>IF(I1317&lt;&gt;"Sí","",IF(YEAR(F1317)&lt;&gt;2026,"",INDEX({"Enero","Febrero","Marzo","Abril","Mayo","Junio","Julio","Agosto","Septiembre","Octubre","Noviembre","Diciembre"},MONTH(F1317))))</f>
        <v>Julio</v>
      </c>
      <c r="N1317" s="18" t="str">
        <f t="shared" si="62"/>
        <v>Julio|159</v>
      </c>
    </row>
    <row r="1318" spans="1:14" ht="14.5" x14ac:dyDescent="0.25">
      <c r="A1318" s="19">
        <v>33</v>
      </c>
      <c r="B1318" s="18" t="s">
        <v>40</v>
      </c>
      <c r="C1318" s="18" t="s">
        <v>97</v>
      </c>
      <c r="D1318" s="18" t="s">
        <v>1617</v>
      </c>
      <c r="E1318" s="18" t="s">
        <v>1876</v>
      </c>
      <c r="F1318" s="101">
        <v>46234.124305555553</v>
      </c>
      <c r="G1318" s="101">
        <v>46235.034722222219</v>
      </c>
      <c r="H1318" s="18" t="s">
        <v>507</v>
      </c>
      <c r="I1318" s="18" t="s">
        <v>508</v>
      </c>
      <c r="J1318" s="18"/>
      <c r="K1318" s="21">
        <f t="shared" si="60"/>
        <v>21.849999999976717</v>
      </c>
      <c r="L1318" s="19">
        <f t="shared" si="61"/>
        <v>160</v>
      </c>
      <c r="M1318" s="18" t="str">
        <f>IF(I1318&lt;&gt;"Sí","",IF(YEAR(F1318)&lt;&gt;2026,"",INDEX({"Enero","Febrero","Marzo","Abril","Mayo","Junio","Julio","Agosto","Septiembre","Octubre","Noviembre","Diciembre"},MONTH(F1318))))</f>
        <v>Julio</v>
      </c>
      <c r="N1318" s="18" t="str">
        <f t="shared" si="62"/>
        <v>Julio|160</v>
      </c>
    </row>
    <row r="1319" spans="1:14" ht="14.5" x14ac:dyDescent="0.25">
      <c r="A1319" s="19">
        <v>33</v>
      </c>
      <c r="B1319" s="18" t="s">
        <v>40</v>
      </c>
      <c r="C1319" s="18" t="s">
        <v>97</v>
      </c>
      <c r="D1319" s="18" t="s">
        <v>1617</v>
      </c>
      <c r="E1319" s="18" t="s">
        <v>1877</v>
      </c>
      <c r="F1319" s="101">
        <v>46234.125694444447</v>
      </c>
      <c r="G1319" s="101">
        <v>46234.993055555555</v>
      </c>
      <c r="H1319" s="18" t="s">
        <v>507</v>
      </c>
      <c r="I1319" s="18" t="s">
        <v>508</v>
      </c>
      <c r="J1319" s="18"/>
      <c r="K1319" s="21">
        <f t="shared" si="60"/>
        <v>20.816666666592937</v>
      </c>
      <c r="L1319" s="19">
        <f t="shared" si="61"/>
        <v>161</v>
      </c>
      <c r="M1319" s="18" t="str">
        <f>IF(I1319&lt;&gt;"Sí","",IF(YEAR(F1319)&lt;&gt;2026,"",INDEX({"Enero","Febrero","Marzo","Abril","Mayo","Junio","Julio","Agosto","Septiembre","Octubre","Noviembre","Diciembre"},MONTH(F1319))))</f>
        <v>Julio</v>
      </c>
      <c r="N1319" s="18" t="str">
        <f t="shared" si="62"/>
        <v>Julio|161</v>
      </c>
    </row>
    <row r="1320" spans="1:14" ht="14.5" x14ac:dyDescent="0.25">
      <c r="A1320" s="19">
        <v>33</v>
      </c>
      <c r="B1320" s="18" t="s">
        <v>40</v>
      </c>
      <c r="C1320" s="18" t="s">
        <v>97</v>
      </c>
      <c r="D1320" s="18" t="s">
        <v>1617</v>
      </c>
      <c r="E1320" s="18" t="s">
        <v>1878</v>
      </c>
      <c r="F1320" s="101">
        <v>46234.128472222219</v>
      </c>
      <c r="G1320" s="101">
        <v>46234.993055555555</v>
      </c>
      <c r="H1320" s="18" t="s">
        <v>507</v>
      </c>
      <c r="I1320" s="18" t="s">
        <v>508</v>
      </c>
      <c r="J1320" s="18"/>
      <c r="K1320" s="21">
        <f t="shared" si="60"/>
        <v>20.750000000058208</v>
      </c>
      <c r="L1320" s="19">
        <f t="shared" si="61"/>
        <v>162</v>
      </c>
      <c r="M1320" s="18" t="str">
        <f>IF(I1320&lt;&gt;"Sí","",IF(YEAR(F1320)&lt;&gt;2026,"",INDEX({"Enero","Febrero","Marzo","Abril","Mayo","Junio","Julio","Agosto","Septiembre","Octubre","Noviembre","Diciembre"},MONTH(F1320))))</f>
        <v>Julio</v>
      </c>
      <c r="N1320" s="18" t="str">
        <f t="shared" si="62"/>
        <v>Julio|162</v>
      </c>
    </row>
    <row r="1321" spans="1:14" ht="14.5" x14ac:dyDescent="0.25">
      <c r="A1321" s="19">
        <v>33</v>
      </c>
      <c r="B1321" s="18" t="s">
        <v>40</v>
      </c>
      <c r="C1321" s="18" t="s">
        <v>97</v>
      </c>
      <c r="D1321" s="18" t="s">
        <v>1617</v>
      </c>
      <c r="E1321" s="18" t="s">
        <v>1879</v>
      </c>
      <c r="F1321" s="101">
        <v>46234.129861111112</v>
      </c>
      <c r="G1321" s="101">
        <v>46234.993055555555</v>
      </c>
      <c r="H1321" s="18" t="s">
        <v>507</v>
      </c>
      <c r="I1321" s="18" t="s">
        <v>508</v>
      </c>
      <c r="J1321" s="18"/>
      <c r="K1321" s="21">
        <f t="shared" si="60"/>
        <v>20.71666666661622</v>
      </c>
      <c r="L1321" s="19">
        <f t="shared" si="61"/>
        <v>163</v>
      </c>
      <c r="M1321" s="18" t="str">
        <f>IF(I1321&lt;&gt;"Sí","",IF(YEAR(F1321)&lt;&gt;2026,"",INDEX({"Enero","Febrero","Marzo","Abril","Mayo","Junio","Julio","Agosto","Septiembre","Octubre","Noviembre","Diciembre"},MONTH(F1321))))</f>
        <v>Julio</v>
      </c>
      <c r="N1321" s="18" t="str">
        <f t="shared" si="62"/>
        <v>Julio|163</v>
      </c>
    </row>
    <row r="1322" spans="1:14" ht="14.5" x14ac:dyDescent="0.25">
      <c r="A1322" s="19">
        <v>33</v>
      </c>
      <c r="B1322" s="18" t="s">
        <v>40</v>
      </c>
      <c r="C1322" s="18" t="s">
        <v>97</v>
      </c>
      <c r="D1322" s="18" t="s">
        <v>1617</v>
      </c>
      <c r="E1322" s="18" t="s">
        <v>1880</v>
      </c>
      <c r="F1322" s="101">
        <v>46234.131944444445</v>
      </c>
      <c r="G1322" s="101">
        <v>46235.045138888891</v>
      </c>
      <c r="H1322" s="18" t="s">
        <v>507</v>
      </c>
      <c r="I1322" s="18" t="s">
        <v>508</v>
      </c>
      <c r="J1322" s="18"/>
      <c r="K1322" s="21">
        <f t="shared" si="60"/>
        <v>21.916666666686069</v>
      </c>
      <c r="L1322" s="19">
        <f t="shared" si="61"/>
        <v>164</v>
      </c>
      <c r="M1322" s="18" t="str">
        <f>IF(I1322&lt;&gt;"Sí","",IF(YEAR(F1322)&lt;&gt;2026,"",INDEX({"Enero","Febrero","Marzo","Abril","Mayo","Junio","Julio","Agosto","Septiembre","Octubre","Noviembre","Diciembre"},MONTH(F1322))))</f>
        <v>Julio</v>
      </c>
      <c r="N1322" s="18" t="str">
        <f t="shared" si="62"/>
        <v>Julio|164</v>
      </c>
    </row>
    <row r="1323" spans="1:14" ht="14.5" x14ac:dyDescent="0.25">
      <c r="A1323" s="19">
        <v>33</v>
      </c>
      <c r="B1323" s="18" t="s">
        <v>40</v>
      </c>
      <c r="C1323" s="18" t="s">
        <v>97</v>
      </c>
      <c r="D1323" s="18" t="s">
        <v>1617</v>
      </c>
      <c r="E1323" s="18" t="s">
        <v>1881</v>
      </c>
      <c r="F1323" s="101">
        <v>46234.135416666664</v>
      </c>
      <c r="G1323" s="101">
        <v>46235.038194444445</v>
      </c>
      <c r="H1323" s="18" t="s">
        <v>507</v>
      </c>
      <c r="I1323" s="18" t="s">
        <v>508</v>
      </c>
      <c r="J1323" s="18"/>
      <c r="K1323" s="21">
        <f t="shared" si="60"/>
        <v>21.666666666744277</v>
      </c>
      <c r="L1323" s="19">
        <f t="shared" si="61"/>
        <v>166</v>
      </c>
      <c r="M1323" s="18" t="str">
        <f>IF(I1323&lt;&gt;"Sí","",IF(YEAR(F1323)&lt;&gt;2026,"",INDEX({"Enero","Febrero","Marzo","Abril","Mayo","Junio","Julio","Agosto","Septiembre","Octubre","Noviembre","Diciembre"},MONTH(F1323))))</f>
        <v>Julio</v>
      </c>
      <c r="N1323" s="18" t="str">
        <f t="shared" si="62"/>
        <v>Julio|166</v>
      </c>
    </row>
    <row r="1324" spans="1:14" ht="14.5" x14ac:dyDescent="0.25">
      <c r="A1324" s="19">
        <v>33</v>
      </c>
      <c r="B1324" s="18" t="s">
        <v>40</v>
      </c>
      <c r="C1324" s="18" t="s">
        <v>97</v>
      </c>
      <c r="D1324" s="18" t="s">
        <v>1617</v>
      </c>
      <c r="E1324" s="18" t="s">
        <v>1882</v>
      </c>
      <c r="F1324" s="101">
        <v>46234.135416666664</v>
      </c>
      <c r="G1324" s="101">
        <v>46235.045138888891</v>
      </c>
      <c r="H1324" s="18" t="s">
        <v>507</v>
      </c>
      <c r="I1324" s="18" t="s">
        <v>508</v>
      </c>
      <c r="J1324" s="18"/>
      <c r="K1324" s="21">
        <f t="shared" si="60"/>
        <v>21.833333333430346</v>
      </c>
      <c r="L1324" s="19">
        <f t="shared" si="61"/>
        <v>166</v>
      </c>
      <c r="M1324" s="18" t="str">
        <f>IF(I1324&lt;&gt;"Sí","",IF(YEAR(F1324)&lt;&gt;2026,"",INDEX({"Enero","Febrero","Marzo","Abril","Mayo","Junio","Julio","Agosto","Septiembre","Octubre","Noviembre","Diciembre"},MONTH(F1324))))</f>
        <v>Julio</v>
      </c>
      <c r="N1324" s="18" t="str">
        <f t="shared" si="62"/>
        <v>Julio|166</v>
      </c>
    </row>
    <row r="1325" spans="1:14" ht="14.5" x14ac:dyDescent="0.25">
      <c r="A1325" s="19">
        <v>33</v>
      </c>
      <c r="B1325" s="18" t="s">
        <v>40</v>
      </c>
      <c r="C1325" s="18" t="s">
        <v>97</v>
      </c>
      <c r="D1325" s="18" t="s">
        <v>1617</v>
      </c>
      <c r="E1325" s="18" t="s">
        <v>1883</v>
      </c>
      <c r="F1325" s="101">
        <v>46234.136111111111</v>
      </c>
      <c r="G1325" s="101">
        <v>46234.774305555555</v>
      </c>
      <c r="H1325" s="18" t="s">
        <v>507</v>
      </c>
      <c r="I1325" s="18" t="s">
        <v>508</v>
      </c>
      <c r="J1325" s="18"/>
      <c r="K1325" s="21">
        <f t="shared" si="60"/>
        <v>15.316666666651145</v>
      </c>
      <c r="L1325" s="19">
        <f t="shared" si="61"/>
        <v>167</v>
      </c>
      <c r="M1325" s="18" t="str">
        <f>IF(I1325&lt;&gt;"Sí","",IF(YEAR(F1325)&lt;&gt;2026,"",INDEX({"Enero","Febrero","Marzo","Abril","Mayo","Junio","Julio","Agosto","Septiembre","Octubre","Noviembre","Diciembre"},MONTH(F1325))))</f>
        <v>Julio</v>
      </c>
      <c r="N1325" s="18" t="str">
        <f t="shared" si="62"/>
        <v>Julio|167</v>
      </c>
    </row>
    <row r="1326" spans="1:14" ht="14.5" x14ac:dyDescent="0.25">
      <c r="A1326" s="19">
        <v>33</v>
      </c>
      <c r="B1326" s="18" t="s">
        <v>40</v>
      </c>
      <c r="C1326" s="18" t="s">
        <v>97</v>
      </c>
      <c r="D1326" s="18" t="s">
        <v>1617</v>
      </c>
      <c r="E1326" s="18" t="s">
        <v>1884</v>
      </c>
      <c r="F1326" s="101">
        <v>46234.137499999997</v>
      </c>
      <c r="G1326" s="101">
        <v>46234.771527777775</v>
      </c>
      <c r="H1326" s="18" t="s">
        <v>507</v>
      </c>
      <c r="I1326" s="18" t="s">
        <v>508</v>
      </c>
      <c r="J1326" s="18"/>
      <c r="K1326" s="21">
        <f t="shared" si="60"/>
        <v>15.216666666674428</v>
      </c>
      <c r="L1326" s="19">
        <f t="shared" si="61"/>
        <v>168</v>
      </c>
      <c r="M1326" s="18" t="str">
        <f>IF(I1326&lt;&gt;"Sí","",IF(YEAR(F1326)&lt;&gt;2026,"",INDEX({"Enero","Febrero","Marzo","Abril","Mayo","Junio","Julio","Agosto","Septiembre","Octubre","Noviembre","Diciembre"},MONTH(F1326))))</f>
        <v>Julio</v>
      </c>
      <c r="N1326" s="18" t="str">
        <f t="shared" si="62"/>
        <v>Julio|168</v>
      </c>
    </row>
    <row r="1327" spans="1:14" ht="14.5" x14ac:dyDescent="0.25">
      <c r="A1327" s="19">
        <v>33</v>
      </c>
      <c r="B1327" s="18" t="s">
        <v>40</v>
      </c>
      <c r="C1327" s="18" t="s">
        <v>97</v>
      </c>
      <c r="D1327" s="18" t="s">
        <v>1617</v>
      </c>
      <c r="E1327" s="18" t="s">
        <v>1885</v>
      </c>
      <c r="F1327" s="101">
        <v>46234.13958333333</v>
      </c>
      <c r="G1327" s="101">
        <v>46234.76666666667</v>
      </c>
      <c r="H1327" s="18" t="s">
        <v>507</v>
      </c>
      <c r="I1327" s="18" t="s">
        <v>508</v>
      </c>
      <c r="J1327" s="18"/>
      <c r="K1327" s="21">
        <f t="shared" si="60"/>
        <v>15.050000000162981</v>
      </c>
      <c r="L1327" s="19">
        <f t="shared" si="61"/>
        <v>169</v>
      </c>
      <c r="M1327" s="18" t="str">
        <f>IF(I1327&lt;&gt;"Sí","",IF(YEAR(F1327)&lt;&gt;2026,"",INDEX({"Enero","Febrero","Marzo","Abril","Mayo","Junio","Julio","Agosto","Septiembre","Octubre","Noviembre","Diciembre"},MONTH(F1327))))</f>
        <v>Julio</v>
      </c>
      <c r="N1327" s="18" t="str">
        <f t="shared" si="62"/>
        <v>Julio|169</v>
      </c>
    </row>
    <row r="1328" spans="1:14" ht="14.5" x14ac:dyDescent="0.25">
      <c r="A1328" s="19">
        <v>33</v>
      </c>
      <c r="B1328" s="18" t="s">
        <v>40</v>
      </c>
      <c r="C1328" s="18" t="s">
        <v>97</v>
      </c>
      <c r="D1328" s="18" t="s">
        <v>1617</v>
      </c>
      <c r="E1328" s="18" t="s">
        <v>1886</v>
      </c>
      <c r="F1328" s="101">
        <v>46234.140972222223</v>
      </c>
      <c r="G1328" s="101">
        <v>46234.76458333333</v>
      </c>
      <c r="H1328" s="18" t="s">
        <v>507</v>
      </c>
      <c r="I1328" s="18" t="s">
        <v>508</v>
      </c>
      <c r="J1328" s="18"/>
      <c r="K1328" s="21">
        <f t="shared" si="60"/>
        <v>14.966666666558012</v>
      </c>
      <c r="L1328" s="19">
        <f t="shared" si="61"/>
        <v>170</v>
      </c>
      <c r="M1328" s="18" t="str">
        <f>IF(I1328&lt;&gt;"Sí","",IF(YEAR(F1328)&lt;&gt;2026,"",INDEX({"Enero","Febrero","Marzo","Abril","Mayo","Junio","Julio","Agosto","Septiembre","Octubre","Noviembre","Diciembre"},MONTH(F1328))))</f>
        <v>Julio</v>
      </c>
      <c r="N1328" s="18" t="str">
        <f t="shared" si="62"/>
        <v>Julio|170</v>
      </c>
    </row>
    <row r="1329" spans="1:14" ht="14.5" x14ac:dyDescent="0.25">
      <c r="A1329" s="19">
        <v>33</v>
      </c>
      <c r="B1329" s="18" t="s">
        <v>40</v>
      </c>
      <c r="C1329" s="18" t="s">
        <v>97</v>
      </c>
      <c r="D1329" s="18" t="s">
        <v>1617</v>
      </c>
      <c r="E1329" s="18" t="s">
        <v>1887</v>
      </c>
      <c r="F1329" s="101">
        <v>46234.142361111109</v>
      </c>
      <c r="G1329" s="101">
        <v>46234.762499999997</v>
      </c>
      <c r="H1329" s="18" t="s">
        <v>507</v>
      </c>
      <c r="I1329" s="18" t="s">
        <v>508</v>
      </c>
      <c r="J1329" s="18"/>
      <c r="K1329" s="21">
        <f t="shared" si="60"/>
        <v>14.883333333302289</v>
      </c>
      <c r="L1329" s="19">
        <f t="shared" si="61"/>
        <v>171</v>
      </c>
      <c r="M1329" s="18" t="str">
        <f>IF(I1329&lt;&gt;"Sí","",IF(YEAR(F1329)&lt;&gt;2026,"",INDEX({"Enero","Febrero","Marzo","Abril","Mayo","Junio","Julio","Agosto","Septiembre","Octubre","Noviembre","Diciembre"},MONTH(F1329))))</f>
        <v>Julio</v>
      </c>
      <c r="N1329" s="18" t="str">
        <f t="shared" si="62"/>
        <v>Julio|171</v>
      </c>
    </row>
    <row r="1330" spans="1:14" ht="14.5" x14ac:dyDescent="0.25">
      <c r="A1330" s="19">
        <v>33</v>
      </c>
      <c r="B1330" s="18" t="s">
        <v>40</v>
      </c>
      <c r="C1330" s="18" t="s">
        <v>97</v>
      </c>
      <c r="D1330" s="18" t="s">
        <v>1617</v>
      </c>
      <c r="E1330" s="18" t="s">
        <v>1888</v>
      </c>
      <c r="F1330" s="101">
        <v>46234.144444444442</v>
      </c>
      <c r="G1330" s="101">
        <v>46234.760416666664</v>
      </c>
      <c r="H1330" s="18" t="s">
        <v>507</v>
      </c>
      <c r="I1330" s="18" t="s">
        <v>508</v>
      </c>
      <c r="J1330" s="18"/>
      <c r="K1330" s="21">
        <f t="shared" si="60"/>
        <v>14.783333333325572</v>
      </c>
      <c r="L1330" s="19">
        <f t="shared" si="61"/>
        <v>172</v>
      </c>
      <c r="M1330" s="18" t="str">
        <f>IF(I1330&lt;&gt;"Sí","",IF(YEAR(F1330)&lt;&gt;2026,"",INDEX({"Enero","Febrero","Marzo","Abril","Mayo","Junio","Julio","Agosto","Septiembre","Octubre","Noviembre","Diciembre"},MONTH(F1330))))</f>
        <v>Julio</v>
      </c>
      <c r="N1330" s="18" t="str">
        <f t="shared" si="62"/>
        <v>Julio|172</v>
      </c>
    </row>
    <row r="1331" spans="1:14" ht="14.5" x14ac:dyDescent="0.25">
      <c r="A1331" s="19">
        <v>33</v>
      </c>
      <c r="B1331" s="18" t="s">
        <v>40</v>
      </c>
      <c r="C1331" s="18" t="s">
        <v>97</v>
      </c>
      <c r="D1331" s="18" t="s">
        <v>1617</v>
      </c>
      <c r="E1331" s="18" t="s">
        <v>1889</v>
      </c>
      <c r="F1331" s="101">
        <v>46234.145833333336</v>
      </c>
      <c r="G1331" s="101">
        <v>46234.756944444445</v>
      </c>
      <c r="H1331" s="18" t="s">
        <v>507</v>
      </c>
      <c r="I1331" s="18" t="s">
        <v>508</v>
      </c>
      <c r="J1331" s="18"/>
      <c r="K1331" s="21">
        <f t="shared" si="60"/>
        <v>14.666666666627862</v>
      </c>
      <c r="L1331" s="19">
        <f t="shared" si="61"/>
        <v>173</v>
      </c>
      <c r="M1331" s="18" t="str">
        <f>IF(I1331&lt;&gt;"Sí","",IF(YEAR(F1331)&lt;&gt;2026,"",INDEX({"Enero","Febrero","Marzo","Abril","Mayo","Junio","Julio","Agosto","Septiembre","Octubre","Noviembre","Diciembre"},MONTH(F1331))))</f>
        <v>Julio</v>
      </c>
      <c r="N1331" s="18" t="str">
        <f t="shared" si="62"/>
        <v>Julio|173</v>
      </c>
    </row>
    <row r="1332" spans="1:14" ht="14.5" x14ac:dyDescent="0.25">
      <c r="A1332" s="19">
        <v>33</v>
      </c>
      <c r="B1332" s="18" t="s">
        <v>40</v>
      </c>
      <c r="C1332" s="18" t="s">
        <v>97</v>
      </c>
      <c r="D1332" s="18" t="s">
        <v>1617</v>
      </c>
      <c r="E1332" s="18" t="s">
        <v>1890</v>
      </c>
      <c r="F1332" s="101">
        <v>46234.147916666669</v>
      </c>
      <c r="G1332" s="101">
        <v>46234.754861111112</v>
      </c>
      <c r="H1332" s="18" t="s">
        <v>507</v>
      </c>
      <c r="I1332" s="18" t="s">
        <v>508</v>
      </c>
      <c r="J1332" s="18"/>
      <c r="K1332" s="21">
        <f t="shared" si="60"/>
        <v>14.566666666651145</v>
      </c>
      <c r="L1332" s="19">
        <f t="shared" si="61"/>
        <v>174</v>
      </c>
      <c r="M1332" s="18" t="str">
        <f>IF(I1332&lt;&gt;"Sí","",IF(YEAR(F1332)&lt;&gt;2026,"",INDEX({"Enero","Febrero","Marzo","Abril","Mayo","Junio","Julio","Agosto","Septiembre","Octubre","Noviembre","Diciembre"},MONTH(F1332))))</f>
        <v>Julio</v>
      </c>
      <c r="N1332" s="18" t="str">
        <f t="shared" si="62"/>
        <v>Julio|174</v>
      </c>
    </row>
    <row r="1333" spans="1:14" ht="14.5" x14ac:dyDescent="0.25">
      <c r="A1333" s="19">
        <v>33</v>
      </c>
      <c r="B1333" s="18" t="s">
        <v>40</v>
      </c>
      <c r="C1333" s="18" t="s">
        <v>97</v>
      </c>
      <c r="D1333" s="18" t="s">
        <v>1617</v>
      </c>
      <c r="E1333" s="18" t="s">
        <v>1891</v>
      </c>
      <c r="F1333" s="101">
        <v>46234.150694444441</v>
      </c>
      <c r="G1333" s="101">
        <v>46234.752083333333</v>
      </c>
      <c r="H1333" s="18" t="s">
        <v>507</v>
      </c>
      <c r="I1333" s="18" t="s">
        <v>508</v>
      </c>
      <c r="J1333" s="18"/>
      <c r="K1333" s="21">
        <f t="shared" si="60"/>
        <v>14.433333333407063</v>
      </c>
      <c r="L1333" s="19">
        <f t="shared" si="61"/>
        <v>175</v>
      </c>
      <c r="M1333" s="18" t="str">
        <f>IF(I1333&lt;&gt;"Sí","",IF(YEAR(F1333)&lt;&gt;2026,"",INDEX({"Enero","Febrero","Marzo","Abril","Mayo","Junio","Julio","Agosto","Septiembre","Octubre","Noviembre","Diciembre"},MONTH(F1333))))</f>
        <v>Julio</v>
      </c>
      <c r="N1333" s="18" t="str">
        <f t="shared" si="62"/>
        <v>Julio|175</v>
      </c>
    </row>
    <row r="1334" spans="1:14" ht="14.5" x14ac:dyDescent="0.25">
      <c r="A1334" s="19">
        <v>33</v>
      </c>
      <c r="B1334" s="18" t="s">
        <v>40</v>
      </c>
      <c r="C1334" s="18" t="s">
        <v>97</v>
      </c>
      <c r="D1334" s="18" t="s">
        <v>1617</v>
      </c>
      <c r="E1334" s="18" t="s">
        <v>1892</v>
      </c>
      <c r="F1334" s="101">
        <v>46234.152777777781</v>
      </c>
      <c r="G1334" s="101">
        <v>46234.746527777781</v>
      </c>
      <c r="H1334" s="18" t="s">
        <v>507</v>
      </c>
      <c r="I1334" s="18" t="s">
        <v>508</v>
      </c>
      <c r="J1334" s="18"/>
      <c r="K1334" s="21">
        <f t="shared" si="60"/>
        <v>14.25</v>
      </c>
      <c r="L1334" s="19">
        <f t="shared" si="61"/>
        <v>176</v>
      </c>
      <c r="M1334" s="18" t="str">
        <f>IF(I1334&lt;&gt;"Sí","",IF(YEAR(F1334)&lt;&gt;2026,"",INDEX({"Enero","Febrero","Marzo","Abril","Mayo","Junio","Julio","Agosto","Septiembre","Octubre","Noviembre","Diciembre"},MONTH(F1334))))</f>
        <v>Julio</v>
      </c>
      <c r="N1334" s="18" t="str">
        <f t="shared" si="62"/>
        <v>Julio|176</v>
      </c>
    </row>
    <row r="1335" spans="1:14" ht="14.5" x14ac:dyDescent="0.25">
      <c r="A1335" s="19">
        <v>33</v>
      </c>
      <c r="B1335" s="18" t="s">
        <v>40</v>
      </c>
      <c r="C1335" s="18" t="s">
        <v>97</v>
      </c>
      <c r="D1335" s="18" t="s">
        <v>1617</v>
      </c>
      <c r="E1335" s="18" t="s">
        <v>1893</v>
      </c>
      <c r="F1335" s="101">
        <v>46234.154861111114</v>
      </c>
      <c r="G1335" s="101">
        <v>46234.732638888891</v>
      </c>
      <c r="H1335" s="18" t="s">
        <v>507</v>
      </c>
      <c r="I1335" s="18" t="s">
        <v>508</v>
      </c>
      <c r="J1335" s="18"/>
      <c r="K1335" s="21">
        <f t="shared" si="60"/>
        <v>13.866666666639503</v>
      </c>
      <c r="L1335" s="19">
        <f t="shared" si="61"/>
        <v>177</v>
      </c>
      <c r="M1335" s="18" t="str">
        <f>IF(I1335&lt;&gt;"Sí","",IF(YEAR(F1335)&lt;&gt;2026,"",INDEX({"Enero","Febrero","Marzo","Abril","Mayo","Junio","Julio","Agosto","Septiembre","Octubre","Noviembre","Diciembre"},MONTH(F1335))))</f>
        <v>Julio</v>
      </c>
      <c r="N1335" s="18" t="str">
        <f t="shared" si="62"/>
        <v>Julio|177</v>
      </c>
    </row>
    <row r="1336" spans="1:14" ht="14.5" x14ac:dyDescent="0.25">
      <c r="A1336" s="19">
        <v>33</v>
      </c>
      <c r="B1336" s="18" t="s">
        <v>40</v>
      </c>
      <c r="C1336" s="18" t="s">
        <v>97</v>
      </c>
      <c r="D1336" s="18" t="s">
        <v>1617</v>
      </c>
      <c r="E1336" s="18" t="s">
        <v>1894</v>
      </c>
      <c r="F1336" s="101">
        <v>46234.161805555559</v>
      </c>
      <c r="G1336" s="101">
        <v>46234.743750000001</v>
      </c>
      <c r="H1336" s="18" t="s">
        <v>507</v>
      </c>
      <c r="I1336" s="18" t="s">
        <v>508</v>
      </c>
      <c r="J1336" s="18"/>
      <c r="K1336" s="21">
        <f t="shared" si="60"/>
        <v>13.96666666661622</v>
      </c>
      <c r="L1336" s="19">
        <f t="shared" si="61"/>
        <v>178</v>
      </c>
      <c r="M1336" s="18" t="str">
        <f>IF(I1336&lt;&gt;"Sí","",IF(YEAR(F1336)&lt;&gt;2026,"",INDEX({"Enero","Febrero","Marzo","Abril","Mayo","Junio","Julio","Agosto","Septiembre","Octubre","Noviembre","Diciembre"},MONTH(F1336))))</f>
        <v>Julio</v>
      </c>
      <c r="N1336" s="18" t="str">
        <f t="shared" si="62"/>
        <v>Julio|178</v>
      </c>
    </row>
    <row r="1337" spans="1:14" ht="14.5" x14ac:dyDescent="0.25">
      <c r="A1337" s="19">
        <v>33</v>
      </c>
      <c r="B1337" s="18" t="s">
        <v>40</v>
      </c>
      <c r="C1337" s="18" t="s">
        <v>97</v>
      </c>
      <c r="D1337" s="18" t="s">
        <v>1617</v>
      </c>
      <c r="E1337" s="18" t="s">
        <v>1895</v>
      </c>
      <c r="F1337" s="101">
        <v>46234.166666666664</v>
      </c>
      <c r="G1337" s="101">
        <v>46234.740277777775</v>
      </c>
      <c r="H1337" s="18" t="s">
        <v>507</v>
      </c>
      <c r="I1337" s="18" t="s">
        <v>508</v>
      </c>
      <c r="J1337" s="18"/>
      <c r="K1337" s="21">
        <f t="shared" si="60"/>
        <v>13.766666666662786</v>
      </c>
      <c r="L1337" s="19">
        <f t="shared" si="61"/>
        <v>179</v>
      </c>
      <c r="M1337" s="18" t="str">
        <f>IF(I1337&lt;&gt;"Sí","",IF(YEAR(F1337)&lt;&gt;2026,"",INDEX({"Enero","Febrero","Marzo","Abril","Mayo","Junio","Julio","Agosto","Septiembre","Octubre","Noviembre","Diciembre"},MONTH(F1337))))</f>
        <v>Julio</v>
      </c>
      <c r="N1337" s="18" t="str">
        <f t="shared" si="62"/>
        <v>Julio|179</v>
      </c>
    </row>
    <row r="1338" spans="1:14" ht="14.5" x14ac:dyDescent="0.25">
      <c r="A1338" s="19">
        <v>33</v>
      </c>
      <c r="B1338" s="18" t="s">
        <v>40</v>
      </c>
      <c r="C1338" s="18" t="s">
        <v>97</v>
      </c>
      <c r="D1338" s="18" t="s">
        <v>1617</v>
      </c>
      <c r="E1338" s="18" t="s">
        <v>1896</v>
      </c>
      <c r="F1338" s="101">
        <v>46234.170138888891</v>
      </c>
      <c r="G1338" s="101">
        <v>46235.052083333336</v>
      </c>
      <c r="H1338" s="18" t="s">
        <v>507</v>
      </c>
      <c r="I1338" s="18" t="s">
        <v>508</v>
      </c>
      <c r="J1338" s="18"/>
      <c r="K1338" s="21">
        <f t="shared" si="60"/>
        <v>21.166666666686069</v>
      </c>
      <c r="L1338" s="19">
        <f t="shared" si="61"/>
        <v>180</v>
      </c>
      <c r="M1338" s="18" t="str">
        <f>IF(I1338&lt;&gt;"Sí","",IF(YEAR(F1338)&lt;&gt;2026,"",INDEX({"Enero","Febrero","Marzo","Abril","Mayo","Junio","Julio","Agosto","Septiembre","Octubre","Noviembre","Diciembre"},MONTH(F1338))))</f>
        <v>Julio</v>
      </c>
      <c r="N1338" s="18" t="str">
        <f t="shared" si="62"/>
        <v>Julio|180</v>
      </c>
    </row>
    <row r="1339" spans="1:14" ht="14.5" x14ac:dyDescent="0.25">
      <c r="A1339" s="19">
        <v>33</v>
      </c>
      <c r="B1339" s="18" t="s">
        <v>40</v>
      </c>
      <c r="C1339" s="18" t="s">
        <v>97</v>
      </c>
      <c r="D1339" s="18" t="s">
        <v>1617</v>
      </c>
      <c r="E1339" s="18" t="s">
        <v>1897</v>
      </c>
      <c r="F1339" s="101">
        <v>46234.174305555556</v>
      </c>
      <c r="G1339" s="101">
        <v>46234.734722222223</v>
      </c>
      <c r="H1339" s="18" t="s">
        <v>507</v>
      </c>
      <c r="I1339" s="18" t="s">
        <v>508</v>
      </c>
      <c r="J1339" s="18"/>
      <c r="K1339" s="21">
        <f t="shared" si="60"/>
        <v>13.450000000011642</v>
      </c>
      <c r="L1339" s="19">
        <f t="shared" si="61"/>
        <v>181</v>
      </c>
      <c r="M1339" s="18" t="str">
        <f>IF(I1339&lt;&gt;"Sí","",IF(YEAR(F1339)&lt;&gt;2026,"",INDEX({"Enero","Febrero","Marzo","Abril","Mayo","Junio","Julio","Agosto","Septiembre","Octubre","Noviembre","Diciembre"},MONTH(F1339))))</f>
        <v>Julio</v>
      </c>
      <c r="N1339" s="18" t="str">
        <f t="shared" si="62"/>
        <v>Julio|181</v>
      </c>
    </row>
    <row r="1340" spans="1:14" ht="14.5" x14ac:dyDescent="0.25">
      <c r="A1340" s="19">
        <v>33</v>
      </c>
      <c r="B1340" s="18" t="s">
        <v>40</v>
      </c>
      <c r="C1340" s="18" t="s">
        <v>97</v>
      </c>
      <c r="D1340" s="18" t="s">
        <v>1617</v>
      </c>
      <c r="E1340" s="18" t="s">
        <v>1898</v>
      </c>
      <c r="F1340" s="101">
        <v>46234.180555555555</v>
      </c>
      <c r="G1340" s="101">
        <v>46234.724999999999</v>
      </c>
      <c r="H1340" s="18" t="s">
        <v>507</v>
      </c>
      <c r="I1340" s="18" t="s">
        <v>508</v>
      </c>
      <c r="J1340" s="18"/>
      <c r="K1340" s="21">
        <f t="shared" si="60"/>
        <v>13.066666666651145</v>
      </c>
      <c r="L1340" s="19">
        <f t="shared" si="61"/>
        <v>182</v>
      </c>
      <c r="M1340" s="18" t="str">
        <f>IF(I1340&lt;&gt;"Sí","",IF(YEAR(F1340)&lt;&gt;2026,"",INDEX({"Enero","Febrero","Marzo","Abril","Mayo","Junio","Julio","Agosto","Septiembre","Octubre","Noviembre","Diciembre"},MONTH(F1340))))</f>
        <v>Julio</v>
      </c>
      <c r="N1340" s="18" t="str">
        <f t="shared" si="62"/>
        <v>Julio|182</v>
      </c>
    </row>
    <row r="1341" spans="1:14" ht="14.5" x14ac:dyDescent="0.25">
      <c r="A1341" s="19">
        <v>33</v>
      </c>
      <c r="B1341" s="18" t="s">
        <v>40</v>
      </c>
      <c r="C1341" s="18" t="s">
        <v>97</v>
      </c>
      <c r="D1341" s="18" t="s">
        <v>1617</v>
      </c>
      <c r="E1341" s="18" t="s">
        <v>1899</v>
      </c>
      <c r="F1341" s="101">
        <v>46234.184027777781</v>
      </c>
      <c r="G1341" s="101">
        <v>46234.72152777778</v>
      </c>
      <c r="H1341" s="18" t="s">
        <v>507</v>
      </c>
      <c r="I1341" s="18" t="s">
        <v>508</v>
      </c>
      <c r="J1341" s="18"/>
      <c r="K1341" s="21">
        <f t="shared" si="60"/>
        <v>12.899999999965075</v>
      </c>
      <c r="L1341" s="19">
        <f t="shared" si="61"/>
        <v>183</v>
      </c>
      <c r="M1341" s="18" t="str">
        <f>IF(I1341&lt;&gt;"Sí","",IF(YEAR(F1341)&lt;&gt;2026,"",INDEX({"Enero","Febrero","Marzo","Abril","Mayo","Junio","Julio","Agosto","Septiembre","Octubre","Noviembre","Diciembre"},MONTH(F1341))))</f>
        <v>Julio</v>
      </c>
      <c r="N1341" s="18" t="str">
        <f t="shared" si="62"/>
        <v>Julio|183</v>
      </c>
    </row>
    <row r="1342" spans="1:14" ht="14.5" x14ac:dyDescent="0.25">
      <c r="A1342" s="19">
        <v>33</v>
      </c>
      <c r="B1342" s="18" t="s">
        <v>40</v>
      </c>
      <c r="C1342" s="18" t="s">
        <v>97</v>
      </c>
      <c r="D1342" s="18" t="s">
        <v>1617</v>
      </c>
      <c r="E1342" s="18" t="s">
        <v>1900</v>
      </c>
      <c r="F1342" s="101">
        <v>46234.1875</v>
      </c>
      <c r="G1342" s="101">
        <v>46234.720138888886</v>
      </c>
      <c r="H1342" s="18" t="s">
        <v>507</v>
      </c>
      <c r="I1342" s="18" t="s">
        <v>508</v>
      </c>
      <c r="J1342" s="18"/>
      <c r="K1342" s="21">
        <f t="shared" si="60"/>
        <v>12.783333333267365</v>
      </c>
      <c r="L1342" s="19">
        <f t="shared" si="61"/>
        <v>184</v>
      </c>
      <c r="M1342" s="18" t="str">
        <f>IF(I1342&lt;&gt;"Sí","",IF(YEAR(F1342)&lt;&gt;2026,"",INDEX({"Enero","Febrero","Marzo","Abril","Mayo","Junio","Julio","Agosto","Septiembre","Octubre","Noviembre","Diciembre"},MONTH(F1342))))</f>
        <v>Julio</v>
      </c>
      <c r="N1342" s="18" t="str">
        <f t="shared" si="62"/>
        <v>Julio|184</v>
      </c>
    </row>
    <row r="1343" spans="1:14" ht="14.5" x14ac:dyDescent="0.25">
      <c r="A1343" s="19">
        <v>33</v>
      </c>
      <c r="B1343" s="18" t="s">
        <v>40</v>
      </c>
      <c r="C1343" s="18" t="s">
        <v>97</v>
      </c>
      <c r="D1343" s="18" t="s">
        <v>1617</v>
      </c>
      <c r="E1343" s="18" t="s">
        <v>1901</v>
      </c>
      <c r="F1343" s="101">
        <v>46234.193055555559</v>
      </c>
      <c r="G1343" s="101">
        <v>46234.626388888886</v>
      </c>
      <c r="H1343" s="18" t="s">
        <v>507</v>
      </c>
      <c r="I1343" s="18" t="s">
        <v>508</v>
      </c>
      <c r="J1343" s="18"/>
      <c r="K1343" s="21">
        <f t="shared" si="60"/>
        <v>10.39999999984866</v>
      </c>
      <c r="L1343" s="19">
        <f t="shared" si="61"/>
        <v>185</v>
      </c>
      <c r="M1343" s="18" t="str">
        <f>IF(I1343&lt;&gt;"Sí","",IF(YEAR(F1343)&lt;&gt;2026,"",INDEX({"Enero","Febrero","Marzo","Abril","Mayo","Junio","Julio","Agosto","Septiembre","Octubre","Noviembre","Diciembre"},MONTH(F1343))))</f>
        <v>Julio</v>
      </c>
      <c r="N1343" s="18" t="str">
        <f t="shared" si="62"/>
        <v>Julio|185</v>
      </c>
    </row>
    <row r="1344" spans="1:14" ht="14.5" x14ac:dyDescent="0.25">
      <c r="A1344" s="19">
        <v>33</v>
      </c>
      <c r="B1344" s="18" t="s">
        <v>40</v>
      </c>
      <c r="C1344" s="18" t="s">
        <v>97</v>
      </c>
      <c r="D1344" s="18" t="s">
        <v>1617</v>
      </c>
      <c r="E1344" s="18" t="s">
        <v>1902</v>
      </c>
      <c r="F1344" s="101">
        <v>46234.194444444445</v>
      </c>
      <c r="G1344" s="101">
        <v>46234.619444444441</v>
      </c>
      <c r="H1344" s="18" t="s">
        <v>507</v>
      </c>
      <c r="I1344" s="18" t="s">
        <v>508</v>
      </c>
      <c r="J1344" s="18"/>
      <c r="K1344" s="21">
        <f t="shared" si="60"/>
        <v>10.199999999895226</v>
      </c>
      <c r="L1344" s="19">
        <f t="shared" si="61"/>
        <v>186</v>
      </c>
      <c r="M1344" s="18" t="str">
        <f>IF(I1344&lt;&gt;"Sí","",IF(YEAR(F1344)&lt;&gt;2026,"",INDEX({"Enero","Febrero","Marzo","Abril","Mayo","Junio","Julio","Agosto","Septiembre","Octubre","Noviembre","Diciembre"},MONTH(F1344))))</f>
        <v>Julio</v>
      </c>
      <c r="N1344" s="18" t="str">
        <f t="shared" si="62"/>
        <v>Julio|186</v>
      </c>
    </row>
    <row r="1345" spans="1:14" ht="14.5" x14ac:dyDescent="0.25">
      <c r="A1345" s="19">
        <v>33</v>
      </c>
      <c r="B1345" s="18" t="s">
        <v>40</v>
      </c>
      <c r="C1345" s="18" t="s">
        <v>97</v>
      </c>
      <c r="D1345" s="18" t="s">
        <v>1617</v>
      </c>
      <c r="E1345" s="18" t="s">
        <v>1903</v>
      </c>
      <c r="F1345" s="101">
        <v>46234.196527777778</v>
      </c>
      <c r="G1345" s="101">
        <v>46234.612500000003</v>
      </c>
      <c r="H1345" s="18" t="s">
        <v>507</v>
      </c>
      <c r="I1345" s="18" t="s">
        <v>508</v>
      </c>
      <c r="J1345" s="18"/>
      <c r="K1345" s="21">
        <f t="shared" si="60"/>
        <v>9.9833333333954215</v>
      </c>
      <c r="L1345" s="19">
        <f t="shared" si="61"/>
        <v>187</v>
      </c>
      <c r="M1345" s="18" t="str">
        <f>IF(I1345&lt;&gt;"Sí","",IF(YEAR(F1345)&lt;&gt;2026,"",INDEX({"Enero","Febrero","Marzo","Abril","Mayo","Junio","Julio","Agosto","Septiembre","Octubre","Noviembre","Diciembre"},MONTH(F1345))))</f>
        <v>Julio</v>
      </c>
      <c r="N1345" s="18" t="str">
        <f t="shared" si="62"/>
        <v>Julio|187</v>
      </c>
    </row>
    <row r="1346" spans="1:14" ht="14.5" x14ac:dyDescent="0.25">
      <c r="A1346" s="19">
        <v>33</v>
      </c>
      <c r="B1346" s="18" t="s">
        <v>40</v>
      </c>
      <c r="C1346" s="18" t="s">
        <v>97</v>
      </c>
      <c r="D1346" s="18" t="s">
        <v>1617</v>
      </c>
      <c r="E1346" s="18" t="s">
        <v>1904</v>
      </c>
      <c r="F1346" s="101">
        <v>46234.197916666664</v>
      </c>
      <c r="G1346" s="101">
        <v>46234.615277777775</v>
      </c>
      <c r="H1346" s="18" t="s">
        <v>507</v>
      </c>
      <c r="I1346" s="18" t="s">
        <v>508</v>
      </c>
      <c r="J1346" s="18"/>
      <c r="K1346" s="21">
        <f t="shared" si="60"/>
        <v>10.016666666662786</v>
      </c>
      <c r="L1346" s="19">
        <f t="shared" si="61"/>
        <v>188</v>
      </c>
      <c r="M1346" s="18" t="str">
        <f>IF(I1346&lt;&gt;"Sí","",IF(YEAR(F1346)&lt;&gt;2026,"",INDEX({"Enero","Febrero","Marzo","Abril","Mayo","Junio","Julio","Agosto","Septiembre","Octubre","Noviembre","Diciembre"},MONTH(F1346))))</f>
        <v>Julio</v>
      </c>
      <c r="N1346" s="18" t="str">
        <f t="shared" si="62"/>
        <v>Julio|188</v>
      </c>
    </row>
    <row r="1347" spans="1:14" ht="14.5" x14ac:dyDescent="0.25">
      <c r="A1347" s="19">
        <v>33</v>
      </c>
      <c r="B1347" s="18" t="s">
        <v>40</v>
      </c>
      <c r="C1347" s="18" t="s">
        <v>97</v>
      </c>
      <c r="D1347" s="18" t="s">
        <v>1617</v>
      </c>
      <c r="E1347" s="18" t="s">
        <v>1905</v>
      </c>
      <c r="F1347" s="101">
        <v>46234.200694444444</v>
      </c>
      <c r="G1347" s="101">
        <v>46234.614583333336</v>
      </c>
      <c r="H1347" s="18" t="s">
        <v>507</v>
      </c>
      <c r="I1347" s="18" t="s">
        <v>508</v>
      </c>
      <c r="J1347" s="18"/>
      <c r="K1347" s="21">
        <f t="shared" si="60"/>
        <v>9.933333333407063</v>
      </c>
      <c r="L1347" s="19">
        <f t="shared" si="61"/>
        <v>189</v>
      </c>
      <c r="M1347" s="18" t="str">
        <f>IF(I1347&lt;&gt;"Sí","",IF(YEAR(F1347)&lt;&gt;2026,"",INDEX({"Enero","Febrero","Marzo","Abril","Mayo","Junio","Julio","Agosto","Septiembre","Octubre","Noviembre","Diciembre"},MONTH(F1347))))</f>
        <v>Julio</v>
      </c>
      <c r="N1347" s="18" t="str">
        <f t="shared" si="62"/>
        <v>Julio|189</v>
      </c>
    </row>
    <row r="1348" spans="1:14" ht="14.5" x14ac:dyDescent="0.25">
      <c r="A1348" s="19">
        <v>33</v>
      </c>
      <c r="B1348" s="18" t="s">
        <v>40</v>
      </c>
      <c r="C1348" s="18" t="s">
        <v>97</v>
      </c>
      <c r="D1348" s="18" t="s">
        <v>1617</v>
      </c>
      <c r="E1348" s="18" t="s">
        <v>1906</v>
      </c>
      <c r="F1348" s="101">
        <v>46234.202777777777</v>
      </c>
      <c r="G1348" s="101">
        <v>46234.603472222225</v>
      </c>
      <c r="H1348" s="18" t="s">
        <v>507</v>
      </c>
      <c r="I1348" s="18" t="s">
        <v>508</v>
      </c>
      <c r="J1348" s="18"/>
      <c r="K1348" s="21">
        <f t="shared" si="60"/>
        <v>9.6166666667559184</v>
      </c>
      <c r="L1348" s="19">
        <f t="shared" si="61"/>
        <v>190</v>
      </c>
      <c r="M1348" s="18" t="str">
        <f>IF(I1348&lt;&gt;"Sí","",IF(YEAR(F1348)&lt;&gt;2026,"",INDEX({"Enero","Febrero","Marzo","Abril","Mayo","Junio","Julio","Agosto","Septiembre","Octubre","Noviembre","Diciembre"},MONTH(F1348))))</f>
        <v>Julio</v>
      </c>
      <c r="N1348" s="18" t="str">
        <f t="shared" si="62"/>
        <v>Julio|190</v>
      </c>
    </row>
    <row r="1349" spans="1:14" ht="14.5" x14ac:dyDescent="0.25">
      <c r="A1349" s="19">
        <v>33</v>
      </c>
      <c r="B1349" s="18" t="s">
        <v>40</v>
      </c>
      <c r="C1349" s="18" t="s">
        <v>97</v>
      </c>
      <c r="D1349" s="18" t="s">
        <v>1617</v>
      </c>
      <c r="E1349" s="18" t="s">
        <v>1907</v>
      </c>
      <c r="F1349" s="101">
        <v>46234.204861111109</v>
      </c>
      <c r="G1349" s="101">
        <v>46234.6</v>
      </c>
      <c r="H1349" s="18" t="s">
        <v>507</v>
      </c>
      <c r="I1349" s="18" t="s">
        <v>508</v>
      </c>
      <c r="J1349" s="18"/>
      <c r="K1349" s="21">
        <f t="shared" si="60"/>
        <v>9.4833333333372138</v>
      </c>
      <c r="L1349" s="19">
        <f t="shared" si="61"/>
        <v>192</v>
      </c>
      <c r="M1349" s="18" t="str">
        <f>IF(I1349&lt;&gt;"Sí","",IF(YEAR(F1349)&lt;&gt;2026,"",INDEX({"Enero","Febrero","Marzo","Abril","Mayo","Junio","Julio","Agosto","Septiembre","Octubre","Noviembre","Diciembre"},MONTH(F1349))))</f>
        <v>Julio</v>
      </c>
      <c r="N1349" s="18" t="str">
        <f t="shared" si="62"/>
        <v>Julio|192</v>
      </c>
    </row>
    <row r="1350" spans="1:14" ht="14.5" x14ac:dyDescent="0.25">
      <c r="A1350" s="19">
        <v>33</v>
      </c>
      <c r="B1350" s="18" t="s">
        <v>40</v>
      </c>
      <c r="C1350" s="18" t="s">
        <v>97</v>
      </c>
      <c r="D1350" s="18" t="s">
        <v>1617</v>
      </c>
      <c r="E1350" s="18" t="s">
        <v>1908</v>
      </c>
      <c r="F1350" s="101">
        <v>46234.204861111109</v>
      </c>
      <c r="G1350" s="101">
        <v>46234.71875</v>
      </c>
      <c r="H1350" s="18" t="s">
        <v>507</v>
      </c>
      <c r="I1350" s="18" t="s">
        <v>508</v>
      </c>
      <c r="J1350" s="18"/>
      <c r="K1350" s="21">
        <f t="shared" si="60"/>
        <v>12.333333333372138</v>
      </c>
      <c r="L1350" s="19">
        <f t="shared" si="61"/>
        <v>192</v>
      </c>
      <c r="M1350" s="18" t="str">
        <f>IF(I1350&lt;&gt;"Sí","",IF(YEAR(F1350)&lt;&gt;2026,"",INDEX({"Enero","Febrero","Marzo","Abril","Mayo","Junio","Julio","Agosto","Septiembre","Octubre","Noviembre","Diciembre"},MONTH(F1350))))</f>
        <v>Julio</v>
      </c>
      <c r="N1350" s="18" t="str">
        <f t="shared" si="62"/>
        <v>Julio|192</v>
      </c>
    </row>
    <row r="1351" spans="1:14" ht="14.5" x14ac:dyDescent="0.25">
      <c r="A1351" s="19">
        <v>33</v>
      </c>
      <c r="B1351" s="18" t="s">
        <v>40</v>
      </c>
      <c r="C1351" s="18" t="s">
        <v>97</v>
      </c>
      <c r="D1351" s="18" t="s">
        <v>1617</v>
      </c>
      <c r="E1351" s="18" t="s">
        <v>1909</v>
      </c>
      <c r="F1351" s="101">
        <v>46234.207638888889</v>
      </c>
      <c r="G1351" s="101">
        <v>46234.769444444442</v>
      </c>
      <c r="H1351" s="18" t="s">
        <v>507</v>
      </c>
      <c r="I1351" s="18" t="s">
        <v>508</v>
      </c>
      <c r="J1351" s="18"/>
      <c r="K1351" s="21">
        <f t="shared" ref="K1351:K1414" si="63">IF(I1351="Sí",(G1351-F1351)*24,"")</f>
        <v>13.483333333279006</v>
      </c>
      <c r="L1351" s="19">
        <f t="shared" ref="L1351:L1414" si="64">IF(I1351="Sí",COUNTIFS($F$7:$F$4000,"&lt;="&amp;F1351,$G$7:$G$4000,"&gt;"&amp;F1351,$I$7:$I$4000,"Sí"),"")</f>
        <v>193</v>
      </c>
      <c r="M1351" s="18" t="str">
        <f>IF(I1351&lt;&gt;"Sí","",IF(YEAR(F1351)&lt;&gt;2026,"",INDEX({"Enero","Febrero","Marzo","Abril","Mayo","Junio","Julio","Agosto","Septiembre","Octubre","Noviembre","Diciembre"},MONTH(F1351))))</f>
        <v>Julio</v>
      </c>
      <c r="N1351" s="18" t="str">
        <f t="shared" ref="N1351:N1414" si="65">IF(M1351="","",M1351&amp;"|"&amp;L1351)</f>
        <v>Julio|193</v>
      </c>
    </row>
    <row r="1352" spans="1:14" ht="14.5" x14ac:dyDescent="0.25">
      <c r="A1352" s="19">
        <v>33</v>
      </c>
      <c r="B1352" s="18" t="s">
        <v>40</v>
      </c>
      <c r="C1352" s="18" t="s">
        <v>97</v>
      </c>
      <c r="D1352" s="18" t="s">
        <v>1617</v>
      </c>
      <c r="E1352" s="18" t="s">
        <v>1910</v>
      </c>
      <c r="F1352" s="101">
        <v>46234.212500000001</v>
      </c>
      <c r="G1352" s="101">
        <v>46234.727083333331</v>
      </c>
      <c r="H1352" s="18" t="s">
        <v>507</v>
      </c>
      <c r="I1352" s="18" t="s">
        <v>508</v>
      </c>
      <c r="J1352" s="18"/>
      <c r="K1352" s="21">
        <f t="shared" si="63"/>
        <v>12.349999999918509</v>
      </c>
      <c r="L1352" s="19">
        <f t="shared" si="64"/>
        <v>194</v>
      </c>
      <c r="M1352" s="18" t="str">
        <f>IF(I1352&lt;&gt;"Sí","",IF(YEAR(F1352)&lt;&gt;2026,"",INDEX({"Enero","Febrero","Marzo","Abril","Mayo","Junio","Julio","Agosto","Septiembre","Octubre","Noviembre","Diciembre"},MONTH(F1352))))</f>
        <v>Julio</v>
      </c>
      <c r="N1352" s="18" t="str">
        <f t="shared" si="65"/>
        <v>Julio|194</v>
      </c>
    </row>
    <row r="1353" spans="1:14" ht="14.5" x14ac:dyDescent="0.25">
      <c r="A1353" s="19">
        <v>34</v>
      </c>
      <c r="B1353" s="18" t="s">
        <v>41</v>
      </c>
      <c r="C1353" s="18" t="s">
        <v>1054</v>
      </c>
      <c r="D1353" s="18" t="s">
        <v>1625</v>
      </c>
      <c r="E1353" s="18" t="s">
        <v>1911</v>
      </c>
      <c r="F1353" s="101">
        <v>46234.447916666664</v>
      </c>
      <c r="G1353" s="101">
        <v>46240.788888888892</v>
      </c>
      <c r="H1353" s="18" t="s">
        <v>507</v>
      </c>
      <c r="I1353" s="18" t="s">
        <v>508</v>
      </c>
      <c r="J1353" s="18"/>
      <c r="K1353" s="21">
        <f t="shared" si="63"/>
        <v>152.18333333346527</v>
      </c>
      <c r="L1353" s="19">
        <f t="shared" si="64"/>
        <v>195</v>
      </c>
      <c r="M1353" s="18" t="str">
        <f>IF(I1353&lt;&gt;"Sí","",IF(YEAR(F1353)&lt;&gt;2026,"",INDEX({"Enero","Febrero","Marzo","Abril","Mayo","Junio","Julio","Agosto","Septiembre","Octubre","Noviembre","Diciembre"},MONTH(F1353))))</f>
        <v>Julio</v>
      </c>
      <c r="N1353" s="18" t="str">
        <f t="shared" si="65"/>
        <v>Julio|195</v>
      </c>
    </row>
    <row r="1354" spans="1:14" ht="14.5" x14ac:dyDescent="0.25">
      <c r="A1354" s="19">
        <v>33</v>
      </c>
      <c r="B1354" s="18" t="s">
        <v>40</v>
      </c>
      <c r="C1354" s="18" t="s">
        <v>97</v>
      </c>
      <c r="D1354" s="18" t="s">
        <v>1617</v>
      </c>
      <c r="E1354" s="18" t="s">
        <v>1912</v>
      </c>
      <c r="F1354" s="101">
        <v>46234.459027777775</v>
      </c>
      <c r="G1354" s="101">
        <v>46234.675000000003</v>
      </c>
      <c r="H1354" s="18" t="s">
        <v>507</v>
      </c>
      <c r="I1354" s="18" t="s">
        <v>508</v>
      </c>
      <c r="J1354" s="18"/>
      <c r="K1354" s="21">
        <f t="shared" si="63"/>
        <v>5.1833333334652707</v>
      </c>
      <c r="L1354" s="19">
        <f t="shared" si="64"/>
        <v>196</v>
      </c>
      <c r="M1354" s="18" t="str">
        <f>IF(I1354&lt;&gt;"Sí","",IF(YEAR(F1354)&lt;&gt;2026,"",INDEX({"Enero","Febrero","Marzo","Abril","Mayo","Junio","Julio","Agosto","Septiembre","Octubre","Noviembre","Diciembre"},MONTH(F1354))))</f>
        <v>Julio</v>
      </c>
      <c r="N1354" s="18" t="str">
        <f t="shared" si="65"/>
        <v>Julio|196</v>
      </c>
    </row>
    <row r="1355" spans="1:14" ht="14.5" x14ac:dyDescent="0.25">
      <c r="A1355" s="19">
        <v>33</v>
      </c>
      <c r="B1355" s="18" t="s">
        <v>40</v>
      </c>
      <c r="C1355" s="18" t="s">
        <v>97</v>
      </c>
      <c r="D1355" s="18" t="s">
        <v>1617</v>
      </c>
      <c r="E1355" s="18" t="s">
        <v>1913</v>
      </c>
      <c r="F1355" s="101">
        <v>46234.465277777781</v>
      </c>
      <c r="G1355" s="101">
        <v>46234.693055555559</v>
      </c>
      <c r="H1355" s="18" t="s">
        <v>507</v>
      </c>
      <c r="I1355" s="18" t="s">
        <v>508</v>
      </c>
      <c r="J1355" s="18"/>
      <c r="K1355" s="21">
        <f t="shared" si="63"/>
        <v>5.4666666666744277</v>
      </c>
      <c r="L1355" s="19">
        <f t="shared" si="64"/>
        <v>197</v>
      </c>
      <c r="M1355" s="18" t="str">
        <f>IF(I1355&lt;&gt;"Sí","",IF(YEAR(F1355)&lt;&gt;2026,"",INDEX({"Enero","Febrero","Marzo","Abril","Mayo","Junio","Julio","Agosto","Septiembre","Octubre","Noviembre","Diciembre"},MONTH(F1355))))</f>
        <v>Julio</v>
      </c>
      <c r="N1355" s="18" t="str">
        <f t="shared" si="65"/>
        <v>Julio|197</v>
      </c>
    </row>
    <row r="1356" spans="1:14" ht="14.5" x14ac:dyDescent="0.25">
      <c r="A1356" s="19">
        <v>33</v>
      </c>
      <c r="B1356" s="18" t="s">
        <v>40</v>
      </c>
      <c r="C1356" s="18" t="s">
        <v>97</v>
      </c>
      <c r="D1356" s="18" t="s">
        <v>1617</v>
      </c>
      <c r="E1356" s="18" t="s">
        <v>1914</v>
      </c>
      <c r="F1356" s="101">
        <v>46234.46875</v>
      </c>
      <c r="G1356" s="101">
        <v>46234.723611111112</v>
      </c>
      <c r="H1356" s="18" t="s">
        <v>507</v>
      </c>
      <c r="I1356" s="18" t="s">
        <v>508</v>
      </c>
      <c r="J1356" s="18"/>
      <c r="K1356" s="21">
        <f t="shared" si="63"/>
        <v>6.1166666666977108</v>
      </c>
      <c r="L1356" s="19">
        <f t="shared" si="64"/>
        <v>198</v>
      </c>
      <c r="M1356" s="18" t="str">
        <f>IF(I1356&lt;&gt;"Sí","",IF(YEAR(F1356)&lt;&gt;2026,"",INDEX({"Enero","Febrero","Marzo","Abril","Mayo","Junio","Julio","Agosto","Septiembre","Octubre","Noviembre","Diciembre"},MONTH(F1356))))</f>
        <v>Julio</v>
      </c>
      <c r="N1356" s="18" t="str">
        <f t="shared" si="65"/>
        <v>Julio|198</v>
      </c>
    </row>
    <row r="1357" spans="1:14" ht="14.5" x14ac:dyDescent="0.25">
      <c r="A1357" s="19">
        <v>33</v>
      </c>
      <c r="B1357" s="18" t="s">
        <v>40</v>
      </c>
      <c r="C1357" s="18" t="s">
        <v>97</v>
      </c>
      <c r="D1357" s="18" t="s">
        <v>1617</v>
      </c>
      <c r="E1357" s="18" t="s">
        <v>1915</v>
      </c>
      <c r="F1357" s="101">
        <v>46234.472222222219</v>
      </c>
      <c r="G1357" s="101">
        <v>46234.716666666667</v>
      </c>
      <c r="H1357" s="18" t="s">
        <v>507</v>
      </c>
      <c r="I1357" s="18" t="s">
        <v>508</v>
      </c>
      <c r="J1357" s="18"/>
      <c r="K1357" s="21">
        <f t="shared" si="63"/>
        <v>5.8666666667559184</v>
      </c>
      <c r="L1357" s="19">
        <f t="shared" si="64"/>
        <v>199</v>
      </c>
      <c r="M1357" s="18" t="str">
        <f>IF(I1357&lt;&gt;"Sí","",IF(YEAR(F1357)&lt;&gt;2026,"",INDEX({"Enero","Febrero","Marzo","Abril","Mayo","Junio","Julio","Agosto","Septiembre","Octubre","Noviembre","Diciembre"},MONTH(F1357))))</f>
        <v>Julio</v>
      </c>
      <c r="N1357" s="18" t="str">
        <f t="shared" si="65"/>
        <v>Julio|199</v>
      </c>
    </row>
    <row r="1358" spans="1:14" ht="14.5" x14ac:dyDescent="0.25">
      <c r="A1358" s="19">
        <v>33</v>
      </c>
      <c r="B1358" s="18" t="s">
        <v>40</v>
      </c>
      <c r="C1358" s="18" t="s">
        <v>97</v>
      </c>
      <c r="D1358" s="18" t="s">
        <v>1617</v>
      </c>
      <c r="E1358" s="18" t="s">
        <v>1916</v>
      </c>
      <c r="F1358" s="101">
        <v>46234.475694444445</v>
      </c>
      <c r="G1358" s="101">
        <v>46234.678472222222</v>
      </c>
      <c r="H1358" s="18" t="s">
        <v>507</v>
      </c>
      <c r="I1358" s="18" t="s">
        <v>508</v>
      </c>
      <c r="J1358" s="18"/>
      <c r="K1358" s="21">
        <f t="shared" si="63"/>
        <v>4.8666666666395031</v>
      </c>
      <c r="L1358" s="19">
        <f t="shared" si="64"/>
        <v>200</v>
      </c>
      <c r="M1358" s="18" t="str">
        <f>IF(I1358&lt;&gt;"Sí","",IF(YEAR(F1358)&lt;&gt;2026,"",INDEX({"Enero","Febrero","Marzo","Abril","Mayo","Junio","Julio","Agosto","Septiembre","Octubre","Noviembre","Diciembre"},MONTH(F1358))))</f>
        <v>Julio</v>
      </c>
      <c r="N1358" s="18" t="str">
        <f t="shared" si="65"/>
        <v>Julio|200</v>
      </c>
    </row>
    <row r="1359" spans="1:14" ht="14.5" x14ac:dyDescent="0.25">
      <c r="A1359" s="19">
        <v>33</v>
      </c>
      <c r="B1359" s="18" t="s">
        <v>40</v>
      </c>
      <c r="C1359" s="18" t="s">
        <v>97</v>
      </c>
      <c r="D1359" s="18" t="s">
        <v>1617</v>
      </c>
      <c r="E1359" s="18" t="s">
        <v>1917</v>
      </c>
      <c r="F1359" s="101">
        <v>46234.479166666664</v>
      </c>
      <c r="G1359" s="101">
        <v>46234.665972222225</v>
      </c>
      <c r="H1359" s="18" t="s">
        <v>507</v>
      </c>
      <c r="I1359" s="18" t="s">
        <v>508</v>
      </c>
      <c r="J1359" s="18"/>
      <c r="K1359" s="21">
        <f t="shared" si="63"/>
        <v>4.4833333334536292</v>
      </c>
      <c r="L1359" s="19">
        <f t="shared" si="64"/>
        <v>201</v>
      </c>
      <c r="M1359" s="18" t="str">
        <f>IF(I1359&lt;&gt;"Sí","",IF(YEAR(F1359)&lt;&gt;2026,"",INDEX({"Enero","Febrero","Marzo","Abril","Mayo","Junio","Julio","Agosto","Septiembre","Octubre","Noviembre","Diciembre"},MONTH(F1359))))</f>
        <v>Julio</v>
      </c>
      <c r="N1359" s="18" t="str">
        <f t="shared" si="65"/>
        <v>Julio|201</v>
      </c>
    </row>
    <row r="1360" spans="1:14" ht="14.5" x14ac:dyDescent="0.25">
      <c r="A1360" s="19">
        <v>33</v>
      </c>
      <c r="B1360" s="18" t="s">
        <v>40</v>
      </c>
      <c r="C1360" s="18" t="s">
        <v>97</v>
      </c>
      <c r="D1360" s="18" t="s">
        <v>1617</v>
      </c>
      <c r="E1360" s="18" t="s">
        <v>1918</v>
      </c>
      <c r="F1360" s="101">
        <v>46234.482638888891</v>
      </c>
      <c r="G1360" s="101">
        <v>46234.711111111108</v>
      </c>
      <c r="H1360" s="18" t="s">
        <v>507</v>
      </c>
      <c r="I1360" s="18" t="s">
        <v>508</v>
      </c>
      <c r="J1360" s="18"/>
      <c r="K1360" s="21">
        <f t="shared" si="63"/>
        <v>5.4833333332207985</v>
      </c>
      <c r="L1360" s="19">
        <f t="shared" si="64"/>
        <v>202</v>
      </c>
      <c r="M1360" s="18" t="str">
        <f>IF(I1360&lt;&gt;"Sí","",IF(YEAR(F1360)&lt;&gt;2026,"",INDEX({"Enero","Febrero","Marzo","Abril","Mayo","Junio","Julio","Agosto","Septiembre","Octubre","Noviembre","Diciembre"},MONTH(F1360))))</f>
        <v>Julio</v>
      </c>
      <c r="N1360" s="18" t="str">
        <f t="shared" si="65"/>
        <v>Julio|202</v>
      </c>
    </row>
    <row r="1361" spans="1:14" ht="14.5" x14ac:dyDescent="0.25">
      <c r="A1361" s="19">
        <v>33</v>
      </c>
      <c r="B1361" s="18" t="s">
        <v>40</v>
      </c>
      <c r="C1361" s="18" t="s">
        <v>97</v>
      </c>
      <c r="D1361" s="18" t="s">
        <v>1617</v>
      </c>
      <c r="E1361" s="18" t="s">
        <v>1919</v>
      </c>
      <c r="F1361" s="101">
        <v>46234.486111111109</v>
      </c>
      <c r="G1361" s="101">
        <v>46234.686111111114</v>
      </c>
      <c r="H1361" s="18" t="s">
        <v>507</v>
      </c>
      <c r="I1361" s="18" t="s">
        <v>508</v>
      </c>
      <c r="J1361" s="18"/>
      <c r="K1361" s="21">
        <f t="shared" si="63"/>
        <v>4.8000000001047738</v>
      </c>
      <c r="L1361" s="19">
        <f t="shared" si="64"/>
        <v>203</v>
      </c>
      <c r="M1361" s="18" t="str">
        <f>IF(I1361&lt;&gt;"Sí","",IF(YEAR(F1361)&lt;&gt;2026,"",INDEX({"Enero","Febrero","Marzo","Abril","Mayo","Junio","Julio","Agosto","Septiembre","Octubre","Noviembre","Diciembre"},MONTH(F1361))))</f>
        <v>Julio</v>
      </c>
      <c r="N1361" s="18" t="str">
        <f t="shared" si="65"/>
        <v>Julio|203</v>
      </c>
    </row>
    <row r="1362" spans="1:14" ht="14.5" x14ac:dyDescent="0.25">
      <c r="A1362" s="19">
        <v>33</v>
      </c>
      <c r="B1362" s="18" t="s">
        <v>40</v>
      </c>
      <c r="C1362" s="18" t="s">
        <v>97</v>
      </c>
      <c r="D1362" s="18" t="s">
        <v>1617</v>
      </c>
      <c r="E1362" s="18" t="s">
        <v>1920</v>
      </c>
      <c r="F1362" s="101">
        <v>46234.489583333336</v>
      </c>
      <c r="G1362" s="101">
        <v>46234.699305555558</v>
      </c>
      <c r="H1362" s="18" t="s">
        <v>507</v>
      </c>
      <c r="I1362" s="18" t="s">
        <v>508</v>
      </c>
      <c r="J1362" s="18"/>
      <c r="K1362" s="21">
        <f t="shared" si="63"/>
        <v>5.0333333333255723</v>
      </c>
      <c r="L1362" s="19">
        <f t="shared" si="64"/>
        <v>202</v>
      </c>
      <c r="M1362" s="18" t="str">
        <f>IF(I1362&lt;&gt;"Sí","",IF(YEAR(F1362)&lt;&gt;2026,"",INDEX({"Enero","Febrero","Marzo","Abril","Mayo","Junio","Julio","Agosto","Septiembre","Octubre","Noviembre","Diciembre"},MONTH(F1362))))</f>
        <v>Julio</v>
      </c>
      <c r="N1362" s="18" t="str">
        <f t="shared" si="65"/>
        <v>Julio|202</v>
      </c>
    </row>
    <row r="1363" spans="1:14" ht="14.5" x14ac:dyDescent="0.25">
      <c r="A1363" s="19">
        <v>33</v>
      </c>
      <c r="B1363" s="18" t="s">
        <v>40</v>
      </c>
      <c r="C1363" s="18" t="s">
        <v>97</v>
      </c>
      <c r="D1363" s="18" t="s">
        <v>1617</v>
      </c>
      <c r="E1363" s="18" t="s">
        <v>1921</v>
      </c>
      <c r="F1363" s="101">
        <v>46234.493055555555</v>
      </c>
      <c r="G1363" s="101">
        <v>46235.045138888891</v>
      </c>
      <c r="H1363" s="18" t="s">
        <v>507</v>
      </c>
      <c r="I1363" s="18" t="s">
        <v>508</v>
      </c>
      <c r="J1363" s="18"/>
      <c r="K1363" s="21">
        <f t="shared" si="63"/>
        <v>13.250000000058208</v>
      </c>
      <c r="L1363" s="19">
        <f t="shared" si="64"/>
        <v>202</v>
      </c>
      <c r="M1363" s="18" t="str">
        <f>IF(I1363&lt;&gt;"Sí","",IF(YEAR(F1363)&lt;&gt;2026,"",INDEX({"Enero","Febrero","Marzo","Abril","Mayo","Junio","Julio","Agosto","Septiembre","Octubre","Noviembre","Diciembre"},MONTH(F1363))))</f>
        <v>Julio</v>
      </c>
      <c r="N1363" s="18" t="str">
        <f t="shared" si="65"/>
        <v>Julio|202</v>
      </c>
    </row>
    <row r="1364" spans="1:14" ht="14.5" x14ac:dyDescent="0.25">
      <c r="A1364" s="19">
        <v>33</v>
      </c>
      <c r="B1364" s="18" t="s">
        <v>40</v>
      </c>
      <c r="C1364" s="18" t="s">
        <v>97</v>
      </c>
      <c r="D1364" s="18" t="s">
        <v>1617</v>
      </c>
      <c r="E1364" s="18" t="s">
        <v>1922</v>
      </c>
      <c r="F1364" s="101">
        <v>46234.496527777781</v>
      </c>
      <c r="G1364" s="101">
        <v>46234.696527777778</v>
      </c>
      <c r="H1364" s="18" t="s">
        <v>507</v>
      </c>
      <c r="I1364" s="18" t="s">
        <v>508</v>
      </c>
      <c r="J1364" s="18"/>
      <c r="K1364" s="21">
        <f t="shared" si="63"/>
        <v>4.7999999999301508</v>
      </c>
      <c r="L1364" s="19">
        <f t="shared" si="64"/>
        <v>202</v>
      </c>
      <c r="M1364" s="18" t="str">
        <f>IF(I1364&lt;&gt;"Sí","",IF(YEAR(F1364)&lt;&gt;2026,"",INDEX({"Enero","Febrero","Marzo","Abril","Mayo","Junio","Julio","Agosto","Septiembre","Octubre","Noviembre","Diciembre"},MONTH(F1364))))</f>
        <v>Julio</v>
      </c>
      <c r="N1364" s="18" t="str">
        <f t="shared" si="65"/>
        <v>Julio|202</v>
      </c>
    </row>
    <row r="1365" spans="1:14" ht="14.5" x14ac:dyDescent="0.25">
      <c r="A1365" s="19">
        <v>33</v>
      </c>
      <c r="B1365" s="18" t="s">
        <v>40</v>
      </c>
      <c r="C1365" s="18" t="s">
        <v>97</v>
      </c>
      <c r="D1365" s="18" t="s">
        <v>1617</v>
      </c>
      <c r="E1365" s="18" t="s">
        <v>1923</v>
      </c>
      <c r="F1365" s="101">
        <v>46234.506944444445</v>
      </c>
      <c r="G1365" s="101">
        <v>46234.715277777781</v>
      </c>
      <c r="H1365" s="18" t="s">
        <v>507</v>
      </c>
      <c r="I1365" s="18" t="s">
        <v>508</v>
      </c>
      <c r="J1365" s="18"/>
      <c r="K1365" s="21">
        <f t="shared" si="63"/>
        <v>5.0000000000582077</v>
      </c>
      <c r="L1365" s="19">
        <f t="shared" si="64"/>
        <v>203</v>
      </c>
      <c r="M1365" s="18" t="str">
        <f>IF(I1365&lt;&gt;"Sí","",IF(YEAR(F1365)&lt;&gt;2026,"",INDEX({"Enero","Febrero","Marzo","Abril","Mayo","Junio","Julio","Agosto","Septiembre","Octubre","Noviembre","Diciembre"},MONTH(F1365))))</f>
        <v>Julio</v>
      </c>
      <c r="N1365" s="18" t="str">
        <f t="shared" si="65"/>
        <v>Julio|203</v>
      </c>
    </row>
    <row r="1366" spans="1:14" ht="14.5" x14ac:dyDescent="0.25">
      <c r="A1366" s="19">
        <v>33</v>
      </c>
      <c r="B1366" s="18" t="s">
        <v>40</v>
      </c>
      <c r="C1366" s="18" t="s">
        <v>97</v>
      </c>
      <c r="D1366" s="18" t="s">
        <v>1617</v>
      </c>
      <c r="E1366" s="18" t="s">
        <v>1924</v>
      </c>
      <c r="F1366" s="101">
        <v>46234.541666666664</v>
      </c>
      <c r="G1366" s="101">
        <v>46234.730555555558</v>
      </c>
      <c r="H1366" s="18" t="s">
        <v>507</v>
      </c>
      <c r="I1366" s="18" t="s">
        <v>508</v>
      </c>
      <c r="J1366" s="18"/>
      <c r="K1366" s="21">
        <f t="shared" si="63"/>
        <v>4.5333333334419876</v>
      </c>
      <c r="L1366" s="19">
        <f t="shared" si="64"/>
        <v>202</v>
      </c>
      <c r="M1366" s="18" t="str">
        <f>IF(I1366&lt;&gt;"Sí","",IF(YEAR(F1366)&lt;&gt;2026,"",INDEX({"Enero","Febrero","Marzo","Abril","Mayo","Junio","Julio","Agosto","Septiembre","Octubre","Noviembre","Diciembre"},MONTH(F1366))))</f>
        <v>Julio</v>
      </c>
      <c r="N1366" s="18" t="str">
        <f t="shared" si="65"/>
        <v>Julio|202</v>
      </c>
    </row>
    <row r="1367" spans="1:14" ht="14.5" x14ac:dyDescent="0.25">
      <c r="A1367" s="19">
        <v>33</v>
      </c>
      <c r="B1367" s="18" t="s">
        <v>40</v>
      </c>
      <c r="C1367" s="18" t="s">
        <v>97</v>
      </c>
      <c r="D1367" s="18" t="s">
        <v>1617</v>
      </c>
      <c r="E1367" s="18" t="s">
        <v>1925</v>
      </c>
      <c r="F1367" s="101">
        <v>46234.548611111109</v>
      </c>
      <c r="G1367" s="101">
        <v>46234.713888888888</v>
      </c>
      <c r="H1367" s="18" t="s">
        <v>507</v>
      </c>
      <c r="I1367" s="18" t="s">
        <v>508</v>
      </c>
      <c r="J1367" s="18"/>
      <c r="K1367" s="21">
        <f t="shared" si="63"/>
        <v>3.9666666666744277</v>
      </c>
      <c r="L1367" s="19">
        <f t="shared" si="64"/>
        <v>203</v>
      </c>
      <c r="M1367" s="18" t="str">
        <f>IF(I1367&lt;&gt;"Sí","",IF(YEAR(F1367)&lt;&gt;2026,"",INDEX({"Enero","Febrero","Marzo","Abril","Mayo","Junio","Julio","Agosto","Septiembre","Octubre","Noviembre","Diciembre"},MONTH(F1367))))</f>
        <v>Julio</v>
      </c>
      <c r="N1367" s="18" t="str">
        <f t="shared" si="65"/>
        <v>Julio|203</v>
      </c>
    </row>
    <row r="1368" spans="1:14" ht="14.5" x14ac:dyDescent="0.25">
      <c r="A1368" s="19">
        <v>34</v>
      </c>
      <c r="B1368" s="18" t="s">
        <v>41</v>
      </c>
      <c r="C1368" s="18" t="s">
        <v>1054</v>
      </c>
      <c r="D1368" s="18" t="s">
        <v>1625</v>
      </c>
      <c r="E1368" s="18" t="s">
        <v>1926</v>
      </c>
      <c r="F1368" s="101">
        <v>46234.563194444447</v>
      </c>
      <c r="G1368" s="101">
        <v>46240.775694444441</v>
      </c>
      <c r="H1368" s="18" t="s">
        <v>507</v>
      </c>
      <c r="I1368" s="18" t="s">
        <v>508</v>
      </c>
      <c r="J1368" s="18"/>
      <c r="K1368" s="21">
        <f t="shared" si="63"/>
        <v>149.0999999998603</v>
      </c>
      <c r="L1368" s="19">
        <f t="shared" si="64"/>
        <v>205</v>
      </c>
      <c r="M1368" s="18" t="str">
        <f>IF(I1368&lt;&gt;"Sí","",IF(YEAR(F1368)&lt;&gt;2026,"",INDEX({"Enero","Febrero","Marzo","Abril","Mayo","Junio","Julio","Agosto","Septiembre","Octubre","Noviembre","Diciembre"},MONTH(F1368))))</f>
        <v>Julio</v>
      </c>
      <c r="N1368" s="18" t="str">
        <f t="shared" si="65"/>
        <v>Julio|205</v>
      </c>
    </row>
    <row r="1369" spans="1:14" ht="14.5" x14ac:dyDescent="0.25">
      <c r="A1369" s="19">
        <v>34</v>
      </c>
      <c r="B1369" s="18" t="s">
        <v>41</v>
      </c>
      <c r="C1369" s="18" t="s">
        <v>1054</v>
      </c>
      <c r="D1369" s="18" t="s">
        <v>1625</v>
      </c>
      <c r="E1369" s="18" t="s">
        <v>1927</v>
      </c>
      <c r="F1369" s="101">
        <v>46234.563194444447</v>
      </c>
      <c r="G1369" s="101">
        <v>46240.775694444441</v>
      </c>
      <c r="H1369" s="18" t="s">
        <v>507</v>
      </c>
      <c r="I1369" s="18" t="s">
        <v>508</v>
      </c>
      <c r="J1369" s="18"/>
      <c r="K1369" s="21">
        <f t="shared" si="63"/>
        <v>149.0999999998603</v>
      </c>
      <c r="L1369" s="19">
        <f t="shared" si="64"/>
        <v>205</v>
      </c>
      <c r="M1369" s="18" t="str">
        <f>IF(I1369&lt;&gt;"Sí","",IF(YEAR(F1369)&lt;&gt;2026,"",INDEX({"Enero","Febrero","Marzo","Abril","Mayo","Junio","Julio","Agosto","Septiembre","Octubre","Noviembre","Diciembre"},MONTH(F1369))))</f>
        <v>Julio</v>
      </c>
      <c r="N1369" s="18" t="str">
        <f t="shared" si="65"/>
        <v>Julio|205</v>
      </c>
    </row>
    <row r="1370" spans="1:14" ht="14.5" x14ac:dyDescent="0.25">
      <c r="A1370" s="19">
        <v>34</v>
      </c>
      <c r="B1370" s="18" t="s">
        <v>41</v>
      </c>
      <c r="C1370" s="18" t="s">
        <v>1054</v>
      </c>
      <c r="D1370" s="18" t="s">
        <v>1625</v>
      </c>
      <c r="E1370" s="18" t="s">
        <v>1928</v>
      </c>
      <c r="F1370" s="101">
        <v>46234.638888888891</v>
      </c>
      <c r="G1370" s="101">
        <v>46240.753472222219</v>
      </c>
      <c r="H1370" s="18" t="s">
        <v>507</v>
      </c>
      <c r="I1370" s="18" t="s">
        <v>508</v>
      </c>
      <c r="J1370" s="18"/>
      <c r="K1370" s="21">
        <f t="shared" si="63"/>
        <v>146.74999999988358</v>
      </c>
      <c r="L1370" s="19">
        <f t="shared" si="64"/>
        <v>202</v>
      </c>
      <c r="M1370" s="18" t="str">
        <f>IF(I1370&lt;&gt;"Sí","",IF(YEAR(F1370)&lt;&gt;2026,"",INDEX({"Enero","Febrero","Marzo","Abril","Mayo","Junio","Julio","Agosto","Septiembre","Octubre","Noviembre","Diciembre"},MONTH(F1370))))</f>
        <v>Julio</v>
      </c>
      <c r="N1370" s="18" t="str">
        <f t="shared" si="65"/>
        <v>Julio|202</v>
      </c>
    </row>
    <row r="1371" spans="1:14" ht="14.5" x14ac:dyDescent="0.25">
      <c r="A1371" s="19">
        <v>34</v>
      </c>
      <c r="B1371" s="18" t="s">
        <v>41</v>
      </c>
      <c r="C1371" s="18" t="s">
        <v>1054</v>
      </c>
      <c r="D1371" s="18" t="s">
        <v>1625</v>
      </c>
      <c r="E1371" s="18" t="s">
        <v>1929</v>
      </c>
      <c r="F1371" s="101">
        <v>46234.638888888891</v>
      </c>
      <c r="G1371" s="101">
        <v>46240.753472222219</v>
      </c>
      <c r="H1371" s="18" t="s">
        <v>507</v>
      </c>
      <c r="I1371" s="18" t="s">
        <v>508</v>
      </c>
      <c r="J1371" s="18"/>
      <c r="K1371" s="21">
        <f t="shared" si="63"/>
        <v>146.74999999988358</v>
      </c>
      <c r="L1371" s="19">
        <f t="shared" si="64"/>
        <v>202</v>
      </c>
      <c r="M1371" s="18" t="str">
        <f>IF(I1371&lt;&gt;"Sí","",IF(YEAR(F1371)&lt;&gt;2026,"",INDEX({"Enero","Febrero","Marzo","Abril","Mayo","Junio","Julio","Agosto","Septiembre","Octubre","Noviembre","Diciembre"},MONTH(F1371))))</f>
        <v>Julio</v>
      </c>
      <c r="N1371" s="18" t="str">
        <f t="shared" si="65"/>
        <v>Julio|202</v>
      </c>
    </row>
    <row r="1372" spans="1:14" ht="14.5" x14ac:dyDescent="0.25">
      <c r="A1372" s="19">
        <v>34</v>
      </c>
      <c r="B1372" s="18" t="s">
        <v>41</v>
      </c>
      <c r="C1372" s="18" t="s">
        <v>1054</v>
      </c>
      <c r="D1372" s="18" t="s">
        <v>1625</v>
      </c>
      <c r="E1372" s="18" t="s">
        <v>1321</v>
      </c>
      <c r="F1372" s="101">
        <v>46234.638888888891</v>
      </c>
      <c r="G1372" s="101">
        <v>46240.753472222219</v>
      </c>
      <c r="H1372" s="18" t="s">
        <v>507</v>
      </c>
      <c r="I1372" s="18" t="s">
        <v>508</v>
      </c>
      <c r="J1372" s="18"/>
      <c r="K1372" s="21">
        <f t="shared" si="63"/>
        <v>146.74999999988358</v>
      </c>
      <c r="L1372" s="19">
        <f t="shared" si="64"/>
        <v>202</v>
      </c>
      <c r="M1372" s="18" t="str">
        <f>IF(I1372&lt;&gt;"Sí","",IF(YEAR(F1372)&lt;&gt;2026,"",INDEX({"Enero","Febrero","Marzo","Abril","Mayo","Junio","Julio","Agosto","Septiembre","Octubre","Noviembre","Diciembre"},MONTH(F1372))))</f>
        <v>Julio</v>
      </c>
      <c r="N1372" s="18" t="str">
        <f t="shared" si="65"/>
        <v>Julio|202</v>
      </c>
    </row>
    <row r="1373" spans="1:14" ht="14.5" x14ac:dyDescent="0.25">
      <c r="A1373" s="19">
        <v>34</v>
      </c>
      <c r="B1373" s="18" t="s">
        <v>41</v>
      </c>
      <c r="C1373" s="18" t="s">
        <v>1054</v>
      </c>
      <c r="D1373" s="18" t="s">
        <v>1625</v>
      </c>
      <c r="E1373" s="18" t="s">
        <v>1930</v>
      </c>
      <c r="F1373" s="101">
        <v>46234.638888888891</v>
      </c>
      <c r="G1373" s="101">
        <v>46240.775694444441</v>
      </c>
      <c r="H1373" s="18" t="s">
        <v>507</v>
      </c>
      <c r="I1373" s="18" t="s">
        <v>508</v>
      </c>
      <c r="J1373" s="18"/>
      <c r="K1373" s="21">
        <f t="shared" si="63"/>
        <v>147.28333333320916</v>
      </c>
      <c r="L1373" s="19">
        <f t="shared" si="64"/>
        <v>202</v>
      </c>
      <c r="M1373" s="18" t="str">
        <f>IF(I1373&lt;&gt;"Sí","",IF(YEAR(F1373)&lt;&gt;2026,"",INDEX({"Enero","Febrero","Marzo","Abril","Mayo","Junio","Julio","Agosto","Septiembre","Octubre","Noviembre","Diciembre"},MONTH(F1373))))</f>
        <v>Julio</v>
      </c>
      <c r="N1373" s="18" t="str">
        <f t="shared" si="65"/>
        <v>Julio|202</v>
      </c>
    </row>
    <row r="1374" spans="1:14" ht="14.5" x14ac:dyDescent="0.25">
      <c r="A1374" s="19">
        <v>34</v>
      </c>
      <c r="B1374" s="18" t="s">
        <v>41</v>
      </c>
      <c r="C1374" s="18" t="s">
        <v>1054</v>
      </c>
      <c r="D1374" s="18" t="s">
        <v>1625</v>
      </c>
      <c r="E1374" s="18" t="s">
        <v>1931</v>
      </c>
      <c r="F1374" s="101">
        <v>46234.691666666666</v>
      </c>
      <c r="G1374" s="101">
        <v>46240.775694444441</v>
      </c>
      <c r="H1374" s="18" t="s">
        <v>507</v>
      </c>
      <c r="I1374" s="18" t="s">
        <v>508</v>
      </c>
      <c r="J1374" s="18"/>
      <c r="K1374" s="21">
        <f t="shared" si="63"/>
        <v>146.01666666660458</v>
      </c>
      <c r="L1374" s="19">
        <f t="shared" si="64"/>
        <v>199</v>
      </c>
      <c r="M1374" s="18" t="str">
        <f>IF(I1374&lt;&gt;"Sí","",IF(YEAR(F1374)&lt;&gt;2026,"",INDEX({"Enero","Febrero","Marzo","Abril","Mayo","Junio","Julio","Agosto","Septiembre","Octubre","Noviembre","Diciembre"},MONTH(F1374))))</f>
        <v>Julio</v>
      </c>
      <c r="N1374" s="18" t="str">
        <f t="shared" si="65"/>
        <v>Julio|199</v>
      </c>
    </row>
    <row r="1375" spans="1:14" ht="14.5" x14ac:dyDescent="0.25">
      <c r="A1375" s="19">
        <v>34</v>
      </c>
      <c r="B1375" s="18" t="s">
        <v>41</v>
      </c>
      <c r="C1375" s="18" t="s">
        <v>1054</v>
      </c>
      <c r="D1375" s="18" t="s">
        <v>1625</v>
      </c>
      <c r="E1375" s="18" t="s">
        <v>1932</v>
      </c>
      <c r="F1375" s="101">
        <v>46235.570833333331</v>
      </c>
      <c r="G1375" s="101">
        <v>46240.753472222219</v>
      </c>
      <c r="H1375" s="18" t="s">
        <v>507</v>
      </c>
      <c r="I1375" s="18" t="s">
        <v>508</v>
      </c>
      <c r="J1375" s="18"/>
      <c r="K1375" s="21">
        <f t="shared" si="63"/>
        <v>124.38333333330229</v>
      </c>
      <c r="L1375" s="19">
        <f t="shared" si="64"/>
        <v>39</v>
      </c>
      <c r="M1375" s="18" t="str">
        <f>IF(I1375&lt;&gt;"Sí","",IF(YEAR(F1375)&lt;&gt;2026,"",INDEX({"Enero","Febrero","Marzo","Abril","Mayo","Junio","Julio","Agosto","Septiembre","Octubre","Noviembre","Diciembre"},MONTH(F1375))))</f>
        <v>Agosto</v>
      </c>
      <c r="N1375" s="18" t="str">
        <f t="shared" si="65"/>
        <v>Agosto|39</v>
      </c>
    </row>
    <row r="1376" spans="1:14" ht="14.5" x14ac:dyDescent="0.25">
      <c r="A1376" s="19">
        <v>34</v>
      </c>
      <c r="B1376" s="18" t="s">
        <v>41</v>
      </c>
      <c r="C1376" s="18" t="s">
        <v>1054</v>
      </c>
      <c r="D1376" s="18" t="s">
        <v>1625</v>
      </c>
      <c r="E1376" s="18" t="s">
        <v>1933</v>
      </c>
      <c r="F1376" s="101">
        <v>46235.570833333331</v>
      </c>
      <c r="G1376" s="101">
        <v>46240.753472222219</v>
      </c>
      <c r="H1376" s="18" t="s">
        <v>507</v>
      </c>
      <c r="I1376" s="18" t="s">
        <v>508</v>
      </c>
      <c r="J1376" s="18"/>
      <c r="K1376" s="21">
        <f t="shared" si="63"/>
        <v>124.38333333330229</v>
      </c>
      <c r="L1376" s="19">
        <f t="shared" si="64"/>
        <v>39</v>
      </c>
      <c r="M1376" s="18" t="str">
        <f>IF(I1376&lt;&gt;"Sí","",IF(YEAR(F1376)&lt;&gt;2026,"",INDEX({"Enero","Febrero","Marzo","Abril","Mayo","Junio","Julio","Agosto","Septiembre","Octubre","Noviembre","Diciembre"},MONTH(F1376))))</f>
        <v>Agosto</v>
      </c>
      <c r="N1376" s="18" t="str">
        <f t="shared" si="65"/>
        <v>Agosto|39</v>
      </c>
    </row>
    <row r="1377" spans="1:14" ht="14.5" x14ac:dyDescent="0.25">
      <c r="A1377" s="19">
        <v>34</v>
      </c>
      <c r="B1377" s="18" t="s">
        <v>41</v>
      </c>
      <c r="C1377" s="18" t="s">
        <v>1054</v>
      </c>
      <c r="D1377" s="18" t="s">
        <v>1625</v>
      </c>
      <c r="E1377" s="18" t="s">
        <v>1934</v>
      </c>
      <c r="F1377" s="101">
        <v>46235.570833333331</v>
      </c>
      <c r="G1377" s="101">
        <v>46240.753472222219</v>
      </c>
      <c r="H1377" s="18" t="s">
        <v>507</v>
      </c>
      <c r="I1377" s="18" t="s">
        <v>508</v>
      </c>
      <c r="J1377" s="18"/>
      <c r="K1377" s="21">
        <f t="shared" si="63"/>
        <v>124.38333333330229</v>
      </c>
      <c r="L1377" s="19">
        <f t="shared" si="64"/>
        <v>39</v>
      </c>
      <c r="M1377" s="18" t="str">
        <f>IF(I1377&lt;&gt;"Sí","",IF(YEAR(F1377)&lt;&gt;2026,"",INDEX({"Enero","Febrero","Marzo","Abril","Mayo","Junio","Julio","Agosto","Septiembre","Octubre","Noviembre","Diciembre"},MONTH(F1377))))</f>
        <v>Agosto</v>
      </c>
      <c r="N1377" s="18" t="str">
        <f t="shared" si="65"/>
        <v>Agosto|39</v>
      </c>
    </row>
    <row r="1378" spans="1:14" ht="14.5" x14ac:dyDescent="0.25">
      <c r="A1378" s="19">
        <v>34</v>
      </c>
      <c r="B1378" s="18" t="s">
        <v>41</v>
      </c>
      <c r="C1378" s="18" t="s">
        <v>99</v>
      </c>
      <c r="D1378" s="18" t="s">
        <v>1621</v>
      </c>
      <c r="E1378" s="18" t="s">
        <v>1935</v>
      </c>
      <c r="F1378" s="101">
        <v>46235.570833333331</v>
      </c>
      <c r="G1378" s="101">
        <v>46242.013888888891</v>
      </c>
      <c r="H1378" s="18" t="s">
        <v>507</v>
      </c>
      <c r="I1378" s="18" t="s">
        <v>508</v>
      </c>
      <c r="J1378" s="18"/>
      <c r="K1378" s="21">
        <f t="shared" si="63"/>
        <v>154.6333333334187</v>
      </c>
      <c r="L1378" s="19">
        <f t="shared" si="64"/>
        <v>39</v>
      </c>
      <c r="M1378" s="18" t="str">
        <f>IF(I1378&lt;&gt;"Sí","",IF(YEAR(F1378)&lt;&gt;2026,"",INDEX({"Enero","Febrero","Marzo","Abril","Mayo","Junio","Julio","Agosto","Septiembre","Octubre","Noviembre","Diciembre"},MONTH(F1378))))</f>
        <v>Agosto</v>
      </c>
      <c r="N1378" s="18" t="str">
        <f t="shared" si="65"/>
        <v>Agosto|39</v>
      </c>
    </row>
    <row r="1379" spans="1:14" ht="14.5" x14ac:dyDescent="0.25">
      <c r="A1379" s="19">
        <v>34</v>
      </c>
      <c r="B1379" s="18" t="s">
        <v>41</v>
      </c>
      <c r="C1379" s="18" t="s">
        <v>99</v>
      </c>
      <c r="D1379" s="18" t="s">
        <v>1621</v>
      </c>
      <c r="E1379" s="18" t="s">
        <v>1936</v>
      </c>
      <c r="F1379" s="101">
        <v>46235.570833333331</v>
      </c>
      <c r="G1379" s="101">
        <v>46242.013888888891</v>
      </c>
      <c r="H1379" s="18" t="s">
        <v>507</v>
      </c>
      <c r="I1379" s="18" t="s">
        <v>508</v>
      </c>
      <c r="J1379" s="18"/>
      <c r="K1379" s="21">
        <f t="shared" si="63"/>
        <v>154.6333333334187</v>
      </c>
      <c r="L1379" s="19">
        <f t="shared" si="64"/>
        <v>39</v>
      </c>
      <c r="M1379" s="18" t="str">
        <f>IF(I1379&lt;&gt;"Sí","",IF(YEAR(F1379)&lt;&gt;2026,"",INDEX({"Enero","Febrero","Marzo","Abril","Mayo","Junio","Julio","Agosto","Septiembre","Octubre","Noviembre","Diciembre"},MONTH(F1379))))</f>
        <v>Agosto</v>
      </c>
      <c r="N1379" s="18" t="str">
        <f t="shared" si="65"/>
        <v>Agosto|39</v>
      </c>
    </row>
    <row r="1380" spans="1:14" ht="14.5" x14ac:dyDescent="0.25">
      <c r="A1380" s="19">
        <v>34</v>
      </c>
      <c r="B1380" s="18" t="s">
        <v>41</v>
      </c>
      <c r="C1380" s="18" t="s">
        <v>99</v>
      </c>
      <c r="D1380" s="18" t="s">
        <v>1621</v>
      </c>
      <c r="E1380" s="18" t="s">
        <v>1937</v>
      </c>
      <c r="F1380" s="101">
        <v>46235.570833333331</v>
      </c>
      <c r="G1380" s="101">
        <v>46242.055555555555</v>
      </c>
      <c r="H1380" s="18" t="s">
        <v>507</v>
      </c>
      <c r="I1380" s="18" t="s">
        <v>508</v>
      </c>
      <c r="J1380" s="18"/>
      <c r="K1380" s="21">
        <f t="shared" si="63"/>
        <v>155.6333333333605</v>
      </c>
      <c r="L1380" s="19">
        <f t="shared" si="64"/>
        <v>39</v>
      </c>
      <c r="M1380" s="18" t="str">
        <f>IF(I1380&lt;&gt;"Sí","",IF(YEAR(F1380)&lt;&gt;2026,"",INDEX({"Enero","Febrero","Marzo","Abril","Mayo","Junio","Julio","Agosto","Septiembre","Octubre","Noviembre","Diciembre"},MONTH(F1380))))</f>
        <v>Agosto</v>
      </c>
      <c r="N1380" s="18" t="str">
        <f t="shared" si="65"/>
        <v>Agosto|39</v>
      </c>
    </row>
    <row r="1381" spans="1:14" ht="14.5" x14ac:dyDescent="0.25">
      <c r="A1381" s="19">
        <v>34</v>
      </c>
      <c r="B1381" s="18" t="s">
        <v>41</v>
      </c>
      <c r="C1381" s="18" t="s">
        <v>99</v>
      </c>
      <c r="D1381" s="18" t="s">
        <v>1621</v>
      </c>
      <c r="E1381" s="18" t="s">
        <v>1938</v>
      </c>
      <c r="F1381" s="101">
        <v>46235.570833333331</v>
      </c>
      <c r="G1381" s="101">
        <v>46242.055555555555</v>
      </c>
      <c r="H1381" s="18" t="s">
        <v>507</v>
      </c>
      <c r="I1381" s="18" t="s">
        <v>508</v>
      </c>
      <c r="J1381" s="18"/>
      <c r="K1381" s="21">
        <f t="shared" si="63"/>
        <v>155.6333333333605</v>
      </c>
      <c r="L1381" s="19">
        <f t="shared" si="64"/>
        <v>39</v>
      </c>
      <c r="M1381" s="18" t="str">
        <f>IF(I1381&lt;&gt;"Sí","",IF(YEAR(F1381)&lt;&gt;2026,"",INDEX({"Enero","Febrero","Marzo","Abril","Mayo","Junio","Julio","Agosto","Septiembre","Octubre","Noviembre","Diciembre"},MONTH(F1381))))</f>
        <v>Agosto</v>
      </c>
      <c r="N1381" s="18" t="str">
        <f t="shared" si="65"/>
        <v>Agosto|39</v>
      </c>
    </row>
    <row r="1382" spans="1:14" ht="14.5" x14ac:dyDescent="0.25">
      <c r="A1382" s="19">
        <v>34</v>
      </c>
      <c r="B1382" s="18" t="s">
        <v>41</v>
      </c>
      <c r="C1382" s="18" t="s">
        <v>99</v>
      </c>
      <c r="D1382" s="18" t="s">
        <v>1621</v>
      </c>
      <c r="E1382" s="18" t="s">
        <v>1939</v>
      </c>
      <c r="F1382" s="101">
        <v>46235.570833333331</v>
      </c>
      <c r="G1382" s="101">
        <v>46242.055555555555</v>
      </c>
      <c r="H1382" s="18" t="s">
        <v>507</v>
      </c>
      <c r="I1382" s="18" t="s">
        <v>508</v>
      </c>
      <c r="J1382" s="18"/>
      <c r="K1382" s="21">
        <f t="shared" si="63"/>
        <v>155.6333333333605</v>
      </c>
      <c r="L1382" s="19">
        <f t="shared" si="64"/>
        <v>39</v>
      </c>
      <c r="M1382" s="18" t="str">
        <f>IF(I1382&lt;&gt;"Sí","",IF(YEAR(F1382)&lt;&gt;2026,"",INDEX({"Enero","Febrero","Marzo","Abril","Mayo","Junio","Julio","Agosto","Septiembre","Octubre","Noviembre","Diciembre"},MONTH(F1382))))</f>
        <v>Agosto</v>
      </c>
      <c r="N1382" s="18" t="str">
        <f t="shared" si="65"/>
        <v>Agosto|39</v>
      </c>
    </row>
    <row r="1383" spans="1:14" ht="14.5" x14ac:dyDescent="0.25">
      <c r="A1383" s="19">
        <v>34</v>
      </c>
      <c r="B1383" s="18" t="s">
        <v>41</v>
      </c>
      <c r="C1383" s="18" t="s">
        <v>188</v>
      </c>
      <c r="D1383" s="18" t="s">
        <v>1734</v>
      </c>
      <c r="E1383" s="18" t="s">
        <v>1109</v>
      </c>
      <c r="F1383" s="101">
        <v>46235.570833333331</v>
      </c>
      <c r="G1383" s="101">
        <v>46244.918055555558</v>
      </c>
      <c r="H1383" s="18" t="s">
        <v>507</v>
      </c>
      <c r="I1383" s="18" t="s">
        <v>508</v>
      </c>
      <c r="J1383" s="18"/>
      <c r="K1383" s="21">
        <f t="shared" si="63"/>
        <v>224.33333333343035</v>
      </c>
      <c r="L1383" s="19">
        <f t="shared" si="64"/>
        <v>39</v>
      </c>
      <c r="M1383" s="18" t="str">
        <f>IF(I1383&lt;&gt;"Sí","",IF(YEAR(F1383)&lt;&gt;2026,"",INDEX({"Enero","Febrero","Marzo","Abril","Mayo","Junio","Julio","Agosto","Septiembre","Octubre","Noviembre","Diciembre"},MONTH(F1383))))</f>
        <v>Agosto</v>
      </c>
      <c r="N1383" s="18" t="str">
        <f t="shared" si="65"/>
        <v>Agosto|39</v>
      </c>
    </row>
    <row r="1384" spans="1:14" ht="14.5" x14ac:dyDescent="0.25">
      <c r="A1384" s="19">
        <v>34</v>
      </c>
      <c r="B1384" s="18" t="s">
        <v>41</v>
      </c>
      <c r="C1384" s="18" t="s">
        <v>188</v>
      </c>
      <c r="D1384" s="18" t="s">
        <v>1734</v>
      </c>
      <c r="E1384" s="18" t="s">
        <v>1940</v>
      </c>
      <c r="F1384" s="101">
        <v>46235.570833333331</v>
      </c>
      <c r="G1384" s="101">
        <v>46245.752083333333</v>
      </c>
      <c r="H1384" s="18" t="s">
        <v>507</v>
      </c>
      <c r="I1384" s="18" t="s">
        <v>508</v>
      </c>
      <c r="J1384" s="18"/>
      <c r="K1384" s="21">
        <f t="shared" si="63"/>
        <v>244.35000000003492</v>
      </c>
      <c r="L1384" s="19">
        <f t="shared" si="64"/>
        <v>39</v>
      </c>
      <c r="M1384" s="18" t="str">
        <f>IF(I1384&lt;&gt;"Sí","",IF(YEAR(F1384)&lt;&gt;2026,"",INDEX({"Enero","Febrero","Marzo","Abril","Mayo","Junio","Julio","Agosto","Septiembre","Octubre","Noviembre","Diciembre"},MONTH(F1384))))</f>
        <v>Agosto</v>
      </c>
      <c r="N1384" s="18" t="str">
        <f t="shared" si="65"/>
        <v>Agosto|39</v>
      </c>
    </row>
    <row r="1385" spans="1:14" ht="14.5" x14ac:dyDescent="0.25">
      <c r="A1385" s="19">
        <v>34</v>
      </c>
      <c r="B1385" s="18" t="s">
        <v>41</v>
      </c>
      <c r="C1385" s="18" t="s">
        <v>116</v>
      </c>
      <c r="D1385" s="18" t="s">
        <v>1941</v>
      </c>
      <c r="E1385" s="18" t="s">
        <v>1942</v>
      </c>
      <c r="F1385" s="101">
        <v>46235.570833333331</v>
      </c>
      <c r="G1385" s="101">
        <v>46248.775000000001</v>
      </c>
      <c r="H1385" s="18" t="s">
        <v>507</v>
      </c>
      <c r="I1385" s="18" t="s">
        <v>508</v>
      </c>
      <c r="J1385" s="18"/>
      <c r="K1385" s="21">
        <f t="shared" si="63"/>
        <v>316.90000000008149</v>
      </c>
      <c r="L1385" s="19">
        <f t="shared" si="64"/>
        <v>39</v>
      </c>
      <c r="M1385" s="18" t="str">
        <f>IF(I1385&lt;&gt;"Sí","",IF(YEAR(F1385)&lt;&gt;2026,"",INDEX({"Enero","Febrero","Marzo","Abril","Mayo","Junio","Julio","Agosto","Septiembre","Octubre","Noviembre","Diciembre"},MONTH(F1385))))</f>
        <v>Agosto</v>
      </c>
      <c r="N1385" s="18" t="str">
        <f t="shared" si="65"/>
        <v>Agosto|39</v>
      </c>
    </row>
    <row r="1386" spans="1:14" ht="14.5" x14ac:dyDescent="0.25">
      <c r="A1386" s="19">
        <v>34</v>
      </c>
      <c r="B1386" s="18" t="s">
        <v>41</v>
      </c>
      <c r="C1386" s="18" t="s">
        <v>188</v>
      </c>
      <c r="D1386" s="18" t="s">
        <v>1734</v>
      </c>
      <c r="E1386" s="18" t="s">
        <v>1943</v>
      </c>
      <c r="F1386" s="101">
        <v>46237.494444444441</v>
      </c>
      <c r="G1386" s="101">
        <v>46244.925694444442</v>
      </c>
      <c r="H1386" s="18" t="s">
        <v>507</v>
      </c>
      <c r="I1386" s="18" t="s">
        <v>508</v>
      </c>
      <c r="J1386" s="18"/>
      <c r="K1386" s="21">
        <f t="shared" si="63"/>
        <v>178.35000000003492</v>
      </c>
      <c r="L1386" s="19">
        <f t="shared" si="64"/>
        <v>40</v>
      </c>
      <c r="M1386" s="18" t="str">
        <f>IF(I1386&lt;&gt;"Sí","",IF(YEAR(F1386)&lt;&gt;2026,"",INDEX({"Enero","Febrero","Marzo","Abril","Mayo","Junio","Julio","Agosto","Septiembre","Octubre","Noviembre","Diciembre"},MONTH(F1386))))</f>
        <v>Agosto</v>
      </c>
      <c r="N1386" s="18" t="str">
        <f t="shared" si="65"/>
        <v>Agosto|40</v>
      </c>
    </row>
    <row r="1387" spans="1:14" ht="14.5" x14ac:dyDescent="0.25">
      <c r="A1387" s="19">
        <v>34</v>
      </c>
      <c r="B1387" s="18" t="s">
        <v>41</v>
      </c>
      <c r="C1387" s="18" t="s">
        <v>116</v>
      </c>
      <c r="D1387" s="18" t="s">
        <v>1941</v>
      </c>
      <c r="E1387" s="18" t="s">
        <v>1944</v>
      </c>
      <c r="F1387" s="101">
        <v>46237.629166666666</v>
      </c>
      <c r="G1387" s="101">
        <v>46248.088888888888</v>
      </c>
      <c r="H1387" s="18" t="s">
        <v>507</v>
      </c>
      <c r="I1387" s="18" t="s">
        <v>508</v>
      </c>
      <c r="J1387" s="18"/>
      <c r="K1387" s="21">
        <f t="shared" si="63"/>
        <v>251.03333333332557</v>
      </c>
      <c r="L1387" s="19">
        <f t="shared" si="64"/>
        <v>41</v>
      </c>
      <c r="M1387" s="18" t="str">
        <f>IF(I1387&lt;&gt;"Sí","",IF(YEAR(F1387)&lt;&gt;2026,"",INDEX({"Enero","Febrero","Marzo","Abril","Mayo","Junio","Julio","Agosto","Septiembre","Octubre","Noviembre","Diciembre"},MONTH(F1387))))</f>
        <v>Agosto</v>
      </c>
      <c r="N1387" s="18" t="str">
        <f t="shared" si="65"/>
        <v>Agosto|41</v>
      </c>
    </row>
    <row r="1388" spans="1:14" ht="14.5" x14ac:dyDescent="0.25">
      <c r="A1388" s="19">
        <v>34</v>
      </c>
      <c r="B1388" s="18" t="s">
        <v>41</v>
      </c>
      <c r="C1388" s="18" t="s">
        <v>1054</v>
      </c>
      <c r="D1388" s="18" t="s">
        <v>1625</v>
      </c>
      <c r="E1388" s="18" t="s">
        <v>1945</v>
      </c>
      <c r="F1388" s="101">
        <v>46237.676388888889</v>
      </c>
      <c r="G1388" s="101">
        <v>46240.811111111114</v>
      </c>
      <c r="H1388" s="18" t="s">
        <v>507</v>
      </c>
      <c r="I1388" s="18" t="s">
        <v>508</v>
      </c>
      <c r="J1388" s="18"/>
      <c r="K1388" s="21">
        <f t="shared" si="63"/>
        <v>75.233333333395422</v>
      </c>
      <c r="L1388" s="19">
        <f t="shared" si="64"/>
        <v>43</v>
      </c>
      <c r="M1388" s="18" t="str">
        <f>IF(I1388&lt;&gt;"Sí","",IF(YEAR(F1388)&lt;&gt;2026,"",INDEX({"Enero","Febrero","Marzo","Abril","Mayo","Junio","Julio","Agosto","Septiembre","Octubre","Noviembre","Diciembre"},MONTH(F1388))))</f>
        <v>Agosto</v>
      </c>
      <c r="N1388" s="18" t="str">
        <f t="shared" si="65"/>
        <v>Agosto|43</v>
      </c>
    </row>
    <row r="1389" spans="1:14" ht="14.5" x14ac:dyDescent="0.25">
      <c r="A1389" s="19">
        <v>34</v>
      </c>
      <c r="B1389" s="18" t="s">
        <v>41</v>
      </c>
      <c r="C1389" s="18" t="s">
        <v>1054</v>
      </c>
      <c r="D1389" s="18" t="s">
        <v>1625</v>
      </c>
      <c r="E1389" s="18" t="s">
        <v>1946</v>
      </c>
      <c r="F1389" s="101">
        <v>46237.676388888889</v>
      </c>
      <c r="G1389" s="101">
        <v>46240.775694444441</v>
      </c>
      <c r="H1389" s="18" t="s">
        <v>507</v>
      </c>
      <c r="I1389" s="18" t="s">
        <v>508</v>
      </c>
      <c r="J1389" s="18"/>
      <c r="K1389" s="21">
        <f t="shared" si="63"/>
        <v>74.383333333244082</v>
      </c>
      <c r="L1389" s="19">
        <f t="shared" si="64"/>
        <v>43</v>
      </c>
      <c r="M1389" s="18" t="str">
        <f>IF(I1389&lt;&gt;"Sí","",IF(YEAR(F1389)&lt;&gt;2026,"",INDEX({"Enero","Febrero","Marzo","Abril","Mayo","Junio","Julio","Agosto","Septiembre","Octubre","Noviembre","Diciembre"},MONTH(F1389))))</f>
        <v>Agosto</v>
      </c>
      <c r="N1389" s="18" t="str">
        <f t="shared" si="65"/>
        <v>Agosto|43</v>
      </c>
    </row>
    <row r="1390" spans="1:14" ht="14.5" x14ac:dyDescent="0.25">
      <c r="A1390" s="19">
        <v>34</v>
      </c>
      <c r="B1390" s="18" t="s">
        <v>41</v>
      </c>
      <c r="C1390" s="18" t="s">
        <v>188</v>
      </c>
      <c r="D1390" s="18" t="s">
        <v>1734</v>
      </c>
      <c r="E1390" s="18" t="s">
        <v>1947</v>
      </c>
      <c r="F1390" s="101">
        <v>46238.470138888886</v>
      </c>
      <c r="G1390" s="101">
        <v>46244.917361111111</v>
      </c>
      <c r="H1390" s="18" t="s">
        <v>507</v>
      </c>
      <c r="I1390" s="18" t="s">
        <v>508</v>
      </c>
      <c r="J1390" s="18"/>
      <c r="K1390" s="21">
        <f t="shared" si="63"/>
        <v>154.73333333339542</v>
      </c>
      <c r="L1390" s="19">
        <f t="shared" si="64"/>
        <v>45</v>
      </c>
      <c r="M1390" s="18" t="str">
        <f>IF(I1390&lt;&gt;"Sí","",IF(YEAR(F1390)&lt;&gt;2026,"",INDEX({"Enero","Febrero","Marzo","Abril","Mayo","Junio","Julio","Agosto","Septiembre","Octubre","Noviembre","Diciembre"},MONTH(F1390))))</f>
        <v>Agosto</v>
      </c>
      <c r="N1390" s="18" t="str">
        <f t="shared" si="65"/>
        <v>Agosto|45</v>
      </c>
    </row>
    <row r="1391" spans="1:14" ht="14.5" x14ac:dyDescent="0.25">
      <c r="A1391" s="19">
        <v>34</v>
      </c>
      <c r="B1391" s="18" t="s">
        <v>41</v>
      </c>
      <c r="C1391" s="18" t="s">
        <v>116</v>
      </c>
      <c r="D1391" s="18" t="s">
        <v>1941</v>
      </c>
      <c r="E1391" s="18" t="s">
        <v>1948</v>
      </c>
      <c r="F1391" s="101">
        <v>46238.470138888886</v>
      </c>
      <c r="G1391" s="101">
        <v>46248.088888888888</v>
      </c>
      <c r="H1391" s="18" t="s">
        <v>507</v>
      </c>
      <c r="I1391" s="18" t="s">
        <v>508</v>
      </c>
      <c r="J1391" s="18"/>
      <c r="K1391" s="21">
        <f t="shared" si="63"/>
        <v>230.85000000003492</v>
      </c>
      <c r="L1391" s="19">
        <f t="shared" si="64"/>
        <v>45</v>
      </c>
      <c r="M1391" s="18" t="str">
        <f>IF(I1391&lt;&gt;"Sí","",IF(YEAR(F1391)&lt;&gt;2026,"",INDEX({"Enero","Febrero","Marzo","Abril","Mayo","Junio","Julio","Agosto","Septiembre","Octubre","Noviembre","Diciembre"},MONTH(F1391))))</f>
        <v>Agosto</v>
      </c>
      <c r="N1391" s="18" t="str">
        <f t="shared" si="65"/>
        <v>Agosto|45</v>
      </c>
    </row>
    <row r="1392" spans="1:14" ht="14.5" x14ac:dyDescent="0.25">
      <c r="A1392" s="19">
        <v>34</v>
      </c>
      <c r="B1392" s="18" t="s">
        <v>41</v>
      </c>
      <c r="C1392" s="18" t="s">
        <v>106</v>
      </c>
      <c r="D1392" s="18" t="s">
        <v>1949</v>
      </c>
      <c r="E1392" s="18" t="s">
        <v>1950</v>
      </c>
      <c r="F1392" s="101"/>
      <c r="G1392" s="101">
        <v>46238.980555555558</v>
      </c>
      <c r="H1392" s="18" t="s">
        <v>554</v>
      </c>
      <c r="I1392" s="18" t="s">
        <v>555</v>
      </c>
      <c r="J1392" s="18" t="s">
        <v>556</v>
      </c>
      <c r="K1392" s="21" t="str">
        <f t="shared" si="63"/>
        <v/>
      </c>
      <c r="L1392" s="19" t="str">
        <f t="shared" si="64"/>
        <v/>
      </c>
      <c r="M1392" s="18" t="str">
        <f>IF(I1392&lt;&gt;"Sí","",IF(YEAR(F1392)&lt;&gt;2026,"",INDEX({"Enero","Febrero","Marzo","Abril","Mayo","Junio","Julio","Agosto","Septiembre","Octubre","Noviembre","Diciembre"},MONTH(F1392))))</f>
        <v/>
      </c>
      <c r="N1392" s="18" t="str">
        <f t="shared" si="65"/>
        <v/>
      </c>
    </row>
    <row r="1393" spans="1:14" ht="14.5" x14ac:dyDescent="0.25">
      <c r="A1393" s="19">
        <v>34</v>
      </c>
      <c r="B1393" s="18" t="s">
        <v>41</v>
      </c>
      <c r="C1393" s="18" t="s">
        <v>106</v>
      </c>
      <c r="D1393" s="18" t="s">
        <v>1949</v>
      </c>
      <c r="E1393" s="18" t="s">
        <v>1951</v>
      </c>
      <c r="F1393" s="101"/>
      <c r="G1393" s="101">
        <v>46238.980555555558</v>
      </c>
      <c r="H1393" s="18" t="s">
        <v>554</v>
      </c>
      <c r="I1393" s="18" t="s">
        <v>555</v>
      </c>
      <c r="J1393" s="18" t="s">
        <v>556</v>
      </c>
      <c r="K1393" s="21" t="str">
        <f t="shared" si="63"/>
        <v/>
      </c>
      <c r="L1393" s="19" t="str">
        <f t="shared" si="64"/>
        <v/>
      </c>
      <c r="M1393" s="18" t="str">
        <f>IF(I1393&lt;&gt;"Sí","",IF(YEAR(F1393)&lt;&gt;2026,"",INDEX({"Enero","Febrero","Marzo","Abril","Mayo","Junio","Julio","Agosto","Septiembre","Octubre","Noviembre","Diciembre"},MONTH(F1393))))</f>
        <v/>
      </c>
      <c r="N1393" s="18" t="str">
        <f t="shared" si="65"/>
        <v/>
      </c>
    </row>
    <row r="1394" spans="1:14" ht="14.5" x14ac:dyDescent="0.25">
      <c r="A1394" s="19">
        <v>34</v>
      </c>
      <c r="B1394" s="18" t="s">
        <v>41</v>
      </c>
      <c r="C1394" s="18" t="s">
        <v>106</v>
      </c>
      <c r="D1394" s="18" t="s">
        <v>1949</v>
      </c>
      <c r="E1394" s="18" t="s">
        <v>1952</v>
      </c>
      <c r="F1394" s="101"/>
      <c r="G1394" s="101">
        <v>46238.981249999997</v>
      </c>
      <c r="H1394" s="18" t="s">
        <v>554</v>
      </c>
      <c r="I1394" s="18" t="s">
        <v>555</v>
      </c>
      <c r="J1394" s="18" t="s">
        <v>556</v>
      </c>
      <c r="K1394" s="21" t="str">
        <f t="shared" si="63"/>
        <v/>
      </c>
      <c r="L1394" s="19" t="str">
        <f t="shared" si="64"/>
        <v/>
      </c>
      <c r="M1394" s="18" t="str">
        <f>IF(I1394&lt;&gt;"Sí","",IF(YEAR(F1394)&lt;&gt;2026,"",INDEX({"Enero","Febrero","Marzo","Abril","Mayo","Junio","Julio","Agosto","Septiembre","Octubre","Noviembre","Diciembre"},MONTH(F1394))))</f>
        <v/>
      </c>
      <c r="N1394" s="18" t="str">
        <f t="shared" si="65"/>
        <v/>
      </c>
    </row>
    <row r="1395" spans="1:14" ht="14.5" x14ac:dyDescent="0.25">
      <c r="A1395" s="19">
        <v>34</v>
      </c>
      <c r="B1395" s="18" t="s">
        <v>41</v>
      </c>
      <c r="C1395" s="18" t="s">
        <v>106</v>
      </c>
      <c r="D1395" s="18" t="s">
        <v>1949</v>
      </c>
      <c r="E1395" s="18" t="s">
        <v>1953</v>
      </c>
      <c r="F1395" s="101"/>
      <c r="G1395" s="101">
        <v>46238.981249999997</v>
      </c>
      <c r="H1395" s="18" t="s">
        <v>554</v>
      </c>
      <c r="I1395" s="18" t="s">
        <v>555</v>
      </c>
      <c r="J1395" s="18" t="s">
        <v>556</v>
      </c>
      <c r="K1395" s="21" t="str">
        <f t="shared" si="63"/>
        <v/>
      </c>
      <c r="L1395" s="19" t="str">
        <f t="shared" si="64"/>
        <v/>
      </c>
      <c r="M1395" s="18" t="str">
        <f>IF(I1395&lt;&gt;"Sí","",IF(YEAR(F1395)&lt;&gt;2026,"",INDEX({"Enero","Febrero","Marzo","Abril","Mayo","Junio","Julio","Agosto","Septiembre","Octubre","Noviembre","Diciembre"},MONTH(F1395))))</f>
        <v/>
      </c>
      <c r="N1395" s="18" t="str">
        <f t="shared" si="65"/>
        <v/>
      </c>
    </row>
    <row r="1396" spans="1:14" ht="14.5" x14ac:dyDescent="0.25">
      <c r="A1396" s="19">
        <v>34</v>
      </c>
      <c r="B1396" s="18" t="s">
        <v>41</v>
      </c>
      <c r="C1396" s="18" t="s">
        <v>106</v>
      </c>
      <c r="D1396" s="18" t="s">
        <v>1949</v>
      </c>
      <c r="E1396" s="18" t="s">
        <v>1954</v>
      </c>
      <c r="F1396" s="101"/>
      <c r="G1396" s="101">
        <v>46238.981249999997</v>
      </c>
      <c r="H1396" s="18" t="s">
        <v>554</v>
      </c>
      <c r="I1396" s="18" t="s">
        <v>555</v>
      </c>
      <c r="J1396" s="18" t="s">
        <v>556</v>
      </c>
      <c r="K1396" s="21" t="str">
        <f t="shared" si="63"/>
        <v/>
      </c>
      <c r="L1396" s="19" t="str">
        <f t="shared" si="64"/>
        <v/>
      </c>
      <c r="M1396" s="18" t="str">
        <f>IF(I1396&lt;&gt;"Sí","",IF(YEAR(F1396)&lt;&gt;2026,"",INDEX({"Enero","Febrero","Marzo","Abril","Mayo","Junio","Julio","Agosto","Septiembre","Octubre","Noviembre","Diciembre"},MONTH(F1396))))</f>
        <v/>
      </c>
      <c r="N1396" s="18" t="str">
        <f t="shared" si="65"/>
        <v/>
      </c>
    </row>
    <row r="1397" spans="1:14" ht="14.5" x14ac:dyDescent="0.25">
      <c r="A1397" s="19">
        <v>34</v>
      </c>
      <c r="B1397" s="18" t="s">
        <v>41</v>
      </c>
      <c r="C1397" s="18" t="s">
        <v>106</v>
      </c>
      <c r="D1397" s="18" t="s">
        <v>1949</v>
      </c>
      <c r="E1397" s="18" t="s">
        <v>1955</v>
      </c>
      <c r="F1397" s="101"/>
      <c r="G1397" s="101">
        <v>46238.981249999997</v>
      </c>
      <c r="H1397" s="18" t="s">
        <v>523</v>
      </c>
      <c r="I1397" s="18" t="s">
        <v>555</v>
      </c>
      <c r="J1397" s="18" t="s">
        <v>556</v>
      </c>
      <c r="K1397" s="21" t="str">
        <f t="shared" si="63"/>
        <v/>
      </c>
      <c r="L1397" s="19" t="str">
        <f t="shared" si="64"/>
        <v/>
      </c>
      <c r="M1397" s="18" t="str">
        <f>IF(I1397&lt;&gt;"Sí","",IF(YEAR(F1397)&lt;&gt;2026,"",INDEX({"Enero","Febrero","Marzo","Abril","Mayo","Junio","Julio","Agosto","Septiembre","Octubre","Noviembre","Diciembre"},MONTH(F1397))))</f>
        <v/>
      </c>
      <c r="N1397" s="18" t="str">
        <f t="shared" si="65"/>
        <v/>
      </c>
    </row>
    <row r="1398" spans="1:14" ht="14.5" x14ac:dyDescent="0.25">
      <c r="A1398" s="19">
        <v>34</v>
      </c>
      <c r="B1398" s="18" t="s">
        <v>41</v>
      </c>
      <c r="C1398" s="18" t="s">
        <v>106</v>
      </c>
      <c r="D1398" s="18" t="s">
        <v>1949</v>
      </c>
      <c r="E1398" s="18" t="s">
        <v>1952</v>
      </c>
      <c r="F1398" s="101">
        <v>46239.010416666664</v>
      </c>
      <c r="G1398" s="101">
        <v>46240.395833333336</v>
      </c>
      <c r="H1398" s="18" t="s">
        <v>523</v>
      </c>
      <c r="I1398" s="18" t="s">
        <v>508</v>
      </c>
      <c r="J1398" s="18"/>
      <c r="K1398" s="21">
        <f t="shared" si="63"/>
        <v>33.250000000116415</v>
      </c>
      <c r="L1398" s="19">
        <f t="shared" si="64"/>
        <v>46</v>
      </c>
      <c r="M1398" s="18" t="str">
        <f>IF(I1398&lt;&gt;"Sí","",IF(YEAR(F1398)&lt;&gt;2026,"",INDEX({"Enero","Febrero","Marzo","Abril","Mayo","Junio","Julio","Agosto","Septiembre","Octubre","Noviembre","Diciembre"},MONTH(F1398))))</f>
        <v>Agosto</v>
      </c>
      <c r="N1398" s="18" t="str">
        <f t="shared" si="65"/>
        <v>Agosto|46</v>
      </c>
    </row>
    <row r="1399" spans="1:14" ht="14.5" x14ac:dyDescent="0.25">
      <c r="A1399" s="19">
        <v>34</v>
      </c>
      <c r="B1399" s="18" t="s">
        <v>41</v>
      </c>
      <c r="C1399" s="18" t="s">
        <v>99</v>
      </c>
      <c r="D1399" s="18" t="s">
        <v>1621</v>
      </c>
      <c r="E1399" s="18" t="s">
        <v>1956</v>
      </c>
      <c r="F1399" s="101">
        <v>46239.488888888889</v>
      </c>
      <c r="G1399" s="101">
        <v>46242.013888888891</v>
      </c>
      <c r="H1399" s="18" t="s">
        <v>507</v>
      </c>
      <c r="I1399" s="18" t="s">
        <v>508</v>
      </c>
      <c r="J1399" s="18"/>
      <c r="K1399" s="21">
        <f t="shared" si="63"/>
        <v>60.600000000034925</v>
      </c>
      <c r="L1399" s="19">
        <f t="shared" si="64"/>
        <v>52</v>
      </c>
      <c r="M1399" s="18" t="str">
        <f>IF(I1399&lt;&gt;"Sí","",IF(YEAR(F1399)&lt;&gt;2026,"",INDEX({"Enero","Febrero","Marzo","Abril","Mayo","Junio","Julio","Agosto","Septiembre","Octubre","Noviembre","Diciembre"},MONTH(F1399))))</f>
        <v>Agosto</v>
      </c>
      <c r="N1399" s="18" t="str">
        <f t="shared" si="65"/>
        <v>Agosto|52</v>
      </c>
    </row>
    <row r="1400" spans="1:14" ht="14.5" x14ac:dyDescent="0.25">
      <c r="A1400" s="19">
        <v>34</v>
      </c>
      <c r="B1400" s="18" t="s">
        <v>41</v>
      </c>
      <c r="C1400" s="18" t="s">
        <v>99</v>
      </c>
      <c r="D1400" s="18" t="s">
        <v>1621</v>
      </c>
      <c r="E1400" s="18" t="s">
        <v>1957</v>
      </c>
      <c r="F1400" s="101">
        <v>46239.488888888889</v>
      </c>
      <c r="G1400" s="101">
        <v>46242.416666666664</v>
      </c>
      <c r="H1400" s="18" t="s">
        <v>507</v>
      </c>
      <c r="I1400" s="18" t="s">
        <v>508</v>
      </c>
      <c r="J1400" s="18"/>
      <c r="K1400" s="21">
        <f t="shared" si="63"/>
        <v>70.266666666604578</v>
      </c>
      <c r="L1400" s="19">
        <f t="shared" si="64"/>
        <v>52</v>
      </c>
      <c r="M1400" s="18" t="str">
        <f>IF(I1400&lt;&gt;"Sí","",IF(YEAR(F1400)&lt;&gt;2026,"",INDEX({"Enero","Febrero","Marzo","Abril","Mayo","Junio","Julio","Agosto","Septiembre","Octubre","Noviembre","Diciembre"},MONTH(F1400))))</f>
        <v>Agosto</v>
      </c>
      <c r="N1400" s="18" t="str">
        <f t="shared" si="65"/>
        <v>Agosto|52</v>
      </c>
    </row>
    <row r="1401" spans="1:14" ht="14.5" x14ac:dyDescent="0.25">
      <c r="A1401" s="19">
        <v>34</v>
      </c>
      <c r="B1401" s="18" t="s">
        <v>41</v>
      </c>
      <c r="C1401" s="18" t="s">
        <v>99</v>
      </c>
      <c r="D1401" s="18" t="s">
        <v>1621</v>
      </c>
      <c r="E1401" s="18" t="s">
        <v>1958</v>
      </c>
      <c r="F1401" s="101">
        <v>46239.488888888889</v>
      </c>
      <c r="G1401" s="101">
        <v>46242.013888888891</v>
      </c>
      <c r="H1401" s="18" t="s">
        <v>507</v>
      </c>
      <c r="I1401" s="18" t="s">
        <v>508</v>
      </c>
      <c r="J1401" s="18"/>
      <c r="K1401" s="21">
        <f t="shared" si="63"/>
        <v>60.600000000034925</v>
      </c>
      <c r="L1401" s="19">
        <f t="shared" si="64"/>
        <v>52</v>
      </c>
      <c r="M1401" s="18" t="str">
        <f>IF(I1401&lt;&gt;"Sí","",IF(YEAR(F1401)&lt;&gt;2026,"",INDEX({"Enero","Febrero","Marzo","Abril","Mayo","Junio","Julio","Agosto","Septiembre","Octubre","Noviembre","Diciembre"},MONTH(F1401))))</f>
        <v>Agosto</v>
      </c>
      <c r="N1401" s="18" t="str">
        <f t="shared" si="65"/>
        <v>Agosto|52</v>
      </c>
    </row>
    <row r="1402" spans="1:14" ht="14.5" x14ac:dyDescent="0.25">
      <c r="A1402" s="19">
        <v>34</v>
      </c>
      <c r="B1402" s="18" t="s">
        <v>41</v>
      </c>
      <c r="C1402" s="18" t="s">
        <v>188</v>
      </c>
      <c r="D1402" s="18" t="s">
        <v>1734</v>
      </c>
      <c r="E1402" s="18" t="s">
        <v>1959</v>
      </c>
      <c r="F1402" s="101">
        <v>46239.488888888889</v>
      </c>
      <c r="G1402" s="101">
        <v>46245.752083333333</v>
      </c>
      <c r="H1402" s="18" t="s">
        <v>507</v>
      </c>
      <c r="I1402" s="18" t="s">
        <v>508</v>
      </c>
      <c r="J1402" s="18"/>
      <c r="K1402" s="21">
        <f t="shared" si="63"/>
        <v>150.31666666665114</v>
      </c>
      <c r="L1402" s="19">
        <f t="shared" si="64"/>
        <v>52</v>
      </c>
      <c r="M1402" s="18" t="str">
        <f>IF(I1402&lt;&gt;"Sí","",IF(YEAR(F1402)&lt;&gt;2026,"",INDEX({"Enero","Febrero","Marzo","Abril","Mayo","Junio","Julio","Agosto","Septiembre","Octubre","Noviembre","Diciembre"},MONTH(F1402))))</f>
        <v>Agosto</v>
      </c>
      <c r="N1402" s="18" t="str">
        <f t="shared" si="65"/>
        <v>Agosto|52</v>
      </c>
    </row>
    <row r="1403" spans="1:14" ht="14.5" x14ac:dyDescent="0.25">
      <c r="A1403" s="19">
        <v>34</v>
      </c>
      <c r="B1403" s="18" t="s">
        <v>41</v>
      </c>
      <c r="C1403" s="18" t="s">
        <v>116</v>
      </c>
      <c r="D1403" s="18" t="s">
        <v>1941</v>
      </c>
      <c r="E1403" s="18" t="s">
        <v>1960</v>
      </c>
      <c r="F1403" s="101">
        <v>46239.488888888889</v>
      </c>
      <c r="G1403" s="101">
        <v>46248.775000000001</v>
      </c>
      <c r="H1403" s="18" t="s">
        <v>507</v>
      </c>
      <c r="I1403" s="18" t="s">
        <v>508</v>
      </c>
      <c r="J1403" s="18"/>
      <c r="K1403" s="21">
        <f t="shared" si="63"/>
        <v>222.86666666669771</v>
      </c>
      <c r="L1403" s="19">
        <f t="shared" si="64"/>
        <v>52</v>
      </c>
      <c r="M1403" s="18" t="str">
        <f>IF(I1403&lt;&gt;"Sí","",IF(YEAR(F1403)&lt;&gt;2026,"",INDEX({"Enero","Febrero","Marzo","Abril","Mayo","Junio","Julio","Agosto","Septiembre","Octubre","Noviembre","Diciembre"},MONTH(F1403))))</f>
        <v>Agosto</v>
      </c>
      <c r="N1403" s="18" t="str">
        <f t="shared" si="65"/>
        <v>Agosto|52</v>
      </c>
    </row>
    <row r="1404" spans="1:14" ht="14.5" x14ac:dyDescent="0.25">
      <c r="A1404" s="19">
        <v>34</v>
      </c>
      <c r="B1404" s="18" t="s">
        <v>41</v>
      </c>
      <c r="C1404" s="18" t="s">
        <v>116</v>
      </c>
      <c r="D1404" s="18" t="s">
        <v>1941</v>
      </c>
      <c r="E1404" s="18" t="s">
        <v>1961</v>
      </c>
      <c r="F1404" s="101">
        <v>46239.488888888889</v>
      </c>
      <c r="G1404" s="101">
        <v>46248.775000000001</v>
      </c>
      <c r="H1404" s="18" t="s">
        <v>507</v>
      </c>
      <c r="I1404" s="18" t="s">
        <v>508</v>
      </c>
      <c r="J1404" s="18"/>
      <c r="K1404" s="21">
        <f t="shared" si="63"/>
        <v>222.86666666669771</v>
      </c>
      <c r="L1404" s="19">
        <f t="shared" si="64"/>
        <v>52</v>
      </c>
      <c r="M1404" s="18" t="str">
        <f>IF(I1404&lt;&gt;"Sí","",IF(YEAR(F1404)&lt;&gt;2026,"",INDEX({"Enero","Febrero","Marzo","Abril","Mayo","Junio","Julio","Agosto","Septiembre","Octubre","Noviembre","Diciembre"},MONTH(F1404))))</f>
        <v>Agosto</v>
      </c>
      <c r="N1404" s="18" t="str">
        <f t="shared" si="65"/>
        <v>Agosto|52</v>
      </c>
    </row>
    <row r="1405" spans="1:14" ht="14.5" x14ac:dyDescent="0.25">
      <c r="A1405" s="19">
        <v>34</v>
      </c>
      <c r="B1405" s="18" t="s">
        <v>41</v>
      </c>
      <c r="C1405" s="18" t="s">
        <v>99</v>
      </c>
      <c r="D1405" s="18" t="s">
        <v>1621</v>
      </c>
      <c r="E1405" s="18" t="s">
        <v>1962</v>
      </c>
      <c r="F1405" s="101">
        <v>46239.539583333331</v>
      </c>
      <c r="G1405" s="101">
        <v>46242.055555555555</v>
      </c>
      <c r="H1405" s="18" t="s">
        <v>507</v>
      </c>
      <c r="I1405" s="18" t="s">
        <v>508</v>
      </c>
      <c r="J1405" s="18"/>
      <c r="K1405" s="21">
        <f t="shared" si="63"/>
        <v>60.383333333360497</v>
      </c>
      <c r="L1405" s="19">
        <f t="shared" si="64"/>
        <v>55</v>
      </c>
      <c r="M1405" s="18" t="str">
        <f>IF(I1405&lt;&gt;"Sí","",IF(YEAR(F1405)&lt;&gt;2026,"",INDEX({"Enero","Febrero","Marzo","Abril","Mayo","Junio","Julio","Agosto","Septiembre","Octubre","Noviembre","Diciembre"},MONTH(F1405))))</f>
        <v>Agosto</v>
      </c>
      <c r="N1405" s="18" t="str">
        <f t="shared" si="65"/>
        <v>Agosto|55</v>
      </c>
    </row>
    <row r="1406" spans="1:14" ht="14.5" x14ac:dyDescent="0.25">
      <c r="A1406" s="19">
        <v>34</v>
      </c>
      <c r="B1406" s="18" t="s">
        <v>41</v>
      </c>
      <c r="C1406" s="18" t="s">
        <v>99</v>
      </c>
      <c r="D1406" s="18" t="s">
        <v>1621</v>
      </c>
      <c r="E1406" s="18" t="s">
        <v>1963</v>
      </c>
      <c r="F1406" s="101">
        <v>46239.539583333331</v>
      </c>
      <c r="G1406" s="101">
        <v>46242.055555555555</v>
      </c>
      <c r="H1406" s="18" t="s">
        <v>507</v>
      </c>
      <c r="I1406" s="18" t="s">
        <v>508</v>
      </c>
      <c r="J1406" s="18"/>
      <c r="K1406" s="21">
        <f t="shared" si="63"/>
        <v>60.383333333360497</v>
      </c>
      <c r="L1406" s="19">
        <f t="shared" si="64"/>
        <v>55</v>
      </c>
      <c r="M1406" s="18" t="str">
        <f>IF(I1406&lt;&gt;"Sí","",IF(YEAR(F1406)&lt;&gt;2026,"",INDEX({"Enero","Febrero","Marzo","Abril","Mayo","Junio","Julio","Agosto","Septiembre","Octubre","Noviembre","Diciembre"},MONTH(F1406))))</f>
        <v>Agosto</v>
      </c>
      <c r="N1406" s="18" t="str">
        <f t="shared" si="65"/>
        <v>Agosto|55</v>
      </c>
    </row>
    <row r="1407" spans="1:14" ht="14.5" x14ac:dyDescent="0.25">
      <c r="A1407" s="19">
        <v>34</v>
      </c>
      <c r="B1407" s="18" t="s">
        <v>41</v>
      </c>
      <c r="C1407" s="18" t="s">
        <v>188</v>
      </c>
      <c r="D1407" s="18" t="s">
        <v>1734</v>
      </c>
      <c r="E1407" s="18" t="s">
        <v>1964</v>
      </c>
      <c r="F1407" s="101">
        <v>46239.539583333331</v>
      </c>
      <c r="G1407" s="101">
        <v>46244.84375</v>
      </c>
      <c r="H1407" s="18" t="s">
        <v>507</v>
      </c>
      <c r="I1407" s="18" t="s">
        <v>508</v>
      </c>
      <c r="J1407" s="18"/>
      <c r="K1407" s="21">
        <f t="shared" si="63"/>
        <v>127.30000000004657</v>
      </c>
      <c r="L1407" s="19">
        <f t="shared" si="64"/>
        <v>55</v>
      </c>
      <c r="M1407" s="18" t="str">
        <f>IF(I1407&lt;&gt;"Sí","",IF(YEAR(F1407)&lt;&gt;2026,"",INDEX({"Enero","Febrero","Marzo","Abril","Mayo","Junio","Julio","Agosto","Septiembre","Octubre","Noviembre","Diciembre"},MONTH(F1407))))</f>
        <v>Agosto</v>
      </c>
      <c r="N1407" s="18" t="str">
        <f t="shared" si="65"/>
        <v>Agosto|55</v>
      </c>
    </row>
    <row r="1408" spans="1:14" ht="14.5" x14ac:dyDescent="0.25">
      <c r="A1408" s="19">
        <v>34</v>
      </c>
      <c r="B1408" s="18" t="s">
        <v>41</v>
      </c>
      <c r="C1408" s="18" t="s">
        <v>116</v>
      </c>
      <c r="D1408" s="18" t="s">
        <v>1941</v>
      </c>
      <c r="E1408" s="18" t="s">
        <v>1965</v>
      </c>
      <c r="F1408" s="101">
        <v>46239.699305555558</v>
      </c>
      <c r="G1408" s="101">
        <v>46248.088888888888</v>
      </c>
      <c r="H1408" s="18" t="s">
        <v>507</v>
      </c>
      <c r="I1408" s="18" t="s">
        <v>508</v>
      </c>
      <c r="J1408" s="18"/>
      <c r="K1408" s="21">
        <f t="shared" si="63"/>
        <v>201.34999999991851</v>
      </c>
      <c r="L1408" s="19">
        <f t="shared" si="64"/>
        <v>56</v>
      </c>
      <c r="M1408" s="18" t="str">
        <f>IF(I1408&lt;&gt;"Sí","",IF(YEAR(F1408)&lt;&gt;2026,"",INDEX({"Enero","Febrero","Marzo","Abril","Mayo","Junio","Julio","Agosto","Septiembre","Octubre","Noviembre","Diciembre"},MONTH(F1408))))</f>
        <v>Agosto</v>
      </c>
      <c r="N1408" s="18" t="str">
        <f t="shared" si="65"/>
        <v>Agosto|56</v>
      </c>
    </row>
    <row r="1409" spans="1:14" ht="14.5" x14ac:dyDescent="0.25">
      <c r="A1409" s="19">
        <v>34</v>
      </c>
      <c r="B1409" s="18" t="s">
        <v>41</v>
      </c>
      <c r="C1409" s="18" t="s">
        <v>99</v>
      </c>
      <c r="D1409" s="18" t="s">
        <v>1621</v>
      </c>
      <c r="E1409" s="18" t="s">
        <v>1966</v>
      </c>
      <c r="F1409" s="101">
        <v>46240.005555555559</v>
      </c>
      <c r="G1409" s="101">
        <v>46242.183333333334</v>
      </c>
      <c r="H1409" s="18" t="s">
        <v>507</v>
      </c>
      <c r="I1409" s="18" t="s">
        <v>508</v>
      </c>
      <c r="J1409" s="18"/>
      <c r="K1409" s="21">
        <f t="shared" si="63"/>
        <v>52.266666666604578</v>
      </c>
      <c r="L1409" s="19">
        <f t="shared" si="64"/>
        <v>57</v>
      </c>
      <c r="M1409" s="18" t="str">
        <f>IF(I1409&lt;&gt;"Sí","",IF(YEAR(F1409)&lt;&gt;2026,"",INDEX({"Enero","Febrero","Marzo","Abril","Mayo","Junio","Julio","Agosto","Septiembre","Octubre","Noviembre","Diciembre"},MONTH(F1409))))</f>
        <v>Agosto</v>
      </c>
      <c r="N1409" s="18" t="str">
        <f t="shared" si="65"/>
        <v>Agosto|57</v>
      </c>
    </row>
    <row r="1410" spans="1:14" ht="14.5" x14ac:dyDescent="0.25">
      <c r="A1410" s="19">
        <v>34</v>
      </c>
      <c r="B1410" s="18" t="s">
        <v>41</v>
      </c>
      <c r="C1410" s="18" t="s">
        <v>99</v>
      </c>
      <c r="D1410" s="18" t="s">
        <v>1621</v>
      </c>
      <c r="E1410" s="18" t="s">
        <v>1967</v>
      </c>
      <c r="F1410" s="101">
        <v>46240.006249999999</v>
      </c>
      <c r="G1410" s="101">
        <v>46242.183333333334</v>
      </c>
      <c r="H1410" s="18" t="s">
        <v>507</v>
      </c>
      <c r="I1410" s="18" t="s">
        <v>508</v>
      </c>
      <c r="J1410" s="18"/>
      <c r="K1410" s="21">
        <f t="shared" si="63"/>
        <v>52.250000000058208</v>
      </c>
      <c r="L1410" s="19">
        <f t="shared" si="64"/>
        <v>58</v>
      </c>
      <c r="M1410" s="18" t="str">
        <f>IF(I1410&lt;&gt;"Sí","",IF(YEAR(F1410)&lt;&gt;2026,"",INDEX({"Enero","Febrero","Marzo","Abril","Mayo","Junio","Julio","Agosto","Septiembre","Octubre","Noviembre","Diciembre"},MONTH(F1410))))</f>
        <v>Agosto</v>
      </c>
      <c r="N1410" s="18" t="str">
        <f t="shared" si="65"/>
        <v>Agosto|58</v>
      </c>
    </row>
    <row r="1411" spans="1:14" ht="14.5" x14ac:dyDescent="0.25">
      <c r="A1411" s="19">
        <v>34</v>
      </c>
      <c r="B1411" s="18" t="s">
        <v>41</v>
      </c>
      <c r="C1411" s="18" t="s">
        <v>99</v>
      </c>
      <c r="D1411" s="18" t="s">
        <v>1621</v>
      </c>
      <c r="E1411" s="18" t="s">
        <v>1968</v>
      </c>
      <c r="F1411" s="101">
        <v>46240.006944444445</v>
      </c>
      <c r="G1411" s="101">
        <v>46242.183333333334</v>
      </c>
      <c r="H1411" s="18" t="s">
        <v>507</v>
      </c>
      <c r="I1411" s="18" t="s">
        <v>508</v>
      </c>
      <c r="J1411" s="18"/>
      <c r="K1411" s="21">
        <f t="shared" si="63"/>
        <v>52.233333333337214</v>
      </c>
      <c r="L1411" s="19">
        <f t="shared" si="64"/>
        <v>59</v>
      </c>
      <c r="M1411" s="18" t="str">
        <f>IF(I1411&lt;&gt;"Sí","",IF(YEAR(F1411)&lt;&gt;2026,"",INDEX({"Enero","Febrero","Marzo","Abril","Mayo","Junio","Julio","Agosto","Septiembre","Octubre","Noviembre","Diciembre"},MONTH(F1411))))</f>
        <v>Agosto</v>
      </c>
      <c r="N1411" s="18" t="str">
        <f t="shared" si="65"/>
        <v>Agosto|59</v>
      </c>
    </row>
    <row r="1412" spans="1:14" ht="14.5" x14ac:dyDescent="0.25">
      <c r="A1412" s="19">
        <v>34</v>
      </c>
      <c r="B1412" s="18" t="s">
        <v>41</v>
      </c>
      <c r="C1412" s="18" t="s">
        <v>99</v>
      </c>
      <c r="D1412" s="18" t="s">
        <v>1621</v>
      </c>
      <c r="E1412" s="18" t="s">
        <v>1969</v>
      </c>
      <c r="F1412" s="101">
        <v>46240.007638888892</v>
      </c>
      <c r="G1412" s="101">
        <v>46242.183333333334</v>
      </c>
      <c r="H1412" s="18" t="s">
        <v>507</v>
      </c>
      <c r="I1412" s="18" t="s">
        <v>508</v>
      </c>
      <c r="J1412" s="18"/>
      <c r="K1412" s="21">
        <f t="shared" si="63"/>
        <v>52.21666666661622</v>
      </c>
      <c r="L1412" s="19">
        <f t="shared" si="64"/>
        <v>60</v>
      </c>
      <c r="M1412" s="18" t="str">
        <f>IF(I1412&lt;&gt;"Sí","",IF(YEAR(F1412)&lt;&gt;2026,"",INDEX({"Enero","Febrero","Marzo","Abril","Mayo","Junio","Julio","Agosto","Septiembre","Octubre","Noviembre","Diciembre"},MONTH(F1412))))</f>
        <v>Agosto</v>
      </c>
      <c r="N1412" s="18" t="str">
        <f t="shared" si="65"/>
        <v>Agosto|60</v>
      </c>
    </row>
    <row r="1413" spans="1:14" ht="14.5" x14ac:dyDescent="0.25">
      <c r="A1413" s="19">
        <v>34</v>
      </c>
      <c r="B1413" s="18" t="s">
        <v>41</v>
      </c>
      <c r="C1413" s="18" t="s">
        <v>99</v>
      </c>
      <c r="D1413" s="18" t="s">
        <v>1621</v>
      </c>
      <c r="E1413" s="18" t="s">
        <v>1970</v>
      </c>
      <c r="F1413" s="101">
        <v>46240.008333333331</v>
      </c>
      <c r="G1413" s="101">
        <v>46242.183333333334</v>
      </c>
      <c r="H1413" s="18" t="s">
        <v>507</v>
      </c>
      <c r="I1413" s="18" t="s">
        <v>508</v>
      </c>
      <c r="J1413" s="18"/>
      <c r="K1413" s="21">
        <f t="shared" si="63"/>
        <v>52.200000000069849</v>
      </c>
      <c r="L1413" s="19">
        <f t="shared" si="64"/>
        <v>61</v>
      </c>
      <c r="M1413" s="18" t="str">
        <f>IF(I1413&lt;&gt;"Sí","",IF(YEAR(F1413)&lt;&gt;2026,"",INDEX({"Enero","Febrero","Marzo","Abril","Mayo","Junio","Julio","Agosto","Septiembre","Octubre","Noviembre","Diciembre"},MONTH(F1413))))</f>
        <v>Agosto</v>
      </c>
      <c r="N1413" s="18" t="str">
        <f t="shared" si="65"/>
        <v>Agosto|61</v>
      </c>
    </row>
    <row r="1414" spans="1:14" ht="14.5" x14ac:dyDescent="0.25">
      <c r="A1414" s="19">
        <v>34</v>
      </c>
      <c r="B1414" s="18" t="s">
        <v>41</v>
      </c>
      <c r="C1414" s="18" t="s">
        <v>99</v>
      </c>
      <c r="D1414" s="18" t="s">
        <v>1621</v>
      </c>
      <c r="E1414" s="18" t="s">
        <v>1971</v>
      </c>
      <c r="F1414" s="101">
        <v>46240.009027777778</v>
      </c>
      <c r="G1414" s="101">
        <v>46242.183333333334</v>
      </c>
      <c r="H1414" s="18" t="s">
        <v>507</v>
      </c>
      <c r="I1414" s="18" t="s">
        <v>508</v>
      </c>
      <c r="J1414" s="18"/>
      <c r="K1414" s="21">
        <f t="shared" si="63"/>
        <v>52.183333333348855</v>
      </c>
      <c r="L1414" s="19">
        <f t="shared" si="64"/>
        <v>62</v>
      </c>
      <c r="M1414" s="18" t="str">
        <f>IF(I1414&lt;&gt;"Sí","",IF(YEAR(F1414)&lt;&gt;2026,"",INDEX({"Enero","Febrero","Marzo","Abril","Mayo","Junio","Julio","Agosto","Septiembre","Octubre","Noviembre","Diciembre"},MONTH(F1414))))</f>
        <v>Agosto</v>
      </c>
      <c r="N1414" s="18" t="str">
        <f t="shared" si="65"/>
        <v>Agosto|62</v>
      </c>
    </row>
    <row r="1415" spans="1:14" ht="14.5" x14ac:dyDescent="0.25">
      <c r="A1415" s="19">
        <v>34</v>
      </c>
      <c r="B1415" s="18" t="s">
        <v>41</v>
      </c>
      <c r="C1415" s="18" t="s">
        <v>99</v>
      </c>
      <c r="D1415" s="18" t="s">
        <v>1621</v>
      </c>
      <c r="E1415" s="18" t="s">
        <v>1972</v>
      </c>
      <c r="F1415" s="101">
        <v>46240.009722222225</v>
      </c>
      <c r="G1415" s="101">
        <v>46242.183333333334</v>
      </c>
      <c r="H1415" s="18" t="s">
        <v>507</v>
      </c>
      <c r="I1415" s="18" t="s">
        <v>508</v>
      </c>
      <c r="J1415" s="18"/>
      <c r="K1415" s="21">
        <f t="shared" ref="K1415:K1478" si="66">IF(I1415="Sí",(G1415-F1415)*24,"")</f>
        <v>52.166666666627862</v>
      </c>
      <c r="L1415" s="19">
        <f t="shared" ref="L1415:L1478" si="67">IF(I1415="Sí",COUNTIFS($F$7:$F$4000,"&lt;="&amp;F1415,$G$7:$G$4000,"&gt;"&amp;F1415,$I$7:$I$4000,"Sí"),"")</f>
        <v>63</v>
      </c>
      <c r="M1415" s="18" t="str">
        <f>IF(I1415&lt;&gt;"Sí","",IF(YEAR(F1415)&lt;&gt;2026,"",INDEX({"Enero","Febrero","Marzo","Abril","Mayo","Junio","Julio","Agosto","Septiembre","Octubre","Noviembre","Diciembre"},MONTH(F1415))))</f>
        <v>Agosto</v>
      </c>
      <c r="N1415" s="18" t="str">
        <f t="shared" ref="N1415:N1478" si="68">IF(M1415="","",M1415&amp;"|"&amp;L1415)</f>
        <v>Agosto|63</v>
      </c>
    </row>
    <row r="1416" spans="1:14" ht="14.5" x14ac:dyDescent="0.25">
      <c r="A1416" s="19">
        <v>34</v>
      </c>
      <c r="B1416" s="18" t="s">
        <v>41</v>
      </c>
      <c r="C1416" s="18" t="s">
        <v>99</v>
      </c>
      <c r="D1416" s="18" t="s">
        <v>1621</v>
      </c>
      <c r="E1416" s="18" t="s">
        <v>1973</v>
      </c>
      <c r="F1416" s="101">
        <v>46240.011111111111</v>
      </c>
      <c r="G1416" s="101">
        <v>46242.183333333334</v>
      </c>
      <c r="H1416" s="18" t="s">
        <v>507</v>
      </c>
      <c r="I1416" s="18" t="s">
        <v>508</v>
      </c>
      <c r="J1416" s="18"/>
      <c r="K1416" s="21">
        <f t="shared" si="66"/>
        <v>52.133333333360497</v>
      </c>
      <c r="L1416" s="19">
        <f t="shared" si="67"/>
        <v>64</v>
      </c>
      <c r="M1416" s="18" t="str">
        <f>IF(I1416&lt;&gt;"Sí","",IF(YEAR(F1416)&lt;&gt;2026,"",INDEX({"Enero","Febrero","Marzo","Abril","Mayo","Junio","Julio","Agosto","Septiembre","Octubre","Noviembre","Diciembre"},MONTH(F1416))))</f>
        <v>Agosto</v>
      </c>
      <c r="N1416" s="18" t="str">
        <f t="shared" si="68"/>
        <v>Agosto|64</v>
      </c>
    </row>
    <row r="1417" spans="1:14" ht="14.5" x14ac:dyDescent="0.25">
      <c r="A1417" s="19">
        <v>34</v>
      </c>
      <c r="B1417" s="18" t="s">
        <v>41</v>
      </c>
      <c r="C1417" s="18" t="s">
        <v>99</v>
      </c>
      <c r="D1417" s="18" t="s">
        <v>1621</v>
      </c>
      <c r="E1417" s="18" t="s">
        <v>1974</v>
      </c>
      <c r="F1417" s="101">
        <v>46240.018055555556</v>
      </c>
      <c r="G1417" s="101">
        <v>46242.183333333334</v>
      </c>
      <c r="H1417" s="18" t="s">
        <v>507</v>
      </c>
      <c r="I1417" s="18" t="s">
        <v>508</v>
      </c>
      <c r="J1417" s="18"/>
      <c r="K1417" s="21">
        <f t="shared" si="66"/>
        <v>51.966666666674428</v>
      </c>
      <c r="L1417" s="19">
        <f t="shared" si="67"/>
        <v>65</v>
      </c>
      <c r="M1417" s="18" t="str">
        <f>IF(I1417&lt;&gt;"Sí","",IF(YEAR(F1417)&lt;&gt;2026,"",INDEX({"Enero","Febrero","Marzo","Abril","Mayo","Junio","Julio","Agosto","Septiembre","Octubre","Noviembre","Diciembre"},MONTH(F1417))))</f>
        <v>Agosto</v>
      </c>
      <c r="N1417" s="18" t="str">
        <f t="shared" si="68"/>
        <v>Agosto|65</v>
      </c>
    </row>
    <row r="1418" spans="1:14" ht="14.5" x14ac:dyDescent="0.25">
      <c r="A1418" s="19">
        <v>34</v>
      </c>
      <c r="B1418" s="18" t="s">
        <v>41</v>
      </c>
      <c r="C1418" s="18" t="s">
        <v>99</v>
      </c>
      <c r="D1418" s="18" t="s">
        <v>1621</v>
      </c>
      <c r="E1418" s="18" t="s">
        <v>1975</v>
      </c>
      <c r="F1418" s="101">
        <v>46240.019444444442</v>
      </c>
      <c r="G1418" s="101">
        <v>46242.183333333334</v>
      </c>
      <c r="H1418" s="18" t="s">
        <v>507</v>
      </c>
      <c r="I1418" s="18" t="s">
        <v>508</v>
      </c>
      <c r="J1418" s="18"/>
      <c r="K1418" s="21">
        <f t="shared" si="66"/>
        <v>51.933333333407063</v>
      </c>
      <c r="L1418" s="19">
        <f t="shared" si="67"/>
        <v>67</v>
      </c>
      <c r="M1418" s="18" t="str">
        <f>IF(I1418&lt;&gt;"Sí","",IF(YEAR(F1418)&lt;&gt;2026,"",INDEX({"Enero","Febrero","Marzo","Abril","Mayo","Junio","Julio","Agosto","Septiembre","Octubre","Noviembre","Diciembre"},MONTH(F1418))))</f>
        <v>Agosto</v>
      </c>
      <c r="N1418" s="18" t="str">
        <f t="shared" si="68"/>
        <v>Agosto|67</v>
      </c>
    </row>
    <row r="1419" spans="1:14" ht="14.5" x14ac:dyDescent="0.25">
      <c r="A1419" s="19">
        <v>34</v>
      </c>
      <c r="B1419" s="18" t="s">
        <v>41</v>
      </c>
      <c r="C1419" s="18" t="s">
        <v>99</v>
      </c>
      <c r="D1419" s="18" t="s">
        <v>1621</v>
      </c>
      <c r="E1419" s="18" t="s">
        <v>1976</v>
      </c>
      <c r="F1419" s="101">
        <v>46240.019444444442</v>
      </c>
      <c r="G1419" s="101">
        <v>46242.183333333334</v>
      </c>
      <c r="H1419" s="18" t="s">
        <v>507</v>
      </c>
      <c r="I1419" s="18" t="s">
        <v>508</v>
      </c>
      <c r="J1419" s="18"/>
      <c r="K1419" s="21">
        <f t="shared" si="66"/>
        <v>51.933333333407063</v>
      </c>
      <c r="L1419" s="19">
        <f t="shared" si="67"/>
        <v>67</v>
      </c>
      <c r="M1419" s="18" t="str">
        <f>IF(I1419&lt;&gt;"Sí","",IF(YEAR(F1419)&lt;&gt;2026,"",INDEX({"Enero","Febrero","Marzo","Abril","Mayo","Junio","Julio","Agosto","Septiembre","Octubre","Noviembre","Diciembre"},MONTH(F1419))))</f>
        <v>Agosto</v>
      </c>
      <c r="N1419" s="18" t="str">
        <f t="shared" si="68"/>
        <v>Agosto|67</v>
      </c>
    </row>
    <row r="1420" spans="1:14" ht="14.5" x14ac:dyDescent="0.25">
      <c r="A1420" s="19">
        <v>34</v>
      </c>
      <c r="B1420" s="18" t="s">
        <v>41</v>
      </c>
      <c r="C1420" s="18" t="s">
        <v>99</v>
      </c>
      <c r="D1420" s="18" t="s">
        <v>1621</v>
      </c>
      <c r="E1420" s="18" t="s">
        <v>1977</v>
      </c>
      <c r="F1420" s="101">
        <v>46240.022916666669</v>
      </c>
      <c r="G1420" s="101">
        <v>46242.183333333334</v>
      </c>
      <c r="H1420" s="18" t="s">
        <v>507</v>
      </c>
      <c r="I1420" s="18" t="s">
        <v>508</v>
      </c>
      <c r="J1420" s="18"/>
      <c r="K1420" s="21">
        <f t="shared" si="66"/>
        <v>51.849999999976717</v>
      </c>
      <c r="L1420" s="19">
        <f t="shared" si="67"/>
        <v>68</v>
      </c>
      <c r="M1420" s="18" t="str">
        <f>IF(I1420&lt;&gt;"Sí","",IF(YEAR(F1420)&lt;&gt;2026,"",INDEX({"Enero","Febrero","Marzo","Abril","Mayo","Junio","Julio","Agosto","Septiembre","Octubre","Noviembre","Diciembre"},MONTH(F1420))))</f>
        <v>Agosto</v>
      </c>
      <c r="N1420" s="18" t="str">
        <f t="shared" si="68"/>
        <v>Agosto|68</v>
      </c>
    </row>
    <row r="1421" spans="1:14" ht="14.5" x14ac:dyDescent="0.25">
      <c r="A1421" s="19">
        <v>34</v>
      </c>
      <c r="B1421" s="18" t="s">
        <v>41</v>
      </c>
      <c r="C1421" s="18" t="s">
        <v>99</v>
      </c>
      <c r="D1421" s="18" t="s">
        <v>1621</v>
      </c>
      <c r="E1421" s="18" t="s">
        <v>1978</v>
      </c>
      <c r="F1421" s="101">
        <v>46240.027777777781</v>
      </c>
      <c r="G1421" s="101">
        <v>46242.183333333334</v>
      </c>
      <c r="H1421" s="18" t="s">
        <v>507</v>
      </c>
      <c r="I1421" s="18" t="s">
        <v>508</v>
      </c>
      <c r="J1421" s="18"/>
      <c r="K1421" s="21">
        <f t="shared" si="66"/>
        <v>51.733333333279006</v>
      </c>
      <c r="L1421" s="19">
        <f t="shared" si="67"/>
        <v>69</v>
      </c>
      <c r="M1421" s="18" t="str">
        <f>IF(I1421&lt;&gt;"Sí","",IF(YEAR(F1421)&lt;&gt;2026,"",INDEX({"Enero","Febrero","Marzo","Abril","Mayo","Junio","Julio","Agosto","Septiembre","Octubre","Noviembre","Diciembre"},MONTH(F1421))))</f>
        <v>Agosto</v>
      </c>
      <c r="N1421" s="18" t="str">
        <f t="shared" si="68"/>
        <v>Agosto|69</v>
      </c>
    </row>
    <row r="1422" spans="1:14" ht="14.5" x14ac:dyDescent="0.25">
      <c r="A1422" s="19">
        <v>34</v>
      </c>
      <c r="B1422" s="18" t="s">
        <v>41</v>
      </c>
      <c r="C1422" s="18" t="s">
        <v>99</v>
      </c>
      <c r="D1422" s="18" t="s">
        <v>1621</v>
      </c>
      <c r="E1422" s="18" t="s">
        <v>1979</v>
      </c>
      <c r="F1422" s="101">
        <v>46240.03125</v>
      </c>
      <c r="G1422" s="101">
        <v>46242.183333333334</v>
      </c>
      <c r="H1422" s="18" t="s">
        <v>507</v>
      </c>
      <c r="I1422" s="18" t="s">
        <v>508</v>
      </c>
      <c r="J1422" s="18"/>
      <c r="K1422" s="21">
        <f t="shared" si="66"/>
        <v>51.650000000023283</v>
      </c>
      <c r="L1422" s="19">
        <f t="shared" si="67"/>
        <v>70</v>
      </c>
      <c r="M1422" s="18" t="str">
        <f>IF(I1422&lt;&gt;"Sí","",IF(YEAR(F1422)&lt;&gt;2026,"",INDEX({"Enero","Febrero","Marzo","Abril","Mayo","Junio","Julio","Agosto","Septiembre","Octubre","Noviembre","Diciembre"},MONTH(F1422))))</f>
        <v>Agosto</v>
      </c>
      <c r="N1422" s="18" t="str">
        <f t="shared" si="68"/>
        <v>Agosto|70</v>
      </c>
    </row>
    <row r="1423" spans="1:14" ht="14.5" x14ac:dyDescent="0.25">
      <c r="A1423" s="19">
        <v>34</v>
      </c>
      <c r="B1423" s="18" t="s">
        <v>41</v>
      </c>
      <c r="C1423" s="18" t="s">
        <v>99</v>
      </c>
      <c r="D1423" s="18" t="s">
        <v>1621</v>
      </c>
      <c r="E1423" s="18" t="s">
        <v>1980</v>
      </c>
      <c r="F1423" s="101">
        <v>46240.032638888886</v>
      </c>
      <c r="G1423" s="101">
        <v>46242.183333333334</v>
      </c>
      <c r="H1423" s="18" t="s">
        <v>507</v>
      </c>
      <c r="I1423" s="18" t="s">
        <v>508</v>
      </c>
      <c r="J1423" s="18"/>
      <c r="K1423" s="21">
        <f t="shared" si="66"/>
        <v>51.616666666755918</v>
      </c>
      <c r="L1423" s="19">
        <f t="shared" si="67"/>
        <v>71</v>
      </c>
      <c r="M1423" s="18" t="str">
        <f>IF(I1423&lt;&gt;"Sí","",IF(YEAR(F1423)&lt;&gt;2026,"",INDEX({"Enero","Febrero","Marzo","Abril","Mayo","Junio","Julio","Agosto","Septiembre","Octubre","Noviembre","Diciembre"},MONTH(F1423))))</f>
        <v>Agosto</v>
      </c>
      <c r="N1423" s="18" t="str">
        <f t="shared" si="68"/>
        <v>Agosto|71</v>
      </c>
    </row>
    <row r="1424" spans="1:14" ht="14.5" x14ac:dyDescent="0.25">
      <c r="A1424" s="19">
        <v>34</v>
      </c>
      <c r="B1424" s="18" t="s">
        <v>41</v>
      </c>
      <c r="C1424" s="18" t="s">
        <v>92</v>
      </c>
      <c r="D1424" s="18" t="s">
        <v>1981</v>
      </c>
      <c r="E1424" s="18" t="s">
        <v>1982</v>
      </c>
      <c r="F1424" s="101">
        <v>46240.038194444445</v>
      </c>
      <c r="G1424" s="101">
        <v>46251.154166666667</v>
      </c>
      <c r="H1424" s="18" t="s">
        <v>507</v>
      </c>
      <c r="I1424" s="18" t="s">
        <v>508</v>
      </c>
      <c r="J1424" s="18"/>
      <c r="K1424" s="21">
        <f t="shared" si="66"/>
        <v>266.78333333332557</v>
      </c>
      <c r="L1424" s="19">
        <f t="shared" si="67"/>
        <v>72</v>
      </c>
      <c r="M1424" s="18" t="str">
        <f>IF(I1424&lt;&gt;"Sí","",IF(YEAR(F1424)&lt;&gt;2026,"",INDEX({"Enero","Febrero","Marzo","Abril","Mayo","Junio","Julio","Agosto","Septiembre","Octubre","Noviembre","Diciembre"},MONTH(F1424))))</f>
        <v>Agosto</v>
      </c>
      <c r="N1424" s="18" t="str">
        <f t="shared" si="68"/>
        <v>Agosto|72</v>
      </c>
    </row>
    <row r="1425" spans="1:14" ht="14.5" x14ac:dyDescent="0.25">
      <c r="A1425" s="19">
        <v>34</v>
      </c>
      <c r="B1425" s="18" t="s">
        <v>41</v>
      </c>
      <c r="C1425" s="18" t="s">
        <v>99</v>
      </c>
      <c r="D1425" s="18" t="s">
        <v>1621</v>
      </c>
      <c r="E1425" s="18" t="s">
        <v>1983</v>
      </c>
      <c r="F1425" s="101">
        <v>46240.041666666664</v>
      </c>
      <c r="G1425" s="101">
        <v>46242.182638888888</v>
      </c>
      <c r="H1425" s="18" t="s">
        <v>507</v>
      </c>
      <c r="I1425" s="18" t="s">
        <v>508</v>
      </c>
      <c r="J1425" s="18"/>
      <c r="K1425" s="21">
        <f t="shared" si="66"/>
        <v>51.383333333360497</v>
      </c>
      <c r="L1425" s="19">
        <f t="shared" si="67"/>
        <v>73</v>
      </c>
      <c r="M1425" s="18" t="str">
        <f>IF(I1425&lt;&gt;"Sí","",IF(YEAR(F1425)&lt;&gt;2026,"",INDEX({"Enero","Febrero","Marzo","Abril","Mayo","Junio","Julio","Agosto","Septiembre","Octubre","Noviembre","Diciembre"},MONTH(F1425))))</f>
        <v>Agosto</v>
      </c>
      <c r="N1425" s="18" t="str">
        <f t="shared" si="68"/>
        <v>Agosto|73</v>
      </c>
    </row>
    <row r="1426" spans="1:14" ht="14.5" x14ac:dyDescent="0.25">
      <c r="A1426" s="19">
        <v>34</v>
      </c>
      <c r="B1426" s="18" t="s">
        <v>41</v>
      </c>
      <c r="C1426" s="18" t="s">
        <v>99</v>
      </c>
      <c r="D1426" s="18" t="s">
        <v>1621</v>
      </c>
      <c r="E1426" s="18" t="s">
        <v>1984</v>
      </c>
      <c r="F1426" s="101">
        <v>46240.042361111111</v>
      </c>
      <c r="G1426" s="101">
        <v>46242.183333333334</v>
      </c>
      <c r="H1426" s="18" t="s">
        <v>507</v>
      </c>
      <c r="I1426" s="18" t="s">
        <v>508</v>
      </c>
      <c r="J1426" s="18"/>
      <c r="K1426" s="21">
        <f t="shared" si="66"/>
        <v>51.383333333360497</v>
      </c>
      <c r="L1426" s="19">
        <f t="shared" si="67"/>
        <v>75</v>
      </c>
      <c r="M1426" s="18" t="str">
        <f>IF(I1426&lt;&gt;"Sí","",IF(YEAR(F1426)&lt;&gt;2026,"",INDEX({"Enero","Febrero","Marzo","Abril","Mayo","Junio","Julio","Agosto","Septiembre","Octubre","Noviembre","Diciembre"},MONTH(F1426))))</f>
        <v>Agosto</v>
      </c>
      <c r="N1426" s="18" t="str">
        <f t="shared" si="68"/>
        <v>Agosto|75</v>
      </c>
    </row>
    <row r="1427" spans="1:14" ht="14.5" x14ac:dyDescent="0.25">
      <c r="A1427" s="19">
        <v>34</v>
      </c>
      <c r="B1427" s="18" t="s">
        <v>41</v>
      </c>
      <c r="C1427" s="18" t="s">
        <v>99</v>
      </c>
      <c r="D1427" s="18" t="s">
        <v>1621</v>
      </c>
      <c r="E1427" s="18" t="s">
        <v>1985</v>
      </c>
      <c r="F1427" s="101">
        <v>46240.042361111111</v>
      </c>
      <c r="G1427" s="101">
        <v>46242.183333333334</v>
      </c>
      <c r="H1427" s="18" t="s">
        <v>507</v>
      </c>
      <c r="I1427" s="18" t="s">
        <v>508</v>
      </c>
      <c r="J1427" s="18"/>
      <c r="K1427" s="21">
        <f t="shared" si="66"/>
        <v>51.383333333360497</v>
      </c>
      <c r="L1427" s="19">
        <f t="shared" si="67"/>
        <v>75</v>
      </c>
      <c r="M1427" s="18" t="str">
        <f>IF(I1427&lt;&gt;"Sí","",IF(YEAR(F1427)&lt;&gt;2026,"",INDEX({"Enero","Febrero","Marzo","Abril","Mayo","Junio","Julio","Agosto","Septiembre","Octubre","Noviembre","Diciembre"},MONTH(F1427))))</f>
        <v>Agosto</v>
      </c>
      <c r="N1427" s="18" t="str">
        <f t="shared" si="68"/>
        <v>Agosto|75</v>
      </c>
    </row>
    <row r="1428" spans="1:14" ht="14.5" x14ac:dyDescent="0.25">
      <c r="A1428" s="19">
        <v>34</v>
      </c>
      <c r="B1428" s="18" t="s">
        <v>41</v>
      </c>
      <c r="C1428" s="18" t="s">
        <v>99</v>
      </c>
      <c r="D1428" s="18" t="s">
        <v>1621</v>
      </c>
      <c r="E1428" s="18" t="s">
        <v>1986</v>
      </c>
      <c r="F1428" s="101">
        <v>46240.043749999997</v>
      </c>
      <c r="G1428" s="101">
        <v>46242.183333333334</v>
      </c>
      <c r="H1428" s="18" t="s">
        <v>507</v>
      </c>
      <c r="I1428" s="18" t="s">
        <v>508</v>
      </c>
      <c r="J1428" s="18"/>
      <c r="K1428" s="21">
        <f t="shared" si="66"/>
        <v>51.350000000093132</v>
      </c>
      <c r="L1428" s="19">
        <f t="shared" si="67"/>
        <v>76</v>
      </c>
      <c r="M1428" s="18" t="str">
        <f>IF(I1428&lt;&gt;"Sí","",IF(YEAR(F1428)&lt;&gt;2026,"",INDEX({"Enero","Febrero","Marzo","Abril","Mayo","Junio","Julio","Agosto","Septiembre","Octubre","Noviembre","Diciembre"},MONTH(F1428))))</f>
        <v>Agosto</v>
      </c>
      <c r="N1428" s="18" t="str">
        <f t="shared" si="68"/>
        <v>Agosto|76</v>
      </c>
    </row>
    <row r="1429" spans="1:14" ht="14.5" x14ac:dyDescent="0.25">
      <c r="A1429" s="19">
        <v>34</v>
      </c>
      <c r="B1429" s="18" t="s">
        <v>41</v>
      </c>
      <c r="C1429" s="18" t="s">
        <v>99</v>
      </c>
      <c r="D1429" s="18" t="s">
        <v>1621</v>
      </c>
      <c r="E1429" s="18" t="s">
        <v>1987</v>
      </c>
      <c r="F1429" s="101">
        <v>46240.047222222223</v>
      </c>
      <c r="G1429" s="101">
        <v>46241.927777777775</v>
      </c>
      <c r="H1429" s="18" t="s">
        <v>507</v>
      </c>
      <c r="I1429" s="18" t="s">
        <v>508</v>
      </c>
      <c r="J1429" s="18"/>
      <c r="K1429" s="21">
        <f t="shared" si="66"/>
        <v>45.133333333244082</v>
      </c>
      <c r="L1429" s="19">
        <f t="shared" si="67"/>
        <v>77</v>
      </c>
      <c r="M1429" s="18" t="str">
        <f>IF(I1429&lt;&gt;"Sí","",IF(YEAR(F1429)&lt;&gt;2026,"",INDEX({"Enero","Febrero","Marzo","Abril","Mayo","Junio","Julio","Agosto","Septiembre","Octubre","Noviembre","Diciembre"},MONTH(F1429))))</f>
        <v>Agosto</v>
      </c>
      <c r="N1429" s="18" t="str">
        <f t="shared" si="68"/>
        <v>Agosto|77</v>
      </c>
    </row>
    <row r="1430" spans="1:14" ht="14.5" x14ac:dyDescent="0.25">
      <c r="A1430" s="19">
        <v>34</v>
      </c>
      <c r="B1430" s="18" t="s">
        <v>41</v>
      </c>
      <c r="C1430" s="18" t="s">
        <v>99</v>
      </c>
      <c r="D1430" s="18" t="s">
        <v>1621</v>
      </c>
      <c r="E1430" s="18" t="s">
        <v>1988</v>
      </c>
      <c r="F1430" s="101">
        <v>46240.04791666667</v>
      </c>
      <c r="G1430" s="101">
        <v>46241.925000000003</v>
      </c>
      <c r="H1430" s="18" t="s">
        <v>507</v>
      </c>
      <c r="I1430" s="18" t="s">
        <v>508</v>
      </c>
      <c r="J1430" s="18"/>
      <c r="K1430" s="21">
        <f t="shared" si="66"/>
        <v>45.049999999988358</v>
      </c>
      <c r="L1430" s="19">
        <f t="shared" si="67"/>
        <v>78</v>
      </c>
      <c r="M1430" s="18" t="str">
        <f>IF(I1430&lt;&gt;"Sí","",IF(YEAR(F1430)&lt;&gt;2026,"",INDEX({"Enero","Febrero","Marzo","Abril","Mayo","Junio","Julio","Agosto","Septiembre","Octubre","Noviembre","Diciembre"},MONTH(F1430))))</f>
        <v>Agosto</v>
      </c>
      <c r="N1430" s="18" t="str">
        <f t="shared" si="68"/>
        <v>Agosto|78</v>
      </c>
    </row>
    <row r="1431" spans="1:14" ht="14.5" x14ac:dyDescent="0.25">
      <c r="A1431" s="19">
        <v>34</v>
      </c>
      <c r="B1431" s="18" t="s">
        <v>41</v>
      </c>
      <c r="C1431" s="18" t="s">
        <v>99</v>
      </c>
      <c r="D1431" s="18" t="s">
        <v>1621</v>
      </c>
      <c r="E1431" s="18" t="s">
        <v>1989</v>
      </c>
      <c r="F1431" s="101">
        <v>46240.049305555556</v>
      </c>
      <c r="G1431" s="101">
        <v>46241.923611111109</v>
      </c>
      <c r="H1431" s="18" t="s">
        <v>507</v>
      </c>
      <c r="I1431" s="18" t="s">
        <v>508</v>
      </c>
      <c r="J1431" s="18"/>
      <c r="K1431" s="21">
        <f t="shared" si="66"/>
        <v>44.983333333279006</v>
      </c>
      <c r="L1431" s="19">
        <f t="shared" si="67"/>
        <v>79</v>
      </c>
      <c r="M1431" s="18" t="str">
        <f>IF(I1431&lt;&gt;"Sí","",IF(YEAR(F1431)&lt;&gt;2026,"",INDEX({"Enero","Febrero","Marzo","Abril","Mayo","Junio","Julio","Agosto","Septiembre","Octubre","Noviembre","Diciembre"},MONTH(F1431))))</f>
        <v>Agosto</v>
      </c>
      <c r="N1431" s="18" t="str">
        <f t="shared" si="68"/>
        <v>Agosto|79</v>
      </c>
    </row>
    <row r="1432" spans="1:14" ht="14.5" x14ac:dyDescent="0.25">
      <c r="A1432" s="19">
        <v>34</v>
      </c>
      <c r="B1432" s="18" t="s">
        <v>41</v>
      </c>
      <c r="C1432" s="18" t="s">
        <v>99</v>
      </c>
      <c r="D1432" s="18" t="s">
        <v>1621</v>
      </c>
      <c r="E1432" s="18" t="s">
        <v>1990</v>
      </c>
      <c r="F1432" s="101">
        <v>46240.050694444442</v>
      </c>
      <c r="G1432" s="101">
        <v>46242.413888888892</v>
      </c>
      <c r="H1432" s="18" t="s">
        <v>507</v>
      </c>
      <c r="I1432" s="18" t="s">
        <v>508</v>
      </c>
      <c r="J1432" s="18"/>
      <c r="K1432" s="21">
        <f t="shared" si="66"/>
        <v>56.716666666790843</v>
      </c>
      <c r="L1432" s="19">
        <f t="shared" si="67"/>
        <v>80</v>
      </c>
      <c r="M1432" s="18" t="str">
        <f>IF(I1432&lt;&gt;"Sí","",IF(YEAR(F1432)&lt;&gt;2026,"",INDEX({"Enero","Febrero","Marzo","Abril","Mayo","Junio","Julio","Agosto","Septiembre","Octubre","Noviembre","Diciembre"},MONTH(F1432))))</f>
        <v>Agosto</v>
      </c>
      <c r="N1432" s="18" t="str">
        <f t="shared" si="68"/>
        <v>Agosto|80</v>
      </c>
    </row>
    <row r="1433" spans="1:14" ht="14.5" x14ac:dyDescent="0.25">
      <c r="A1433" s="19">
        <v>34</v>
      </c>
      <c r="B1433" s="18" t="s">
        <v>41</v>
      </c>
      <c r="C1433" s="18" t="s">
        <v>99</v>
      </c>
      <c r="D1433" s="18" t="s">
        <v>1621</v>
      </c>
      <c r="E1433" s="18" t="s">
        <v>1991</v>
      </c>
      <c r="F1433" s="101">
        <v>46240.052083333336</v>
      </c>
      <c r="G1433" s="101">
        <v>46241.919444444444</v>
      </c>
      <c r="H1433" s="18" t="s">
        <v>507</v>
      </c>
      <c r="I1433" s="18" t="s">
        <v>508</v>
      </c>
      <c r="J1433" s="18"/>
      <c r="K1433" s="21">
        <f t="shared" si="66"/>
        <v>44.816666666592937</v>
      </c>
      <c r="L1433" s="19">
        <f t="shared" si="67"/>
        <v>81</v>
      </c>
      <c r="M1433" s="18" t="str">
        <f>IF(I1433&lt;&gt;"Sí","",IF(YEAR(F1433)&lt;&gt;2026,"",INDEX({"Enero","Febrero","Marzo","Abril","Mayo","Junio","Julio","Agosto","Septiembre","Octubre","Noviembre","Diciembre"},MONTH(F1433))))</f>
        <v>Agosto</v>
      </c>
      <c r="N1433" s="18" t="str">
        <f t="shared" si="68"/>
        <v>Agosto|81</v>
      </c>
    </row>
    <row r="1434" spans="1:14" ht="14.5" x14ac:dyDescent="0.25">
      <c r="A1434" s="19">
        <v>34</v>
      </c>
      <c r="B1434" s="18" t="s">
        <v>41</v>
      </c>
      <c r="C1434" s="18" t="s">
        <v>99</v>
      </c>
      <c r="D1434" s="18" t="s">
        <v>1621</v>
      </c>
      <c r="E1434" s="18" t="s">
        <v>1992</v>
      </c>
      <c r="F1434" s="101">
        <v>46240.053472222222</v>
      </c>
      <c r="G1434" s="101">
        <v>46241.921527777777</v>
      </c>
      <c r="H1434" s="18" t="s">
        <v>507</v>
      </c>
      <c r="I1434" s="18" t="s">
        <v>508</v>
      </c>
      <c r="J1434" s="18"/>
      <c r="K1434" s="21">
        <f t="shared" si="66"/>
        <v>44.833333333313931</v>
      </c>
      <c r="L1434" s="19">
        <f t="shared" si="67"/>
        <v>82</v>
      </c>
      <c r="M1434" s="18" t="str">
        <f>IF(I1434&lt;&gt;"Sí","",IF(YEAR(F1434)&lt;&gt;2026,"",INDEX({"Enero","Febrero","Marzo","Abril","Mayo","Junio","Julio","Agosto","Septiembre","Octubre","Noviembre","Diciembre"},MONTH(F1434))))</f>
        <v>Agosto</v>
      </c>
      <c r="N1434" s="18" t="str">
        <f t="shared" si="68"/>
        <v>Agosto|82</v>
      </c>
    </row>
    <row r="1435" spans="1:14" ht="14.5" x14ac:dyDescent="0.25">
      <c r="A1435" s="19">
        <v>34</v>
      </c>
      <c r="B1435" s="18" t="s">
        <v>41</v>
      </c>
      <c r="C1435" s="18" t="s">
        <v>99</v>
      </c>
      <c r="D1435" s="18" t="s">
        <v>1621</v>
      </c>
      <c r="E1435" s="18" t="s">
        <v>1993</v>
      </c>
      <c r="F1435" s="101">
        <v>46240.055555555555</v>
      </c>
      <c r="G1435" s="101">
        <v>46241.917361111111</v>
      </c>
      <c r="H1435" s="18" t="s">
        <v>507</v>
      </c>
      <c r="I1435" s="18" t="s">
        <v>508</v>
      </c>
      <c r="J1435" s="18"/>
      <c r="K1435" s="21">
        <f t="shared" si="66"/>
        <v>44.683333333348855</v>
      </c>
      <c r="L1435" s="19">
        <f t="shared" si="67"/>
        <v>83</v>
      </c>
      <c r="M1435" s="18" t="str">
        <f>IF(I1435&lt;&gt;"Sí","",IF(YEAR(F1435)&lt;&gt;2026,"",INDEX({"Enero","Febrero","Marzo","Abril","Mayo","Junio","Julio","Agosto","Septiembre","Octubre","Noviembre","Diciembre"},MONTH(F1435))))</f>
        <v>Agosto</v>
      </c>
      <c r="N1435" s="18" t="str">
        <f t="shared" si="68"/>
        <v>Agosto|83</v>
      </c>
    </row>
    <row r="1436" spans="1:14" ht="14.5" x14ac:dyDescent="0.25">
      <c r="A1436" s="19">
        <v>34</v>
      </c>
      <c r="B1436" s="18" t="s">
        <v>41</v>
      </c>
      <c r="C1436" s="18" t="s">
        <v>92</v>
      </c>
      <c r="D1436" s="18" t="s">
        <v>1981</v>
      </c>
      <c r="E1436" s="18" t="s">
        <v>1994</v>
      </c>
      <c r="F1436" s="101">
        <v>46240.056944444441</v>
      </c>
      <c r="G1436" s="101">
        <v>46251.216666666667</v>
      </c>
      <c r="H1436" s="18" t="s">
        <v>507</v>
      </c>
      <c r="I1436" s="18" t="s">
        <v>508</v>
      </c>
      <c r="J1436" s="18"/>
      <c r="K1436" s="21">
        <f t="shared" si="66"/>
        <v>267.83333333343035</v>
      </c>
      <c r="L1436" s="19">
        <f t="shared" si="67"/>
        <v>84</v>
      </c>
      <c r="M1436" s="18" t="str">
        <f>IF(I1436&lt;&gt;"Sí","",IF(YEAR(F1436)&lt;&gt;2026,"",INDEX({"Enero","Febrero","Marzo","Abril","Mayo","Junio","Julio","Agosto","Septiembre","Octubre","Noviembre","Diciembre"},MONTH(F1436))))</f>
        <v>Agosto</v>
      </c>
      <c r="N1436" s="18" t="str">
        <f t="shared" si="68"/>
        <v>Agosto|84</v>
      </c>
    </row>
    <row r="1437" spans="1:14" ht="14.5" x14ac:dyDescent="0.25">
      <c r="A1437" s="19">
        <v>34</v>
      </c>
      <c r="B1437" s="18" t="s">
        <v>41</v>
      </c>
      <c r="C1437" s="18" t="s">
        <v>99</v>
      </c>
      <c r="D1437" s="18" t="s">
        <v>1621</v>
      </c>
      <c r="E1437" s="18" t="s">
        <v>1995</v>
      </c>
      <c r="F1437" s="101">
        <v>46240.059027777781</v>
      </c>
      <c r="G1437" s="101">
        <v>46241.915277777778</v>
      </c>
      <c r="H1437" s="18" t="s">
        <v>507</v>
      </c>
      <c r="I1437" s="18" t="s">
        <v>508</v>
      </c>
      <c r="J1437" s="18"/>
      <c r="K1437" s="21">
        <f t="shared" si="66"/>
        <v>44.549999999930151</v>
      </c>
      <c r="L1437" s="19">
        <f t="shared" si="67"/>
        <v>85</v>
      </c>
      <c r="M1437" s="18" t="str">
        <f>IF(I1437&lt;&gt;"Sí","",IF(YEAR(F1437)&lt;&gt;2026,"",INDEX({"Enero","Febrero","Marzo","Abril","Mayo","Junio","Julio","Agosto","Septiembre","Octubre","Noviembre","Diciembre"},MONTH(F1437))))</f>
        <v>Agosto</v>
      </c>
      <c r="N1437" s="18" t="str">
        <f t="shared" si="68"/>
        <v>Agosto|85</v>
      </c>
    </row>
    <row r="1438" spans="1:14" ht="14.5" x14ac:dyDescent="0.25">
      <c r="A1438" s="19">
        <v>34</v>
      </c>
      <c r="B1438" s="18" t="s">
        <v>41</v>
      </c>
      <c r="C1438" s="18" t="s">
        <v>99</v>
      </c>
      <c r="D1438" s="18" t="s">
        <v>1621</v>
      </c>
      <c r="E1438" s="18" t="s">
        <v>1996</v>
      </c>
      <c r="F1438" s="101">
        <v>46240.060416666667</v>
      </c>
      <c r="G1438" s="101">
        <v>46241.913194444445</v>
      </c>
      <c r="H1438" s="18" t="s">
        <v>507</v>
      </c>
      <c r="I1438" s="18" t="s">
        <v>508</v>
      </c>
      <c r="J1438" s="18"/>
      <c r="K1438" s="21">
        <f t="shared" si="66"/>
        <v>44.466666666674428</v>
      </c>
      <c r="L1438" s="19">
        <f t="shared" si="67"/>
        <v>86</v>
      </c>
      <c r="M1438" s="18" t="str">
        <f>IF(I1438&lt;&gt;"Sí","",IF(YEAR(F1438)&lt;&gt;2026,"",INDEX({"Enero","Febrero","Marzo","Abril","Mayo","Junio","Julio","Agosto","Septiembre","Octubre","Noviembre","Diciembre"},MONTH(F1438))))</f>
        <v>Agosto</v>
      </c>
      <c r="N1438" s="18" t="str">
        <f t="shared" si="68"/>
        <v>Agosto|86</v>
      </c>
    </row>
    <row r="1439" spans="1:14" ht="14.5" x14ac:dyDescent="0.25">
      <c r="A1439" s="19">
        <v>34</v>
      </c>
      <c r="B1439" s="18" t="s">
        <v>41</v>
      </c>
      <c r="C1439" s="18" t="s">
        <v>99</v>
      </c>
      <c r="D1439" s="18" t="s">
        <v>1621</v>
      </c>
      <c r="E1439" s="18" t="s">
        <v>1997</v>
      </c>
      <c r="F1439" s="101">
        <v>46240.061805555553</v>
      </c>
      <c r="G1439" s="101">
        <v>46241.911111111112</v>
      </c>
      <c r="H1439" s="18" t="s">
        <v>507</v>
      </c>
      <c r="I1439" s="18" t="s">
        <v>508</v>
      </c>
      <c r="J1439" s="18"/>
      <c r="K1439" s="21">
        <f t="shared" si="66"/>
        <v>44.383333333418705</v>
      </c>
      <c r="L1439" s="19">
        <f t="shared" si="67"/>
        <v>87</v>
      </c>
      <c r="M1439" s="18" t="str">
        <f>IF(I1439&lt;&gt;"Sí","",IF(YEAR(F1439)&lt;&gt;2026,"",INDEX({"Enero","Febrero","Marzo","Abril","Mayo","Junio","Julio","Agosto","Septiembre","Octubre","Noviembre","Diciembre"},MONTH(F1439))))</f>
        <v>Agosto</v>
      </c>
      <c r="N1439" s="18" t="str">
        <f t="shared" si="68"/>
        <v>Agosto|87</v>
      </c>
    </row>
    <row r="1440" spans="1:14" ht="14.5" x14ac:dyDescent="0.25">
      <c r="A1440" s="19">
        <v>34</v>
      </c>
      <c r="B1440" s="18" t="s">
        <v>41</v>
      </c>
      <c r="C1440" s="18" t="s">
        <v>99</v>
      </c>
      <c r="D1440" s="18" t="s">
        <v>1621</v>
      </c>
      <c r="E1440" s="18" t="s">
        <v>1998</v>
      </c>
      <c r="F1440" s="101">
        <v>46240.063888888886</v>
      </c>
      <c r="G1440" s="101">
        <v>46242.163194444445</v>
      </c>
      <c r="H1440" s="18" t="s">
        <v>507</v>
      </c>
      <c r="I1440" s="18" t="s">
        <v>508</v>
      </c>
      <c r="J1440" s="18"/>
      <c r="K1440" s="21">
        <f t="shared" si="66"/>
        <v>50.383333333418705</v>
      </c>
      <c r="L1440" s="19">
        <f t="shared" si="67"/>
        <v>88</v>
      </c>
      <c r="M1440" s="18" t="str">
        <f>IF(I1440&lt;&gt;"Sí","",IF(YEAR(F1440)&lt;&gt;2026,"",INDEX({"Enero","Febrero","Marzo","Abril","Mayo","Junio","Julio","Agosto","Septiembre","Octubre","Noviembre","Diciembre"},MONTH(F1440))))</f>
        <v>Agosto</v>
      </c>
      <c r="N1440" s="18" t="str">
        <f t="shared" si="68"/>
        <v>Agosto|88</v>
      </c>
    </row>
    <row r="1441" spans="1:14" ht="14.5" x14ac:dyDescent="0.25">
      <c r="A1441" s="19">
        <v>34</v>
      </c>
      <c r="B1441" s="18" t="s">
        <v>41</v>
      </c>
      <c r="C1441" s="18" t="s">
        <v>99</v>
      </c>
      <c r="D1441" s="18" t="s">
        <v>1621</v>
      </c>
      <c r="E1441" s="18" t="s">
        <v>1999</v>
      </c>
      <c r="F1441" s="101">
        <v>46240.06527777778</v>
      </c>
      <c r="G1441" s="101">
        <v>46241.90902777778</v>
      </c>
      <c r="H1441" s="18" t="s">
        <v>507</v>
      </c>
      <c r="I1441" s="18" t="s">
        <v>508</v>
      </c>
      <c r="J1441" s="18"/>
      <c r="K1441" s="21">
        <f t="shared" si="66"/>
        <v>44.25</v>
      </c>
      <c r="L1441" s="19">
        <f t="shared" si="67"/>
        <v>89</v>
      </c>
      <c r="M1441" s="18" t="str">
        <f>IF(I1441&lt;&gt;"Sí","",IF(YEAR(F1441)&lt;&gt;2026,"",INDEX({"Enero","Febrero","Marzo","Abril","Mayo","Junio","Julio","Agosto","Septiembre","Octubre","Noviembre","Diciembre"},MONTH(F1441))))</f>
        <v>Agosto</v>
      </c>
      <c r="N1441" s="18" t="str">
        <f t="shared" si="68"/>
        <v>Agosto|89</v>
      </c>
    </row>
    <row r="1442" spans="1:14" ht="14.5" x14ac:dyDescent="0.25">
      <c r="A1442" s="19">
        <v>34</v>
      </c>
      <c r="B1442" s="18" t="s">
        <v>41</v>
      </c>
      <c r="C1442" s="18" t="s">
        <v>99</v>
      </c>
      <c r="D1442" s="18" t="s">
        <v>1621</v>
      </c>
      <c r="E1442" s="18" t="s">
        <v>2000</v>
      </c>
      <c r="F1442" s="101">
        <v>46240.067361111112</v>
      </c>
      <c r="G1442" s="101">
        <v>46241.906944444447</v>
      </c>
      <c r="H1442" s="18" t="s">
        <v>507</v>
      </c>
      <c r="I1442" s="18" t="s">
        <v>508</v>
      </c>
      <c r="J1442" s="18"/>
      <c r="K1442" s="21">
        <f t="shared" si="66"/>
        <v>44.150000000023283</v>
      </c>
      <c r="L1442" s="19">
        <f t="shared" si="67"/>
        <v>90</v>
      </c>
      <c r="M1442" s="18" t="str">
        <f>IF(I1442&lt;&gt;"Sí","",IF(YEAR(F1442)&lt;&gt;2026,"",INDEX({"Enero","Febrero","Marzo","Abril","Mayo","Junio","Julio","Agosto","Septiembre","Octubre","Noviembre","Diciembre"},MONTH(F1442))))</f>
        <v>Agosto</v>
      </c>
      <c r="N1442" s="18" t="str">
        <f t="shared" si="68"/>
        <v>Agosto|90</v>
      </c>
    </row>
    <row r="1443" spans="1:14" ht="14.5" x14ac:dyDescent="0.25">
      <c r="A1443" s="19">
        <v>34</v>
      </c>
      <c r="B1443" s="18" t="s">
        <v>41</v>
      </c>
      <c r="C1443" s="18" t="s">
        <v>99</v>
      </c>
      <c r="D1443" s="18" t="s">
        <v>1621</v>
      </c>
      <c r="E1443" s="18" t="s">
        <v>2001</v>
      </c>
      <c r="F1443" s="101">
        <v>46240.068749999999</v>
      </c>
      <c r="G1443" s="101">
        <v>46241.904861111114</v>
      </c>
      <c r="H1443" s="18" t="s">
        <v>507</v>
      </c>
      <c r="I1443" s="18" t="s">
        <v>508</v>
      </c>
      <c r="J1443" s="18"/>
      <c r="K1443" s="21">
        <f t="shared" si="66"/>
        <v>44.06666666676756</v>
      </c>
      <c r="L1443" s="19">
        <f t="shared" si="67"/>
        <v>91</v>
      </c>
      <c r="M1443" s="18" t="str">
        <f>IF(I1443&lt;&gt;"Sí","",IF(YEAR(F1443)&lt;&gt;2026,"",INDEX({"Enero","Febrero","Marzo","Abril","Mayo","Junio","Julio","Agosto","Septiembre","Octubre","Noviembre","Diciembre"},MONTH(F1443))))</f>
        <v>Agosto</v>
      </c>
      <c r="N1443" s="18" t="str">
        <f t="shared" si="68"/>
        <v>Agosto|91</v>
      </c>
    </row>
    <row r="1444" spans="1:14" ht="14.5" x14ac:dyDescent="0.25">
      <c r="A1444" s="19">
        <v>34</v>
      </c>
      <c r="B1444" s="18" t="s">
        <v>41</v>
      </c>
      <c r="C1444" s="18" t="s">
        <v>99</v>
      </c>
      <c r="D1444" s="18" t="s">
        <v>1621</v>
      </c>
      <c r="E1444" s="18" t="s">
        <v>2002</v>
      </c>
      <c r="F1444" s="101">
        <v>46240.069444444445</v>
      </c>
      <c r="G1444" s="101">
        <v>46241.90347222222</v>
      </c>
      <c r="H1444" s="18" t="s">
        <v>507</v>
      </c>
      <c r="I1444" s="18" t="s">
        <v>508</v>
      </c>
      <c r="J1444" s="18"/>
      <c r="K1444" s="21">
        <f t="shared" si="66"/>
        <v>44.016666666604578</v>
      </c>
      <c r="L1444" s="19">
        <f t="shared" si="67"/>
        <v>92</v>
      </c>
      <c r="M1444" s="18" t="str">
        <f>IF(I1444&lt;&gt;"Sí","",IF(YEAR(F1444)&lt;&gt;2026,"",INDEX({"Enero","Febrero","Marzo","Abril","Mayo","Junio","Julio","Agosto","Septiembre","Octubre","Noviembre","Diciembre"},MONTH(F1444))))</f>
        <v>Agosto</v>
      </c>
      <c r="N1444" s="18" t="str">
        <f t="shared" si="68"/>
        <v>Agosto|92</v>
      </c>
    </row>
    <row r="1445" spans="1:14" ht="14.5" x14ac:dyDescent="0.25">
      <c r="A1445" s="19">
        <v>34</v>
      </c>
      <c r="B1445" s="18" t="s">
        <v>41</v>
      </c>
      <c r="C1445" s="18" t="s">
        <v>99</v>
      </c>
      <c r="D1445" s="18" t="s">
        <v>1621</v>
      </c>
      <c r="E1445" s="18" t="s">
        <v>2003</v>
      </c>
      <c r="F1445" s="101">
        <v>46240.070833333331</v>
      </c>
      <c r="G1445" s="101">
        <v>46241.900694444441</v>
      </c>
      <c r="H1445" s="18" t="s">
        <v>507</v>
      </c>
      <c r="I1445" s="18" t="s">
        <v>508</v>
      </c>
      <c r="J1445" s="18"/>
      <c r="K1445" s="21">
        <f t="shared" si="66"/>
        <v>43.916666666627862</v>
      </c>
      <c r="L1445" s="19">
        <f t="shared" si="67"/>
        <v>93</v>
      </c>
      <c r="M1445" s="18" t="str">
        <f>IF(I1445&lt;&gt;"Sí","",IF(YEAR(F1445)&lt;&gt;2026,"",INDEX({"Enero","Febrero","Marzo","Abril","Mayo","Junio","Julio","Agosto","Septiembre","Octubre","Noviembre","Diciembre"},MONTH(F1445))))</f>
        <v>Agosto</v>
      </c>
      <c r="N1445" s="18" t="str">
        <f t="shared" si="68"/>
        <v>Agosto|93</v>
      </c>
    </row>
    <row r="1446" spans="1:14" ht="14.5" x14ac:dyDescent="0.25">
      <c r="A1446" s="19">
        <v>34</v>
      </c>
      <c r="B1446" s="18" t="s">
        <v>41</v>
      </c>
      <c r="C1446" s="18" t="s">
        <v>99</v>
      </c>
      <c r="D1446" s="18" t="s">
        <v>1621</v>
      </c>
      <c r="E1446" s="18" t="s">
        <v>2004</v>
      </c>
      <c r="F1446" s="101">
        <v>46240.072916666664</v>
      </c>
      <c r="G1446" s="101">
        <v>46241.898611111108</v>
      </c>
      <c r="H1446" s="18" t="s">
        <v>507</v>
      </c>
      <c r="I1446" s="18" t="s">
        <v>508</v>
      </c>
      <c r="J1446" s="18"/>
      <c r="K1446" s="21">
        <f t="shared" si="66"/>
        <v>43.816666666651145</v>
      </c>
      <c r="L1446" s="19">
        <f t="shared" si="67"/>
        <v>95</v>
      </c>
      <c r="M1446" s="18" t="str">
        <f>IF(I1446&lt;&gt;"Sí","",IF(YEAR(F1446)&lt;&gt;2026,"",INDEX({"Enero","Febrero","Marzo","Abril","Mayo","Junio","Julio","Agosto","Septiembre","Octubre","Noviembre","Diciembre"},MONTH(F1446))))</f>
        <v>Agosto</v>
      </c>
      <c r="N1446" s="18" t="str">
        <f t="shared" si="68"/>
        <v>Agosto|95</v>
      </c>
    </row>
    <row r="1447" spans="1:14" ht="14.5" x14ac:dyDescent="0.25">
      <c r="A1447" s="19">
        <v>34</v>
      </c>
      <c r="B1447" s="18" t="s">
        <v>41</v>
      </c>
      <c r="C1447" s="18" t="s">
        <v>99</v>
      </c>
      <c r="D1447" s="18" t="s">
        <v>1621</v>
      </c>
      <c r="E1447" s="18" t="s">
        <v>2005</v>
      </c>
      <c r="F1447" s="101">
        <v>46240.072916666664</v>
      </c>
      <c r="G1447" s="101">
        <v>46241.895833333336</v>
      </c>
      <c r="H1447" s="18" t="s">
        <v>507</v>
      </c>
      <c r="I1447" s="18" t="s">
        <v>508</v>
      </c>
      <c r="J1447" s="18"/>
      <c r="K1447" s="21">
        <f t="shared" si="66"/>
        <v>43.750000000116415</v>
      </c>
      <c r="L1447" s="19">
        <f t="shared" si="67"/>
        <v>95</v>
      </c>
      <c r="M1447" s="18" t="str">
        <f>IF(I1447&lt;&gt;"Sí","",IF(YEAR(F1447)&lt;&gt;2026,"",INDEX({"Enero","Febrero","Marzo","Abril","Mayo","Junio","Julio","Agosto","Septiembre","Octubre","Noviembre","Diciembre"},MONTH(F1447))))</f>
        <v>Agosto</v>
      </c>
      <c r="N1447" s="18" t="str">
        <f t="shared" si="68"/>
        <v>Agosto|95</v>
      </c>
    </row>
    <row r="1448" spans="1:14" ht="14.5" x14ac:dyDescent="0.25">
      <c r="A1448" s="19">
        <v>34</v>
      </c>
      <c r="B1448" s="18" t="s">
        <v>41</v>
      </c>
      <c r="C1448" s="18" t="s">
        <v>99</v>
      </c>
      <c r="D1448" s="18" t="s">
        <v>1621</v>
      </c>
      <c r="E1448" s="18" t="s">
        <v>2006</v>
      </c>
      <c r="F1448" s="101">
        <v>46240.076388888891</v>
      </c>
      <c r="G1448" s="101">
        <v>46241.894444444442</v>
      </c>
      <c r="H1448" s="18" t="s">
        <v>507</v>
      </c>
      <c r="I1448" s="18" t="s">
        <v>508</v>
      </c>
      <c r="J1448" s="18"/>
      <c r="K1448" s="21">
        <f t="shared" si="66"/>
        <v>43.633333333244082</v>
      </c>
      <c r="L1448" s="19">
        <f t="shared" si="67"/>
        <v>97</v>
      </c>
      <c r="M1448" s="18" t="str">
        <f>IF(I1448&lt;&gt;"Sí","",IF(YEAR(F1448)&lt;&gt;2026,"",INDEX({"Enero","Febrero","Marzo","Abril","Mayo","Junio","Julio","Agosto","Septiembre","Octubre","Noviembre","Diciembre"},MONTH(F1448))))</f>
        <v>Agosto</v>
      </c>
      <c r="N1448" s="18" t="str">
        <f t="shared" si="68"/>
        <v>Agosto|97</v>
      </c>
    </row>
    <row r="1449" spans="1:14" ht="14.5" x14ac:dyDescent="0.25">
      <c r="A1449" s="19">
        <v>34</v>
      </c>
      <c r="B1449" s="18" t="s">
        <v>41</v>
      </c>
      <c r="C1449" s="18" t="s">
        <v>99</v>
      </c>
      <c r="D1449" s="18" t="s">
        <v>1621</v>
      </c>
      <c r="E1449" s="18" t="s">
        <v>2007</v>
      </c>
      <c r="F1449" s="101">
        <v>46240.076388888891</v>
      </c>
      <c r="G1449" s="101">
        <v>46241.859027777777</v>
      </c>
      <c r="H1449" s="18" t="s">
        <v>507</v>
      </c>
      <c r="I1449" s="18" t="s">
        <v>508</v>
      </c>
      <c r="J1449" s="18"/>
      <c r="K1449" s="21">
        <f t="shared" si="66"/>
        <v>42.783333333267365</v>
      </c>
      <c r="L1449" s="19">
        <f t="shared" si="67"/>
        <v>97</v>
      </c>
      <c r="M1449" s="18" t="str">
        <f>IF(I1449&lt;&gt;"Sí","",IF(YEAR(F1449)&lt;&gt;2026,"",INDEX({"Enero","Febrero","Marzo","Abril","Mayo","Junio","Julio","Agosto","Septiembre","Octubre","Noviembre","Diciembre"},MONTH(F1449))))</f>
        <v>Agosto</v>
      </c>
      <c r="N1449" s="18" t="str">
        <f t="shared" si="68"/>
        <v>Agosto|97</v>
      </c>
    </row>
    <row r="1450" spans="1:14" ht="14.5" x14ac:dyDescent="0.25">
      <c r="A1450" s="19">
        <v>34</v>
      </c>
      <c r="B1450" s="18" t="s">
        <v>41</v>
      </c>
      <c r="C1450" s="18" t="s">
        <v>99</v>
      </c>
      <c r="D1450" s="18" t="s">
        <v>1621</v>
      </c>
      <c r="E1450" s="18" t="s">
        <v>2008</v>
      </c>
      <c r="F1450" s="101">
        <v>46240.07708333333</v>
      </c>
      <c r="G1450" s="101">
        <v>46241.887499999997</v>
      </c>
      <c r="H1450" s="18" t="s">
        <v>507</v>
      </c>
      <c r="I1450" s="18" t="s">
        <v>508</v>
      </c>
      <c r="J1450" s="18"/>
      <c r="K1450" s="21">
        <f t="shared" si="66"/>
        <v>43.450000000011642</v>
      </c>
      <c r="L1450" s="19">
        <f t="shared" si="67"/>
        <v>98</v>
      </c>
      <c r="M1450" s="18" t="str">
        <f>IF(I1450&lt;&gt;"Sí","",IF(YEAR(F1450)&lt;&gt;2026,"",INDEX({"Enero","Febrero","Marzo","Abril","Mayo","Junio","Julio","Agosto","Septiembre","Octubre","Noviembre","Diciembre"},MONTH(F1450))))</f>
        <v>Agosto</v>
      </c>
      <c r="N1450" s="18" t="str">
        <f t="shared" si="68"/>
        <v>Agosto|98</v>
      </c>
    </row>
    <row r="1451" spans="1:14" ht="14.5" x14ac:dyDescent="0.25">
      <c r="A1451" s="19">
        <v>34</v>
      </c>
      <c r="B1451" s="18" t="s">
        <v>41</v>
      </c>
      <c r="C1451" s="18" t="s">
        <v>99</v>
      </c>
      <c r="D1451" s="18" t="s">
        <v>1621</v>
      </c>
      <c r="E1451" s="18" t="s">
        <v>2009</v>
      </c>
      <c r="F1451" s="101">
        <v>46240.078472222223</v>
      </c>
      <c r="G1451" s="101">
        <v>46241.893055555556</v>
      </c>
      <c r="H1451" s="18" t="s">
        <v>507</v>
      </c>
      <c r="I1451" s="18" t="s">
        <v>508</v>
      </c>
      <c r="J1451" s="18"/>
      <c r="K1451" s="21">
        <f t="shared" si="66"/>
        <v>43.549999999988358</v>
      </c>
      <c r="L1451" s="19">
        <f t="shared" si="67"/>
        <v>99</v>
      </c>
      <c r="M1451" s="18" t="str">
        <f>IF(I1451&lt;&gt;"Sí","",IF(YEAR(F1451)&lt;&gt;2026,"",INDEX({"Enero","Febrero","Marzo","Abril","Mayo","Junio","Julio","Agosto","Septiembre","Octubre","Noviembre","Diciembre"},MONTH(F1451))))</f>
        <v>Agosto</v>
      </c>
      <c r="N1451" s="18" t="str">
        <f t="shared" si="68"/>
        <v>Agosto|99</v>
      </c>
    </row>
    <row r="1452" spans="1:14" ht="14.5" x14ac:dyDescent="0.25">
      <c r="A1452" s="19">
        <v>34</v>
      </c>
      <c r="B1452" s="18" t="s">
        <v>41</v>
      </c>
      <c r="C1452" s="18" t="s">
        <v>99</v>
      </c>
      <c r="D1452" s="18" t="s">
        <v>1621</v>
      </c>
      <c r="E1452" s="18" t="s">
        <v>2010</v>
      </c>
      <c r="F1452" s="101">
        <v>46240.079861111109</v>
      </c>
      <c r="G1452" s="101">
        <v>46241.890277777777</v>
      </c>
      <c r="H1452" s="18" t="s">
        <v>507</v>
      </c>
      <c r="I1452" s="18" t="s">
        <v>508</v>
      </c>
      <c r="J1452" s="18"/>
      <c r="K1452" s="21">
        <f t="shared" si="66"/>
        <v>43.450000000011642</v>
      </c>
      <c r="L1452" s="19">
        <f t="shared" si="67"/>
        <v>100</v>
      </c>
      <c r="M1452" s="18" t="str">
        <f>IF(I1452&lt;&gt;"Sí","",IF(YEAR(F1452)&lt;&gt;2026,"",INDEX({"Enero","Febrero","Marzo","Abril","Mayo","Junio","Julio","Agosto","Septiembre","Octubre","Noviembre","Diciembre"},MONTH(F1452))))</f>
        <v>Agosto</v>
      </c>
      <c r="N1452" s="18" t="str">
        <f t="shared" si="68"/>
        <v>Agosto|100</v>
      </c>
    </row>
    <row r="1453" spans="1:14" ht="14.5" x14ac:dyDescent="0.25">
      <c r="A1453" s="19">
        <v>34</v>
      </c>
      <c r="B1453" s="18" t="s">
        <v>41</v>
      </c>
      <c r="C1453" s="18" t="s">
        <v>99</v>
      </c>
      <c r="D1453" s="18" t="s">
        <v>1621</v>
      </c>
      <c r="E1453" s="18" t="s">
        <v>2011</v>
      </c>
      <c r="F1453" s="101">
        <v>46240.086805555555</v>
      </c>
      <c r="G1453" s="101">
        <v>46242.399305555555</v>
      </c>
      <c r="H1453" s="18" t="s">
        <v>507</v>
      </c>
      <c r="I1453" s="18" t="s">
        <v>508</v>
      </c>
      <c r="J1453" s="18"/>
      <c r="K1453" s="21">
        <f t="shared" si="66"/>
        <v>55.5</v>
      </c>
      <c r="L1453" s="19">
        <f t="shared" si="67"/>
        <v>101</v>
      </c>
      <c r="M1453" s="18" t="str">
        <f>IF(I1453&lt;&gt;"Sí","",IF(YEAR(F1453)&lt;&gt;2026,"",INDEX({"Enero","Febrero","Marzo","Abril","Mayo","Junio","Julio","Agosto","Septiembre","Octubre","Noviembre","Diciembre"},MONTH(F1453))))</f>
        <v>Agosto</v>
      </c>
      <c r="N1453" s="18" t="str">
        <f t="shared" si="68"/>
        <v>Agosto|101</v>
      </c>
    </row>
    <row r="1454" spans="1:14" ht="14.5" x14ac:dyDescent="0.25">
      <c r="A1454" s="19">
        <v>34</v>
      </c>
      <c r="B1454" s="18" t="s">
        <v>41</v>
      </c>
      <c r="C1454" s="18" t="s">
        <v>99</v>
      </c>
      <c r="D1454" s="18" t="s">
        <v>1621</v>
      </c>
      <c r="E1454" s="18" t="s">
        <v>2012</v>
      </c>
      <c r="F1454" s="101">
        <v>46240.104166666664</v>
      </c>
      <c r="G1454" s="101">
        <v>46241.839583333334</v>
      </c>
      <c r="H1454" s="18" t="s">
        <v>507</v>
      </c>
      <c r="I1454" s="18" t="s">
        <v>508</v>
      </c>
      <c r="J1454" s="18"/>
      <c r="K1454" s="21">
        <f t="shared" si="66"/>
        <v>41.650000000081491</v>
      </c>
      <c r="L1454" s="19">
        <f t="shared" si="67"/>
        <v>102</v>
      </c>
      <c r="M1454" s="18" t="str">
        <f>IF(I1454&lt;&gt;"Sí","",IF(YEAR(F1454)&lt;&gt;2026,"",INDEX({"Enero","Febrero","Marzo","Abril","Mayo","Junio","Julio","Agosto","Septiembre","Octubre","Noviembre","Diciembre"},MONTH(F1454))))</f>
        <v>Agosto</v>
      </c>
      <c r="N1454" s="18" t="str">
        <f t="shared" si="68"/>
        <v>Agosto|102</v>
      </c>
    </row>
    <row r="1455" spans="1:14" ht="14.5" x14ac:dyDescent="0.25">
      <c r="A1455" s="19">
        <v>34</v>
      </c>
      <c r="B1455" s="18" t="s">
        <v>41</v>
      </c>
      <c r="C1455" s="18" t="s">
        <v>99</v>
      </c>
      <c r="D1455" s="18" t="s">
        <v>1621</v>
      </c>
      <c r="E1455" s="18" t="s">
        <v>2013</v>
      </c>
      <c r="F1455" s="101">
        <v>46240.107638888891</v>
      </c>
      <c r="G1455" s="101">
        <v>46241.838194444441</v>
      </c>
      <c r="H1455" s="18" t="s">
        <v>507</v>
      </c>
      <c r="I1455" s="18" t="s">
        <v>508</v>
      </c>
      <c r="J1455" s="18"/>
      <c r="K1455" s="21">
        <f t="shared" si="66"/>
        <v>41.533333333209157</v>
      </c>
      <c r="L1455" s="19">
        <f t="shared" si="67"/>
        <v>103</v>
      </c>
      <c r="M1455" s="18" t="str">
        <f>IF(I1455&lt;&gt;"Sí","",IF(YEAR(F1455)&lt;&gt;2026,"",INDEX({"Enero","Febrero","Marzo","Abril","Mayo","Junio","Julio","Agosto","Septiembre","Octubre","Noviembre","Diciembre"},MONTH(F1455))))</f>
        <v>Agosto</v>
      </c>
      <c r="N1455" s="18" t="str">
        <f t="shared" si="68"/>
        <v>Agosto|103</v>
      </c>
    </row>
    <row r="1456" spans="1:14" ht="14.5" x14ac:dyDescent="0.25">
      <c r="A1456" s="19">
        <v>34</v>
      </c>
      <c r="B1456" s="18" t="s">
        <v>41</v>
      </c>
      <c r="C1456" s="18" t="s">
        <v>99</v>
      </c>
      <c r="D1456" s="18" t="s">
        <v>1621</v>
      </c>
      <c r="E1456" s="18" t="s">
        <v>2014</v>
      </c>
      <c r="F1456" s="101">
        <v>46240.109027777777</v>
      </c>
      <c r="G1456" s="101">
        <v>46241.807638888888</v>
      </c>
      <c r="H1456" s="18" t="s">
        <v>507</v>
      </c>
      <c r="I1456" s="18" t="s">
        <v>508</v>
      </c>
      <c r="J1456" s="18"/>
      <c r="K1456" s="21">
        <f t="shared" si="66"/>
        <v>40.766666666662786</v>
      </c>
      <c r="L1456" s="19">
        <f t="shared" si="67"/>
        <v>104</v>
      </c>
      <c r="M1456" s="18" t="str">
        <f>IF(I1456&lt;&gt;"Sí","",IF(YEAR(F1456)&lt;&gt;2026,"",INDEX({"Enero","Febrero","Marzo","Abril","Mayo","Junio","Julio","Agosto","Septiembre","Octubre","Noviembre","Diciembre"},MONTH(F1456))))</f>
        <v>Agosto</v>
      </c>
      <c r="N1456" s="18" t="str">
        <f t="shared" si="68"/>
        <v>Agosto|104</v>
      </c>
    </row>
    <row r="1457" spans="1:14" ht="14.5" x14ac:dyDescent="0.25">
      <c r="A1457" s="19">
        <v>34</v>
      </c>
      <c r="B1457" s="18" t="s">
        <v>41</v>
      </c>
      <c r="C1457" s="18" t="s">
        <v>99</v>
      </c>
      <c r="D1457" s="18" t="s">
        <v>1621</v>
      </c>
      <c r="E1457" s="18" t="s">
        <v>2015</v>
      </c>
      <c r="F1457" s="101">
        <v>46240.111111111109</v>
      </c>
      <c r="G1457" s="101">
        <v>46242.416666666664</v>
      </c>
      <c r="H1457" s="18" t="s">
        <v>507</v>
      </c>
      <c r="I1457" s="18" t="s">
        <v>508</v>
      </c>
      <c r="J1457" s="18"/>
      <c r="K1457" s="21">
        <f t="shared" si="66"/>
        <v>55.333333333313931</v>
      </c>
      <c r="L1457" s="19">
        <f t="shared" si="67"/>
        <v>105</v>
      </c>
      <c r="M1457" s="18" t="str">
        <f>IF(I1457&lt;&gt;"Sí","",IF(YEAR(F1457)&lt;&gt;2026,"",INDEX({"Enero","Febrero","Marzo","Abril","Mayo","Junio","Julio","Agosto","Septiembre","Octubre","Noviembre","Diciembre"},MONTH(F1457))))</f>
        <v>Agosto</v>
      </c>
      <c r="N1457" s="18" t="str">
        <f t="shared" si="68"/>
        <v>Agosto|105</v>
      </c>
    </row>
    <row r="1458" spans="1:14" ht="14.5" x14ac:dyDescent="0.25">
      <c r="A1458" s="19">
        <v>34</v>
      </c>
      <c r="B1458" s="18" t="s">
        <v>41</v>
      </c>
      <c r="C1458" s="18" t="s">
        <v>99</v>
      </c>
      <c r="D1458" s="18" t="s">
        <v>1621</v>
      </c>
      <c r="E1458" s="18" t="s">
        <v>2016</v>
      </c>
      <c r="F1458" s="101">
        <v>46240.112500000003</v>
      </c>
      <c r="G1458" s="101">
        <v>46241.805555555555</v>
      </c>
      <c r="H1458" s="18" t="s">
        <v>507</v>
      </c>
      <c r="I1458" s="18" t="s">
        <v>508</v>
      </c>
      <c r="J1458" s="18"/>
      <c r="K1458" s="21">
        <f t="shared" si="66"/>
        <v>40.633333333244082</v>
      </c>
      <c r="L1458" s="19">
        <f t="shared" si="67"/>
        <v>106</v>
      </c>
      <c r="M1458" s="18" t="str">
        <f>IF(I1458&lt;&gt;"Sí","",IF(YEAR(F1458)&lt;&gt;2026,"",INDEX({"Enero","Febrero","Marzo","Abril","Mayo","Junio","Julio","Agosto","Septiembre","Octubre","Noviembre","Diciembre"},MONTH(F1458))))</f>
        <v>Agosto</v>
      </c>
      <c r="N1458" s="18" t="str">
        <f t="shared" si="68"/>
        <v>Agosto|106</v>
      </c>
    </row>
    <row r="1459" spans="1:14" ht="14.5" x14ac:dyDescent="0.25">
      <c r="A1459" s="19">
        <v>34</v>
      </c>
      <c r="B1459" s="18" t="s">
        <v>41</v>
      </c>
      <c r="C1459" s="18" t="s">
        <v>99</v>
      </c>
      <c r="D1459" s="18" t="s">
        <v>1621</v>
      </c>
      <c r="E1459" s="18" t="s">
        <v>2017</v>
      </c>
      <c r="F1459" s="101">
        <v>46240.114583333336</v>
      </c>
      <c r="G1459" s="101">
        <v>46241.804861111108</v>
      </c>
      <c r="H1459" s="18" t="s">
        <v>507</v>
      </c>
      <c r="I1459" s="18" t="s">
        <v>508</v>
      </c>
      <c r="J1459" s="18"/>
      <c r="K1459" s="21">
        <f t="shared" si="66"/>
        <v>40.566666666534729</v>
      </c>
      <c r="L1459" s="19">
        <f t="shared" si="67"/>
        <v>108</v>
      </c>
      <c r="M1459" s="18" t="str">
        <f>IF(I1459&lt;&gt;"Sí","",IF(YEAR(F1459)&lt;&gt;2026,"",INDEX({"Enero","Febrero","Marzo","Abril","Mayo","Junio","Julio","Agosto","Septiembre","Octubre","Noviembre","Diciembre"},MONTH(F1459))))</f>
        <v>Agosto</v>
      </c>
      <c r="N1459" s="18" t="str">
        <f t="shared" si="68"/>
        <v>Agosto|108</v>
      </c>
    </row>
    <row r="1460" spans="1:14" ht="14.5" x14ac:dyDescent="0.25">
      <c r="A1460" s="19">
        <v>34</v>
      </c>
      <c r="B1460" s="18" t="s">
        <v>41</v>
      </c>
      <c r="C1460" s="18" t="s">
        <v>99</v>
      </c>
      <c r="D1460" s="18" t="s">
        <v>1621</v>
      </c>
      <c r="E1460" s="18" t="s">
        <v>2018</v>
      </c>
      <c r="F1460" s="101">
        <v>46240.114583333336</v>
      </c>
      <c r="G1460" s="101">
        <v>46241.798611111109</v>
      </c>
      <c r="H1460" s="18" t="s">
        <v>507</v>
      </c>
      <c r="I1460" s="18" t="s">
        <v>508</v>
      </c>
      <c r="J1460" s="18"/>
      <c r="K1460" s="21">
        <f t="shared" si="66"/>
        <v>40.416666666569654</v>
      </c>
      <c r="L1460" s="19">
        <f t="shared" si="67"/>
        <v>108</v>
      </c>
      <c r="M1460" s="18" t="str">
        <f>IF(I1460&lt;&gt;"Sí","",IF(YEAR(F1460)&lt;&gt;2026,"",INDEX({"Enero","Febrero","Marzo","Abril","Mayo","Junio","Julio","Agosto","Septiembre","Octubre","Noviembre","Diciembre"},MONTH(F1460))))</f>
        <v>Agosto</v>
      </c>
      <c r="N1460" s="18" t="str">
        <f t="shared" si="68"/>
        <v>Agosto|108</v>
      </c>
    </row>
    <row r="1461" spans="1:14" ht="14.5" x14ac:dyDescent="0.25">
      <c r="A1461" s="19">
        <v>34</v>
      </c>
      <c r="B1461" s="18" t="s">
        <v>41</v>
      </c>
      <c r="C1461" s="18" t="s">
        <v>99</v>
      </c>
      <c r="D1461" s="18" t="s">
        <v>1621</v>
      </c>
      <c r="E1461" s="18" t="s">
        <v>2019</v>
      </c>
      <c r="F1461" s="101">
        <v>46240.125</v>
      </c>
      <c r="G1461" s="101">
        <v>46241.797222222223</v>
      </c>
      <c r="H1461" s="18" t="s">
        <v>507</v>
      </c>
      <c r="I1461" s="18" t="s">
        <v>508</v>
      </c>
      <c r="J1461" s="18"/>
      <c r="K1461" s="21">
        <f t="shared" si="66"/>
        <v>40.133333333360497</v>
      </c>
      <c r="L1461" s="19">
        <f t="shared" si="67"/>
        <v>109</v>
      </c>
      <c r="M1461" s="18" t="str">
        <f>IF(I1461&lt;&gt;"Sí","",IF(YEAR(F1461)&lt;&gt;2026,"",INDEX({"Enero","Febrero","Marzo","Abril","Mayo","Junio","Julio","Agosto","Septiembre","Octubre","Noviembre","Diciembre"},MONTH(F1461))))</f>
        <v>Agosto</v>
      </c>
      <c r="N1461" s="18" t="str">
        <f t="shared" si="68"/>
        <v>Agosto|109</v>
      </c>
    </row>
    <row r="1462" spans="1:14" ht="14.5" x14ac:dyDescent="0.25">
      <c r="A1462" s="19">
        <v>34</v>
      </c>
      <c r="B1462" s="18" t="s">
        <v>41</v>
      </c>
      <c r="C1462" s="18" t="s">
        <v>99</v>
      </c>
      <c r="D1462" s="18" t="s">
        <v>1621</v>
      </c>
      <c r="E1462" s="18" t="s">
        <v>2020</v>
      </c>
      <c r="F1462" s="101">
        <v>46240.128472222219</v>
      </c>
      <c r="G1462" s="101">
        <v>46241.794444444444</v>
      </c>
      <c r="H1462" s="18" t="s">
        <v>507</v>
      </c>
      <c r="I1462" s="18" t="s">
        <v>508</v>
      </c>
      <c r="J1462" s="18"/>
      <c r="K1462" s="21">
        <f t="shared" si="66"/>
        <v>39.983333333395422</v>
      </c>
      <c r="L1462" s="19">
        <f t="shared" si="67"/>
        <v>110</v>
      </c>
      <c r="M1462" s="18" t="str">
        <f>IF(I1462&lt;&gt;"Sí","",IF(YEAR(F1462)&lt;&gt;2026,"",INDEX({"Enero","Febrero","Marzo","Abril","Mayo","Junio","Julio","Agosto","Septiembre","Octubre","Noviembre","Diciembre"},MONTH(F1462))))</f>
        <v>Agosto</v>
      </c>
      <c r="N1462" s="18" t="str">
        <f t="shared" si="68"/>
        <v>Agosto|110</v>
      </c>
    </row>
    <row r="1463" spans="1:14" ht="14.5" x14ac:dyDescent="0.25">
      <c r="A1463" s="19">
        <v>34</v>
      </c>
      <c r="B1463" s="18" t="s">
        <v>41</v>
      </c>
      <c r="C1463" s="18" t="s">
        <v>99</v>
      </c>
      <c r="D1463" s="18" t="s">
        <v>1621</v>
      </c>
      <c r="E1463" s="18" t="s">
        <v>2021</v>
      </c>
      <c r="F1463" s="101">
        <v>46240.129861111112</v>
      </c>
      <c r="G1463" s="101">
        <v>46241.793055555558</v>
      </c>
      <c r="H1463" s="18" t="s">
        <v>507</v>
      </c>
      <c r="I1463" s="18" t="s">
        <v>508</v>
      </c>
      <c r="J1463" s="18"/>
      <c r="K1463" s="21">
        <f t="shared" si="66"/>
        <v>39.916666666686069</v>
      </c>
      <c r="L1463" s="19">
        <f t="shared" si="67"/>
        <v>111</v>
      </c>
      <c r="M1463" s="18" t="str">
        <f>IF(I1463&lt;&gt;"Sí","",IF(YEAR(F1463)&lt;&gt;2026,"",INDEX({"Enero","Febrero","Marzo","Abril","Mayo","Junio","Julio","Agosto","Septiembre","Octubre","Noviembre","Diciembre"},MONTH(F1463))))</f>
        <v>Agosto</v>
      </c>
      <c r="N1463" s="18" t="str">
        <f t="shared" si="68"/>
        <v>Agosto|111</v>
      </c>
    </row>
    <row r="1464" spans="1:14" ht="14.5" x14ac:dyDescent="0.25">
      <c r="A1464" s="19">
        <v>34</v>
      </c>
      <c r="B1464" s="18" t="s">
        <v>41</v>
      </c>
      <c r="C1464" s="18" t="s">
        <v>99</v>
      </c>
      <c r="D1464" s="18" t="s">
        <v>1621</v>
      </c>
      <c r="E1464" s="18" t="s">
        <v>2022</v>
      </c>
      <c r="F1464" s="101">
        <v>46240.131249999999</v>
      </c>
      <c r="G1464" s="101">
        <v>46242.402777777781</v>
      </c>
      <c r="H1464" s="18" t="s">
        <v>507</v>
      </c>
      <c r="I1464" s="18" t="s">
        <v>508</v>
      </c>
      <c r="J1464" s="18"/>
      <c r="K1464" s="21">
        <f t="shared" si="66"/>
        <v>54.516666666779201</v>
      </c>
      <c r="L1464" s="19">
        <f t="shared" si="67"/>
        <v>112</v>
      </c>
      <c r="M1464" s="18" t="str">
        <f>IF(I1464&lt;&gt;"Sí","",IF(YEAR(F1464)&lt;&gt;2026,"",INDEX({"Enero","Febrero","Marzo","Abril","Mayo","Junio","Julio","Agosto","Septiembre","Octubre","Noviembre","Diciembre"},MONTH(F1464))))</f>
        <v>Agosto</v>
      </c>
      <c r="N1464" s="18" t="str">
        <f t="shared" si="68"/>
        <v>Agosto|112</v>
      </c>
    </row>
    <row r="1465" spans="1:14" ht="14.5" x14ac:dyDescent="0.25">
      <c r="A1465" s="19">
        <v>34</v>
      </c>
      <c r="B1465" s="18" t="s">
        <v>41</v>
      </c>
      <c r="C1465" s="18" t="s">
        <v>99</v>
      </c>
      <c r="D1465" s="18" t="s">
        <v>1621</v>
      </c>
      <c r="E1465" s="18" t="s">
        <v>2023</v>
      </c>
      <c r="F1465" s="101">
        <v>46240.132638888892</v>
      </c>
      <c r="G1465" s="101">
        <v>46242.399305555555</v>
      </c>
      <c r="H1465" s="18" t="s">
        <v>507</v>
      </c>
      <c r="I1465" s="18" t="s">
        <v>508</v>
      </c>
      <c r="J1465" s="18"/>
      <c r="K1465" s="21">
        <f t="shared" si="66"/>
        <v>54.399999999906868</v>
      </c>
      <c r="L1465" s="19">
        <f t="shared" si="67"/>
        <v>113</v>
      </c>
      <c r="M1465" s="18" t="str">
        <f>IF(I1465&lt;&gt;"Sí","",IF(YEAR(F1465)&lt;&gt;2026,"",INDEX({"Enero","Febrero","Marzo","Abril","Mayo","Junio","Julio","Agosto","Septiembre","Octubre","Noviembre","Diciembre"},MONTH(F1465))))</f>
        <v>Agosto</v>
      </c>
      <c r="N1465" s="18" t="str">
        <f t="shared" si="68"/>
        <v>Agosto|113</v>
      </c>
    </row>
    <row r="1466" spans="1:14" ht="14.5" x14ac:dyDescent="0.25">
      <c r="A1466" s="19">
        <v>34</v>
      </c>
      <c r="B1466" s="18" t="s">
        <v>41</v>
      </c>
      <c r="C1466" s="18" t="s">
        <v>99</v>
      </c>
      <c r="D1466" s="18" t="s">
        <v>1621</v>
      </c>
      <c r="E1466" s="18" t="s">
        <v>2024</v>
      </c>
      <c r="F1466" s="101">
        <v>46240.134027777778</v>
      </c>
      <c r="G1466" s="101">
        <v>46241.788194444445</v>
      </c>
      <c r="H1466" s="18" t="s">
        <v>507</v>
      </c>
      <c r="I1466" s="18" t="s">
        <v>508</v>
      </c>
      <c r="J1466" s="18"/>
      <c r="K1466" s="21">
        <f t="shared" si="66"/>
        <v>39.700000000011642</v>
      </c>
      <c r="L1466" s="19">
        <f t="shared" si="67"/>
        <v>114</v>
      </c>
      <c r="M1466" s="18" t="str">
        <f>IF(I1466&lt;&gt;"Sí","",IF(YEAR(F1466)&lt;&gt;2026,"",INDEX({"Enero","Febrero","Marzo","Abril","Mayo","Junio","Julio","Agosto","Septiembre","Octubre","Noviembre","Diciembre"},MONTH(F1466))))</f>
        <v>Agosto</v>
      </c>
      <c r="N1466" s="18" t="str">
        <f t="shared" si="68"/>
        <v>Agosto|114</v>
      </c>
    </row>
    <row r="1467" spans="1:14" ht="14.5" x14ac:dyDescent="0.25">
      <c r="A1467" s="19">
        <v>34</v>
      </c>
      <c r="B1467" s="18" t="s">
        <v>41</v>
      </c>
      <c r="C1467" s="18" t="s">
        <v>99</v>
      </c>
      <c r="D1467" s="18" t="s">
        <v>1621</v>
      </c>
      <c r="E1467" s="18" t="s">
        <v>2025</v>
      </c>
      <c r="F1467" s="101">
        <v>46240.134722222225</v>
      </c>
      <c r="G1467" s="101">
        <v>46241.770833333336</v>
      </c>
      <c r="H1467" s="18" t="s">
        <v>507</v>
      </c>
      <c r="I1467" s="18" t="s">
        <v>508</v>
      </c>
      <c r="J1467" s="18"/>
      <c r="K1467" s="21">
        <f t="shared" si="66"/>
        <v>39.266666666662786</v>
      </c>
      <c r="L1467" s="19">
        <f t="shared" si="67"/>
        <v>115</v>
      </c>
      <c r="M1467" s="18" t="str">
        <f>IF(I1467&lt;&gt;"Sí","",IF(YEAR(F1467)&lt;&gt;2026,"",INDEX({"Enero","Febrero","Marzo","Abril","Mayo","Junio","Julio","Agosto","Septiembre","Octubre","Noviembre","Diciembre"},MONTH(F1467))))</f>
        <v>Agosto</v>
      </c>
      <c r="N1467" s="18" t="str">
        <f t="shared" si="68"/>
        <v>Agosto|115</v>
      </c>
    </row>
    <row r="1468" spans="1:14" ht="14.5" x14ac:dyDescent="0.25">
      <c r="A1468" s="19">
        <v>34</v>
      </c>
      <c r="B1468" s="18" t="s">
        <v>41</v>
      </c>
      <c r="C1468" s="18" t="s">
        <v>99</v>
      </c>
      <c r="D1468" s="18" t="s">
        <v>1621</v>
      </c>
      <c r="E1468" s="18" t="s">
        <v>2026</v>
      </c>
      <c r="F1468" s="101">
        <v>46240.136111111111</v>
      </c>
      <c r="G1468" s="101">
        <v>46241.770833333336</v>
      </c>
      <c r="H1468" s="18" t="s">
        <v>507</v>
      </c>
      <c r="I1468" s="18" t="s">
        <v>508</v>
      </c>
      <c r="J1468" s="18"/>
      <c r="K1468" s="21">
        <f t="shared" si="66"/>
        <v>39.233333333395422</v>
      </c>
      <c r="L1468" s="19">
        <f t="shared" si="67"/>
        <v>116</v>
      </c>
      <c r="M1468" s="18" t="str">
        <f>IF(I1468&lt;&gt;"Sí","",IF(YEAR(F1468)&lt;&gt;2026,"",INDEX({"Enero","Febrero","Marzo","Abril","Mayo","Junio","Julio","Agosto","Septiembre","Octubre","Noviembre","Diciembre"},MONTH(F1468))))</f>
        <v>Agosto</v>
      </c>
      <c r="N1468" s="18" t="str">
        <f t="shared" si="68"/>
        <v>Agosto|116</v>
      </c>
    </row>
    <row r="1469" spans="1:14" ht="14.5" x14ac:dyDescent="0.25">
      <c r="A1469" s="19">
        <v>34</v>
      </c>
      <c r="B1469" s="18" t="s">
        <v>41</v>
      </c>
      <c r="C1469" s="18" t="s">
        <v>99</v>
      </c>
      <c r="D1469" s="18" t="s">
        <v>1621</v>
      </c>
      <c r="E1469" s="18" t="s">
        <v>2027</v>
      </c>
      <c r="F1469" s="101">
        <v>46240.138888888891</v>
      </c>
      <c r="G1469" s="101">
        <v>46241.770833333336</v>
      </c>
      <c r="H1469" s="18" t="s">
        <v>507</v>
      </c>
      <c r="I1469" s="18" t="s">
        <v>508</v>
      </c>
      <c r="J1469" s="18"/>
      <c r="K1469" s="21">
        <f t="shared" si="66"/>
        <v>39.166666666686069</v>
      </c>
      <c r="L1469" s="19">
        <f t="shared" si="67"/>
        <v>117</v>
      </c>
      <c r="M1469" s="18" t="str">
        <f>IF(I1469&lt;&gt;"Sí","",IF(YEAR(F1469)&lt;&gt;2026,"",INDEX({"Enero","Febrero","Marzo","Abril","Mayo","Junio","Julio","Agosto","Septiembre","Octubre","Noviembre","Diciembre"},MONTH(F1469))))</f>
        <v>Agosto</v>
      </c>
      <c r="N1469" s="18" t="str">
        <f t="shared" si="68"/>
        <v>Agosto|117</v>
      </c>
    </row>
    <row r="1470" spans="1:14" ht="14.5" x14ac:dyDescent="0.25">
      <c r="A1470" s="19">
        <v>34</v>
      </c>
      <c r="B1470" s="18" t="s">
        <v>41</v>
      </c>
      <c r="C1470" s="18" t="s">
        <v>99</v>
      </c>
      <c r="D1470" s="18" t="s">
        <v>1621</v>
      </c>
      <c r="E1470" s="18" t="s">
        <v>2028</v>
      </c>
      <c r="F1470" s="101">
        <v>46240.140972222223</v>
      </c>
      <c r="G1470" s="101">
        <v>46241.770833333336</v>
      </c>
      <c r="H1470" s="18" t="s">
        <v>507</v>
      </c>
      <c r="I1470" s="18" t="s">
        <v>508</v>
      </c>
      <c r="J1470" s="18"/>
      <c r="K1470" s="21">
        <f t="shared" si="66"/>
        <v>39.116666666697711</v>
      </c>
      <c r="L1470" s="19">
        <f t="shared" si="67"/>
        <v>118</v>
      </c>
      <c r="M1470" s="18" t="str">
        <f>IF(I1470&lt;&gt;"Sí","",IF(YEAR(F1470)&lt;&gt;2026,"",INDEX({"Enero","Febrero","Marzo","Abril","Mayo","Junio","Julio","Agosto","Septiembre","Octubre","Noviembre","Diciembre"},MONTH(F1470))))</f>
        <v>Agosto</v>
      </c>
      <c r="N1470" s="18" t="str">
        <f t="shared" si="68"/>
        <v>Agosto|118</v>
      </c>
    </row>
    <row r="1471" spans="1:14" ht="14.5" x14ac:dyDescent="0.25">
      <c r="A1471" s="19">
        <v>34</v>
      </c>
      <c r="B1471" s="18" t="s">
        <v>41</v>
      </c>
      <c r="C1471" s="18" t="s">
        <v>99</v>
      </c>
      <c r="D1471" s="18" t="s">
        <v>1621</v>
      </c>
      <c r="E1471" s="18" t="s">
        <v>1314</v>
      </c>
      <c r="F1471" s="101">
        <v>46240.145138888889</v>
      </c>
      <c r="G1471" s="101">
        <v>46241.770833333336</v>
      </c>
      <c r="H1471" s="18" t="s">
        <v>507</v>
      </c>
      <c r="I1471" s="18" t="s">
        <v>508</v>
      </c>
      <c r="J1471" s="18"/>
      <c r="K1471" s="21">
        <f t="shared" si="66"/>
        <v>39.016666666720994</v>
      </c>
      <c r="L1471" s="19">
        <f t="shared" si="67"/>
        <v>119</v>
      </c>
      <c r="M1471" s="18" t="str">
        <f>IF(I1471&lt;&gt;"Sí","",IF(YEAR(F1471)&lt;&gt;2026,"",INDEX({"Enero","Febrero","Marzo","Abril","Mayo","Junio","Julio","Agosto","Septiembre","Octubre","Noviembre","Diciembre"},MONTH(F1471))))</f>
        <v>Agosto</v>
      </c>
      <c r="N1471" s="18" t="str">
        <f t="shared" si="68"/>
        <v>Agosto|119</v>
      </c>
    </row>
    <row r="1472" spans="1:14" ht="14.5" x14ac:dyDescent="0.25">
      <c r="A1472" s="19">
        <v>34</v>
      </c>
      <c r="B1472" s="18" t="s">
        <v>41</v>
      </c>
      <c r="C1472" s="18" t="s">
        <v>99</v>
      </c>
      <c r="D1472" s="18" t="s">
        <v>1621</v>
      </c>
      <c r="E1472" s="18" t="s">
        <v>2029</v>
      </c>
      <c r="F1472" s="101">
        <v>46240.145833333336</v>
      </c>
      <c r="G1472" s="101">
        <v>46241.78125</v>
      </c>
      <c r="H1472" s="18" t="s">
        <v>507</v>
      </c>
      <c r="I1472" s="18" t="s">
        <v>508</v>
      </c>
      <c r="J1472" s="18"/>
      <c r="K1472" s="21">
        <f t="shared" si="66"/>
        <v>39.249999999941792</v>
      </c>
      <c r="L1472" s="19">
        <f t="shared" si="67"/>
        <v>120</v>
      </c>
      <c r="M1472" s="18" t="str">
        <f>IF(I1472&lt;&gt;"Sí","",IF(YEAR(F1472)&lt;&gt;2026,"",INDEX({"Enero","Febrero","Marzo","Abril","Mayo","Junio","Julio","Agosto","Septiembre","Octubre","Noviembre","Diciembre"},MONTH(F1472))))</f>
        <v>Agosto</v>
      </c>
      <c r="N1472" s="18" t="str">
        <f t="shared" si="68"/>
        <v>Agosto|120</v>
      </c>
    </row>
    <row r="1473" spans="1:14" ht="14.5" x14ac:dyDescent="0.25">
      <c r="A1473" s="19">
        <v>34</v>
      </c>
      <c r="B1473" s="18" t="s">
        <v>41</v>
      </c>
      <c r="C1473" s="18" t="s">
        <v>99</v>
      </c>
      <c r="D1473" s="18" t="s">
        <v>1621</v>
      </c>
      <c r="E1473" s="18" t="s">
        <v>2030</v>
      </c>
      <c r="F1473" s="101">
        <v>46240.147222222222</v>
      </c>
      <c r="G1473" s="101">
        <v>46241.770833333336</v>
      </c>
      <c r="H1473" s="18" t="s">
        <v>507</v>
      </c>
      <c r="I1473" s="18" t="s">
        <v>508</v>
      </c>
      <c r="J1473" s="18"/>
      <c r="K1473" s="21">
        <f t="shared" si="66"/>
        <v>38.966666666732635</v>
      </c>
      <c r="L1473" s="19">
        <f t="shared" si="67"/>
        <v>121</v>
      </c>
      <c r="M1473" s="18" t="str">
        <f>IF(I1473&lt;&gt;"Sí","",IF(YEAR(F1473)&lt;&gt;2026,"",INDEX({"Enero","Febrero","Marzo","Abril","Mayo","Junio","Julio","Agosto","Septiembre","Octubre","Noviembre","Diciembre"},MONTH(F1473))))</f>
        <v>Agosto</v>
      </c>
      <c r="N1473" s="18" t="str">
        <f t="shared" si="68"/>
        <v>Agosto|121</v>
      </c>
    </row>
    <row r="1474" spans="1:14" ht="14.5" x14ac:dyDescent="0.25">
      <c r="A1474" s="19">
        <v>34</v>
      </c>
      <c r="B1474" s="18" t="s">
        <v>41</v>
      </c>
      <c r="C1474" s="18" t="s">
        <v>99</v>
      </c>
      <c r="D1474" s="18" t="s">
        <v>1621</v>
      </c>
      <c r="E1474" s="18" t="s">
        <v>2031</v>
      </c>
      <c r="F1474" s="101">
        <v>46240.148611111108</v>
      </c>
      <c r="G1474" s="101">
        <v>46241.770833333336</v>
      </c>
      <c r="H1474" s="18" t="s">
        <v>507</v>
      </c>
      <c r="I1474" s="18" t="s">
        <v>508</v>
      </c>
      <c r="J1474" s="18"/>
      <c r="K1474" s="21">
        <f t="shared" si="66"/>
        <v>38.933333333465271</v>
      </c>
      <c r="L1474" s="19">
        <f t="shared" si="67"/>
        <v>122</v>
      </c>
      <c r="M1474" s="18" t="str">
        <f>IF(I1474&lt;&gt;"Sí","",IF(YEAR(F1474)&lt;&gt;2026,"",INDEX({"Enero","Febrero","Marzo","Abril","Mayo","Junio","Julio","Agosto","Septiembre","Octubre","Noviembre","Diciembre"},MONTH(F1474))))</f>
        <v>Agosto</v>
      </c>
      <c r="N1474" s="18" t="str">
        <f t="shared" si="68"/>
        <v>Agosto|122</v>
      </c>
    </row>
    <row r="1475" spans="1:14" ht="14.5" x14ac:dyDescent="0.25">
      <c r="A1475" s="19">
        <v>34</v>
      </c>
      <c r="B1475" s="18" t="s">
        <v>41</v>
      </c>
      <c r="C1475" s="18" t="s">
        <v>99</v>
      </c>
      <c r="D1475" s="18" t="s">
        <v>1621</v>
      </c>
      <c r="E1475" s="18" t="s">
        <v>2032</v>
      </c>
      <c r="F1475" s="101">
        <v>46240.15</v>
      </c>
      <c r="G1475" s="101">
        <v>46241.770833333336</v>
      </c>
      <c r="H1475" s="18" t="s">
        <v>507</v>
      </c>
      <c r="I1475" s="18" t="s">
        <v>508</v>
      </c>
      <c r="J1475" s="18"/>
      <c r="K1475" s="21">
        <f t="shared" si="66"/>
        <v>38.900000000023283</v>
      </c>
      <c r="L1475" s="19">
        <f t="shared" si="67"/>
        <v>123</v>
      </c>
      <c r="M1475" s="18" t="str">
        <f>IF(I1475&lt;&gt;"Sí","",IF(YEAR(F1475)&lt;&gt;2026,"",INDEX({"Enero","Febrero","Marzo","Abril","Mayo","Junio","Julio","Agosto","Septiembre","Octubre","Noviembre","Diciembre"},MONTH(F1475))))</f>
        <v>Agosto</v>
      </c>
      <c r="N1475" s="18" t="str">
        <f t="shared" si="68"/>
        <v>Agosto|123</v>
      </c>
    </row>
    <row r="1476" spans="1:14" ht="14.5" x14ac:dyDescent="0.25">
      <c r="A1476" s="19">
        <v>34</v>
      </c>
      <c r="B1476" s="18" t="s">
        <v>41</v>
      </c>
      <c r="C1476" s="18" t="s">
        <v>99</v>
      </c>
      <c r="D1476" s="18" t="s">
        <v>1621</v>
      </c>
      <c r="E1476" s="18" t="s">
        <v>2033</v>
      </c>
      <c r="F1476" s="101">
        <v>46240.151388888888</v>
      </c>
      <c r="G1476" s="101">
        <v>46241.770833333336</v>
      </c>
      <c r="H1476" s="18" t="s">
        <v>507</v>
      </c>
      <c r="I1476" s="18" t="s">
        <v>508</v>
      </c>
      <c r="J1476" s="18"/>
      <c r="K1476" s="21">
        <f t="shared" si="66"/>
        <v>38.866666666755918</v>
      </c>
      <c r="L1476" s="19">
        <f t="shared" si="67"/>
        <v>124</v>
      </c>
      <c r="M1476" s="18" t="str">
        <f>IF(I1476&lt;&gt;"Sí","",IF(YEAR(F1476)&lt;&gt;2026,"",INDEX({"Enero","Febrero","Marzo","Abril","Mayo","Junio","Julio","Agosto","Septiembre","Octubre","Noviembre","Diciembre"},MONTH(F1476))))</f>
        <v>Agosto</v>
      </c>
      <c r="N1476" s="18" t="str">
        <f t="shared" si="68"/>
        <v>Agosto|124</v>
      </c>
    </row>
    <row r="1477" spans="1:14" ht="14.5" x14ac:dyDescent="0.25">
      <c r="A1477" s="19">
        <v>34</v>
      </c>
      <c r="B1477" s="18" t="s">
        <v>41</v>
      </c>
      <c r="C1477" s="18" t="s">
        <v>99</v>
      </c>
      <c r="D1477" s="18" t="s">
        <v>1621</v>
      </c>
      <c r="E1477" s="18" t="s">
        <v>2034</v>
      </c>
      <c r="F1477" s="101">
        <v>46240.152777777781</v>
      </c>
      <c r="G1477" s="101">
        <v>46241.770833333336</v>
      </c>
      <c r="H1477" s="18" t="s">
        <v>507</v>
      </c>
      <c r="I1477" s="18" t="s">
        <v>508</v>
      </c>
      <c r="J1477" s="18"/>
      <c r="K1477" s="21">
        <f t="shared" si="66"/>
        <v>38.833333333313931</v>
      </c>
      <c r="L1477" s="19">
        <f t="shared" si="67"/>
        <v>125</v>
      </c>
      <c r="M1477" s="18" t="str">
        <f>IF(I1477&lt;&gt;"Sí","",IF(YEAR(F1477)&lt;&gt;2026,"",INDEX({"Enero","Febrero","Marzo","Abril","Mayo","Junio","Julio","Agosto","Septiembre","Octubre","Noviembre","Diciembre"},MONTH(F1477))))</f>
        <v>Agosto</v>
      </c>
      <c r="N1477" s="18" t="str">
        <f t="shared" si="68"/>
        <v>Agosto|125</v>
      </c>
    </row>
    <row r="1478" spans="1:14" ht="14.5" x14ac:dyDescent="0.25">
      <c r="A1478" s="19">
        <v>34</v>
      </c>
      <c r="B1478" s="18" t="s">
        <v>41</v>
      </c>
      <c r="C1478" s="18" t="s">
        <v>99</v>
      </c>
      <c r="D1478" s="18" t="s">
        <v>1621</v>
      </c>
      <c r="E1478" s="18" t="s">
        <v>2035</v>
      </c>
      <c r="F1478" s="101">
        <v>46240.15347222222</v>
      </c>
      <c r="G1478" s="101">
        <v>46242.24722222222</v>
      </c>
      <c r="H1478" s="18" t="s">
        <v>507</v>
      </c>
      <c r="I1478" s="18" t="s">
        <v>508</v>
      </c>
      <c r="J1478" s="18"/>
      <c r="K1478" s="21">
        <f t="shared" si="66"/>
        <v>50.25</v>
      </c>
      <c r="L1478" s="19">
        <f t="shared" si="67"/>
        <v>126</v>
      </c>
      <c r="M1478" s="18" t="str">
        <f>IF(I1478&lt;&gt;"Sí","",IF(YEAR(F1478)&lt;&gt;2026,"",INDEX({"Enero","Febrero","Marzo","Abril","Mayo","Junio","Julio","Agosto","Septiembre","Octubre","Noviembre","Diciembre"},MONTH(F1478))))</f>
        <v>Agosto</v>
      </c>
      <c r="N1478" s="18" t="str">
        <f t="shared" si="68"/>
        <v>Agosto|126</v>
      </c>
    </row>
    <row r="1479" spans="1:14" ht="14.5" x14ac:dyDescent="0.25">
      <c r="A1479" s="19">
        <v>34</v>
      </c>
      <c r="B1479" s="18" t="s">
        <v>41</v>
      </c>
      <c r="C1479" s="18" t="s">
        <v>99</v>
      </c>
      <c r="D1479" s="18" t="s">
        <v>1621</v>
      </c>
      <c r="E1479" s="18" t="s">
        <v>2036</v>
      </c>
      <c r="F1479" s="101">
        <v>46240.155555555553</v>
      </c>
      <c r="G1479" s="101">
        <v>46241.770833333336</v>
      </c>
      <c r="H1479" s="18" t="s">
        <v>507</v>
      </c>
      <c r="I1479" s="18" t="s">
        <v>508</v>
      </c>
      <c r="J1479" s="18"/>
      <c r="K1479" s="21">
        <f t="shared" ref="K1479:K1542" si="69">IF(I1479="Sí",(G1479-F1479)*24,"")</f>
        <v>38.766666666779201</v>
      </c>
      <c r="L1479" s="19">
        <f t="shared" ref="L1479:L1542" si="70">IF(I1479="Sí",COUNTIFS($F$7:$F$4000,"&lt;="&amp;F1479,$G$7:$G$4000,"&gt;"&amp;F1479,$I$7:$I$4000,"Sí"),"")</f>
        <v>127</v>
      </c>
      <c r="M1479" s="18" t="str">
        <f>IF(I1479&lt;&gt;"Sí","",IF(YEAR(F1479)&lt;&gt;2026,"",INDEX({"Enero","Febrero","Marzo","Abril","Mayo","Junio","Julio","Agosto","Septiembre","Octubre","Noviembre","Diciembre"},MONTH(F1479))))</f>
        <v>Agosto</v>
      </c>
      <c r="N1479" s="18" t="str">
        <f t="shared" ref="N1479:N1542" si="71">IF(M1479="","",M1479&amp;"|"&amp;L1479)</f>
        <v>Agosto|127</v>
      </c>
    </row>
    <row r="1480" spans="1:14" ht="14.5" x14ac:dyDescent="0.25">
      <c r="A1480" s="19">
        <v>34</v>
      </c>
      <c r="B1480" s="18" t="s">
        <v>41</v>
      </c>
      <c r="C1480" s="18" t="s">
        <v>99</v>
      </c>
      <c r="D1480" s="18" t="s">
        <v>1621</v>
      </c>
      <c r="E1480" s="18" t="s">
        <v>2037</v>
      </c>
      <c r="F1480" s="101">
        <v>46240.156944444447</v>
      </c>
      <c r="G1480" s="101">
        <v>46241.770833333336</v>
      </c>
      <c r="H1480" s="18" t="s">
        <v>507</v>
      </c>
      <c r="I1480" s="18" t="s">
        <v>508</v>
      </c>
      <c r="J1480" s="18"/>
      <c r="K1480" s="21">
        <f t="shared" si="69"/>
        <v>38.733333333337214</v>
      </c>
      <c r="L1480" s="19">
        <f t="shared" si="70"/>
        <v>128</v>
      </c>
      <c r="M1480" s="18" t="str">
        <f>IF(I1480&lt;&gt;"Sí","",IF(YEAR(F1480)&lt;&gt;2026,"",INDEX({"Enero","Febrero","Marzo","Abril","Mayo","Junio","Julio","Agosto","Septiembre","Octubre","Noviembre","Diciembre"},MONTH(F1480))))</f>
        <v>Agosto</v>
      </c>
      <c r="N1480" s="18" t="str">
        <f t="shared" si="71"/>
        <v>Agosto|128</v>
      </c>
    </row>
    <row r="1481" spans="1:14" ht="14.5" x14ac:dyDescent="0.25">
      <c r="A1481" s="19">
        <v>34</v>
      </c>
      <c r="B1481" s="18" t="s">
        <v>41</v>
      </c>
      <c r="C1481" s="18" t="s">
        <v>99</v>
      </c>
      <c r="D1481" s="18" t="s">
        <v>1621</v>
      </c>
      <c r="E1481" s="18" t="s">
        <v>2038</v>
      </c>
      <c r="F1481" s="101">
        <v>46240.158333333333</v>
      </c>
      <c r="G1481" s="101">
        <v>46242.395138888889</v>
      </c>
      <c r="H1481" s="18" t="s">
        <v>507</v>
      </c>
      <c r="I1481" s="18" t="s">
        <v>508</v>
      </c>
      <c r="J1481" s="18"/>
      <c r="K1481" s="21">
        <f t="shared" si="69"/>
        <v>53.683333333348855</v>
      </c>
      <c r="L1481" s="19">
        <f t="shared" si="70"/>
        <v>129</v>
      </c>
      <c r="M1481" s="18" t="str">
        <f>IF(I1481&lt;&gt;"Sí","",IF(YEAR(F1481)&lt;&gt;2026,"",INDEX({"Enero","Febrero","Marzo","Abril","Mayo","Junio","Julio","Agosto","Septiembre","Octubre","Noviembre","Diciembre"},MONTH(F1481))))</f>
        <v>Agosto</v>
      </c>
      <c r="N1481" s="18" t="str">
        <f t="shared" si="71"/>
        <v>Agosto|129</v>
      </c>
    </row>
    <row r="1482" spans="1:14" ht="14.5" x14ac:dyDescent="0.25">
      <c r="A1482" s="19">
        <v>34</v>
      </c>
      <c r="B1482" s="18" t="s">
        <v>41</v>
      </c>
      <c r="C1482" s="18" t="s">
        <v>99</v>
      </c>
      <c r="D1482" s="18" t="s">
        <v>1621</v>
      </c>
      <c r="E1482" s="18" t="s">
        <v>2039</v>
      </c>
      <c r="F1482" s="101">
        <v>46240.159722222219</v>
      </c>
      <c r="G1482" s="101">
        <v>46241.770833333336</v>
      </c>
      <c r="H1482" s="18" t="s">
        <v>507</v>
      </c>
      <c r="I1482" s="18" t="s">
        <v>508</v>
      </c>
      <c r="J1482" s="18"/>
      <c r="K1482" s="21">
        <f t="shared" si="69"/>
        <v>38.666666666802485</v>
      </c>
      <c r="L1482" s="19">
        <f t="shared" si="70"/>
        <v>130</v>
      </c>
      <c r="M1482" s="18" t="str">
        <f>IF(I1482&lt;&gt;"Sí","",IF(YEAR(F1482)&lt;&gt;2026,"",INDEX({"Enero","Febrero","Marzo","Abril","Mayo","Junio","Julio","Agosto","Septiembre","Octubre","Noviembre","Diciembre"},MONTH(F1482))))</f>
        <v>Agosto</v>
      </c>
      <c r="N1482" s="18" t="str">
        <f t="shared" si="71"/>
        <v>Agosto|130</v>
      </c>
    </row>
    <row r="1483" spans="1:14" ht="14.5" x14ac:dyDescent="0.25">
      <c r="A1483" s="19">
        <v>34</v>
      </c>
      <c r="B1483" s="18" t="s">
        <v>41</v>
      </c>
      <c r="C1483" s="18" t="s">
        <v>99</v>
      </c>
      <c r="D1483" s="18" t="s">
        <v>1621</v>
      </c>
      <c r="E1483" s="18" t="s">
        <v>2040</v>
      </c>
      <c r="F1483" s="101">
        <v>46240.161805555559</v>
      </c>
      <c r="G1483" s="101">
        <v>46241.751388888886</v>
      </c>
      <c r="H1483" s="18" t="s">
        <v>507</v>
      </c>
      <c r="I1483" s="18" t="s">
        <v>508</v>
      </c>
      <c r="J1483" s="18"/>
      <c r="K1483" s="21">
        <f t="shared" si="69"/>
        <v>38.14999999984866</v>
      </c>
      <c r="L1483" s="19">
        <f t="shared" si="70"/>
        <v>132</v>
      </c>
      <c r="M1483" s="18" t="str">
        <f>IF(I1483&lt;&gt;"Sí","",IF(YEAR(F1483)&lt;&gt;2026,"",INDEX({"Enero","Febrero","Marzo","Abril","Mayo","Junio","Julio","Agosto","Septiembre","Octubre","Noviembre","Diciembre"},MONTH(F1483))))</f>
        <v>Agosto</v>
      </c>
      <c r="N1483" s="18" t="str">
        <f t="shared" si="71"/>
        <v>Agosto|132</v>
      </c>
    </row>
    <row r="1484" spans="1:14" ht="14.5" x14ac:dyDescent="0.25">
      <c r="A1484" s="19">
        <v>34</v>
      </c>
      <c r="B1484" s="18" t="s">
        <v>41</v>
      </c>
      <c r="C1484" s="18" t="s">
        <v>99</v>
      </c>
      <c r="D1484" s="18" t="s">
        <v>1621</v>
      </c>
      <c r="E1484" s="18" t="s">
        <v>2041</v>
      </c>
      <c r="F1484" s="101">
        <v>46240.161805555559</v>
      </c>
      <c r="G1484" s="101">
        <v>46241.749305555553</v>
      </c>
      <c r="H1484" s="18" t="s">
        <v>507</v>
      </c>
      <c r="I1484" s="18" t="s">
        <v>508</v>
      </c>
      <c r="J1484" s="18"/>
      <c r="K1484" s="21">
        <f t="shared" si="69"/>
        <v>38.099999999860302</v>
      </c>
      <c r="L1484" s="19">
        <f t="shared" si="70"/>
        <v>132</v>
      </c>
      <c r="M1484" s="18" t="str">
        <f>IF(I1484&lt;&gt;"Sí","",IF(YEAR(F1484)&lt;&gt;2026,"",INDEX({"Enero","Febrero","Marzo","Abril","Mayo","Junio","Julio","Agosto","Septiembre","Octubre","Noviembre","Diciembre"},MONTH(F1484))))</f>
        <v>Agosto</v>
      </c>
      <c r="N1484" s="18" t="str">
        <f t="shared" si="71"/>
        <v>Agosto|132</v>
      </c>
    </row>
    <row r="1485" spans="1:14" ht="14.5" x14ac:dyDescent="0.25">
      <c r="A1485" s="19">
        <v>34</v>
      </c>
      <c r="B1485" s="18" t="s">
        <v>41</v>
      </c>
      <c r="C1485" s="18" t="s">
        <v>92</v>
      </c>
      <c r="D1485" s="18" t="s">
        <v>1981</v>
      </c>
      <c r="E1485" s="18" t="s">
        <v>2042</v>
      </c>
      <c r="F1485" s="101">
        <v>46240.163194444445</v>
      </c>
      <c r="G1485" s="101">
        <v>46251.165972222225</v>
      </c>
      <c r="H1485" s="18" t="s">
        <v>507</v>
      </c>
      <c r="I1485" s="18" t="s">
        <v>508</v>
      </c>
      <c r="J1485" s="18"/>
      <c r="K1485" s="21">
        <f t="shared" si="69"/>
        <v>264.06666666670935</v>
      </c>
      <c r="L1485" s="19">
        <f t="shared" si="70"/>
        <v>133</v>
      </c>
      <c r="M1485" s="18" t="str">
        <f>IF(I1485&lt;&gt;"Sí","",IF(YEAR(F1485)&lt;&gt;2026,"",INDEX({"Enero","Febrero","Marzo","Abril","Mayo","Junio","Julio","Agosto","Septiembre","Octubre","Noviembre","Diciembre"},MONTH(F1485))))</f>
        <v>Agosto</v>
      </c>
      <c r="N1485" s="18" t="str">
        <f t="shared" si="71"/>
        <v>Agosto|133</v>
      </c>
    </row>
    <row r="1486" spans="1:14" ht="14.5" x14ac:dyDescent="0.25">
      <c r="A1486" s="19">
        <v>34</v>
      </c>
      <c r="B1486" s="18" t="s">
        <v>41</v>
      </c>
      <c r="C1486" s="18" t="s">
        <v>99</v>
      </c>
      <c r="D1486" s="18" t="s">
        <v>1621</v>
      </c>
      <c r="E1486" s="18" t="s">
        <v>2043</v>
      </c>
      <c r="F1486" s="101">
        <v>46240.166666666664</v>
      </c>
      <c r="G1486" s="101">
        <v>46242.416666666664</v>
      </c>
      <c r="H1486" s="18" t="s">
        <v>507</v>
      </c>
      <c r="I1486" s="18" t="s">
        <v>508</v>
      </c>
      <c r="J1486" s="18"/>
      <c r="K1486" s="21">
        <f t="shared" si="69"/>
        <v>54</v>
      </c>
      <c r="L1486" s="19">
        <f t="shared" si="70"/>
        <v>134</v>
      </c>
      <c r="M1486" s="18" t="str">
        <f>IF(I1486&lt;&gt;"Sí","",IF(YEAR(F1486)&lt;&gt;2026,"",INDEX({"Enero","Febrero","Marzo","Abril","Mayo","Junio","Julio","Agosto","Septiembre","Octubre","Noviembre","Diciembre"},MONTH(F1486))))</f>
        <v>Agosto</v>
      </c>
      <c r="N1486" s="18" t="str">
        <f t="shared" si="71"/>
        <v>Agosto|134</v>
      </c>
    </row>
    <row r="1487" spans="1:14" ht="14.5" x14ac:dyDescent="0.25">
      <c r="A1487" s="19">
        <v>34</v>
      </c>
      <c r="B1487" s="18" t="s">
        <v>41</v>
      </c>
      <c r="C1487" s="18" t="s">
        <v>99</v>
      </c>
      <c r="D1487" s="18" t="s">
        <v>1621</v>
      </c>
      <c r="E1487" s="18" t="s">
        <v>2044</v>
      </c>
      <c r="F1487" s="101">
        <v>46240.168055555558</v>
      </c>
      <c r="G1487" s="101">
        <v>46241.78125</v>
      </c>
      <c r="H1487" s="18" t="s">
        <v>507</v>
      </c>
      <c r="I1487" s="18" t="s">
        <v>508</v>
      </c>
      <c r="J1487" s="18"/>
      <c r="K1487" s="21">
        <f t="shared" si="69"/>
        <v>38.71666666661622</v>
      </c>
      <c r="L1487" s="19">
        <f t="shared" si="70"/>
        <v>135</v>
      </c>
      <c r="M1487" s="18" t="str">
        <f>IF(I1487&lt;&gt;"Sí","",IF(YEAR(F1487)&lt;&gt;2026,"",INDEX({"Enero","Febrero","Marzo","Abril","Mayo","Junio","Julio","Agosto","Septiembre","Octubre","Noviembre","Diciembre"},MONTH(F1487))))</f>
        <v>Agosto</v>
      </c>
      <c r="N1487" s="18" t="str">
        <f t="shared" si="71"/>
        <v>Agosto|135</v>
      </c>
    </row>
    <row r="1488" spans="1:14" ht="14.5" x14ac:dyDescent="0.25">
      <c r="A1488" s="19">
        <v>34</v>
      </c>
      <c r="B1488" s="18" t="s">
        <v>41</v>
      </c>
      <c r="C1488" s="18" t="s">
        <v>99</v>
      </c>
      <c r="D1488" s="18" t="s">
        <v>1621</v>
      </c>
      <c r="E1488" s="18" t="s">
        <v>2045</v>
      </c>
      <c r="F1488" s="101">
        <v>46240.170138888891</v>
      </c>
      <c r="G1488" s="101">
        <v>46241.78125</v>
      </c>
      <c r="H1488" s="18" t="s">
        <v>507</v>
      </c>
      <c r="I1488" s="18" t="s">
        <v>508</v>
      </c>
      <c r="J1488" s="18"/>
      <c r="K1488" s="21">
        <f t="shared" si="69"/>
        <v>38.666666666627862</v>
      </c>
      <c r="L1488" s="19">
        <f t="shared" si="70"/>
        <v>135</v>
      </c>
      <c r="M1488" s="18" t="str">
        <f>IF(I1488&lt;&gt;"Sí","",IF(YEAR(F1488)&lt;&gt;2026,"",INDEX({"Enero","Febrero","Marzo","Abril","Mayo","Junio","Julio","Agosto","Septiembre","Octubre","Noviembre","Diciembre"},MONTH(F1488))))</f>
        <v>Agosto</v>
      </c>
      <c r="N1488" s="18" t="str">
        <f t="shared" si="71"/>
        <v>Agosto|135</v>
      </c>
    </row>
    <row r="1489" spans="1:14" ht="14.5" x14ac:dyDescent="0.25">
      <c r="A1489" s="19">
        <v>34</v>
      </c>
      <c r="B1489" s="18" t="s">
        <v>41</v>
      </c>
      <c r="C1489" s="18" t="s">
        <v>99</v>
      </c>
      <c r="D1489" s="18" t="s">
        <v>1621</v>
      </c>
      <c r="E1489" s="18" t="s">
        <v>2046</v>
      </c>
      <c r="F1489" s="101">
        <v>46240.17083333333</v>
      </c>
      <c r="G1489" s="101">
        <v>46241.78125</v>
      </c>
      <c r="H1489" s="18" t="s">
        <v>507</v>
      </c>
      <c r="I1489" s="18" t="s">
        <v>508</v>
      </c>
      <c r="J1489" s="18"/>
      <c r="K1489" s="21">
        <f t="shared" si="69"/>
        <v>38.650000000081491</v>
      </c>
      <c r="L1489" s="19">
        <f t="shared" si="70"/>
        <v>135</v>
      </c>
      <c r="M1489" s="18" t="str">
        <f>IF(I1489&lt;&gt;"Sí","",IF(YEAR(F1489)&lt;&gt;2026,"",INDEX({"Enero","Febrero","Marzo","Abril","Mayo","Junio","Julio","Agosto","Septiembre","Octubre","Noviembre","Diciembre"},MONTH(F1489))))</f>
        <v>Agosto</v>
      </c>
      <c r="N1489" s="18" t="str">
        <f t="shared" si="71"/>
        <v>Agosto|135</v>
      </c>
    </row>
    <row r="1490" spans="1:14" ht="14.5" x14ac:dyDescent="0.25">
      <c r="A1490" s="19">
        <v>34</v>
      </c>
      <c r="B1490" s="18" t="s">
        <v>41</v>
      </c>
      <c r="C1490" s="18" t="s">
        <v>99</v>
      </c>
      <c r="D1490" s="18" t="s">
        <v>1621</v>
      </c>
      <c r="E1490" s="18" t="s">
        <v>2047</v>
      </c>
      <c r="F1490" s="101">
        <v>46240.172222222223</v>
      </c>
      <c r="G1490" s="101">
        <v>46241.78125</v>
      </c>
      <c r="H1490" s="18" t="s">
        <v>507</v>
      </c>
      <c r="I1490" s="18" t="s">
        <v>508</v>
      </c>
      <c r="J1490" s="18"/>
      <c r="K1490" s="21">
        <f t="shared" si="69"/>
        <v>38.616666666639503</v>
      </c>
      <c r="L1490" s="19">
        <f t="shared" si="70"/>
        <v>136</v>
      </c>
      <c r="M1490" s="18" t="str">
        <f>IF(I1490&lt;&gt;"Sí","",IF(YEAR(F1490)&lt;&gt;2026,"",INDEX({"Enero","Febrero","Marzo","Abril","Mayo","Junio","Julio","Agosto","Septiembre","Octubre","Noviembre","Diciembre"},MONTH(F1490))))</f>
        <v>Agosto</v>
      </c>
      <c r="N1490" s="18" t="str">
        <f t="shared" si="71"/>
        <v>Agosto|136</v>
      </c>
    </row>
    <row r="1491" spans="1:14" ht="14.5" x14ac:dyDescent="0.25">
      <c r="A1491" s="19">
        <v>34</v>
      </c>
      <c r="B1491" s="18" t="s">
        <v>41</v>
      </c>
      <c r="C1491" s="18" t="s">
        <v>99</v>
      </c>
      <c r="D1491" s="18" t="s">
        <v>1621</v>
      </c>
      <c r="E1491" s="18" t="s">
        <v>2048</v>
      </c>
      <c r="F1491" s="101">
        <v>46240.173611111109</v>
      </c>
      <c r="G1491" s="101">
        <v>46242.416666666664</v>
      </c>
      <c r="H1491" s="18" t="s">
        <v>507</v>
      </c>
      <c r="I1491" s="18" t="s">
        <v>508</v>
      </c>
      <c r="J1491" s="18"/>
      <c r="K1491" s="21">
        <f t="shared" si="69"/>
        <v>53.833333333313931</v>
      </c>
      <c r="L1491" s="19">
        <f t="shared" si="70"/>
        <v>137</v>
      </c>
      <c r="M1491" s="18" t="str">
        <f>IF(I1491&lt;&gt;"Sí","",IF(YEAR(F1491)&lt;&gt;2026,"",INDEX({"Enero","Febrero","Marzo","Abril","Mayo","Junio","Julio","Agosto","Septiembre","Octubre","Noviembre","Diciembre"},MONTH(F1491))))</f>
        <v>Agosto</v>
      </c>
      <c r="N1491" s="18" t="str">
        <f t="shared" si="71"/>
        <v>Agosto|137</v>
      </c>
    </row>
    <row r="1492" spans="1:14" ht="14.5" x14ac:dyDescent="0.25">
      <c r="A1492" s="19">
        <v>34</v>
      </c>
      <c r="B1492" s="18" t="s">
        <v>41</v>
      </c>
      <c r="C1492" s="18" t="s">
        <v>99</v>
      </c>
      <c r="D1492" s="18" t="s">
        <v>1621</v>
      </c>
      <c r="E1492" s="18" t="s">
        <v>2049</v>
      </c>
      <c r="F1492" s="101">
        <v>46240.174305555556</v>
      </c>
      <c r="G1492" s="101">
        <v>46241.78125</v>
      </c>
      <c r="H1492" s="18" t="s">
        <v>507</v>
      </c>
      <c r="I1492" s="18" t="s">
        <v>508</v>
      </c>
      <c r="J1492" s="18"/>
      <c r="K1492" s="21">
        <f t="shared" si="69"/>
        <v>38.566666666651145</v>
      </c>
      <c r="L1492" s="19">
        <f t="shared" si="70"/>
        <v>138</v>
      </c>
      <c r="M1492" s="18" t="str">
        <f>IF(I1492&lt;&gt;"Sí","",IF(YEAR(F1492)&lt;&gt;2026,"",INDEX({"Enero","Febrero","Marzo","Abril","Mayo","Junio","Julio","Agosto","Septiembre","Octubre","Noviembre","Diciembre"},MONTH(F1492))))</f>
        <v>Agosto</v>
      </c>
      <c r="N1492" s="18" t="str">
        <f t="shared" si="71"/>
        <v>Agosto|138</v>
      </c>
    </row>
    <row r="1493" spans="1:14" ht="14.5" x14ac:dyDescent="0.25">
      <c r="A1493" s="19">
        <v>34</v>
      </c>
      <c r="B1493" s="18" t="s">
        <v>41</v>
      </c>
      <c r="C1493" s="18" t="s">
        <v>99</v>
      </c>
      <c r="D1493" s="18" t="s">
        <v>1621</v>
      </c>
      <c r="E1493" s="18" t="s">
        <v>2050</v>
      </c>
      <c r="F1493" s="101">
        <v>46240.177083333336</v>
      </c>
      <c r="G1493" s="101">
        <v>46241.78125</v>
      </c>
      <c r="H1493" s="18" t="s">
        <v>507</v>
      </c>
      <c r="I1493" s="18" t="s">
        <v>508</v>
      </c>
      <c r="J1493" s="18"/>
      <c r="K1493" s="21">
        <f t="shared" si="69"/>
        <v>38.499999999941792</v>
      </c>
      <c r="L1493" s="19">
        <f t="shared" si="70"/>
        <v>139</v>
      </c>
      <c r="M1493" s="18" t="str">
        <f>IF(I1493&lt;&gt;"Sí","",IF(YEAR(F1493)&lt;&gt;2026,"",INDEX({"Enero","Febrero","Marzo","Abril","Mayo","Junio","Julio","Agosto","Septiembre","Octubre","Noviembre","Diciembre"},MONTH(F1493))))</f>
        <v>Agosto</v>
      </c>
      <c r="N1493" s="18" t="str">
        <f t="shared" si="71"/>
        <v>Agosto|139</v>
      </c>
    </row>
    <row r="1494" spans="1:14" ht="14.5" x14ac:dyDescent="0.25">
      <c r="A1494" s="19">
        <v>34</v>
      </c>
      <c r="B1494" s="18" t="s">
        <v>41</v>
      </c>
      <c r="C1494" s="18" t="s">
        <v>99</v>
      </c>
      <c r="D1494" s="18" t="s">
        <v>1621</v>
      </c>
      <c r="E1494" s="18" t="s">
        <v>2051</v>
      </c>
      <c r="F1494" s="101">
        <v>46240.178472222222</v>
      </c>
      <c r="G1494" s="101">
        <v>46241.78125</v>
      </c>
      <c r="H1494" s="18" t="s">
        <v>507</v>
      </c>
      <c r="I1494" s="18" t="s">
        <v>508</v>
      </c>
      <c r="J1494" s="18"/>
      <c r="K1494" s="21">
        <f t="shared" si="69"/>
        <v>38.466666666674428</v>
      </c>
      <c r="L1494" s="19">
        <f t="shared" si="70"/>
        <v>140</v>
      </c>
      <c r="M1494" s="18" t="str">
        <f>IF(I1494&lt;&gt;"Sí","",IF(YEAR(F1494)&lt;&gt;2026,"",INDEX({"Enero","Febrero","Marzo","Abril","Mayo","Junio","Julio","Agosto","Septiembre","Octubre","Noviembre","Diciembre"},MONTH(F1494))))</f>
        <v>Agosto</v>
      </c>
      <c r="N1494" s="18" t="str">
        <f t="shared" si="71"/>
        <v>Agosto|140</v>
      </c>
    </row>
    <row r="1495" spans="1:14" ht="14.5" x14ac:dyDescent="0.25">
      <c r="A1495" s="19">
        <v>34</v>
      </c>
      <c r="B1495" s="18" t="s">
        <v>41</v>
      </c>
      <c r="C1495" s="18" t="s">
        <v>99</v>
      </c>
      <c r="D1495" s="18" t="s">
        <v>1621</v>
      </c>
      <c r="E1495" s="18" t="s">
        <v>2052</v>
      </c>
      <c r="F1495" s="101">
        <v>46240.180555555555</v>
      </c>
      <c r="G1495" s="101">
        <v>46241.78125</v>
      </c>
      <c r="H1495" s="18" t="s">
        <v>507</v>
      </c>
      <c r="I1495" s="18" t="s">
        <v>508</v>
      </c>
      <c r="J1495" s="18"/>
      <c r="K1495" s="21">
        <f t="shared" si="69"/>
        <v>38.416666666686069</v>
      </c>
      <c r="L1495" s="19">
        <f t="shared" si="70"/>
        <v>141</v>
      </c>
      <c r="M1495" s="18" t="str">
        <f>IF(I1495&lt;&gt;"Sí","",IF(YEAR(F1495)&lt;&gt;2026,"",INDEX({"Enero","Febrero","Marzo","Abril","Mayo","Junio","Julio","Agosto","Septiembre","Octubre","Noviembre","Diciembre"},MONTH(F1495))))</f>
        <v>Agosto</v>
      </c>
      <c r="N1495" s="18" t="str">
        <f t="shared" si="71"/>
        <v>Agosto|141</v>
      </c>
    </row>
    <row r="1496" spans="1:14" ht="14.5" x14ac:dyDescent="0.25">
      <c r="A1496" s="19">
        <v>34</v>
      </c>
      <c r="B1496" s="18" t="s">
        <v>41</v>
      </c>
      <c r="C1496" s="18" t="s">
        <v>99</v>
      </c>
      <c r="D1496" s="18" t="s">
        <v>1621</v>
      </c>
      <c r="E1496" s="18" t="s">
        <v>2053</v>
      </c>
      <c r="F1496" s="101">
        <v>46240.182638888888</v>
      </c>
      <c r="G1496" s="101">
        <v>46241.78125</v>
      </c>
      <c r="H1496" s="18" t="s">
        <v>507</v>
      </c>
      <c r="I1496" s="18" t="s">
        <v>508</v>
      </c>
      <c r="J1496" s="18"/>
      <c r="K1496" s="21">
        <f t="shared" si="69"/>
        <v>38.366666666697711</v>
      </c>
      <c r="L1496" s="19">
        <f t="shared" si="70"/>
        <v>143</v>
      </c>
      <c r="M1496" s="18" t="str">
        <f>IF(I1496&lt;&gt;"Sí","",IF(YEAR(F1496)&lt;&gt;2026,"",INDEX({"Enero","Febrero","Marzo","Abril","Mayo","Junio","Julio","Agosto","Septiembre","Octubre","Noviembre","Diciembre"},MONTH(F1496))))</f>
        <v>Agosto</v>
      </c>
      <c r="N1496" s="18" t="str">
        <f t="shared" si="71"/>
        <v>Agosto|143</v>
      </c>
    </row>
    <row r="1497" spans="1:14" ht="14.5" x14ac:dyDescent="0.25">
      <c r="A1497" s="19">
        <v>34</v>
      </c>
      <c r="B1497" s="18" t="s">
        <v>41</v>
      </c>
      <c r="C1497" s="18" t="s">
        <v>99</v>
      </c>
      <c r="D1497" s="18" t="s">
        <v>1621</v>
      </c>
      <c r="E1497" s="18" t="s">
        <v>2054</v>
      </c>
      <c r="F1497" s="101">
        <v>46240.182638888888</v>
      </c>
      <c r="G1497" s="101">
        <v>46241.723611111112</v>
      </c>
      <c r="H1497" s="18" t="s">
        <v>507</v>
      </c>
      <c r="I1497" s="18" t="s">
        <v>508</v>
      </c>
      <c r="J1497" s="18"/>
      <c r="K1497" s="21">
        <f t="shared" si="69"/>
        <v>36.983333333395422</v>
      </c>
      <c r="L1497" s="19">
        <f t="shared" si="70"/>
        <v>143</v>
      </c>
      <c r="M1497" s="18" t="str">
        <f>IF(I1497&lt;&gt;"Sí","",IF(YEAR(F1497)&lt;&gt;2026,"",INDEX({"Enero","Febrero","Marzo","Abril","Mayo","Junio","Julio","Agosto","Septiembre","Octubre","Noviembre","Diciembre"},MONTH(F1497))))</f>
        <v>Agosto</v>
      </c>
      <c r="N1497" s="18" t="str">
        <f t="shared" si="71"/>
        <v>Agosto|143</v>
      </c>
    </row>
    <row r="1498" spans="1:14" ht="14.5" x14ac:dyDescent="0.25">
      <c r="A1498" s="19">
        <v>34</v>
      </c>
      <c r="B1498" s="18" t="s">
        <v>41</v>
      </c>
      <c r="C1498" s="18" t="s">
        <v>99</v>
      </c>
      <c r="D1498" s="18" t="s">
        <v>1621</v>
      </c>
      <c r="E1498" s="18" t="s">
        <v>2055</v>
      </c>
      <c r="F1498" s="101">
        <v>46240.184027777781</v>
      </c>
      <c r="G1498" s="101">
        <v>46241.78125</v>
      </c>
      <c r="H1498" s="18" t="s">
        <v>507</v>
      </c>
      <c r="I1498" s="18" t="s">
        <v>508</v>
      </c>
      <c r="J1498" s="18"/>
      <c r="K1498" s="21">
        <f t="shared" si="69"/>
        <v>38.333333333255723</v>
      </c>
      <c r="L1498" s="19">
        <f t="shared" si="70"/>
        <v>144</v>
      </c>
      <c r="M1498" s="18" t="str">
        <f>IF(I1498&lt;&gt;"Sí","",IF(YEAR(F1498)&lt;&gt;2026,"",INDEX({"Enero","Febrero","Marzo","Abril","Mayo","Junio","Julio","Agosto","Septiembre","Octubre","Noviembre","Diciembre"},MONTH(F1498))))</f>
        <v>Agosto</v>
      </c>
      <c r="N1498" s="18" t="str">
        <f t="shared" si="71"/>
        <v>Agosto|144</v>
      </c>
    </row>
    <row r="1499" spans="1:14" ht="14.5" x14ac:dyDescent="0.25">
      <c r="A1499" s="19">
        <v>34</v>
      </c>
      <c r="B1499" s="18" t="s">
        <v>41</v>
      </c>
      <c r="C1499" s="18" t="s">
        <v>99</v>
      </c>
      <c r="D1499" s="18" t="s">
        <v>1621</v>
      </c>
      <c r="E1499" s="18" t="s">
        <v>2056</v>
      </c>
      <c r="F1499" s="101">
        <v>46240.1875</v>
      </c>
      <c r="G1499" s="101">
        <v>46241.78125</v>
      </c>
      <c r="H1499" s="18" t="s">
        <v>507</v>
      </c>
      <c r="I1499" s="18" t="s">
        <v>508</v>
      </c>
      <c r="J1499" s="18"/>
      <c r="K1499" s="21">
        <f t="shared" si="69"/>
        <v>38.25</v>
      </c>
      <c r="L1499" s="19">
        <f t="shared" si="70"/>
        <v>144</v>
      </c>
      <c r="M1499" s="18" t="str">
        <f>IF(I1499&lt;&gt;"Sí","",IF(YEAR(F1499)&lt;&gt;2026,"",INDEX({"Enero","Febrero","Marzo","Abril","Mayo","Junio","Julio","Agosto","Septiembre","Octubre","Noviembre","Diciembre"},MONTH(F1499))))</f>
        <v>Agosto</v>
      </c>
      <c r="N1499" s="18" t="str">
        <f t="shared" si="71"/>
        <v>Agosto|144</v>
      </c>
    </row>
    <row r="1500" spans="1:14" ht="14.5" x14ac:dyDescent="0.25">
      <c r="A1500" s="19">
        <v>34</v>
      </c>
      <c r="B1500" s="18" t="s">
        <v>41</v>
      </c>
      <c r="C1500" s="18" t="s">
        <v>99</v>
      </c>
      <c r="D1500" s="18" t="s">
        <v>1621</v>
      </c>
      <c r="E1500" s="18" t="s">
        <v>2057</v>
      </c>
      <c r="F1500" s="101">
        <v>46240.190972222219</v>
      </c>
      <c r="G1500" s="101">
        <v>46241.78125</v>
      </c>
      <c r="H1500" s="18" t="s">
        <v>507</v>
      </c>
      <c r="I1500" s="18" t="s">
        <v>508</v>
      </c>
      <c r="J1500" s="18"/>
      <c r="K1500" s="21">
        <f t="shared" si="69"/>
        <v>38.166666666744277</v>
      </c>
      <c r="L1500" s="19">
        <f t="shared" si="70"/>
        <v>145</v>
      </c>
      <c r="M1500" s="18" t="str">
        <f>IF(I1500&lt;&gt;"Sí","",IF(YEAR(F1500)&lt;&gt;2026,"",INDEX({"Enero","Febrero","Marzo","Abril","Mayo","Junio","Julio","Agosto","Septiembre","Octubre","Noviembre","Diciembre"},MONTH(F1500))))</f>
        <v>Agosto</v>
      </c>
      <c r="N1500" s="18" t="str">
        <f t="shared" si="71"/>
        <v>Agosto|145</v>
      </c>
    </row>
    <row r="1501" spans="1:14" ht="14.5" x14ac:dyDescent="0.25">
      <c r="A1501" s="19">
        <v>34</v>
      </c>
      <c r="B1501" s="18" t="s">
        <v>41</v>
      </c>
      <c r="C1501" s="18" t="s">
        <v>99</v>
      </c>
      <c r="D1501" s="18" t="s">
        <v>1621</v>
      </c>
      <c r="E1501" s="18" t="s">
        <v>2058</v>
      </c>
      <c r="F1501" s="101">
        <v>46240.194444444445</v>
      </c>
      <c r="G1501" s="101">
        <v>46241.78125</v>
      </c>
      <c r="H1501" s="18" t="s">
        <v>507</v>
      </c>
      <c r="I1501" s="18" t="s">
        <v>508</v>
      </c>
      <c r="J1501" s="18"/>
      <c r="K1501" s="21">
        <f t="shared" si="69"/>
        <v>38.083333333313931</v>
      </c>
      <c r="L1501" s="19">
        <f t="shared" si="70"/>
        <v>146</v>
      </c>
      <c r="M1501" s="18" t="str">
        <f>IF(I1501&lt;&gt;"Sí","",IF(YEAR(F1501)&lt;&gt;2026,"",INDEX({"Enero","Febrero","Marzo","Abril","Mayo","Junio","Julio","Agosto","Septiembre","Octubre","Noviembre","Diciembre"},MONTH(F1501))))</f>
        <v>Agosto</v>
      </c>
      <c r="N1501" s="18" t="str">
        <f t="shared" si="71"/>
        <v>Agosto|146</v>
      </c>
    </row>
    <row r="1502" spans="1:14" ht="14.5" x14ac:dyDescent="0.25">
      <c r="A1502" s="19">
        <v>34</v>
      </c>
      <c r="B1502" s="18" t="s">
        <v>41</v>
      </c>
      <c r="C1502" s="18" t="s">
        <v>99</v>
      </c>
      <c r="D1502" s="18" t="s">
        <v>1621</v>
      </c>
      <c r="E1502" s="18" t="s">
        <v>2059</v>
      </c>
      <c r="F1502" s="101">
        <v>46240.195833333331</v>
      </c>
      <c r="G1502" s="101">
        <v>46241.78125</v>
      </c>
      <c r="H1502" s="18" t="s">
        <v>507</v>
      </c>
      <c r="I1502" s="18" t="s">
        <v>508</v>
      </c>
      <c r="J1502" s="18"/>
      <c r="K1502" s="21">
        <f t="shared" si="69"/>
        <v>38.050000000046566</v>
      </c>
      <c r="L1502" s="19">
        <f t="shared" si="70"/>
        <v>147</v>
      </c>
      <c r="M1502" s="18" t="str">
        <f>IF(I1502&lt;&gt;"Sí","",IF(YEAR(F1502)&lt;&gt;2026,"",INDEX({"Enero","Febrero","Marzo","Abril","Mayo","Junio","Julio","Agosto","Septiembre","Octubre","Noviembre","Diciembre"},MONTH(F1502))))</f>
        <v>Agosto</v>
      </c>
      <c r="N1502" s="18" t="str">
        <f t="shared" si="71"/>
        <v>Agosto|147</v>
      </c>
    </row>
    <row r="1503" spans="1:14" ht="14.5" x14ac:dyDescent="0.25">
      <c r="A1503" s="19">
        <v>34</v>
      </c>
      <c r="B1503" s="18" t="s">
        <v>41</v>
      </c>
      <c r="C1503" s="18" t="s">
        <v>99</v>
      </c>
      <c r="D1503" s="18" t="s">
        <v>1621</v>
      </c>
      <c r="E1503" s="18" t="s">
        <v>2060</v>
      </c>
      <c r="F1503" s="101">
        <v>46240.197916666664</v>
      </c>
      <c r="G1503" s="101">
        <v>46242.416666666664</v>
      </c>
      <c r="H1503" s="18" t="s">
        <v>507</v>
      </c>
      <c r="I1503" s="18" t="s">
        <v>508</v>
      </c>
      <c r="J1503" s="18"/>
      <c r="K1503" s="21">
        <f t="shared" si="69"/>
        <v>53.25</v>
      </c>
      <c r="L1503" s="19">
        <f t="shared" si="70"/>
        <v>148</v>
      </c>
      <c r="M1503" s="18" t="str">
        <f>IF(I1503&lt;&gt;"Sí","",IF(YEAR(F1503)&lt;&gt;2026,"",INDEX({"Enero","Febrero","Marzo","Abril","Mayo","Junio","Julio","Agosto","Septiembre","Octubre","Noviembre","Diciembre"},MONTH(F1503))))</f>
        <v>Agosto</v>
      </c>
      <c r="N1503" s="18" t="str">
        <f t="shared" si="71"/>
        <v>Agosto|148</v>
      </c>
    </row>
    <row r="1504" spans="1:14" ht="14.5" x14ac:dyDescent="0.25">
      <c r="A1504" s="19">
        <v>34</v>
      </c>
      <c r="B1504" s="18" t="s">
        <v>41</v>
      </c>
      <c r="C1504" s="18" t="s">
        <v>99</v>
      </c>
      <c r="D1504" s="18" t="s">
        <v>1621</v>
      </c>
      <c r="E1504" s="18" t="s">
        <v>2061</v>
      </c>
      <c r="F1504" s="101">
        <v>46240.199305555558</v>
      </c>
      <c r="G1504" s="101">
        <v>46241.871527777781</v>
      </c>
      <c r="H1504" s="18" t="s">
        <v>507</v>
      </c>
      <c r="I1504" s="18" t="s">
        <v>508</v>
      </c>
      <c r="J1504" s="18"/>
      <c r="K1504" s="21">
        <f t="shared" si="69"/>
        <v>40.133333333360497</v>
      </c>
      <c r="L1504" s="19">
        <f t="shared" si="70"/>
        <v>149</v>
      </c>
      <c r="M1504" s="18" t="str">
        <f>IF(I1504&lt;&gt;"Sí","",IF(YEAR(F1504)&lt;&gt;2026,"",INDEX({"Enero","Febrero","Marzo","Abril","Mayo","Junio","Julio","Agosto","Septiembre","Octubre","Noviembre","Diciembre"},MONTH(F1504))))</f>
        <v>Agosto</v>
      </c>
      <c r="N1504" s="18" t="str">
        <f t="shared" si="71"/>
        <v>Agosto|149</v>
      </c>
    </row>
    <row r="1505" spans="1:14" ht="14.5" x14ac:dyDescent="0.25">
      <c r="A1505" s="19">
        <v>34</v>
      </c>
      <c r="B1505" s="18" t="s">
        <v>41</v>
      </c>
      <c r="C1505" s="18" t="s">
        <v>99</v>
      </c>
      <c r="D1505" s="18" t="s">
        <v>1621</v>
      </c>
      <c r="E1505" s="18" t="s">
        <v>2062</v>
      </c>
      <c r="F1505" s="101">
        <v>46240.200694444444</v>
      </c>
      <c r="G1505" s="101">
        <v>46241.849305555559</v>
      </c>
      <c r="H1505" s="18" t="s">
        <v>507</v>
      </c>
      <c r="I1505" s="18" t="s">
        <v>508</v>
      </c>
      <c r="J1505" s="18"/>
      <c r="K1505" s="21">
        <f t="shared" si="69"/>
        <v>39.56666666676756</v>
      </c>
      <c r="L1505" s="19">
        <f t="shared" si="70"/>
        <v>150</v>
      </c>
      <c r="M1505" s="18" t="str">
        <f>IF(I1505&lt;&gt;"Sí","",IF(YEAR(F1505)&lt;&gt;2026,"",INDEX({"Enero","Febrero","Marzo","Abril","Mayo","Junio","Julio","Agosto","Septiembre","Octubre","Noviembre","Diciembre"},MONTH(F1505))))</f>
        <v>Agosto</v>
      </c>
      <c r="N1505" s="18" t="str">
        <f t="shared" si="71"/>
        <v>Agosto|150</v>
      </c>
    </row>
    <row r="1506" spans="1:14" ht="14.5" x14ac:dyDescent="0.25">
      <c r="A1506" s="19">
        <v>34</v>
      </c>
      <c r="B1506" s="18" t="s">
        <v>41</v>
      </c>
      <c r="C1506" s="18" t="s">
        <v>99</v>
      </c>
      <c r="D1506" s="18" t="s">
        <v>1621</v>
      </c>
      <c r="E1506" s="18" t="s">
        <v>2063</v>
      </c>
      <c r="F1506" s="101">
        <v>46240.203472222223</v>
      </c>
      <c r="G1506" s="101">
        <v>46241.847916666666</v>
      </c>
      <c r="H1506" s="18" t="s">
        <v>507</v>
      </c>
      <c r="I1506" s="18" t="s">
        <v>508</v>
      </c>
      <c r="J1506" s="18"/>
      <c r="K1506" s="21">
        <f t="shared" si="69"/>
        <v>39.46666666661622</v>
      </c>
      <c r="L1506" s="19">
        <f t="shared" si="70"/>
        <v>151</v>
      </c>
      <c r="M1506" s="18" t="str">
        <f>IF(I1506&lt;&gt;"Sí","",IF(YEAR(F1506)&lt;&gt;2026,"",INDEX({"Enero","Febrero","Marzo","Abril","Mayo","Junio","Julio","Agosto","Septiembre","Octubre","Noviembre","Diciembre"},MONTH(F1506))))</f>
        <v>Agosto</v>
      </c>
      <c r="N1506" s="18" t="str">
        <f t="shared" si="71"/>
        <v>Agosto|151</v>
      </c>
    </row>
    <row r="1507" spans="1:14" ht="14.5" x14ac:dyDescent="0.25">
      <c r="A1507" s="19">
        <v>34</v>
      </c>
      <c r="B1507" s="18" t="s">
        <v>41</v>
      </c>
      <c r="C1507" s="18" t="s">
        <v>99</v>
      </c>
      <c r="D1507" s="18" t="s">
        <v>1621</v>
      </c>
      <c r="E1507" s="18" t="s">
        <v>2064</v>
      </c>
      <c r="F1507" s="101">
        <v>46240.204861111109</v>
      </c>
      <c r="G1507" s="101">
        <v>46241.845833333333</v>
      </c>
      <c r="H1507" s="18" t="s">
        <v>507</v>
      </c>
      <c r="I1507" s="18" t="s">
        <v>508</v>
      </c>
      <c r="J1507" s="18"/>
      <c r="K1507" s="21">
        <f t="shared" si="69"/>
        <v>39.383333333360497</v>
      </c>
      <c r="L1507" s="19">
        <f t="shared" si="70"/>
        <v>152</v>
      </c>
      <c r="M1507" s="18" t="str">
        <f>IF(I1507&lt;&gt;"Sí","",IF(YEAR(F1507)&lt;&gt;2026,"",INDEX({"Enero","Febrero","Marzo","Abril","Mayo","Junio","Julio","Agosto","Septiembre","Octubre","Noviembre","Diciembre"},MONTH(F1507))))</f>
        <v>Agosto</v>
      </c>
      <c r="N1507" s="18" t="str">
        <f t="shared" si="71"/>
        <v>Agosto|152</v>
      </c>
    </row>
    <row r="1508" spans="1:14" ht="14.5" x14ac:dyDescent="0.25">
      <c r="A1508" s="19">
        <v>34</v>
      </c>
      <c r="B1508" s="18" t="s">
        <v>41</v>
      </c>
      <c r="C1508" s="18" t="s">
        <v>99</v>
      </c>
      <c r="D1508" s="18" t="s">
        <v>1621</v>
      </c>
      <c r="E1508" s="18" t="s">
        <v>2065</v>
      </c>
      <c r="F1508" s="101">
        <v>46240.207638888889</v>
      </c>
      <c r="G1508" s="101">
        <v>46241.843055555553</v>
      </c>
      <c r="H1508" s="18" t="s">
        <v>507</v>
      </c>
      <c r="I1508" s="18" t="s">
        <v>508</v>
      </c>
      <c r="J1508" s="18"/>
      <c r="K1508" s="21">
        <f t="shared" si="69"/>
        <v>39.249999999941792</v>
      </c>
      <c r="L1508" s="19">
        <f t="shared" si="70"/>
        <v>153</v>
      </c>
      <c r="M1508" s="18" t="str">
        <f>IF(I1508&lt;&gt;"Sí","",IF(YEAR(F1508)&lt;&gt;2026,"",INDEX({"Enero","Febrero","Marzo","Abril","Mayo","Junio","Julio","Agosto","Septiembre","Octubre","Noviembre","Diciembre"},MONTH(F1508))))</f>
        <v>Agosto</v>
      </c>
      <c r="N1508" s="18" t="str">
        <f t="shared" si="71"/>
        <v>Agosto|153</v>
      </c>
    </row>
    <row r="1509" spans="1:14" ht="14.5" x14ac:dyDescent="0.25">
      <c r="A1509" s="19">
        <v>34</v>
      </c>
      <c r="B1509" s="18" t="s">
        <v>41</v>
      </c>
      <c r="C1509" s="18" t="s">
        <v>99</v>
      </c>
      <c r="D1509" s="18" t="s">
        <v>1621</v>
      </c>
      <c r="E1509" s="18" t="s">
        <v>2066</v>
      </c>
      <c r="F1509" s="101">
        <v>46240.380555555559</v>
      </c>
      <c r="G1509" s="101">
        <v>46242.416666666664</v>
      </c>
      <c r="H1509" s="18" t="s">
        <v>507</v>
      </c>
      <c r="I1509" s="18" t="s">
        <v>508</v>
      </c>
      <c r="J1509" s="18"/>
      <c r="K1509" s="21">
        <f t="shared" si="69"/>
        <v>48.866666666523088</v>
      </c>
      <c r="L1509" s="19">
        <f t="shared" si="70"/>
        <v>154</v>
      </c>
      <c r="M1509" s="18" t="str">
        <f>IF(I1509&lt;&gt;"Sí","",IF(YEAR(F1509)&lt;&gt;2026,"",INDEX({"Enero","Febrero","Marzo","Abril","Mayo","Junio","Julio","Agosto","Septiembre","Octubre","Noviembre","Diciembre"},MONTH(F1509))))</f>
        <v>Agosto</v>
      </c>
      <c r="N1509" s="18" t="str">
        <f t="shared" si="71"/>
        <v>Agosto|154</v>
      </c>
    </row>
    <row r="1510" spans="1:14" ht="14.5" x14ac:dyDescent="0.25">
      <c r="A1510" s="19">
        <v>34</v>
      </c>
      <c r="B1510" s="18" t="s">
        <v>41</v>
      </c>
      <c r="C1510" s="18" t="s">
        <v>99</v>
      </c>
      <c r="D1510" s="18" t="s">
        <v>1621</v>
      </c>
      <c r="E1510" s="18" t="s">
        <v>2067</v>
      </c>
      <c r="F1510" s="101">
        <v>46240.381944444445</v>
      </c>
      <c r="G1510" s="101">
        <v>46242.388888888891</v>
      </c>
      <c r="H1510" s="18" t="s">
        <v>507</v>
      </c>
      <c r="I1510" s="18" t="s">
        <v>508</v>
      </c>
      <c r="J1510" s="18"/>
      <c r="K1510" s="21">
        <f t="shared" si="69"/>
        <v>48.166666666686069</v>
      </c>
      <c r="L1510" s="19">
        <f t="shared" si="70"/>
        <v>155</v>
      </c>
      <c r="M1510" s="18" t="str">
        <f>IF(I1510&lt;&gt;"Sí","",IF(YEAR(F1510)&lt;&gt;2026,"",INDEX({"Enero","Febrero","Marzo","Abril","Mayo","Junio","Julio","Agosto","Septiembre","Octubre","Noviembre","Diciembre"},MONTH(F1510))))</f>
        <v>Agosto</v>
      </c>
      <c r="N1510" s="18" t="str">
        <f t="shared" si="71"/>
        <v>Agosto|155</v>
      </c>
    </row>
    <row r="1511" spans="1:14" ht="14.5" x14ac:dyDescent="0.25">
      <c r="A1511" s="19">
        <v>34</v>
      </c>
      <c r="B1511" s="18" t="s">
        <v>41</v>
      </c>
      <c r="C1511" s="18" t="s">
        <v>99</v>
      </c>
      <c r="D1511" s="18" t="s">
        <v>1621</v>
      </c>
      <c r="E1511" s="18" t="s">
        <v>2068</v>
      </c>
      <c r="F1511" s="101">
        <v>46240.383333333331</v>
      </c>
      <c r="G1511" s="101">
        <v>46242.416666666664</v>
      </c>
      <c r="H1511" s="18" t="s">
        <v>507</v>
      </c>
      <c r="I1511" s="18" t="s">
        <v>508</v>
      </c>
      <c r="J1511" s="18"/>
      <c r="K1511" s="21">
        <f t="shared" si="69"/>
        <v>48.799999999988358</v>
      </c>
      <c r="L1511" s="19">
        <f t="shared" si="70"/>
        <v>156</v>
      </c>
      <c r="M1511" s="18" t="str">
        <f>IF(I1511&lt;&gt;"Sí","",IF(YEAR(F1511)&lt;&gt;2026,"",INDEX({"Enero","Febrero","Marzo","Abril","Mayo","Junio","Julio","Agosto","Septiembre","Octubre","Noviembre","Diciembre"},MONTH(F1511))))</f>
        <v>Agosto</v>
      </c>
      <c r="N1511" s="18" t="str">
        <f t="shared" si="71"/>
        <v>Agosto|156</v>
      </c>
    </row>
    <row r="1512" spans="1:14" ht="14.5" x14ac:dyDescent="0.25">
      <c r="A1512" s="19">
        <v>34</v>
      </c>
      <c r="B1512" s="18" t="s">
        <v>41</v>
      </c>
      <c r="C1512" s="18" t="s">
        <v>99</v>
      </c>
      <c r="D1512" s="18" t="s">
        <v>1621</v>
      </c>
      <c r="E1512" s="18" t="s">
        <v>2069</v>
      </c>
      <c r="F1512" s="101">
        <v>46240.384027777778</v>
      </c>
      <c r="G1512" s="101">
        <v>46242.395138888889</v>
      </c>
      <c r="H1512" s="18" t="s">
        <v>507</v>
      </c>
      <c r="I1512" s="18" t="s">
        <v>508</v>
      </c>
      <c r="J1512" s="18"/>
      <c r="K1512" s="21">
        <f t="shared" si="69"/>
        <v>48.266666666662786</v>
      </c>
      <c r="L1512" s="19">
        <f t="shared" si="70"/>
        <v>157</v>
      </c>
      <c r="M1512" s="18" t="str">
        <f>IF(I1512&lt;&gt;"Sí","",IF(YEAR(F1512)&lt;&gt;2026,"",INDEX({"Enero","Febrero","Marzo","Abril","Mayo","Junio","Julio","Agosto","Septiembre","Octubre","Noviembre","Diciembre"},MONTH(F1512))))</f>
        <v>Agosto</v>
      </c>
      <c r="N1512" s="18" t="str">
        <f t="shared" si="71"/>
        <v>Agosto|157</v>
      </c>
    </row>
    <row r="1513" spans="1:14" ht="14.5" x14ac:dyDescent="0.25">
      <c r="A1513" s="19">
        <v>34</v>
      </c>
      <c r="B1513" s="18" t="s">
        <v>41</v>
      </c>
      <c r="C1513" s="18" t="s">
        <v>99</v>
      </c>
      <c r="D1513" s="18" t="s">
        <v>1621</v>
      </c>
      <c r="E1513" s="18" t="s">
        <v>2070</v>
      </c>
      <c r="F1513" s="101">
        <v>46240.386111111111</v>
      </c>
      <c r="G1513" s="101">
        <v>46242.041666666664</v>
      </c>
      <c r="H1513" s="18" t="s">
        <v>507</v>
      </c>
      <c r="I1513" s="18" t="s">
        <v>508</v>
      </c>
      <c r="J1513" s="18"/>
      <c r="K1513" s="21">
        <f t="shared" si="69"/>
        <v>39.733333333279006</v>
      </c>
      <c r="L1513" s="19">
        <f t="shared" si="70"/>
        <v>158</v>
      </c>
      <c r="M1513" s="18" t="str">
        <f>IF(I1513&lt;&gt;"Sí","",IF(YEAR(F1513)&lt;&gt;2026,"",INDEX({"Enero","Febrero","Marzo","Abril","Mayo","Junio","Julio","Agosto","Septiembre","Octubre","Noviembre","Diciembre"},MONTH(F1513))))</f>
        <v>Agosto</v>
      </c>
      <c r="N1513" s="18" t="str">
        <f t="shared" si="71"/>
        <v>Agosto|158</v>
      </c>
    </row>
    <row r="1514" spans="1:14" ht="14.5" x14ac:dyDescent="0.25">
      <c r="A1514" s="19">
        <v>34</v>
      </c>
      <c r="B1514" s="18" t="s">
        <v>41</v>
      </c>
      <c r="C1514" s="18" t="s">
        <v>99</v>
      </c>
      <c r="D1514" s="18" t="s">
        <v>1621</v>
      </c>
      <c r="E1514" s="18" t="s">
        <v>2071</v>
      </c>
      <c r="F1514" s="101">
        <v>46240.387499999997</v>
      </c>
      <c r="G1514" s="101">
        <v>46242.402777777781</v>
      </c>
      <c r="H1514" s="18" t="s">
        <v>507</v>
      </c>
      <c r="I1514" s="18" t="s">
        <v>508</v>
      </c>
      <c r="J1514" s="18"/>
      <c r="K1514" s="21">
        <f t="shared" si="69"/>
        <v>48.366666666814126</v>
      </c>
      <c r="L1514" s="19">
        <f t="shared" si="70"/>
        <v>159</v>
      </c>
      <c r="M1514" s="18" t="str">
        <f>IF(I1514&lt;&gt;"Sí","",IF(YEAR(F1514)&lt;&gt;2026,"",INDEX({"Enero","Febrero","Marzo","Abril","Mayo","Junio","Julio","Agosto","Septiembre","Octubre","Noviembre","Diciembre"},MONTH(F1514))))</f>
        <v>Agosto</v>
      </c>
      <c r="N1514" s="18" t="str">
        <f t="shared" si="71"/>
        <v>Agosto|159</v>
      </c>
    </row>
    <row r="1515" spans="1:14" ht="14.5" x14ac:dyDescent="0.25">
      <c r="A1515" s="19">
        <v>34</v>
      </c>
      <c r="B1515" s="18" t="s">
        <v>41</v>
      </c>
      <c r="C1515" s="18" t="s">
        <v>99</v>
      </c>
      <c r="D1515" s="18" t="s">
        <v>1621</v>
      </c>
      <c r="E1515" s="18" t="s">
        <v>2072</v>
      </c>
      <c r="F1515" s="101">
        <v>46240.388888888891</v>
      </c>
      <c r="G1515" s="101">
        <v>46242.041666666664</v>
      </c>
      <c r="H1515" s="18" t="s">
        <v>507</v>
      </c>
      <c r="I1515" s="18" t="s">
        <v>508</v>
      </c>
      <c r="J1515" s="18"/>
      <c r="K1515" s="21">
        <f t="shared" si="69"/>
        <v>39.666666666569654</v>
      </c>
      <c r="L1515" s="19">
        <f t="shared" si="70"/>
        <v>160</v>
      </c>
      <c r="M1515" s="18" t="str">
        <f>IF(I1515&lt;&gt;"Sí","",IF(YEAR(F1515)&lt;&gt;2026,"",INDEX({"Enero","Febrero","Marzo","Abril","Mayo","Junio","Julio","Agosto","Septiembre","Octubre","Noviembre","Diciembre"},MONTH(F1515))))</f>
        <v>Agosto</v>
      </c>
      <c r="N1515" s="18" t="str">
        <f t="shared" si="71"/>
        <v>Agosto|160</v>
      </c>
    </row>
    <row r="1516" spans="1:14" ht="14.5" x14ac:dyDescent="0.25">
      <c r="A1516" s="19">
        <v>34</v>
      </c>
      <c r="B1516" s="18" t="s">
        <v>41</v>
      </c>
      <c r="C1516" s="18" t="s">
        <v>99</v>
      </c>
      <c r="D1516" s="18" t="s">
        <v>1621</v>
      </c>
      <c r="E1516" s="18" t="s">
        <v>2073</v>
      </c>
      <c r="F1516" s="101">
        <v>46240.39166666667</v>
      </c>
      <c r="G1516" s="101">
        <v>46242.041666666664</v>
      </c>
      <c r="H1516" s="18" t="s">
        <v>507</v>
      </c>
      <c r="I1516" s="18" t="s">
        <v>508</v>
      </c>
      <c r="J1516" s="18"/>
      <c r="K1516" s="21">
        <f t="shared" si="69"/>
        <v>39.599999999860302</v>
      </c>
      <c r="L1516" s="19">
        <f t="shared" si="70"/>
        <v>161</v>
      </c>
      <c r="M1516" s="18" t="str">
        <f>IF(I1516&lt;&gt;"Sí","",IF(YEAR(F1516)&lt;&gt;2026,"",INDEX({"Enero","Febrero","Marzo","Abril","Mayo","Junio","Julio","Agosto","Septiembre","Octubre","Noviembre","Diciembre"},MONTH(F1516))))</f>
        <v>Agosto</v>
      </c>
      <c r="N1516" s="18" t="str">
        <f t="shared" si="71"/>
        <v>Agosto|161</v>
      </c>
    </row>
    <row r="1517" spans="1:14" ht="14.5" x14ac:dyDescent="0.25">
      <c r="A1517" s="19">
        <v>34</v>
      </c>
      <c r="B1517" s="18" t="s">
        <v>41</v>
      </c>
      <c r="C1517" s="18" t="s">
        <v>99</v>
      </c>
      <c r="D1517" s="18" t="s">
        <v>1621</v>
      </c>
      <c r="E1517" s="18" t="s">
        <v>2074</v>
      </c>
      <c r="F1517" s="101">
        <v>46240.393055555556</v>
      </c>
      <c r="G1517" s="101">
        <v>46242.041666666664</v>
      </c>
      <c r="H1517" s="18" t="s">
        <v>507</v>
      </c>
      <c r="I1517" s="18" t="s">
        <v>508</v>
      </c>
      <c r="J1517" s="18"/>
      <c r="K1517" s="21">
        <f t="shared" si="69"/>
        <v>39.566666666592937</v>
      </c>
      <c r="L1517" s="19">
        <f t="shared" si="70"/>
        <v>162</v>
      </c>
      <c r="M1517" s="18" t="str">
        <f>IF(I1517&lt;&gt;"Sí","",IF(YEAR(F1517)&lt;&gt;2026,"",INDEX({"Enero","Febrero","Marzo","Abril","Mayo","Junio","Julio","Agosto","Septiembre","Octubre","Noviembre","Diciembre"},MONTH(F1517))))</f>
        <v>Agosto</v>
      </c>
      <c r="N1517" s="18" t="str">
        <f t="shared" si="71"/>
        <v>Agosto|162</v>
      </c>
    </row>
    <row r="1518" spans="1:14" ht="14.5" x14ac:dyDescent="0.25">
      <c r="A1518" s="19">
        <v>34</v>
      </c>
      <c r="B1518" s="18" t="s">
        <v>41</v>
      </c>
      <c r="C1518" s="18" t="s">
        <v>99</v>
      </c>
      <c r="D1518" s="18" t="s">
        <v>1621</v>
      </c>
      <c r="E1518" s="18" t="s">
        <v>2075</v>
      </c>
      <c r="F1518" s="101">
        <v>46240.394444444442</v>
      </c>
      <c r="G1518" s="101">
        <v>46242.041666666664</v>
      </c>
      <c r="H1518" s="18" t="s">
        <v>507</v>
      </c>
      <c r="I1518" s="18" t="s">
        <v>508</v>
      </c>
      <c r="J1518" s="18"/>
      <c r="K1518" s="21">
        <f t="shared" si="69"/>
        <v>39.533333333325572</v>
      </c>
      <c r="L1518" s="19">
        <f t="shared" si="70"/>
        <v>163</v>
      </c>
      <c r="M1518" s="18" t="str">
        <f>IF(I1518&lt;&gt;"Sí","",IF(YEAR(F1518)&lt;&gt;2026,"",INDEX({"Enero","Febrero","Marzo","Abril","Mayo","Junio","Julio","Agosto","Septiembre","Octubre","Noviembre","Diciembre"},MONTH(F1518))))</f>
        <v>Agosto</v>
      </c>
      <c r="N1518" s="18" t="str">
        <f t="shared" si="71"/>
        <v>Agosto|163</v>
      </c>
    </row>
    <row r="1519" spans="1:14" ht="14.5" x14ac:dyDescent="0.25">
      <c r="A1519" s="19">
        <v>34</v>
      </c>
      <c r="B1519" s="18" t="s">
        <v>41</v>
      </c>
      <c r="C1519" s="18" t="s">
        <v>99</v>
      </c>
      <c r="D1519" s="18" t="s">
        <v>1621</v>
      </c>
      <c r="E1519" s="18" t="s">
        <v>2076</v>
      </c>
      <c r="F1519" s="101">
        <v>46240.395138888889</v>
      </c>
      <c r="G1519" s="101">
        <v>46241.902083333334</v>
      </c>
      <c r="H1519" s="18" t="s">
        <v>507</v>
      </c>
      <c r="I1519" s="18" t="s">
        <v>508</v>
      </c>
      <c r="J1519" s="18"/>
      <c r="K1519" s="21">
        <f t="shared" si="69"/>
        <v>36.166666666686069</v>
      </c>
      <c r="L1519" s="19">
        <f t="shared" si="70"/>
        <v>164</v>
      </c>
      <c r="M1519" s="18" t="str">
        <f>IF(I1519&lt;&gt;"Sí","",IF(YEAR(F1519)&lt;&gt;2026,"",INDEX({"Enero","Febrero","Marzo","Abril","Mayo","Junio","Julio","Agosto","Septiembre","Octubre","Noviembre","Diciembre"},MONTH(F1519))))</f>
        <v>Agosto</v>
      </c>
      <c r="N1519" s="18" t="str">
        <f t="shared" si="71"/>
        <v>Agosto|164</v>
      </c>
    </row>
    <row r="1520" spans="1:14" ht="14.5" x14ac:dyDescent="0.25">
      <c r="A1520" s="19">
        <v>34</v>
      </c>
      <c r="B1520" s="18" t="s">
        <v>41</v>
      </c>
      <c r="C1520" s="18" t="s">
        <v>99</v>
      </c>
      <c r="D1520" s="18" t="s">
        <v>1621</v>
      </c>
      <c r="E1520" s="18" t="s">
        <v>2077</v>
      </c>
      <c r="F1520" s="101">
        <v>46240.397222222222</v>
      </c>
      <c r="G1520" s="101">
        <v>46241.902083333334</v>
      </c>
      <c r="H1520" s="18" t="s">
        <v>507</v>
      </c>
      <c r="I1520" s="18" t="s">
        <v>508</v>
      </c>
      <c r="J1520" s="18"/>
      <c r="K1520" s="21">
        <f t="shared" si="69"/>
        <v>36.116666666697711</v>
      </c>
      <c r="L1520" s="19">
        <f t="shared" si="70"/>
        <v>164</v>
      </c>
      <c r="M1520" s="18" t="str">
        <f>IF(I1520&lt;&gt;"Sí","",IF(YEAR(F1520)&lt;&gt;2026,"",INDEX({"Enero","Febrero","Marzo","Abril","Mayo","Junio","Julio","Agosto","Septiembre","Octubre","Noviembre","Diciembre"},MONTH(F1520))))</f>
        <v>Agosto</v>
      </c>
      <c r="N1520" s="18" t="str">
        <f t="shared" si="71"/>
        <v>Agosto|164</v>
      </c>
    </row>
    <row r="1521" spans="1:14" ht="14.5" x14ac:dyDescent="0.25">
      <c r="A1521" s="19">
        <v>34</v>
      </c>
      <c r="B1521" s="18" t="s">
        <v>41</v>
      </c>
      <c r="C1521" s="18" t="s">
        <v>99</v>
      </c>
      <c r="D1521" s="18" t="s">
        <v>1621</v>
      </c>
      <c r="E1521" s="18" t="s">
        <v>2078</v>
      </c>
      <c r="F1521" s="101">
        <v>46240.397916666669</v>
      </c>
      <c r="G1521" s="101">
        <v>46242.416666666664</v>
      </c>
      <c r="H1521" s="18" t="s">
        <v>507</v>
      </c>
      <c r="I1521" s="18" t="s">
        <v>508</v>
      </c>
      <c r="J1521" s="18"/>
      <c r="K1521" s="21">
        <f t="shared" si="69"/>
        <v>48.449999999895226</v>
      </c>
      <c r="L1521" s="19">
        <f t="shared" si="70"/>
        <v>165</v>
      </c>
      <c r="M1521" s="18" t="str">
        <f>IF(I1521&lt;&gt;"Sí","",IF(YEAR(F1521)&lt;&gt;2026,"",INDEX({"Enero","Febrero","Marzo","Abril","Mayo","Junio","Julio","Agosto","Septiembre","Octubre","Noviembre","Diciembre"},MONTH(F1521))))</f>
        <v>Agosto</v>
      </c>
      <c r="N1521" s="18" t="str">
        <f t="shared" si="71"/>
        <v>Agosto|165</v>
      </c>
    </row>
    <row r="1522" spans="1:14" ht="14.5" x14ac:dyDescent="0.25">
      <c r="A1522" s="19">
        <v>34</v>
      </c>
      <c r="B1522" s="18" t="s">
        <v>41</v>
      </c>
      <c r="C1522" s="18" t="s">
        <v>99</v>
      </c>
      <c r="D1522" s="18" t="s">
        <v>1621</v>
      </c>
      <c r="E1522" s="18" t="s">
        <v>2079</v>
      </c>
      <c r="F1522" s="101">
        <v>46240.399305555555</v>
      </c>
      <c r="G1522" s="101">
        <v>46241.902083333334</v>
      </c>
      <c r="H1522" s="18" t="s">
        <v>507</v>
      </c>
      <c r="I1522" s="18" t="s">
        <v>508</v>
      </c>
      <c r="J1522" s="18"/>
      <c r="K1522" s="21">
        <f t="shared" si="69"/>
        <v>36.066666666709352</v>
      </c>
      <c r="L1522" s="19">
        <f t="shared" si="70"/>
        <v>166</v>
      </c>
      <c r="M1522" s="18" t="str">
        <f>IF(I1522&lt;&gt;"Sí","",IF(YEAR(F1522)&lt;&gt;2026,"",INDEX({"Enero","Febrero","Marzo","Abril","Mayo","Junio","Julio","Agosto","Septiembre","Octubre","Noviembre","Diciembre"},MONTH(F1522))))</f>
        <v>Agosto</v>
      </c>
      <c r="N1522" s="18" t="str">
        <f t="shared" si="71"/>
        <v>Agosto|166</v>
      </c>
    </row>
    <row r="1523" spans="1:14" ht="14.5" x14ac:dyDescent="0.25">
      <c r="A1523" s="19">
        <v>34</v>
      </c>
      <c r="B1523" s="18" t="s">
        <v>41</v>
      </c>
      <c r="C1523" s="18" t="s">
        <v>99</v>
      </c>
      <c r="D1523" s="18" t="s">
        <v>1621</v>
      </c>
      <c r="E1523" s="18" t="s">
        <v>2080</v>
      </c>
      <c r="F1523" s="101">
        <v>46240.401388888888</v>
      </c>
      <c r="G1523" s="101">
        <v>46241.902083333334</v>
      </c>
      <c r="H1523" s="18" t="s">
        <v>507</v>
      </c>
      <c r="I1523" s="18" t="s">
        <v>508</v>
      </c>
      <c r="J1523" s="18"/>
      <c r="K1523" s="21">
        <f t="shared" si="69"/>
        <v>36.016666666720994</v>
      </c>
      <c r="L1523" s="19">
        <f t="shared" si="70"/>
        <v>167</v>
      </c>
      <c r="M1523" s="18" t="str">
        <f>IF(I1523&lt;&gt;"Sí","",IF(YEAR(F1523)&lt;&gt;2026,"",INDEX({"Enero","Febrero","Marzo","Abril","Mayo","Junio","Julio","Agosto","Septiembre","Octubre","Noviembre","Diciembre"},MONTH(F1523))))</f>
        <v>Agosto</v>
      </c>
      <c r="N1523" s="18" t="str">
        <f t="shared" si="71"/>
        <v>Agosto|167</v>
      </c>
    </row>
    <row r="1524" spans="1:14" ht="14.5" x14ac:dyDescent="0.25">
      <c r="A1524" s="19">
        <v>34</v>
      </c>
      <c r="B1524" s="18" t="s">
        <v>41</v>
      </c>
      <c r="C1524" s="18" t="s">
        <v>99</v>
      </c>
      <c r="D1524" s="18" t="s">
        <v>1621</v>
      </c>
      <c r="E1524" s="18" t="s">
        <v>2081</v>
      </c>
      <c r="F1524" s="101">
        <v>46240.402777777781</v>
      </c>
      <c r="G1524" s="101">
        <v>46241.902083333334</v>
      </c>
      <c r="H1524" s="18" t="s">
        <v>507</v>
      </c>
      <c r="I1524" s="18" t="s">
        <v>508</v>
      </c>
      <c r="J1524" s="18"/>
      <c r="K1524" s="21">
        <f t="shared" si="69"/>
        <v>35.983333333279006</v>
      </c>
      <c r="L1524" s="19">
        <f t="shared" si="70"/>
        <v>168</v>
      </c>
      <c r="M1524" s="18" t="str">
        <f>IF(I1524&lt;&gt;"Sí","",IF(YEAR(F1524)&lt;&gt;2026,"",INDEX({"Enero","Febrero","Marzo","Abril","Mayo","Junio","Julio","Agosto","Septiembre","Octubre","Noviembre","Diciembre"},MONTH(F1524))))</f>
        <v>Agosto</v>
      </c>
      <c r="N1524" s="18" t="str">
        <f t="shared" si="71"/>
        <v>Agosto|168</v>
      </c>
    </row>
    <row r="1525" spans="1:14" ht="14.5" x14ac:dyDescent="0.25">
      <c r="A1525" s="19">
        <v>34</v>
      </c>
      <c r="B1525" s="18" t="s">
        <v>41</v>
      </c>
      <c r="C1525" s="18" t="s">
        <v>99</v>
      </c>
      <c r="D1525" s="18" t="s">
        <v>1621</v>
      </c>
      <c r="E1525" s="18" t="s">
        <v>2082</v>
      </c>
      <c r="F1525" s="101">
        <v>46240.404166666667</v>
      </c>
      <c r="G1525" s="101">
        <v>46241.902083333334</v>
      </c>
      <c r="H1525" s="18" t="s">
        <v>507</v>
      </c>
      <c r="I1525" s="18" t="s">
        <v>508</v>
      </c>
      <c r="J1525" s="18"/>
      <c r="K1525" s="21">
        <f t="shared" si="69"/>
        <v>35.950000000011642</v>
      </c>
      <c r="L1525" s="19">
        <f t="shared" si="70"/>
        <v>169</v>
      </c>
      <c r="M1525" s="18" t="str">
        <f>IF(I1525&lt;&gt;"Sí","",IF(YEAR(F1525)&lt;&gt;2026,"",INDEX({"Enero","Febrero","Marzo","Abril","Mayo","Junio","Julio","Agosto","Septiembre","Octubre","Noviembre","Diciembre"},MONTH(F1525))))</f>
        <v>Agosto</v>
      </c>
      <c r="N1525" s="18" t="str">
        <f t="shared" si="71"/>
        <v>Agosto|169</v>
      </c>
    </row>
    <row r="1526" spans="1:14" ht="14.5" x14ac:dyDescent="0.25">
      <c r="A1526" s="19">
        <v>34</v>
      </c>
      <c r="B1526" s="18" t="s">
        <v>41</v>
      </c>
      <c r="C1526" s="18" t="s">
        <v>99</v>
      </c>
      <c r="D1526" s="18" t="s">
        <v>1621</v>
      </c>
      <c r="E1526" s="18" t="s">
        <v>2083</v>
      </c>
      <c r="F1526" s="101">
        <v>46240.405555555553</v>
      </c>
      <c r="G1526" s="101">
        <v>46241.902083333334</v>
      </c>
      <c r="H1526" s="18" t="s">
        <v>507</v>
      </c>
      <c r="I1526" s="18" t="s">
        <v>508</v>
      </c>
      <c r="J1526" s="18"/>
      <c r="K1526" s="21">
        <f t="shared" si="69"/>
        <v>35.916666666744277</v>
      </c>
      <c r="L1526" s="19">
        <f t="shared" si="70"/>
        <v>170</v>
      </c>
      <c r="M1526" s="18" t="str">
        <f>IF(I1526&lt;&gt;"Sí","",IF(YEAR(F1526)&lt;&gt;2026,"",INDEX({"Enero","Febrero","Marzo","Abril","Mayo","Junio","Julio","Agosto","Septiembre","Octubre","Noviembre","Diciembre"},MONTH(F1526))))</f>
        <v>Agosto</v>
      </c>
      <c r="N1526" s="18" t="str">
        <f t="shared" si="71"/>
        <v>Agosto|170</v>
      </c>
    </row>
    <row r="1527" spans="1:14" ht="14.5" x14ac:dyDescent="0.25">
      <c r="A1527" s="19">
        <v>34</v>
      </c>
      <c r="B1527" s="18" t="s">
        <v>41</v>
      </c>
      <c r="C1527" s="18" t="s">
        <v>99</v>
      </c>
      <c r="D1527" s="18" t="s">
        <v>1621</v>
      </c>
      <c r="E1527" s="18" t="s">
        <v>2084</v>
      </c>
      <c r="F1527" s="101">
        <v>46240.406944444447</v>
      </c>
      <c r="G1527" s="101">
        <v>46241.902083333334</v>
      </c>
      <c r="H1527" s="18" t="s">
        <v>507</v>
      </c>
      <c r="I1527" s="18" t="s">
        <v>508</v>
      </c>
      <c r="J1527" s="18"/>
      <c r="K1527" s="21">
        <f t="shared" si="69"/>
        <v>35.883333333302289</v>
      </c>
      <c r="L1527" s="19">
        <f t="shared" si="70"/>
        <v>171</v>
      </c>
      <c r="M1527" s="18" t="str">
        <f>IF(I1527&lt;&gt;"Sí","",IF(YEAR(F1527)&lt;&gt;2026,"",INDEX({"Enero","Febrero","Marzo","Abril","Mayo","Junio","Julio","Agosto","Septiembre","Octubre","Noviembre","Diciembre"},MONTH(F1527))))</f>
        <v>Agosto</v>
      </c>
      <c r="N1527" s="18" t="str">
        <f t="shared" si="71"/>
        <v>Agosto|171</v>
      </c>
    </row>
    <row r="1528" spans="1:14" ht="14.5" x14ac:dyDescent="0.25">
      <c r="A1528" s="19">
        <v>34</v>
      </c>
      <c r="B1528" s="18" t="s">
        <v>41</v>
      </c>
      <c r="C1528" s="18" t="s">
        <v>99</v>
      </c>
      <c r="D1528" s="18" t="s">
        <v>1621</v>
      </c>
      <c r="E1528" s="18" t="s">
        <v>2085</v>
      </c>
      <c r="F1528" s="101">
        <v>46240.408333333333</v>
      </c>
      <c r="G1528" s="101">
        <v>46241.902083333334</v>
      </c>
      <c r="H1528" s="18" t="s">
        <v>507</v>
      </c>
      <c r="I1528" s="18" t="s">
        <v>508</v>
      </c>
      <c r="J1528" s="18"/>
      <c r="K1528" s="21">
        <f t="shared" si="69"/>
        <v>35.850000000034925</v>
      </c>
      <c r="L1528" s="19">
        <f t="shared" si="70"/>
        <v>172</v>
      </c>
      <c r="M1528" s="18" t="str">
        <f>IF(I1528&lt;&gt;"Sí","",IF(YEAR(F1528)&lt;&gt;2026,"",INDEX({"Enero","Febrero","Marzo","Abril","Mayo","Junio","Julio","Agosto","Septiembre","Octubre","Noviembre","Diciembre"},MONTH(F1528))))</f>
        <v>Agosto</v>
      </c>
      <c r="N1528" s="18" t="str">
        <f t="shared" si="71"/>
        <v>Agosto|172</v>
      </c>
    </row>
    <row r="1529" spans="1:14" ht="14.5" x14ac:dyDescent="0.25">
      <c r="A1529" s="19">
        <v>34</v>
      </c>
      <c r="B1529" s="18" t="s">
        <v>41</v>
      </c>
      <c r="C1529" s="18" t="s">
        <v>99</v>
      </c>
      <c r="D1529" s="18" t="s">
        <v>1621</v>
      </c>
      <c r="E1529" s="18" t="s">
        <v>2086</v>
      </c>
      <c r="F1529" s="101">
        <v>46240.409722222219</v>
      </c>
      <c r="G1529" s="101">
        <v>46242.413194444445</v>
      </c>
      <c r="H1529" s="18" t="s">
        <v>507</v>
      </c>
      <c r="I1529" s="18" t="s">
        <v>508</v>
      </c>
      <c r="J1529" s="18"/>
      <c r="K1529" s="21">
        <f t="shared" si="69"/>
        <v>48.083333333430346</v>
      </c>
      <c r="L1529" s="19">
        <f t="shared" si="70"/>
        <v>173</v>
      </c>
      <c r="M1529" s="18" t="str">
        <f>IF(I1529&lt;&gt;"Sí","",IF(YEAR(F1529)&lt;&gt;2026,"",INDEX({"Enero","Febrero","Marzo","Abril","Mayo","Junio","Julio","Agosto","Septiembre","Octubre","Noviembre","Diciembre"},MONTH(F1529))))</f>
        <v>Agosto</v>
      </c>
      <c r="N1529" s="18" t="str">
        <f t="shared" si="71"/>
        <v>Agosto|173</v>
      </c>
    </row>
    <row r="1530" spans="1:14" ht="14.5" x14ac:dyDescent="0.25">
      <c r="A1530" s="19">
        <v>34</v>
      </c>
      <c r="B1530" s="18" t="s">
        <v>41</v>
      </c>
      <c r="C1530" s="18" t="s">
        <v>99</v>
      </c>
      <c r="D1530" s="18" t="s">
        <v>1621</v>
      </c>
      <c r="E1530" s="18" t="s">
        <v>2087</v>
      </c>
      <c r="F1530" s="101">
        <v>46240.410416666666</v>
      </c>
      <c r="G1530" s="101">
        <v>46242.416666666664</v>
      </c>
      <c r="H1530" s="18" t="s">
        <v>507</v>
      </c>
      <c r="I1530" s="18" t="s">
        <v>508</v>
      </c>
      <c r="J1530" s="18"/>
      <c r="K1530" s="21">
        <f t="shared" si="69"/>
        <v>48.149999999965075</v>
      </c>
      <c r="L1530" s="19">
        <f t="shared" si="70"/>
        <v>174</v>
      </c>
      <c r="M1530" s="18" t="str">
        <f>IF(I1530&lt;&gt;"Sí","",IF(YEAR(F1530)&lt;&gt;2026,"",INDEX({"Enero","Febrero","Marzo","Abril","Mayo","Junio","Julio","Agosto","Septiembre","Octubre","Noviembre","Diciembre"},MONTH(F1530))))</f>
        <v>Agosto</v>
      </c>
      <c r="N1530" s="18" t="str">
        <f t="shared" si="71"/>
        <v>Agosto|174</v>
      </c>
    </row>
    <row r="1531" spans="1:14" ht="14.5" x14ac:dyDescent="0.25">
      <c r="A1531" s="19">
        <v>34</v>
      </c>
      <c r="B1531" s="18" t="s">
        <v>41</v>
      </c>
      <c r="C1531" s="18" t="s">
        <v>99</v>
      </c>
      <c r="D1531" s="18" t="s">
        <v>1621</v>
      </c>
      <c r="E1531" s="18" t="s">
        <v>2088</v>
      </c>
      <c r="F1531" s="101">
        <v>46240.413194444445</v>
      </c>
      <c r="G1531" s="101">
        <v>46241.902083333334</v>
      </c>
      <c r="H1531" s="18" t="s">
        <v>507</v>
      </c>
      <c r="I1531" s="18" t="s">
        <v>508</v>
      </c>
      <c r="J1531" s="18"/>
      <c r="K1531" s="21">
        <f t="shared" si="69"/>
        <v>35.733333333337214</v>
      </c>
      <c r="L1531" s="19">
        <f t="shared" si="70"/>
        <v>175</v>
      </c>
      <c r="M1531" s="18" t="str">
        <f>IF(I1531&lt;&gt;"Sí","",IF(YEAR(F1531)&lt;&gt;2026,"",INDEX({"Enero","Febrero","Marzo","Abril","Mayo","Junio","Julio","Agosto","Septiembre","Octubre","Noviembre","Diciembre"},MONTH(F1531))))</f>
        <v>Agosto</v>
      </c>
      <c r="N1531" s="18" t="str">
        <f t="shared" si="71"/>
        <v>Agosto|175</v>
      </c>
    </row>
    <row r="1532" spans="1:14" ht="14.5" x14ac:dyDescent="0.25">
      <c r="A1532" s="19">
        <v>34</v>
      </c>
      <c r="B1532" s="18" t="s">
        <v>41</v>
      </c>
      <c r="C1532" s="18" t="s">
        <v>99</v>
      </c>
      <c r="D1532" s="18" t="s">
        <v>1621</v>
      </c>
      <c r="E1532" s="18" t="s">
        <v>2089</v>
      </c>
      <c r="F1532" s="101">
        <v>46240.416666666664</v>
      </c>
      <c r="G1532" s="101">
        <v>46241.902083333334</v>
      </c>
      <c r="H1532" s="18" t="s">
        <v>507</v>
      </c>
      <c r="I1532" s="18" t="s">
        <v>508</v>
      </c>
      <c r="J1532" s="18"/>
      <c r="K1532" s="21">
        <f t="shared" si="69"/>
        <v>35.650000000081491</v>
      </c>
      <c r="L1532" s="19">
        <f t="shared" si="70"/>
        <v>177</v>
      </c>
      <c r="M1532" s="18" t="str">
        <f>IF(I1532&lt;&gt;"Sí","",IF(YEAR(F1532)&lt;&gt;2026,"",INDEX({"Enero","Febrero","Marzo","Abril","Mayo","Junio","Julio","Agosto","Septiembre","Octubre","Noviembre","Diciembre"},MONTH(F1532))))</f>
        <v>Agosto</v>
      </c>
      <c r="N1532" s="18" t="str">
        <f t="shared" si="71"/>
        <v>Agosto|177</v>
      </c>
    </row>
    <row r="1533" spans="1:14" ht="14.5" x14ac:dyDescent="0.25">
      <c r="A1533" s="19">
        <v>34</v>
      </c>
      <c r="B1533" s="18" t="s">
        <v>41</v>
      </c>
      <c r="C1533" s="18" t="s">
        <v>99</v>
      </c>
      <c r="D1533" s="18" t="s">
        <v>1621</v>
      </c>
      <c r="E1533" s="18" t="s">
        <v>2090</v>
      </c>
      <c r="F1533" s="101">
        <v>46240.416666666664</v>
      </c>
      <c r="G1533" s="101">
        <v>46241.902083333334</v>
      </c>
      <c r="H1533" s="18" t="s">
        <v>507</v>
      </c>
      <c r="I1533" s="18" t="s">
        <v>508</v>
      </c>
      <c r="J1533" s="18"/>
      <c r="K1533" s="21">
        <f t="shared" si="69"/>
        <v>35.650000000081491</v>
      </c>
      <c r="L1533" s="19">
        <f t="shared" si="70"/>
        <v>177</v>
      </c>
      <c r="M1533" s="18" t="str">
        <f>IF(I1533&lt;&gt;"Sí","",IF(YEAR(F1533)&lt;&gt;2026,"",INDEX({"Enero","Febrero","Marzo","Abril","Mayo","Junio","Julio","Agosto","Septiembre","Octubre","Noviembre","Diciembre"},MONTH(F1533))))</f>
        <v>Agosto</v>
      </c>
      <c r="N1533" s="18" t="str">
        <f t="shared" si="71"/>
        <v>Agosto|177</v>
      </c>
    </row>
    <row r="1534" spans="1:14" ht="14.5" x14ac:dyDescent="0.25">
      <c r="A1534" s="19">
        <v>34</v>
      </c>
      <c r="B1534" s="18" t="s">
        <v>41</v>
      </c>
      <c r="C1534" s="18" t="s">
        <v>99</v>
      </c>
      <c r="D1534" s="18" t="s">
        <v>1621</v>
      </c>
      <c r="E1534" s="18" t="s">
        <v>2091</v>
      </c>
      <c r="F1534" s="101">
        <v>46240.418749999997</v>
      </c>
      <c r="G1534" s="101">
        <v>46241.901388888888</v>
      </c>
      <c r="H1534" s="18" t="s">
        <v>507</v>
      </c>
      <c r="I1534" s="18" t="s">
        <v>508</v>
      </c>
      <c r="J1534" s="18"/>
      <c r="K1534" s="21">
        <f t="shared" si="69"/>
        <v>35.583333333372138</v>
      </c>
      <c r="L1534" s="19">
        <f t="shared" si="70"/>
        <v>178</v>
      </c>
      <c r="M1534" s="18" t="str">
        <f>IF(I1534&lt;&gt;"Sí","",IF(YEAR(F1534)&lt;&gt;2026,"",INDEX({"Enero","Febrero","Marzo","Abril","Mayo","Junio","Julio","Agosto","Septiembre","Octubre","Noviembre","Diciembre"},MONTH(F1534))))</f>
        <v>Agosto</v>
      </c>
      <c r="N1534" s="18" t="str">
        <f t="shared" si="71"/>
        <v>Agosto|178</v>
      </c>
    </row>
    <row r="1535" spans="1:14" ht="14.5" x14ac:dyDescent="0.25">
      <c r="A1535" s="19">
        <v>34</v>
      </c>
      <c r="B1535" s="18" t="s">
        <v>41</v>
      </c>
      <c r="C1535" s="18" t="s">
        <v>99</v>
      </c>
      <c r="D1535" s="18" t="s">
        <v>1621</v>
      </c>
      <c r="E1535" s="18" t="s">
        <v>2092</v>
      </c>
      <c r="F1535" s="101">
        <v>46240.420138888891</v>
      </c>
      <c r="G1535" s="101">
        <v>46241.900694444441</v>
      </c>
      <c r="H1535" s="18" t="s">
        <v>507</v>
      </c>
      <c r="I1535" s="18" t="s">
        <v>508</v>
      </c>
      <c r="J1535" s="18"/>
      <c r="K1535" s="21">
        <f t="shared" si="69"/>
        <v>35.533333333209157</v>
      </c>
      <c r="L1535" s="19">
        <f t="shared" si="70"/>
        <v>179</v>
      </c>
      <c r="M1535" s="18" t="str">
        <f>IF(I1535&lt;&gt;"Sí","",IF(YEAR(F1535)&lt;&gt;2026,"",INDEX({"Enero","Febrero","Marzo","Abril","Mayo","Junio","Julio","Agosto","Septiembre","Octubre","Noviembre","Diciembre"},MONTH(F1535))))</f>
        <v>Agosto</v>
      </c>
      <c r="N1535" s="18" t="str">
        <f t="shared" si="71"/>
        <v>Agosto|179</v>
      </c>
    </row>
    <row r="1536" spans="1:14" ht="14.5" x14ac:dyDescent="0.25">
      <c r="A1536" s="19">
        <v>34</v>
      </c>
      <c r="B1536" s="18" t="s">
        <v>41</v>
      </c>
      <c r="C1536" s="18" t="s">
        <v>99</v>
      </c>
      <c r="D1536" s="18" t="s">
        <v>1621</v>
      </c>
      <c r="E1536" s="18" t="s">
        <v>2093</v>
      </c>
      <c r="F1536" s="101">
        <v>46240.421527777777</v>
      </c>
      <c r="G1536" s="101">
        <v>46241.900694444441</v>
      </c>
      <c r="H1536" s="18" t="s">
        <v>507</v>
      </c>
      <c r="I1536" s="18" t="s">
        <v>508</v>
      </c>
      <c r="J1536" s="18"/>
      <c r="K1536" s="21">
        <f t="shared" si="69"/>
        <v>35.499999999941792</v>
      </c>
      <c r="L1536" s="19">
        <f t="shared" si="70"/>
        <v>180</v>
      </c>
      <c r="M1536" s="18" t="str">
        <f>IF(I1536&lt;&gt;"Sí","",IF(YEAR(F1536)&lt;&gt;2026,"",INDEX({"Enero","Febrero","Marzo","Abril","Mayo","Junio","Julio","Agosto","Septiembre","Octubre","Noviembre","Diciembre"},MONTH(F1536))))</f>
        <v>Agosto</v>
      </c>
      <c r="N1536" s="18" t="str">
        <f t="shared" si="71"/>
        <v>Agosto|180</v>
      </c>
    </row>
    <row r="1537" spans="1:14" ht="14.5" x14ac:dyDescent="0.25">
      <c r="A1537" s="19">
        <v>34</v>
      </c>
      <c r="B1537" s="18" t="s">
        <v>41</v>
      </c>
      <c r="C1537" s="18" t="s">
        <v>99</v>
      </c>
      <c r="D1537" s="18" t="s">
        <v>1621</v>
      </c>
      <c r="E1537" s="18" t="s">
        <v>2094</v>
      </c>
      <c r="F1537" s="101">
        <v>46240.423611111109</v>
      </c>
      <c r="G1537" s="101">
        <v>46241.900694444441</v>
      </c>
      <c r="H1537" s="18" t="s">
        <v>507</v>
      </c>
      <c r="I1537" s="18" t="s">
        <v>508</v>
      </c>
      <c r="J1537" s="18"/>
      <c r="K1537" s="21">
        <f t="shared" si="69"/>
        <v>35.449999999953434</v>
      </c>
      <c r="L1537" s="19">
        <f t="shared" si="70"/>
        <v>181</v>
      </c>
      <c r="M1537" s="18" t="str">
        <f>IF(I1537&lt;&gt;"Sí","",IF(YEAR(F1537)&lt;&gt;2026,"",INDEX({"Enero","Febrero","Marzo","Abril","Mayo","Junio","Julio","Agosto","Septiembre","Octubre","Noviembre","Diciembre"},MONTH(F1537))))</f>
        <v>Agosto</v>
      </c>
      <c r="N1537" s="18" t="str">
        <f t="shared" si="71"/>
        <v>Agosto|181</v>
      </c>
    </row>
    <row r="1538" spans="1:14" ht="14.5" x14ac:dyDescent="0.25">
      <c r="A1538" s="19">
        <v>34</v>
      </c>
      <c r="B1538" s="18" t="s">
        <v>41</v>
      </c>
      <c r="C1538" s="18" t="s">
        <v>99</v>
      </c>
      <c r="D1538" s="18" t="s">
        <v>1621</v>
      </c>
      <c r="E1538" s="18" t="s">
        <v>2095</v>
      </c>
      <c r="F1538" s="101">
        <v>46240.425000000003</v>
      </c>
      <c r="G1538" s="101">
        <v>46241.900694444441</v>
      </c>
      <c r="H1538" s="18" t="s">
        <v>507</v>
      </c>
      <c r="I1538" s="18" t="s">
        <v>508</v>
      </c>
      <c r="J1538" s="18"/>
      <c r="K1538" s="21">
        <f t="shared" si="69"/>
        <v>35.416666666511446</v>
      </c>
      <c r="L1538" s="19">
        <f t="shared" si="70"/>
        <v>182</v>
      </c>
      <c r="M1538" s="18" t="str">
        <f>IF(I1538&lt;&gt;"Sí","",IF(YEAR(F1538)&lt;&gt;2026,"",INDEX({"Enero","Febrero","Marzo","Abril","Mayo","Junio","Julio","Agosto","Septiembre","Octubre","Noviembre","Diciembre"},MONTH(F1538))))</f>
        <v>Agosto</v>
      </c>
      <c r="N1538" s="18" t="str">
        <f t="shared" si="71"/>
        <v>Agosto|182</v>
      </c>
    </row>
    <row r="1539" spans="1:14" ht="14.5" x14ac:dyDescent="0.25">
      <c r="A1539" s="19">
        <v>34</v>
      </c>
      <c r="B1539" s="18" t="s">
        <v>41</v>
      </c>
      <c r="C1539" s="18" t="s">
        <v>99</v>
      </c>
      <c r="D1539" s="18" t="s">
        <v>1621</v>
      </c>
      <c r="E1539" s="18" t="s">
        <v>2096</v>
      </c>
      <c r="F1539" s="101">
        <v>46240.427777777775</v>
      </c>
      <c r="G1539" s="101">
        <v>46241.9</v>
      </c>
      <c r="H1539" s="18" t="s">
        <v>507</v>
      </c>
      <c r="I1539" s="18" t="s">
        <v>508</v>
      </c>
      <c r="J1539" s="18"/>
      <c r="K1539" s="21">
        <f t="shared" si="69"/>
        <v>35.333333333430346</v>
      </c>
      <c r="L1539" s="19">
        <f t="shared" si="70"/>
        <v>183</v>
      </c>
      <c r="M1539" s="18" t="str">
        <f>IF(I1539&lt;&gt;"Sí","",IF(YEAR(F1539)&lt;&gt;2026,"",INDEX({"Enero","Febrero","Marzo","Abril","Mayo","Junio","Julio","Agosto","Septiembre","Octubre","Noviembre","Diciembre"},MONTH(F1539))))</f>
        <v>Agosto</v>
      </c>
      <c r="N1539" s="18" t="str">
        <f t="shared" si="71"/>
        <v>Agosto|183</v>
      </c>
    </row>
    <row r="1540" spans="1:14" ht="14.5" x14ac:dyDescent="0.25">
      <c r="A1540" s="19">
        <v>34</v>
      </c>
      <c r="B1540" s="18" t="s">
        <v>41</v>
      </c>
      <c r="C1540" s="18" t="s">
        <v>92</v>
      </c>
      <c r="D1540" s="18" t="s">
        <v>1981</v>
      </c>
      <c r="E1540" s="18" t="s">
        <v>2097</v>
      </c>
      <c r="F1540" s="101">
        <v>46240.429166666669</v>
      </c>
      <c r="G1540" s="101">
        <v>46251.196527777778</v>
      </c>
      <c r="H1540" s="18" t="s">
        <v>507</v>
      </c>
      <c r="I1540" s="18" t="s">
        <v>508</v>
      </c>
      <c r="J1540" s="18"/>
      <c r="K1540" s="21">
        <f t="shared" si="69"/>
        <v>258.41666666662786</v>
      </c>
      <c r="L1540" s="19">
        <f t="shared" si="70"/>
        <v>184</v>
      </c>
      <c r="M1540" s="18" t="str">
        <f>IF(I1540&lt;&gt;"Sí","",IF(YEAR(F1540)&lt;&gt;2026,"",INDEX({"Enero","Febrero","Marzo","Abril","Mayo","Junio","Julio","Agosto","Septiembre","Octubre","Noviembre","Diciembre"},MONTH(F1540))))</f>
        <v>Agosto</v>
      </c>
      <c r="N1540" s="18" t="str">
        <f t="shared" si="71"/>
        <v>Agosto|184</v>
      </c>
    </row>
    <row r="1541" spans="1:14" ht="14.5" x14ac:dyDescent="0.25">
      <c r="A1541" s="19">
        <v>34</v>
      </c>
      <c r="B1541" s="18" t="s">
        <v>41</v>
      </c>
      <c r="C1541" s="18" t="s">
        <v>99</v>
      </c>
      <c r="D1541" s="18" t="s">
        <v>1621</v>
      </c>
      <c r="E1541" s="18" t="s">
        <v>2098</v>
      </c>
      <c r="F1541" s="101">
        <v>46240.430555555555</v>
      </c>
      <c r="G1541" s="101">
        <v>46241.898611111108</v>
      </c>
      <c r="H1541" s="18" t="s">
        <v>507</v>
      </c>
      <c r="I1541" s="18" t="s">
        <v>508</v>
      </c>
      <c r="J1541" s="18"/>
      <c r="K1541" s="21">
        <f t="shared" si="69"/>
        <v>35.233333333279006</v>
      </c>
      <c r="L1541" s="19">
        <f t="shared" si="70"/>
        <v>185</v>
      </c>
      <c r="M1541" s="18" t="str">
        <f>IF(I1541&lt;&gt;"Sí","",IF(YEAR(F1541)&lt;&gt;2026,"",INDEX({"Enero","Febrero","Marzo","Abril","Mayo","Junio","Julio","Agosto","Septiembre","Octubre","Noviembre","Diciembre"},MONTH(F1541))))</f>
        <v>Agosto</v>
      </c>
      <c r="N1541" s="18" t="str">
        <f t="shared" si="71"/>
        <v>Agosto|185</v>
      </c>
    </row>
    <row r="1542" spans="1:14" ht="14.5" x14ac:dyDescent="0.25">
      <c r="A1542" s="19">
        <v>34</v>
      </c>
      <c r="B1542" s="18" t="s">
        <v>41</v>
      </c>
      <c r="C1542" s="18" t="s">
        <v>99</v>
      </c>
      <c r="D1542" s="18" t="s">
        <v>1621</v>
      </c>
      <c r="E1542" s="18" t="s">
        <v>2099</v>
      </c>
      <c r="F1542" s="101">
        <v>46240.434027777781</v>
      </c>
      <c r="G1542" s="101">
        <v>46241.900694444441</v>
      </c>
      <c r="H1542" s="18" t="s">
        <v>507</v>
      </c>
      <c r="I1542" s="18" t="s">
        <v>508</v>
      </c>
      <c r="J1542" s="18"/>
      <c r="K1542" s="21">
        <f t="shared" si="69"/>
        <v>35.199999999837019</v>
      </c>
      <c r="L1542" s="19">
        <f t="shared" si="70"/>
        <v>186</v>
      </c>
      <c r="M1542" s="18" t="str">
        <f>IF(I1542&lt;&gt;"Sí","",IF(YEAR(F1542)&lt;&gt;2026,"",INDEX({"Enero","Febrero","Marzo","Abril","Mayo","Junio","Julio","Agosto","Septiembre","Octubre","Noviembre","Diciembre"},MONTH(F1542))))</f>
        <v>Agosto</v>
      </c>
      <c r="N1542" s="18" t="str">
        <f t="shared" si="71"/>
        <v>Agosto|186</v>
      </c>
    </row>
    <row r="1543" spans="1:14" ht="14.5" x14ac:dyDescent="0.25">
      <c r="A1543" s="19">
        <v>34</v>
      </c>
      <c r="B1543" s="18" t="s">
        <v>41</v>
      </c>
      <c r="C1543" s="18" t="s">
        <v>99</v>
      </c>
      <c r="D1543" s="18" t="s">
        <v>1621</v>
      </c>
      <c r="E1543" s="18" t="s">
        <v>2100</v>
      </c>
      <c r="F1543" s="101">
        <v>46240.4375</v>
      </c>
      <c r="G1543" s="101">
        <v>46241.895833333336</v>
      </c>
      <c r="H1543" s="18" t="s">
        <v>507</v>
      </c>
      <c r="I1543" s="18" t="s">
        <v>508</v>
      </c>
      <c r="J1543" s="18"/>
      <c r="K1543" s="21">
        <f t="shared" ref="K1543:K1606" si="72">IF(I1543="Sí",(G1543-F1543)*24,"")</f>
        <v>35.000000000058208</v>
      </c>
      <c r="L1543" s="19">
        <f t="shared" ref="L1543:L1606" si="73">IF(I1543="Sí",COUNTIFS($F$7:$F$4000,"&lt;="&amp;F1543,$G$7:$G$4000,"&gt;"&amp;F1543,$I$7:$I$4000,"Sí"),"")</f>
        <v>187</v>
      </c>
      <c r="M1543" s="18" t="str">
        <f>IF(I1543&lt;&gt;"Sí","",IF(YEAR(F1543)&lt;&gt;2026,"",INDEX({"Enero","Febrero","Marzo","Abril","Mayo","Junio","Julio","Agosto","Septiembre","Octubre","Noviembre","Diciembre"},MONTH(F1543))))</f>
        <v>Agosto</v>
      </c>
      <c r="N1543" s="18" t="str">
        <f t="shared" ref="N1543:N1606" si="74">IF(M1543="","",M1543&amp;"|"&amp;L1543)</f>
        <v>Agosto|187</v>
      </c>
    </row>
    <row r="1544" spans="1:14" ht="14.5" x14ac:dyDescent="0.25">
      <c r="A1544" s="19">
        <v>34</v>
      </c>
      <c r="B1544" s="18" t="s">
        <v>41</v>
      </c>
      <c r="C1544" s="18" t="s">
        <v>99</v>
      </c>
      <c r="D1544" s="18" t="s">
        <v>1621</v>
      </c>
      <c r="E1544" s="18" t="s">
        <v>2101</v>
      </c>
      <c r="F1544" s="101">
        <v>46240.440972222219</v>
      </c>
      <c r="G1544" s="101">
        <v>46241.892361111109</v>
      </c>
      <c r="H1544" s="18" t="s">
        <v>507</v>
      </c>
      <c r="I1544" s="18" t="s">
        <v>508</v>
      </c>
      <c r="J1544" s="18"/>
      <c r="K1544" s="21">
        <f t="shared" si="72"/>
        <v>34.833333333372138</v>
      </c>
      <c r="L1544" s="19">
        <f t="shared" si="73"/>
        <v>188</v>
      </c>
      <c r="M1544" s="18" t="str">
        <f>IF(I1544&lt;&gt;"Sí","",IF(YEAR(F1544)&lt;&gt;2026,"",INDEX({"Enero","Febrero","Marzo","Abril","Mayo","Junio","Julio","Agosto","Septiembre","Octubre","Noviembre","Diciembre"},MONTH(F1544))))</f>
        <v>Agosto</v>
      </c>
      <c r="N1544" s="18" t="str">
        <f t="shared" si="74"/>
        <v>Agosto|188</v>
      </c>
    </row>
    <row r="1545" spans="1:14" ht="14.5" x14ac:dyDescent="0.25">
      <c r="A1545" s="19">
        <v>34</v>
      </c>
      <c r="B1545" s="18" t="s">
        <v>41</v>
      </c>
      <c r="C1545" s="18" t="s">
        <v>188</v>
      </c>
      <c r="D1545" s="18" t="s">
        <v>1734</v>
      </c>
      <c r="E1545" s="18" t="s">
        <v>2102</v>
      </c>
      <c r="F1545" s="101">
        <v>46240.441666666666</v>
      </c>
      <c r="G1545" s="101">
        <v>46245.752083333333</v>
      </c>
      <c r="H1545" s="18" t="s">
        <v>507</v>
      </c>
      <c r="I1545" s="18" t="s">
        <v>508</v>
      </c>
      <c r="J1545" s="18"/>
      <c r="K1545" s="21">
        <f t="shared" si="72"/>
        <v>127.45000000001164</v>
      </c>
      <c r="L1545" s="19">
        <f t="shared" si="73"/>
        <v>189</v>
      </c>
      <c r="M1545" s="18" t="str">
        <f>IF(I1545&lt;&gt;"Sí","",IF(YEAR(F1545)&lt;&gt;2026,"",INDEX({"Enero","Febrero","Marzo","Abril","Mayo","Junio","Julio","Agosto","Septiembre","Octubre","Noviembre","Diciembre"},MONTH(F1545))))</f>
        <v>Agosto</v>
      </c>
      <c r="N1545" s="18" t="str">
        <f t="shared" si="74"/>
        <v>Agosto|189</v>
      </c>
    </row>
    <row r="1546" spans="1:14" ht="14.5" x14ac:dyDescent="0.25">
      <c r="A1546" s="19">
        <v>34</v>
      </c>
      <c r="B1546" s="18" t="s">
        <v>41</v>
      </c>
      <c r="C1546" s="18" t="s">
        <v>99</v>
      </c>
      <c r="D1546" s="18" t="s">
        <v>1621</v>
      </c>
      <c r="E1546" s="18" t="s">
        <v>2103</v>
      </c>
      <c r="F1546" s="101">
        <v>46240.443055555559</v>
      </c>
      <c r="G1546" s="101">
        <v>46241.888888888891</v>
      </c>
      <c r="H1546" s="18" t="s">
        <v>507</v>
      </c>
      <c r="I1546" s="18" t="s">
        <v>508</v>
      </c>
      <c r="J1546" s="18"/>
      <c r="K1546" s="21">
        <f t="shared" si="72"/>
        <v>34.699999999953434</v>
      </c>
      <c r="L1546" s="19">
        <f t="shared" si="73"/>
        <v>190</v>
      </c>
      <c r="M1546" s="18" t="str">
        <f>IF(I1546&lt;&gt;"Sí","",IF(YEAR(F1546)&lt;&gt;2026,"",INDEX({"Enero","Febrero","Marzo","Abril","Mayo","Junio","Julio","Agosto","Septiembre","Octubre","Noviembre","Diciembre"},MONTH(F1546))))</f>
        <v>Agosto</v>
      </c>
      <c r="N1546" s="18" t="str">
        <f t="shared" si="74"/>
        <v>Agosto|190</v>
      </c>
    </row>
    <row r="1547" spans="1:14" ht="14.5" x14ac:dyDescent="0.25">
      <c r="A1547" s="19">
        <v>34</v>
      </c>
      <c r="B1547" s="18" t="s">
        <v>41</v>
      </c>
      <c r="C1547" s="18" t="s">
        <v>99</v>
      </c>
      <c r="D1547" s="18" t="s">
        <v>1621</v>
      </c>
      <c r="E1547" s="18" t="s">
        <v>2104</v>
      </c>
      <c r="F1547" s="101">
        <v>46240.447916666664</v>
      </c>
      <c r="G1547" s="101">
        <v>46241.881944444445</v>
      </c>
      <c r="H1547" s="18" t="s">
        <v>507</v>
      </c>
      <c r="I1547" s="18" t="s">
        <v>508</v>
      </c>
      <c r="J1547" s="18"/>
      <c r="K1547" s="21">
        <f t="shared" si="72"/>
        <v>34.416666666744277</v>
      </c>
      <c r="L1547" s="19">
        <f t="shared" si="73"/>
        <v>191</v>
      </c>
      <c r="M1547" s="18" t="str">
        <f>IF(I1547&lt;&gt;"Sí","",IF(YEAR(F1547)&lt;&gt;2026,"",INDEX({"Enero","Febrero","Marzo","Abril","Mayo","Junio","Julio","Agosto","Septiembre","Octubre","Noviembre","Diciembre"},MONTH(F1547))))</f>
        <v>Agosto</v>
      </c>
      <c r="N1547" s="18" t="str">
        <f t="shared" si="74"/>
        <v>Agosto|191</v>
      </c>
    </row>
    <row r="1548" spans="1:14" ht="14.5" x14ac:dyDescent="0.25">
      <c r="A1548" s="19">
        <v>34</v>
      </c>
      <c r="B1548" s="18" t="s">
        <v>41</v>
      </c>
      <c r="C1548" s="18" t="s">
        <v>99</v>
      </c>
      <c r="D1548" s="18" t="s">
        <v>1621</v>
      </c>
      <c r="E1548" s="18" t="s">
        <v>2105</v>
      </c>
      <c r="F1548" s="101">
        <v>46240.451388888891</v>
      </c>
      <c r="G1548" s="101">
        <v>46241.868055555555</v>
      </c>
      <c r="H1548" s="18" t="s">
        <v>507</v>
      </c>
      <c r="I1548" s="18" t="s">
        <v>508</v>
      </c>
      <c r="J1548" s="18"/>
      <c r="K1548" s="21">
        <f t="shared" si="72"/>
        <v>33.999999999941792</v>
      </c>
      <c r="L1548" s="19">
        <f t="shared" si="73"/>
        <v>192</v>
      </c>
      <c r="M1548" s="18" t="str">
        <f>IF(I1548&lt;&gt;"Sí","",IF(YEAR(F1548)&lt;&gt;2026,"",INDEX({"Enero","Febrero","Marzo","Abril","Mayo","Junio","Julio","Agosto","Septiembre","Octubre","Noviembre","Diciembre"},MONTH(F1548))))</f>
        <v>Agosto</v>
      </c>
      <c r="N1548" s="18" t="str">
        <f t="shared" si="74"/>
        <v>Agosto|192</v>
      </c>
    </row>
    <row r="1549" spans="1:14" ht="14.5" x14ac:dyDescent="0.25">
      <c r="A1549" s="19">
        <v>34</v>
      </c>
      <c r="B1549" s="18" t="s">
        <v>41</v>
      </c>
      <c r="C1549" s="18" t="s">
        <v>99</v>
      </c>
      <c r="D1549" s="18" t="s">
        <v>1621</v>
      </c>
      <c r="E1549" s="18" t="s">
        <v>2106</v>
      </c>
      <c r="F1549" s="101">
        <v>46240.452777777777</v>
      </c>
      <c r="G1549" s="101">
        <v>46241.864583333336</v>
      </c>
      <c r="H1549" s="18" t="s">
        <v>507</v>
      </c>
      <c r="I1549" s="18" t="s">
        <v>508</v>
      </c>
      <c r="J1549" s="18"/>
      <c r="K1549" s="21">
        <f t="shared" si="72"/>
        <v>33.883333333418705</v>
      </c>
      <c r="L1549" s="19">
        <f t="shared" si="73"/>
        <v>193</v>
      </c>
      <c r="M1549" s="18" t="str">
        <f>IF(I1549&lt;&gt;"Sí","",IF(YEAR(F1549)&lt;&gt;2026,"",INDEX({"Enero","Febrero","Marzo","Abril","Mayo","Junio","Julio","Agosto","Septiembre","Octubre","Noviembre","Diciembre"},MONTH(F1549))))</f>
        <v>Agosto</v>
      </c>
      <c r="N1549" s="18" t="str">
        <f t="shared" si="74"/>
        <v>Agosto|193</v>
      </c>
    </row>
    <row r="1550" spans="1:14" ht="14.5" x14ac:dyDescent="0.25">
      <c r="A1550" s="19">
        <v>34</v>
      </c>
      <c r="B1550" s="18" t="s">
        <v>41</v>
      </c>
      <c r="C1550" s="18" t="s">
        <v>99</v>
      </c>
      <c r="D1550" s="18" t="s">
        <v>1621</v>
      </c>
      <c r="E1550" s="18" t="s">
        <v>2107</v>
      </c>
      <c r="F1550" s="101">
        <v>46240.453472222223</v>
      </c>
      <c r="G1550" s="101">
        <v>46242.041666666664</v>
      </c>
      <c r="H1550" s="18" t="s">
        <v>507</v>
      </c>
      <c r="I1550" s="18" t="s">
        <v>508</v>
      </c>
      <c r="J1550" s="18"/>
      <c r="K1550" s="21">
        <f t="shared" si="72"/>
        <v>38.116666666581295</v>
      </c>
      <c r="L1550" s="19">
        <f t="shared" si="73"/>
        <v>194</v>
      </c>
      <c r="M1550" s="18" t="str">
        <f>IF(I1550&lt;&gt;"Sí","",IF(YEAR(F1550)&lt;&gt;2026,"",INDEX({"Enero","Febrero","Marzo","Abril","Mayo","Junio","Julio","Agosto","Septiembre","Octubre","Noviembre","Diciembre"},MONTH(F1550))))</f>
        <v>Agosto</v>
      </c>
      <c r="N1550" s="18" t="str">
        <f t="shared" si="74"/>
        <v>Agosto|194</v>
      </c>
    </row>
    <row r="1551" spans="1:14" ht="14.5" x14ac:dyDescent="0.25">
      <c r="A1551" s="19">
        <v>34</v>
      </c>
      <c r="B1551" s="18" t="s">
        <v>41</v>
      </c>
      <c r="C1551" s="18" t="s">
        <v>99</v>
      </c>
      <c r="D1551" s="18" t="s">
        <v>1621</v>
      </c>
      <c r="E1551" s="18" t="s">
        <v>2108</v>
      </c>
      <c r="F1551" s="101">
        <v>46240.456944444442</v>
      </c>
      <c r="G1551" s="101">
        <v>46242.041666666664</v>
      </c>
      <c r="H1551" s="18" t="s">
        <v>507</v>
      </c>
      <c r="I1551" s="18" t="s">
        <v>508</v>
      </c>
      <c r="J1551" s="18"/>
      <c r="K1551" s="21">
        <f t="shared" si="72"/>
        <v>38.033333333325572</v>
      </c>
      <c r="L1551" s="19">
        <f t="shared" si="73"/>
        <v>195</v>
      </c>
      <c r="M1551" s="18" t="str">
        <f>IF(I1551&lt;&gt;"Sí","",IF(YEAR(F1551)&lt;&gt;2026,"",INDEX({"Enero","Febrero","Marzo","Abril","Mayo","Junio","Julio","Agosto","Septiembre","Octubre","Noviembre","Diciembre"},MONTH(F1551))))</f>
        <v>Agosto</v>
      </c>
      <c r="N1551" s="18" t="str">
        <f t="shared" si="74"/>
        <v>Agosto|195</v>
      </c>
    </row>
    <row r="1552" spans="1:14" ht="14.5" x14ac:dyDescent="0.25">
      <c r="A1552" s="19">
        <v>34</v>
      </c>
      <c r="B1552" s="18" t="s">
        <v>41</v>
      </c>
      <c r="C1552" s="18" t="s">
        <v>99</v>
      </c>
      <c r="D1552" s="18" t="s">
        <v>1621</v>
      </c>
      <c r="E1552" s="18" t="s">
        <v>2109</v>
      </c>
      <c r="F1552" s="101">
        <v>46240.458333333336</v>
      </c>
      <c r="G1552" s="101">
        <v>46242.041666666664</v>
      </c>
      <c r="H1552" s="18" t="s">
        <v>507</v>
      </c>
      <c r="I1552" s="18" t="s">
        <v>508</v>
      </c>
      <c r="J1552" s="18"/>
      <c r="K1552" s="21">
        <f t="shared" si="72"/>
        <v>37.999999999883585</v>
      </c>
      <c r="L1552" s="19">
        <f t="shared" si="73"/>
        <v>197</v>
      </c>
      <c r="M1552" s="18" t="str">
        <f>IF(I1552&lt;&gt;"Sí","",IF(YEAR(F1552)&lt;&gt;2026,"",INDEX({"Enero","Febrero","Marzo","Abril","Mayo","Junio","Julio","Agosto","Septiembre","Octubre","Noviembre","Diciembre"},MONTH(F1552))))</f>
        <v>Agosto</v>
      </c>
      <c r="N1552" s="18" t="str">
        <f t="shared" si="74"/>
        <v>Agosto|197</v>
      </c>
    </row>
    <row r="1553" spans="1:14" ht="14.5" x14ac:dyDescent="0.25">
      <c r="A1553" s="19">
        <v>34</v>
      </c>
      <c r="B1553" s="18" t="s">
        <v>41</v>
      </c>
      <c r="C1553" s="18" t="s">
        <v>99</v>
      </c>
      <c r="D1553" s="18" t="s">
        <v>1621</v>
      </c>
      <c r="E1553" s="18" t="s">
        <v>2110</v>
      </c>
      <c r="F1553" s="101">
        <v>46240.458333333336</v>
      </c>
      <c r="G1553" s="101">
        <v>46242.027777777781</v>
      </c>
      <c r="H1553" s="18" t="s">
        <v>507</v>
      </c>
      <c r="I1553" s="18" t="s">
        <v>508</v>
      </c>
      <c r="J1553" s="18"/>
      <c r="K1553" s="21">
        <f t="shared" si="72"/>
        <v>37.666666666686069</v>
      </c>
      <c r="L1553" s="19">
        <f t="shared" si="73"/>
        <v>197</v>
      </c>
      <c r="M1553" s="18" t="str">
        <f>IF(I1553&lt;&gt;"Sí","",IF(YEAR(F1553)&lt;&gt;2026,"",INDEX({"Enero","Febrero","Marzo","Abril","Mayo","Junio","Julio","Agosto","Septiembre","Octubre","Noviembre","Diciembre"},MONTH(F1553))))</f>
        <v>Agosto</v>
      </c>
      <c r="N1553" s="18" t="str">
        <f t="shared" si="74"/>
        <v>Agosto|197</v>
      </c>
    </row>
    <row r="1554" spans="1:14" ht="14.5" x14ac:dyDescent="0.25">
      <c r="A1554" s="19">
        <v>34</v>
      </c>
      <c r="B1554" s="18" t="s">
        <v>41</v>
      </c>
      <c r="C1554" s="18" t="s">
        <v>99</v>
      </c>
      <c r="D1554" s="18" t="s">
        <v>1621</v>
      </c>
      <c r="E1554" s="18" t="s">
        <v>2111</v>
      </c>
      <c r="F1554" s="101">
        <v>46240.461805555555</v>
      </c>
      <c r="G1554" s="101">
        <v>46242.027777777781</v>
      </c>
      <c r="H1554" s="18" t="s">
        <v>507</v>
      </c>
      <c r="I1554" s="18" t="s">
        <v>508</v>
      </c>
      <c r="J1554" s="18"/>
      <c r="K1554" s="21">
        <f t="shared" si="72"/>
        <v>37.583333333430346</v>
      </c>
      <c r="L1554" s="19">
        <f t="shared" si="73"/>
        <v>198</v>
      </c>
      <c r="M1554" s="18" t="str">
        <f>IF(I1554&lt;&gt;"Sí","",IF(YEAR(F1554)&lt;&gt;2026,"",INDEX({"Enero","Febrero","Marzo","Abril","Mayo","Junio","Julio","Agosto","Septiembre","Octubre","Noviembre","Diciembre"},MONTH(F1554))))</f>
        <v>Agosto</v>
      </c>
      <c r="N1554" s="18" t="str">
        <f t="shared" si="74"/>
        <v>Agosto|198</v>
      </c>
    </row>
    <row r="1555" spans="1:14" ht="14.5" x14ac:dyDescent="0.25">
      <c r="A1555" s="19">
        <v>34</v>
      </c>
      <c r="B1555" s="18" t="s">
        <v>41</v>
      </c>
      <c r="C1555" s="18" t="s">
        <v>99</v>
      </c>
      <c r="D1555" s="18" t="s">
        <v>1621</v>
      </c>
      <c r="E1555" s="18" t="s">
        <v>2112</v>
      </c>
      <c r="F1555" s="101">
        <v>46240.464583333334</v>
      </c>
      <c r="G1555" s="101">
        <v>46242.416666666664</v>
      </c>
      <c r="H1555" s="18" t="s">
        <v>507</v>
      </c>
      <c r="I1555" s="18" t="s">
        <v>508</v>
      </c>
      <c r="J1555" s="18"/>
      <c r="K1555" s="21">
        <f t="shared" si="72"/>
        <v>46.849999999918509</v>
      </c>
      <c r="L1555" s="19">
        <f t="shared" si="73"/>
        <v>199</v>
      </c>
      <c r="M1555" s="18" t="str">
        <f>IF(I1555&lt;&gt;"Sí","",IF(YEAR(F1555)&lt;&gt;2026,"",INDEX({"Enero","Febrero","Marzo","Abril","Mayo","Junio","Julio","Agosto","Septiembre","Octubre","Noviembre","Diciembre"},MONTH(F1555))))</f>
        <v>Agosto</v>
      </c>
      <c r="N1555" s="18" t="str">
        <f t="shared" si="74"/>
        <v>Agosto|199</v>
      </c>
    </row>
    <row r="1556" spans="1:14" ht="14.5" x14ac:dyDescent="0.25">
      <c r="A1556" s="19">
        <v>34</v>
      </c>
      <c r="B1556" s="18" t="s">
        <v>41</v>
      </c>
      <c r="C1556" s="18" t="s">
        <v>99</v>
      </c>
      <c r="D1556" s="18" t="s">
        <v>1621</v>
      </c>
      <c r="E1556" s="18" t="s">
        <v>2113</v>
      </c>
      <c r="F1556" s="101">
        <v>46240.470138888886</v>
      </c>
      <c r="G1556" s="101">
        <v>46242.013888888891</v>
      </c>
      <c r="H1556" s="18" t="s">
        <v>507</v>
      </c>
      <c r="I1556" s="18" t="s">
        <v>508</v>
      </c>
      <c r="J1556" s="18"/>
      <c r="K1556" s="21">
        <f t="shared" si="72"/>
        <v>37.050000000104774</v>
      </c>
      <c r="L1556" s="19">
        <f t="shared" si="73"/>
        <v>200</v>
      </c>
      <c r="M1556" s="18" t="str">
        <f>IF(I1556&lt;&gt;"Sí","",IF(YEAR(F1556)&lt;&gt;2026,"",INDEX({"Enero","Febrero","Marzo","Abril","Mayo","Junio","Julio","Agosto","Septiembre","Octubre","Noviembre","Diciembre"},MONTH(F1556))))</f>
        <v>Agosto</v>
      </c>
      <c r="N1556" s="18" t="str">
        <f t="shared" si="74"/>
        <v>Agosto|200</v>
      </c>
    </row>
    <row r="1557" spans="1:14" ht="14.5" x14ac:dyDescent="0.25">
      <c r="A1557" s="19">
        <v>34</v>
      </c>
      <c r="B1557" s="18" t="s">
        <v>41</v>
      </c>
      <c r="C1557" s="18" t="s">
        <v>99</v>
      </c>
      <c r="D1557" s="18" t="s">
        <v>1621</v>
      </c>
      <c r="E1557" s="18" t="s">
        <v>2114</v>
      </c>
      <c r="F1557" s="101">
        <v>46240.472222222219</v>
      </c>
      <c r="G1557" s="101">
        <v>46242.027777777781</v>
      </c>
      <c r="H1557" s="18" t="s">
        <v>507</v>
      </c>
      <c r="I1557" s="18" t="s">
        <v>508</v>
      </c>
      <c r="J1557" s="18"/>
      <c r="K1557" s="21">
        <f t="shared" si="72"/>
        <v>37.333333333488554</v>
      </c>
      <c r="L1557" s="19">
        <f t="shared" si="73"/>
        <v>201</v>
      </c>
      <c r="M1557" s="18" t="str">
        <f>IF(I1557&lt;&gt;"Sí","",IF(YEAR(F1557)&lt;&gt;2026,"",INDEX({"Enero","Febrero","Marzo","Abril","Mayo","Junio","Julio","Agosto","Septiembre","Octubre","Noviembre","Diciembre"},MONTH(F1557))))</f>
        <v>Agosto</v>
      </c>
      <c r="N1557" s="18" t="str">
        <f t="shared" si="74"/>
        <v>Agosto|201</v>
      </c>
    </row>
    <row r="1558" spans="1:14" ht="14.5" x14ac:dyDescent="0.25">
      <c r="A1558" s="19">
        <v>34</v>
      </c>
      <c r="B1558" s="18" t="s">
        <v>41</v>
      </c>
      <c r="C1558" s="18" t="s">
        <v>99</v>
      </c>
      <c r="D1558" s="18" t="s">
        <v>1621</v>
      </c>
      <c r="E1558" s="18" t="s">
        <v>2115</v>
      </c>
      <c r="F1558" s="101">
        <v>46240.473611111112</v>
      </c>
      <c r="G1558" s="101">
        <v>46242.027777777781</v>
      </c>
      <c r="H1558" s="18" t="s">
        <v>507</v>
      </c>
      <c r="I1558" s="18" t="s">
        <v>508</v>
      </c>
      <c r="J1558" s="18"/>
      <c r="K1558" s="21">
        <f t="shared" si="72"/>
        <v>37.300000000046566</v>
      </c>
      <c r="L1558" s="19">
        <f t="shared" si="73"/>
        <v>202</v>
      </c>
      <c r="M1558" s="18" t="str">
        <f>IF(I1558&lt;&gt;"Sí","",IF(YEAR(F1558)&lt;&gt;2026,"",INDEX({"Enero","Febrero","Marzo","Abril","Mayo","Junio","Julio","Agosto","Septiembre","Octubre","Noviembre","Diciembre"},MONTH(F1558))))</f>
        <v>Agosto</v>
      </c>
      <c r="N1558" s="18" t="str">
        <f t="shared" si="74"/>
        <v>Agosto|202</v>
      </c>
    </row>
    <row r="1559" spans="1:14" ht="14.5" x14ac:dyDescent="0.25">
      <c r="A1559" s="19">
        <v>34</v>
      </c>
      <c r="B1559" s="18" t="s">
        <v>41</v>
      </c>
      <c r="C1559" s="18" t="s">
        <v>99</v>
      </c>
      <c r="D1559" s="18" t="s">
        <v>1621</v>
      </c>
      <c r="E1559" s="18" t="s">
        <v>2116</v>
      </c>
      <c r="F1559" s="101">
        <v>46240.474999999999</v>
      </c>
      <c r="G1559" s="101">
        <v>46242.027777777781</v>
      </c>
      <c r="H1559" s="18" t="s">
        <v>507</v>
      </c>
      <c r="I1559" s="18" t="s">
        <v>508</v>
      </c>
      <c r="J1559" s="18"/>
      <c r="K1559" s="21">
        <f t="shared" si="72"/>
        <v>37.266666666779201</v>
      </c>
      <c r="L1559" s="19">
        <f t="shared" si="73"/>
        <v>203</v>
      </c>
      <c r="M1559" s="18" t="str">
        <f>IF(I1559&lt;&gt;"Sí","",IF(YEAR(F1559)&lt;&gt;2026,"",INDEX({"Enero","Febrero","Marzo","Abril","Mayo","Junio","Julio","Agosto","Septiembre","Octubre","Noviembre","Diciembre"},MONTH(F1559))))</f>
        <v>Agosto</v>
      </c>
      <c r="N1559" s="18" t="str">
        <f t="shared" si="74"/>
        <v>Agosto|203</v>
      </c>
    </row>
    <row r="1560" spans="1:14" ht="14.5" x14ac:dyDescent="0.25">
      <c r="A1560" s="19">
        <v>34</v>
      </c>
      <c r="B1560" s="18" t="s">
        <v>41</v>
      </c>
      <c r="C1560" s="18" t="s">
        <v>99</v>
      </c>
      <c r="D1560" s="18" t="s">
        <v>1621</v>
      </c>
      <c r="E1560" s="18" t="s">
        <v>2117</v>
      </c>
      <c r="F1560" s="101">
        <v>46240.477777777778</v>
      </c>
      <c r="G1560" s="101">
        <v>46242.027777777781</v>
      </c>
      <c r="H1560" s="18" t="s">
        <v>507</v>
      </c>
      <c r="I1560" s="18" t="s">
        <v>508</v>
      </c>
      <c r="J1560" s="18"/>
      <c r="K1560" s="21">
        <f t="shared" si="72"/>
        <v>37.200000000069849</v>
      </c>
      <c r="L1560" s="19">
        <f t="shared" si="73"/>
        <v>204</v>
      </c>
      <c r="M1560" s="18" t="str">
        <f>IF(I1560&lt;&gt;"Sí","",IF(YEAR(F1560)&lt;&gt;2026,"",INDEX({"Enero","Febrero","Marzo","Abril","Mayo","Junio","Julio","Agosto","Septiembre","Octubre","Noviembre","Diciembre"},MONTH(F1560))))</f>
        <v>Agosto</v>
      </c>
      <c r="N1560" s="18" t="str">
        <f t="shared" si="74"/>
        <v>Agosto|204</v>
      </c>
    </row>
    <row r="1561" spans="1:14" ht="14.5" x14ac:dyDescent="0.25">
      <c r="A1561" s="19">
        <v>34</v>
      </c>
      <c r="B1561" s="18" t="s">
        <v>41</v>
      </c>
      <c r="C1561" s="18" t="s">
        <v>99</v>
      </c>
      <c r="D1561" s="18" t="s">
        <v>1621</v>
      </c>
      <c r="E1561" s="18" t="s">
        <v>2118</v>
      </c>
      <c r="F1561" s="101">
        <v>46240.479861111111</v>
      </c>
      <c r="G1561" s="101">
        <v>46242.013888888891</v>
      </c>
      <c r="H1561" s="18" t="s">
        <v>507</v>
      </c>
      <c r="I1561" s="18" t="s">
        <v>508</v>
      </c>
      <c r="J1561" s="18"/>
      <c r="K1561" s="21">
        <f t="shared" si="72"/>
        <v>36.816666666709352</v>
      </c>
      <c r="L1561" s="19">
        <f t="shared" si="73"/>
        <v>205</v>
      </c>
      <c r="M1561" s="18" t="str">
        <f>IF(I1561&lt;&gt;"Sí","",IF(YEAR(F1561)&lt;&gt;2026,"",INDEX({"Enero","Febrero","Marzo","Abril","Mayo","Junio","Julio","Agosto","Septiembre","Octubre","Noviembre","Diciembre"},MONTH(F1561))))</f>
        <v>Agosto</v>
      </c>
      <c r="N1561" s="18" t="str">
        <f t="shared" si="74"/>
        <v>Agosto|205</v>
      </c>
    </row>
    <row r="1562" spans="1:14" ht="14.5" x14ac:dyDescent="0.25">
      <c r="A1562" s="19">
        <v>34</v>
      </c>
      <c r="B1562" s="18" t="s">
        <v>41</v>
      </c>
      <c r="C1562" s="18" t="s">
        <v>99</v>
      </c>
      <c r="D1562" s="18" t="s">
        <v>1621</v>
      </c>
      <c r="E1562" s="18" t="s">
        <v>2119</v>
      </c>
      <c r="F1562" s="101">
        <v>46240.486111111109</v>
      </c>
      <c r="G1562" s="101">
        <v>46241.993055555555</v>
      </c>
      <c r="H1562" s="18" t="s">
        <v>507</v>
      </c>
      <c r="I1562" s="18" t="s">
        <v>508</v>
      </c>
      <c r="J1562" s="18"/>
      <c r="K1562" s="21">
        <f t="shared" si="72"/>
        <v>36.166666666686069</v>
      </c>
      <c r="L1562" s="19">
        <f t="shared" si="73"/>
        <v>206</v>
      </c>
      <c r="M1562" s="18" t="str">
        <f>IF(I1562&lt;&gt;"Sí","",IF(YEAR(F1562)&lt;&gt;2026,"",INDEX({"Enero","Febrero","Marzo","Abril","Mayo","Junio","Julio","Agosto","Septiembre","Octubre","Noviembre","Diciembre"},MONTH(F1562))))</f>
        <v>Agosto</v>
      </c>
      <c r="N1562" s="18" t="str">
        <f t="shared" si="74"/>
        <v>Agosto|206</v>
      </c>
    </row>
    <row r="1563" spans="1:14" ht="14.5" x14ac:dyDescent="0.25">
      <c r="A1563" s="19">
        <v>34</v>
      </c>
      <c r="B1563" s="18" t="s">
        <v>41</v>
      </c>
      <c r="C1563" s="18" t="s">
        <v>99</v>
      </c>
      <c r="D1563" s="18" t="s">
        <v>1621</v>
      </c>
      <c r="E1563" s="18" t="s">
        <v>2120</v>
      </c>
      <c r="F1563" s="101">
        <v>46240.488194444442</v>
      </c>
      <c r="G1563" s="101">
        <v>46241.993055555555</v>
      </c>
      <c r="H1563" s="18" t="s">
        <v>507</v>
      </c>
      <c r="I1563" s="18" t="s">
        <v>508</v>
      </c>
      <c r="J1563" s="18"/>
      <c r="K1563" s="21">
        <f t="shared" si="72"/>
        <v>36.116666666697711</v>
      </c>
      <c r="L1563" s="19">
        <f t="shared" si="73"/>
        <v>207</v>
      </c>
      <c r="M1563" s="18" t="str">
        <f>IF(I1563&lt;&gt;"Sí","",IF(YEAR(F1563)&lt;&gt;2026,"",INDEX({"Enero","Febrero","Marzo","Abril","Mayo","Junio","Julio","Agosto","Septiembre","Octubre","Noviembre","Diciembre"},MONTH(F1563))))</f>
        <v>Agosto</v>
      </c>
      <c r="N1563" s="18" t="str">
        <f t="shared" si="74"/>
        <v>Agosto|207</v>
      </c>
    </row>
    <row r="1564" spans="1:14" ht="14.5" x14ac:dyDescent="0.25">
      <c r="A1564" s="19">
        <v>34</v>
      </c>
      <c r="B1564" s="18" t="s">
        <v>41</v>
      </c>
      <c r="C1564" s="18" t="s">
        <v>99</v>
      </c>
      <c r="D1564" s="18" t="s">
        <v>1621</v>
      </c>
      <c r="E1564" s="18" t="s">
        <v>2121</v>
      </c>
      <c r="F1564" s="101">
        <v>46240.492361111108</v>
      </c>
      <c r="G1564" s="101">
        <v>46242.003472222219</v>
      </c>
      <c r="H1564" s="18" t="s">
        <v>507</v>
      </c>
      <c r="I1564" s="18" t="s">
        <v>508</v>
      </c>
      <c r="J1564" s="18"/>
      <c r="K1564" s="21">
        <f t="shared" si="72"/>
        <v>36.266666666662786</v>
      </c>
      <c r="L1564" s="19">
        <f t="shared" si="73"/>
        <v>208</v>
      </c>
      <c r="M1564" s="18" t="str">
        <f>IF(I1564&lt;&gt;"Sí","",IF(YEAR(F1564)&lt;&gt;2026,"",INDEX({"Enero","Febrero","Marzo","Abril","Mayo","Junio","Julio","Agosto","Septiembre","Octubre","Noviembre","Diciembre"},MONTH(F1564))))</f>
        <v>Agosto</v>
      </c>
      <c r="N1564" s="18" t="str">
        <f t="shared" si="74"/>
        <v>Agosto|208</v>
      </c>
    </row>
    <row r="1565" spans="1:14" ht="14.5" x14ac:dyDescent="0.25">
      <c r="A1565" s="19">
        <v>34</v>
      </c>
      <c r="B1565" s="18" t="s">
        <v>41</v>
      </c>
      <c r="C1565" s="18" t="s">
        <v>99</v>
      </c>
      <c r="D1565" s="18" t="s">
        <v>1621</v>
      </c>
      <c r="E1565" s="18" t="s">
        <v>2122</v>
      </c>
      <c r="F1565" s="101">
        <v>46240.493055555555</v>
      </c>
      <c r="G1565" s="101">
        <v>46242.003472222219</v>
      </c>
      <c r="H1565" s="18" t="s">
        <v>507</v>
      </c>
      <c r="I1565" s="18" t="s">
        <v>508</v>
      </c>
      <c r="J1565" s="18"/>
      <c r="K1565" s="21">
        <f t="shared" si="72"/>
        <v>36.249999999941792</v>
      </c>
      <c r="L1565" s="19">
        <f t="shared" si="73"/>
        <v>209</v>
      </c>
      <c r="M1565" s="18" t="str">
        <f>IF(I1565&lt;&gt;"Sí","",IF(YEAR(F1565)&lt;&gt;2026,"",INDEX({"Enero","Febrero","Marzo","Abril","Mayo","Junio","Julio","Agosto","Septiembre","Octubre","Noviembre","Diciembre"},MONTH(F1565))))</f>
        <v>Agosto</v>
      </c>
      <c r="N1565" s="18" t="str">
        <f t="shared" si="74"/>
        <v>Agosto|209</v>
      </c>
    </row>
    <row r="1566" spans="1:14" ht="14.5" x14ac:dyDescent="0.25">
      <c r="A1566" s="19">
        <v>34</v>
      </c>
      <c r="B1566" s="18" t="s">
        <v>41</v>
      </c>
      <c r="C1566" s="18" t="s">
        <v>99</v>
      </c>
      <c r="D1566" s="18" t="s">
        <v>1621</v>
      </c>
      <c r="E1566" s="18" t="s">
        <v>2123</v>
      </c>
      <c r="F1566" s="101">
        <v>46240.494444444441</v>
      </c>
      <c r="G1566" s="101">
        <v>46242.003472222219</v>
      </c>
      <c r="H1566" s="18" t="s">
        <v>507</v>
      </c>
      <c r="I1566" s="18" t="s">
        <v>508</v>
      </c>
      <c r="J1566" s="18"/>
      <c r="K1566" s="21">
        <f t="shared" si="72"/>
        <v>36.216666666674428</v>
      </c>
      <c r="L1566" s="19">
        <f t="shared" si="73"/>
        <v>210</v>
      </c>
      <c r="M1566" s="18" t="str">
        <f>IF(I1566&lt;&gt;"Sí","",IF(YEAR(F1566)&lt;&gt;2026,"",INDEX({"Enero","Febrero","Marzo","Abril","Mayo","Junio","Julio","Agosto","Septiembre","Octubre","Noviembre","Diciembre"},MONTH(F1566))))</f>
        <v>Agosto</v>
      </c>
      <c r="N1566" s="18" t="str">
        <f t="shared" si="74"/>
        <v>Agosto|210</v>
      </c>
    </row>
    <row r="1567" spans="1:14" ht="14.5" x14ac:dyDescent="0.25">
      <c r="A1567" s="19">
        <v>34</v>
      </c>
      <c r="B1567" s="18" t="s">
        <v>41</v>
      </c>
      <c r="C1567" s="18" t="s">
        <v>99</v>
      </c>
      <c r="D1567" s="18" t="s">
        <v>1621</v>
      </c>
      <c r="E1567" s="18" t="s">
        <v>2124</v>
      </c>
      <c r="F1567" s="101">
        <v>46240.49722222222</v>
      </c>
      <c r="G1567" s="101">
        <v>46241.993055555555</v>
      </c>
      <c r="H1567" s="18" t="s">
        <v>507</v>
      </c>
      <c r="I1567" s="18" t="s">
        <v>508</v>
      </c>
      <c r="J1567" s="18"/>
      <c r="K1567" s="21">
        <f t="shared" si="72"/>
        <v>35.900000000023283</v>
      </c>
      <c r="L1567" s="19">
        <f t="shared" si="73"/>
        <v>211</v>
      </c>
      <c r="M1567" s="18" t="str">
        <f>IF(I1567&lt;&gt;"Sí","",IF(YEAR(F1567)&lt;&gt;2026,"",INDEX({"Enero","Febrero","Marzo","Abril","Mayo","Junio","Julio","Agosto","Septiembre","Octubre","Noviembre","Diciembre"},MONTH(F1567))))</f>
        <v>Agosto</v>
      </c>
      <c r="N1567" s="18" t="str">
        <f t="shared" si="74"/>
        <v>Agosto|211</v>
      </c>
    </row>
    <row r="1568" spans="1:14" ht="14.5" x14ac:dyDescent="0.25">
      <c r="A1568" s="19">
        <v>34</v>
      </c>
      <c r="B1568" s="18" t="s">
        <v>41</v>
      </c>
      <c r="C1568" s="18" t="s">
        <v>99</v>
      </c>
      <c r="D1568" s="18" t="s">
        <v>1621</v>
      </c>
      <c r="E1568" s="18" t="s">
        <v>2125</v>
      </c>
      <c r="F1568" s="101">
        <v>46240.497916666667</v>
      </c>
      <c r="G1568" s="101">
        <v>46241.993055555555</v>
      </c>
      <c r="H1568" s="18" t="s">
        <v>507</v>
      </c>
      <c r="I1568" s="18" t="s">
        <v>508</v>
      </c>
      <c r="J1568" s="18"/>
      <c r="K1568" s="21">
        <f t="shared" si="72"/>
        <v>35.883333333302289</v>
      </c>
      <c r="L1568" s="19">
        <f t="shared" si="73"/>
        <v>212</v>
      </c>
      <c r="M1568" s="18" t="str">
        <f>IF(I1568&lt;&gt;"Sí","",IF(YEAR(F1568)&lt;&gt;2026,"",INDEX({"Enero","Febrero","Marzo","Abril","Mayo","Junio","Julio","Agosto","Septiembre","Octubre","Noviembre","Diciembre"},MONTH(F1568))))</f>
        <v>Agosto</v>
      </c>
      <c r="N1568" s="18" t="str">
        <f t="shared" si="74"/>
        <v>Agosto|212</v>
      </c>
    </row>
    <row r="1569" spans="1:14" ht="14.5" x14ac:dyDescent="0.25">
      <c r="A1569" s="19">
        <v>34</v>
      </c>
      <c r="B1569" s="18" t="s">
        <v>41</v>
      </c>
      <c r="C1569" s="18" t="s">
        <v>99</v>
      </c>
      <c r="D1569" s="18" t="s">
        <v>1621</v>
      </c>
      <c r="E1569" s="18" t="s">
        <v>2126</v>
      </c>
      <c r="F1569" s="101">
        <v>46240.503472222219</v>
      </c>
      <c r="G1569" s="101">
        <v>46242.003472222219</v>
      </c>
      <c r="H1569" s="18" t="s">
        <v>507</v>
      </c>
      <c r="I1569" s="18" t="s">
        <v>508</v>
      </c>
      <c r="J1569" s="18"/>
      <c r="K1569" s="21">
        <f t="shared" si="72"/>
        <v>36</v>
      </c>
      <c r="L1569" s="19">
        <f t="shared" si="73"/>
        <v>214</v>
      </c>
      <c r="M1569" s="18" t="str">
        <f>IF(I1569&lt;&gt;"Sí","",IF(YEAR(F1569)&lt;&gt;2026,"",INDEX({"Enero","Febrero","Marzo","Abril","Mayo","Junio","Julio","Agosto","Septiembre","Octubre","Noviembre","Diciembre"},MONTH(F1569))))</f>
        <v>Agosto</v>
      </c>
      <c r="N1569" s="18" t="str">
        <f t="shared" si="74"/>
        <v>Agosto|214</v>
      </c>
    </row>
    <row r="1570" spans="1:14" ht="14.5" x14ac:dyDescent="0.25">
      <c r="A1570" s="19">
        <v>34</v>
      </c>
      <c r="B1570" s="18" t="s">
        <v>41</v>
      </c>
      <c r="C1570" s="18" t="s">
        <v>99</v>
      </c>
      <c r="D1570" s="18" t="s">
        <v>1621</v>
      </c>
      <c r="E1570" s="18" t="s">
        <v>2127</v>
      </c>
      <c r="F1570" s="101">
        <v>46240.503472222219</v>
      </c>
      <c r="G1570" s="101">
        <v>46242.003472222219</v>
      </c>
      <c r="H1570" s="18" t="s">
        <v>507</v>
      </c>
      <c r="I1570" s="18" t="s">
        <v>508</v>
      </c>
      <c r="J1570" s="18"/>
      <c r="K1570" s="21">
        <f t="shared" si="72"/>
        <v>36</v>
      </c>
      <c r="L1570" s="19">
        <f t="shared" si="73"/>
        <v>214</v>
      </c>
      <c r="M1570" s="18" t="str">
        <f>IF(I1570&lt;&gt;"Sí","",IF(YEAR(F1570)&lt;&gt;2026,"",INDEX({"Enero","Febrero","Marzo","Abril","Mayo","Junio","Julio","Agosto","Septiembre","Octubre","Noviembre","Diciembre"},MONTH(F1570))))</f>
        <v>Agosto</v>
      </c>
      <c r="N1570" s="18" t="str">
        <f t="shared" si="74"/>
        <v>Agosto|214</v>
      </c>
    </row>
    <row r="1571" spans="1:14" ht="14.5" x14ac:dyDescent="0.25">
      <c r="A1571" s="19">
        <v>34</v>
      </c>
      <c r="B1571" s="18" t="s">
        <v>41</v>
      </c>
      <c r="C1571" s="18" t="s">
        <v>99</v>
      </c>
      <c r="D1571" s="18" t="s">
        <v>1621</v>
      </c>
      <c r="E1571" s="18" t="s">
        <v>2128</v>
      </c>
      <c r="F1571" s="101">
        <v>46240.504861111112</v>
      </c>
      <c r="G1571" s="101">
        <v>46242.003472222219</v>
      </c>
      <c r="H1571" s="18" t="s">
        <v>507</v>
      </c>
      <c r="I1571" s="18" t="s">
        <v>508</v>
      </c>
      <c r="J1571" s="18"/>
      <c r="K1571" s="21">
        <f t="shared" si="72"/>
        <v>35.966666666558012</v>
      </c>
      <c r="L1571" s="19">
        <f t="shared" si="73"/>
        <v>215</v>
      </c>
      <c r="M1571" s="18" t="str">
        <f>IF(I1571&lt;&gt;"Sí","",IF(YEAR(F1571)&lt;&gt;2026,"",INDEX({"Enero","Febrero","Marzo","Abril","Mayo","Junio","Julio","Agosto","Septiembre","Octubre","Noviembre","Diciembre"},MONTH(F1571))))</f>
        <v>Agosto</v>
      </c>
      <c r="N1571" s="18" t="str">
        <f t="shared" si="74"/>
        <v>Agosto|215</v>
      </c>
    </row>
    <row r="1572" spans="1:14" ht="14.5" x14ac:dyDescent="0.25">
      <c r="A1572" s="19">
        <v>34</v>
      </c>
      <c r="B1572" s="18" t="s">
        <v>41</v>
      </c>
      <c r="C1572" s="18" t="s">
        <v>99</v>
      </c>
      <c r="D1572" s="18" t="s">
        <v>1621</v>
      </c>
      <c r="E1572" s="18" t="s">
        <v>2129</v>
      </c>
      <c r="F1572" s="101">
        <v>46240.505555555559</v>
      </c>
      <c r="G1572" s="101">
        <v>46241.006944444445</v>
      </c>
      <c r="H1572" s="18" t="s">
        <v>507</v>
      </c>
      <c r="I1572" s="18" t="s">
        <v>508</v>
      </c>
      <c r="J1572" s="18"/>
      <c r="K1572" s="21">
        <f t="shared" si="72"/>
        <v>12.033333333267365</v>
      </c>
      <c r="L1572" s="19">
        <f t="shared" si="73"/>
        <v>216</v>
      </c>
      <c r="M1572" s="18" t="str">
        <f>IF(I1572&lt;&gt;"Sí","",IF(YEAR(F1572)&lt;&gt;2026,"",INDEX({"Enero","Febrero","Marzo","Abril","Mayo","Junio","Julio","Agosto","Septiembre","Octubre","Noviembre","Diciembre"},MONTH(F1572))))</f>
        <v>Agosto</v>
      </c>
      <c r="N1572" s="18" t="str">
        <f t="shared" si="74"/>
        <v>Agosto|216</v>
      </c>
    </row>
    <row r="1573" spans="1:14" ht="14.5" x14ac:dyDescent="0.25">
      <c r="A1573" s="19">
        <v>34</v>
      </c>
      <c r="B1573" s="18" t="s">
        <v>41</v>
      </c>
      <c r="C1573" s="18" t="s">
        <v>99</v>
      </c>
      <c r="D1573" s="18" t="s">
        <v>1621</v>
      </c>
      <c r="E1573" s="18" t="s">
        <v>2130</v>
      </c>
      <c r="F1573" s="101">
        <v>46240.506249999999</v>
      </c>
      <c r="G1573" s="101">
        <v>46241.993055555555</v>
      </c>
      <c r="H1573" s="18" t="s">
        <v>507</v>
      </c>
      <c r="I1573" s="18" t="s">
        <v>508</v>
      </c>
      <c r="J1573" s="18"/>
      <c r="K1573" s="21">
        <f t="shared" si="72"/>
        <v>35.683333333348855</v>
      </c>
      <c r="L1573" s="19">
        <f t="shared" si="73"/>
        <v>217</v>
      </c>
      <c r="M1573" s="18" t="str">
        <f>IF(I1573&lt;&gt;"Sí","",IF(YEAR(F1573)&lt;&gt;2026,"",INDEX({"Enero","Febrero","Marzo","Abril","Mayo","Junio","Julio","Agosto","Septiembre","Octubre","Noviembre","Diciembre"},MONTH(F1573))))</f>
        <v>Agosto</v>
      </c>
      <c r="N1573" s="18" t="str">
        <f t="shared" si="74"/>
        <v>Agosto|217</v>
      </c>
    </row>
    <row r="1574" spans="1:14" ht="14.5" x14ac:dyDescent="0.25">
      <c r="A1574" s="19">
        <v>34</v>
      </c>
      <c r="B1574" s="18" t="s">
        <v>41</v>
      </c>
      <c r="C1574" s="18" t="s">
        <v>99</v>
      </c>
      <c r="D1574" s="18" t="s">
        <v>1621</v>
      </c>
      <c r="E1574" s="18" t="s">
        <v>2131</v>
      </c>
      <c r="F1574" s="101">
        <v>46240.507638888892</v>
      </c>
      <c r="G1574" s="101">
        <v>46241.993055555555</v>
      </c>
      <c r="H1574" s="18" t="s">
        <v>507</v>
      </c>
      <c r="I1574" s="18" t="s">
        <v>508</v>
      </c>
      <c r="J1574" s="18"/>
      <c r="K1574" s="21">
        <f t="shared" si="72"/>
        <v>35.649999999906868</v>
      </c>
      <c r="L1574" s="19">
        <f t="shared" si="73"/>
        <v>218</v>
      </c>
      <c r="M1574" s="18" t="str">
        <f>IF(I1574&lt;&gt;"Sí","",IF(YEAR(F1574)&lt;&gt;2026,"",INDEX({"Enero","Febrero","Marzo","Abril","Mayo","Junio","Julio","Agosto","Septiembre","Octubre","Noviembre","Diciembre"},MONTH(F1574))))</f>
        <v>Agosto</v>
      </c>
      <c r="N1574" s="18" t="str">
        <f t="shared" si="74"/>
        <v>Agosto|218</v>
      </c>
    </row>
    <row r="1575" spans="1:14" ht="14.5" x14ac:dyDescent="0.25">
      <c r="A1575" s="19">
        <v>34</v>
      </c>
      <c r="B1575" s="18" t="s">
        <v>41</v>
      </c>
      <c r="C1575" s="18" t="s">
        <v>99</v>
      </c>
      <c r="D1575" s="18" t="s">
        <v>1621</v>
      </c>
      <c r="E1575" s="18" t="s">
        <v>2132</v>
      </c>
      <c r="F1575" s="101">
        <v>46240.510416666664</v>
      </c>
      <c r="G1575" s="101">
        <v>46242.003472222219</v>
      </c>
      <c r="H1575" s="18" t="s">
        <v>507</v>
      </c>
      <c r="I1575" s="18" t="s">
        <v>508</v>
      </c>
      <c r="J1575" s="18"/>
      <c r="K1575" s="21">
        <f t="shared" si="72"/>
        <v>35.833333333313931</v>
      </c>
      <c r="L1575" s="19">
        <f t="shared" si="73"/>
        <v>219</v>
      </c>
      <c r="M1575" s="18" t="str">
        <f>IF(I1575&lt;&gt;"Sí","",IF(YEAR(F1575)&lt;&gt;2026,"",INDEX({"Enero","Febrero","Marzo","Abril","Mayo","Junio","Julio","Agosto","Septiembre","Octubre","Noviembre","Diciembre"},MONTH(F1575))))</f>
        <v>Agosto</v>
      </c>
      <c r="N1575" s="18" t="str">
        <f t="shared" si="74"/>
        <v>Agosto|219</v>
      </c>
    </row>
    <row r="1576" spans="1:14" ht="14.5" x14ac:dyDescent="0.25">
      <c r="A1576" s="19">
        <v>34</v>
      </c>
      <c r="B1576" s="18" t="s">
        <v>41</v>
      </c>
      <c r="C1576" s="18" t="s">
        <v>99</v>
      </c>
      <c r="D1576" s="18" t="s">
        <v>1621</v>
      </c>
      <c r="E1576" s="18" t="s">
        <v>2133</v>
      </c>
      <c r="F1576" s="101">
        <v>46240.511111111111</v>
      </c>
      <c r="G1576" s="101">
        <v>46242.003472222219</v>
      </c>
      <c r="H1576" s="18" t="s">
        <v>507</v>
      </c>
      <c r="I1576" s="18" t="s">
        <v>508</v>
      </c>
      <c r="J1576" s="18"/>
      <c r="K1576" s="21">
        <f t="shared" si="72"/>
        <v>35.816666666592937</v>
      </c>
      <c r="L1576" s="19">
        <f t="shared" si="73"/>
        <v>220</v>
      </c>
      <c r="M1576" s="18" t="str">
        <f>IF(I1576&lt;&gt;"Sí","",IF(YEAR(F1576)&lt;&gt;2026,"",INDEX({"Enero","Febrero","Marzo","Abril","Mayo","Junio","Julio","Agosto","Septiembre","Octubre","Noviembre","Diciembre"},MONTH(F1576))))</f>
        <v>Agosto</v>
      </c>
      <c r="N1576" s="18" t="str">
        <f t="shared" si="74"/>
        <v>Agosto|220</v>
      </c>
    </row>
    <row r="1577" spans="1:14" ht="14.5" x14ac:dyDescent="0.25">
      <c r="A1577" s="19">
        <v>34</v>
      </c>
      <c r="B1577" s="18" t="s">
        <v>41</v>
      </c>
      <c r="C1577" s="18" t="s">
        <v>99</v>
      </c>
      <c r="D1577" s="18" t="s">
        <v>1621</v>
      </c>
      <c r="E1577" s="18" t="s">
        <v>2134</v>
      </c>
      <c r="F1577" s="101">
        <v>46240.513888888891</v>
      </c>
      <c r="G1577" s="101">
        <v>46242.003472222219</v>
      </c>
      <c r="H1577" s="18" t="s">
        <v>507</v>
      </c>
      <c r="I1577" s="18" t="s">
        <v>508</v>
      </c>
      <c r="J1577" s="18"/>
      <c r="K1577" s="21">
        <f t="shared" si="72"/>
        <v>35.749999999883585</v>
      </c>
      <c r="L1577" s="19">
        <f t="shared" si="73"/>
        <v>221</v>
      </c>
      <c r="M1577" s="18" t="str">
        <f>IF(I1577&lt;&gt;"Sí","",IF(YEAR(F1577)&lt;&gt;2026,"",INDEX({"Enero","Febrero","Marzo","Abril","Mayo","Junio","Julio","Agosto","Septiembre","Octubre","Noviembre","Diciembre"},MONTH(F1577))))</f>
        <v>Agosto</v>
      </c>
      <c r="N1577" s="18" t="str">
        <f t="shared" si="74"/>
        <v>Agosto|221</v>
      </c>
    </row>
    <row r="1578" spans="1:14" ht="14.5" x14ac:dyDescent="0.25">
      <c r="A1578" s="19">
        <v>34</v>
      </c>
      <c r="B1578" s="18" t="s">
        <v>41</v>
      </c>
      <c r="C1578" s="18" t="s">
        <v>99</v>
      </c>
      <c r="D1578" s="18" t="s">
        <v>1621</v>
      </c>
      <c r="E1578" s="18" t="s">
        <v>2135</v>
      </c>
      <c r="F1578" s="101">
        <v>46240.515277777777</v>
      </c>
      <c r="G1578" s="101">
        <v>46242.006944444445</v>
      </c>
      <c r="H1578" s="18" t="s">
        <v>507</v>
      </c>
      <c r="I1578" s="18" t="s">
        <v>508</v>
      </c>
      <c r="J1578" s="18"/>
      <c r="K1578" s="21">
        <f t="shared" si="72"/>
        <v>35.800000000046566</v>
      </c>
      <c r="L1578" s="19">
        <f t="shared" si="73"/>
        <v>222</v>
      </c>
      <c r="M1578" s="18" t="str">
        <f>IF(I1578&lt;&gt;"Sí","",IF(YEAR(F1578)&lt;&gt;2026,"",INDEX({"Enero","Febrero","Marzo","Abril","Mayo","Junio","Julio","Agosto","Septiembre","Octubre","Noviembre","Diciembre"},MONTH(F1578))))</f>
        <v>Agosto</v>
      </c>
      <c r="N1578" s="18" t="str">
        <f t="shared" si="74"/>
        <v>Agosto|222</v>
      </c>
    </row>
    <row r="1579" spans="1:14" ht="14.5" x14ac:dyDescent="0.25">
      <c r="A1579" s="19">
        <v>34</v>
      </c>
      <c r="B1579" s="18" t="s">
        <v>41</v>
      </c>
      <c r="C1579" s="18" t="s">
        <v>99</v>
      </c>
      <c r="D1579" s="18" t="s">
        <v>1621</v>
      </c>
      <c r="E1579" s="18" t="s">
        <v>2136</v>
      </c>
      <c r="F1579" s="101">
        <v>46240.524305555555</v>
      </c>
      <c r="G1579" s="101">
        <v>46241.993055555555</v>
      </c>
      <c r="H1579" s="18" t="s">
        <v>507</v>
      </c>
      <c r="I1579" s="18" t="s">
        <v>508</v>
      </c>
      <c r="J1579" s="18"/>
      <c r="K1579" s="21">
        <f t="shared" si="72"/>
        <v>35.25</v>
      </c>
      <c r="L1579" s="19">
        <f t="shared" si="73"/>
        <v>223</v>
      </c>
      <c r="M1579" s="18" t="str">
        <f>IF(I1579&lt;&gt;"Sí","",IF(YEAR(F1579)&lt;&gt;2026,"",INDEX({"Enero","Febrero","Marzo","Abril","Mayo","Junio","Julio","Agosto","Septiembre","Octubre","Noviembre","Diciembre"},MONTH(F1579))))</f>
        <v>Agosto</v>
      </c>
      <c r="N1579" s="18" t="str">
        <f t="shared" si="74"/>
        <v>Agosto|223</v>
      </c>
    </row>
    <row r="1580" spans="1:14" ht="14.5" x14ac:dyDescent="0.25">
      <c r="A1580" s="19">
        <v>34</v>
      </c>
      <c r="B1580" s="18" t="s">
        <v>41</v>
      </c>
      <c r="C1580" s="18" t="s">
        <v>99</v>
      </c>
      <c r="D1580" s="18" t="s">
        <v>1621</v>
      </c>
      <c r="E1580" s="18" t="s">
        <v>2137</v>
      </c>
      <c r="F1580" s="101">
        <v>46240.525694444441</v>
      </c>
      <c r="G1580" s="101">
        <v>46241.993055555555</v>
      </c>
      <c r="H1580" s="18" t="s">
        <v>507</v>
      </c>
      <c r="I1580" s="18" t="s">
        <v>508</v>
      </c>
      <c r="J1580" s="18"/>
      <c r="K1580" s="21">
        <f t="shared" si="72"/>
        <v>35.216666666732635</v>
      </c>
      <c r="L1580" s="19">
        <f t="shared" si="73"/>
        <v>224</v>
      </c>
      <c r="M1580" s="18" t="str">
        <f>IF(I1580&lt;&gt;"Sí","",IF(YEAR(F1580)&lt;&gt;2026,"",INDEX({"Enero","Febrero","Marzo","Abril","Mayo","Junio","Julio","Agosto","Septiembre","Octubre","Noviembre","Diciembre"},MONTH(F1580))))</f>
        <v>Agosto</v>
      </c>
      <c r="N1580" s="18" t="str">
        <f t="shared" si="74"/>
        <v>Agosto|224</v>
      </c>
    </row>
    <row r="1581" spans="1:14" ht="14.5" x14ac:dyDescent="0.25">
      <c r="A1581" s="19">
        <v>34</v>
      </c>
      <c r="B1581" s="18" t="s">
        <v>41</v>
      </c>
      <c r="C1581" s="18" t="s">
        <v>99</v>
      </c>
      <c r="D1581" s="18" t="s">
        <v>1621</v>
      </c>
      <c r="E1581" s="18" t="s">
        <v>2138</v>
      </c>
      <c r="F1581" s="101">
        <v>46240.527777777781</v>
      </c>
      <c r="G1581" s="101">
        <v>46242.003472222219</v>
      </c>
      <c r="H1581" s="18" t="s">
        <v>507</v>
      </c>
      <c r="I1581" s="18" t="s">
        <v>508</v>
      </c>
      <c r="J1581" s="18"/>
      <c r="K1581" s="21">
        <f t="shared" si="72"/>
        <v>35.416666666511446</v>
      </c>
      <c r="L1581" s="19">
        <f t="shared" si="73"/>
        <v>225</v>
      </c>
      <c r="M1581" s="18" t="str">
        <f>IF(I1581&lt;&gt;"Sí","",IF(YEAR(F1581)&lt;&gt;2026,"",INDEX({"Enero","Febrero","Marzo","Abril","Mayo","Junio","Julio","Agosto","Septiembre","Octubre","Noviembre","Diciembre"},MONTH(F1581))))</f>
        <v>Agosto</v>
      </c>
      <c r="N1581" s="18" t="str">
        <f t="shared" si="74"/>
        <v>Agosto|225</v>
      </c>
    </row>
    <row r="1582" spans="1:14" ht="14.5" x14ac:dyDescent="0.25">
      <c r="A1582" s="19">
        <v>34</v>
      </c>
      <c r="B1582" s="18" t="s">
        <v>41</v>
      </c>
      <c r="C1582" s="18" t="s">
        <v>99</v>
      </c>
      <c r="D1582" s="18" t="s">
        <v>1621</v>
      </c>
      <c r="E1582" s="18" t="s">
        <v>2139</v>
      </c>
      <c r="F1582" s="101">
        <v>46240.529166666667</v>
      </c>
      <c r="G1582" s="101">
        <v>46242.395833333336</v>
      </c>
      <c r="H1582" s="18" t="s">
        <v>507</v>
      </c>
      <c r="I1582" s="18" t="s">
        <v>508</v>
      </c>
      <c r="J1582" s="18"/>
      <c r="K1582" s="21">
        <f t="shared" si="72"/>
        <v>44.800000000046566</v>
      </c>
      <c r="L1582" s="19">
        <f t="shared" si="73"/>
        <v>226</v>
      </c>
      <c r="M1582" s="18" t="str">
        <f>IF(I1582&lt;&gt;"Sí","",IF(YEAR(F1582)&lt;&gt;2026,"",INDEX({"Enero","Febrero","Marzo","Abril","Mayo","Junio","Julio","Agosto","Septiembre","Octubre","Noviembre","Diciembre"},MONTH(F1582))))</f>
        <v>Agosto</v>
      </c>
      <c r="N1582" s="18" t="str">
        <f t="shared" si="74"/>
        <v>Agosto|226</v>
      </c>
    </row>
    <row r="1583" spans="1:14" ht="14.5" x14ac:dyDescent="0.25">
      <c r="A1583" s="19">
        <v>34</v>
      </c>
      <c r="B1583" s="18" t="s">
        <v>41</v>
      </c>
      <c r="C1583" s="18" t="s">
        <v>99</v>
      </c>
      <c r="D1583" s="18" t="s">
        <v>1621</v>
      </c>
      <c r="E1583" s="18" t="s">
        <v>2140</v>
      </c>
      <c r="F1583" s="101">
        <v>46240.530555555553</v>
      </c>
      <c r="G1583" s="101">
        <v>46242.003472222219</v>
      </c>
      <c r="H1583" s="18" t="s">
        <v>507</v>
      </c>
      <c r="I1583" s="18" t="s">
        <v>508</v>
      </c>
      <c r="J1583" s="18"/>
      <c r="K1583" s="21">
        <f t="shared" si="72"/>
        <v>35.349999999976717</v>
      </c>
      <c r="L1583" s="19">
        <f t="shared" si="73"/>
        <v>227</v>
      </c>
      <c r="M1583" s="18" t="str">
        <f>IF(I1583&lt;&gt;"Sí","",IF(YEAR(F1583)&lt;&gt;2026,"",INDEX({"Enero","Febrero","Marzo","Abril","Mayo","Junio","Julio","Agosto","Septiembre","Octubre","Noviembre","Diciembre"},MONTH(F1583))))</f>
        <v>Agosto</v>
      </c>
      <c r="N1583" s="18" t="str">
        <f t="shared" si="74"/>
        <v>Agosto|227</v>
      </c>
    </row>
    <row r="1584" spans="1:14" ht="14.5" x14ac:dyDescent="0.25">
      <c r="A1584" s="19">
        <v>34</v>
      </c>
      <c r="B1584" s="18" t="s">
        <v>41</v>
      </c>
      <c r="C1584" s="18" t="s">
        <v>99</v>
      </c>
      <c r="D1584" s="18" t="s">
        <v>1621</v>
      </c>
      <c r="E1584" s="18" t="s">
        <v>2141</v>
      </c>
      <c r="F1584" s="101">
        <v>46240.531944444447</v>
      </c>
      <c r="G1584" s="101">
        <v>46242.003472222219</v>
      </c>
      <c r="H1584" s="18" t="s">
        <v>507</v>
      </c>
      <c r="I1584" s="18" t="s">
        <v>508</v>
      </c>
      <c r="J1584" s="18"/>
      <c r="K1584" s="21">
        <f t="shared" si="72"/>
        <v>35.316666666534729</v>
      </c>
      <c r="L1584" s="19">
        <f t="shared" si="73"/>
        <v>228</v>
      </c>
      <c r="M1584" s="18" t="str">
        <f>IF(I1584&lt;&gt;"Sí","",IF(YEAR(F1584)&lt;&gt;2026,"",INDEX({"Enero","Febrero","Marzo","Abril","Mayo","Junio","Julio","Agosto","Septiembre","Octubre","Noviembre","Diciembre"},MONTH(F1584))))</f>
        <v>Agosto</v>
      </c>
      <c r="N1584" s="18" t="str">
        <f t="shared" si="74"/>
        <v>Agosto|228</v>
      </c>
    </row>
    <row r="1585" spans="1:14" ht="14.5" x14ac:dyDescent="0.25">
      <c r="A1585" s="19">
        <v>34</v>
      </c>
      <c r="B1585" s="18" t="s">
        <v>41</v>
      </c>
      <c r="C1585" s="18" t="s">
        <v>99</v>
      </c>
      <c r="D1585" s="18" t="s">
        <v>1621</v>
      </c>
      <c r="E1585" s="18" t="s">
        <v>2142</v>
      </c>
      <c r="F1585" s="101">
        <v>46240.533333333333</v>
      </c>
      <c r="G1585" s="101">
        <v>46241.006944444445</v>
      </c>
      <c r="H1585" s="18" t="s">
        <v>507</v>
      </c>
      <c r="I1585" s="18" t="s">
        <v>508</v>
      </c>
      <c r="J1585" s="18"/>
      <c r="K1585" s="21">
        <f t="shared" si="72"/>
        <v>11.366666666697711</v>
      </c>
      <c r="L1585" s="19">
        <f t="shared" si="73"/>
        <v>229</v>
      </c>
      <c r="M1585" s="18" t="str">
        <f>IF(I1585&lt;&gt;"Sí","",IF(YEAR(F1585)&lt;&gt;2026,"",INDEX({"Enero","Febrero","Marzo","Abril","Mayo","Junio","Julio","Agosto","Septiembre","Octubre","Noviembre","Diciembre"},MONTH(F1585))))</f>
        <v>Agosto</v>
      </c>
      <c r="N1585" s="18" t="str">
        <f t="shared" si="74"/>
        <v>Agosto|229</v>
      </c>
    </row>
    <row r="1586" spans="1:14" ht="14.5" x14ac:dyDescent="0.25">
      <c r="A1586" s="19">
        <v>34</v>
      </c>
      <c r="B1586" s="18" t="s">
        <v>41</v>
      </c>
      <c r="C1586" s="18" t="s">
        <v>99</v>
      </c>
      <c r="D1586" s="18" t="s">
        <v>1621</v>
      </c>
      <c r="E1586" s="18" t="s">
        <v>2143</v>
      </c>
      <c r="F1586" s="101">
        <v>46240.534722222219</v>
      </c>
      <c r="G1586" s="101">
        <v>46241.993055555555</v>
      </c>
      <c r="H1586" s="18" t="s">
        <v>507</v>
      </c>
      <c r="I1586" s="18" t="s">
        <v>508</v>
      </c>
      <c r="J1586" s="18"/>
      <c r="K1586" s="21">
        <f t="shared" si="72"/>
        <v>35.000000000058208</v>
      </c>
      <c r="L1586" s="19">
        <f t="shared" si="73"/>
        <v>230</v>
      </c>
      <c r="M1586" s="18" t="str">
        <f>IF(I1586&lt;&gt;"Sí","",IF(YEAR(F1586)&lt;&gt;2026,"",INDEX({"Enero","Febrero","Marzo","Abril","Mayo","Junio","Julio","Agosto","Septiembre","Octubre","Noviembre","Diciembre"},MONTH(F1586))))</f>
        <v>Agosto</v>
      </c>
      <c r="N1586" s="18" t="str">
        <f t="shared" si="74"/>
        <v>Agosto|230</v>
      </c>
    </row>
    <row r="1587" spans="1:14" ht="14.5" x14ac:dyDescent="0.25">
      <c r="A1587" s="19">
        <v>34</v>
      </c>
      <c r="B1587" s="18" t="s">
        <v>41</v>
      </c>
      <c r="C1587" s="18" t="s">
        <v>99</v>
      </c>
      <c r="D1587" s="18" t="s">
        <v>1621</v>
      </c>
      <c r="E1587" s="18" t="s">
        <v>2144</v>
      </c>
      <c r="F1587" s="101">
        <v>46240.536111111112</v>
      </c>
      <c r="G1587" s="101">
        <v>46242.399305555555</v>
      </c>
      <c r="H1587" s="18" t="s">
        <v>507</v>
      </c>
      <c r="I1587" s="18" t="s">
        <v>508</v>
      </c>
      <c r="J1587" s="18"/>
      <c r="K1587" s="21">
        <f t="shared" si="72"/>
        <v>44.71666666661622</v>
      </c>
      <c r="L1587" s="19">
        <f t="shared" si="73"/>
        <v>231</v>
      </c>
      <c r="M1587" s="18" t="str">
        <f>IF(I1587&lt;&gt;"Sí","",IF(YEAR(F1587)&lt;&gt;2026,"",INDEX({"Enero","Febrero","Marzo","Abril","Mayo","Junio","Julio","Agosto","Septiembre","Octubre","Noviembre","Diciembre"},MONTH(F1587))))</f>
        <v>Agosto</v>
      </c>
      <c r="N1587" s="18" t="str">
        <f t="shared" si="74"/>
        <v>Agosto|231</v>
      </c>
    </row>
    <row r="1588" spans="1:14" ht="14.5" x14ac:dyDescent="0.25">
      <c r="A1588" s="19">
        <v>34</v>
      </c>
      <c r="B1588" s="18" t="s">
        <v>41</v>
      </c>
      <c r="C1588" s="18" t="s">
        <v>99</v>
      </c>
      <c r="D1588" s="18" t="s">
        <v>1621</v>
      </c>
      <c r="E1588" s="18" t="s">
        <v>2145</v>
      </c>
      <c r="F1588" s="101">
        <v>46240.537499999999</v>
      </c>
      <c r="G1588" s="101">
        <v>46241.993055555555</v>
      </c>
      <c r="H1588" s="18" t="s">
        <v>507</v>
      </c>
      <c r="I1588" s="18" t="s">
        <v>508</v>
      </c>
      <c r="J1588" s="18"/>
      <c r="K1588" s="21">
        <f t="shared" si="72"/>
        <v>34.933333333348855</v>
      </c>
      <c r="L1588" s="19">
        <f t="shared" si="73"/>
        <v>232</v>
      </c>
      <c r="M1588" s="18" t="str">
        <f>IF(I1588&lt;&gt;"Sí","",IF(YEAR(F1588)&lt;&gt;2026,"",INDEX({"Enero","Febrero","Marzo","Abril","Mayo","Junio","Julio","Agosto","Septiembre","Octubre","Noviembre","Diciembre"},MONTH(F1588))))</f>
        <v>Agosto</v>
      </c>
      <c r="N1588" s="18" t="str">
        <f t="shared" si="74"/>
        <v>Agosto|232</v>
      </c>
    </row>
    <row r="1589" spans="1:14" ht="14.5" x14ac:dyDescent="0.25">
      <c r="A1589" s="19">
        <v>34</v>
      </c>
      <c r="B1589" s="18" t="s">
        <v>41</v>
      </c>
      <c r="C1589" s="18" t="s">
        <v>99</v>
      </c>
      <c r="D1589" s="18" t="s">
        <v>1621</v>
      </c>
      <c r="E1589" s="18" t="s">
        <v>2146</v>
      </c>
      <c r="F1589" s="101">
        <v>46240.538888888892</v>
      </c>
      <c r="G1589" s="101">
        <v>46242.003472222219</v>
      </c>
      <c r="H1589" s="18" t="s">
        <v>507</v>
      </c>
      <c r="I1589" s="18" t="s">
        <v>508</v>
      </c>
      <c r="J1589" s="18"/>
      <c r="K1589" s="21">
        <f t="shared" si="72"/>
        <v>35.14999999984866</v>
      </c>
      <c r="L1589" s="19">
        <f t="shared" si="73"/>
        <v>233</v>
      </c>
      <c r="M1589" s="18" t="str">
        <f>IF(I1589&lt;&gt;"Sí","",IF(YEAR(F1589)&lt;&gt;2026,"",INDEX({"Enero","Febrero","Marzo","Abril","Mayo","Junio","Julio","Agosto","Septiembre","Octubre","Noviembre","Diciembre"},MONTH(F1589))))</f>
        <v>Agosto</v>
      </c>
      <c r="N1589" s="18" t="str">
        <f t="shared" si="74"/>
        <v>Agosto|233</v>
      </c>
    </row>
    <row r="1590" spans="1:14" ht="14.5" x14ac:dyDescent="0.25">
      <c r="A1590" s="19">
        <v>34</v>
      </c>
      <c r="B1590" s="18" t="s">
        <v>41</v>
      </c>
      <c r="C1590" s="18" t="s">
        <v>99</v>
      </c>
      <c r="D1590" s="18" t="s">
        <v>1621</v>
      </c>
      <c r="E1590" s="18" t="s">
        <v>2147</v>
      </c>
      <c r="F1590" s="101">
        <v>46240.540972222225</v>
      </c>
      <c r="G1590" s="101">
        <v>46242.003472222219</v>
      </c>
      <c r="H1590" s="18" t="s">
        <v>507</v>
      </c>
      <c r="I1590" s="18" t="s">
        <v>508</v>
      </c>
      <c r="J1590" s="18"/>
      <c r="K1590" s="21">
        <f t="shared" si="72"/>
        <v>35.099999999860302</v>
      </c>
      <c r="L1590" s="19">
        <f t="shared" si="73"/>
        <v>234</v>
      </c>
      <c r="M1590" s="18" t="str">
        <f>IF(I1590&lt;&gt;"Sí","",IF(YEAR(F1590)&lt;&gt;2026,"",INDEX({"Enero","Febrero","Marzo","Abril","Mayo","Junio","Julio","Agosto","Septiembre","Octubre","Noviembre","Diciembre"},MONTH(F1590))))</f>
        <v>Agosto</v>
      </c>
      <c r="N1590" s="18" t="str">
        <f t="shared" si="74"/>
        <v>Agosto|234</v>
      </c>
    </row>
    <row r="1591" spans="1:14" ht="14.5" x14ac:dyDescent="0.25">
      <c r="A1591" s="19">
        <v>34</v>
      </c>
      <c r="B1591" s="18" t="s">
        <v>41</v>
      </c>
      <c r="C1591" s="18" t="s">
        <v>99</v>
      </c>
      <c r="D1591" s="18" t="s">
        <v>1621</v>
      </c>
      <c r="E1591" s="18" t="s">
        <v>2148</v>
      </c>
      <c r="F1591" s="101">
        <v>46240.545138888891</v>
      </c>
      <c r="G1591" s="101">
        <v>46241.861111111109</v>
      </c>
      <c r="H1591" s="18" t="s">
        <v>507</v>
      </c>
      <c r="I1591" s="18" t="s">
        <v>508</v>
      </c>
      <c r="J1591" s="18"/>
      <c r="K1591" s="21">
        <f t="shared" si="72"/>
        <v>31.583333333255723</v>
      </c>
      <c r="L1591" s="19">
        <f t="shared" si="73"/>
        <v>235</v>
      </c>
      <c r="M1591" s="18" t="str">
        <f>IF(I1591&lt;&gt;"Sí","",IF(YEAR(F1591)&lt;&gt;2026,"",INDEX({"Enero","Febrero","Marzo","Abril","Mayo","Junio","Julio","Agosto","Septiembre","Octubre","Noviembre","Diciembre"},MONTH(F1591))))</f>
        <v>Agosto</v>
      </c>
      <c r="N1591" s="18" t="str">
        <f t="shared" si="74"/>
        <v>Agosto|235</v>
      </c>
    </row>
    <row r="1592" spans="1:14" ht="14.5" x14ac:dyDescent="0.25">
      <c r="A1592" s="19">
        <v>34</v>
      </c>
      <c r="B1592" s="18" t="s">
        <v>41</v>
      </c>
      <c r="C1592" s="18" t="s">
        <v>99</v>
      </c>
      <c r="D1592" s="18" t="s">
        <v>1621</v>
      </c>
      <c r="E1592" s="18" t="s">
        <v>2149</v>
      </c>
      <c r="F1592" s="101">
        <v>46240.548611111109</v>
      </c>
      <c r="G1592" s="101">
        <v>46241.857638888891</v>
      </c>
      <c r="H1592" s="18" t="s">
        <v>507</v>
      </c>
      <c r="I1592" s="18" t="s">
        <v>508</v>
      </c>
      <c r="J1592" s="18"/>
      <c r="K1592" s="21">
        <f t="shared" si="72"/>
        <v>31.416666666744277</v>
      </c>
      <c r="L1592" s="19">
        <f t="shared" si="73"/>
        <v>236</v>
      </c>
      <c r="M1592" s="18" t="str">
        <f>IF(I1592&lt;&gt;"Sí","",IF(YEAR(F1592)&lt;&gt;2026,"",INDEX({"Enero","Febrero","Marzo","Abril","Mayo","Junio","Julio","Agosto","Septiembre","Octubre","Noviembre","Diciembre"},MONTH(F1592))))</f>
        <v>Agosto</v>
      </c>
      <c r="N1592" s="18" t="str">
        <f t="shared" si="74"/>
        <v>Agosto|236</v>
      </c>
    </row>
    <row r="1593" spans="1:14" ht="14.5" x14ac:dyDescent="0.25">
      <c r="A1593" s="19">
        <v>34</v>
      </c>
      <c r="B1593" s="18" t="s">
        <v>41</v>
      </c>
      <c r="C1593" s="18" t="s">
        <v>99</v>
      </c>
      <c r="D1593" s="18" t="s">
        <v>1621</v>
      </c>
      <c r="E1593" s="18" t="s">
        <v>2150</v>
      </c>
      <c r="F1593" s="101">
        <v>46240.552083333336</v>
      </c>
      <c r="G1593" s="101">
        <v>46241.8125</v>
      </c>
      <c r="H1593" s="18" t="s">
        <v>507</v>
      </c>
      <c r="I1593" s="18" t="s">
        <v>508</v>
      </c>
      <c r="J1593" s="18"/>
      <c r="K1593" s="21">
        <f t="shared" si="72"/>
        <v>30.249999999941792</v>
      </c>
      <c r="L1593" s="19">
        <f t="shared" si="73"/>
        <v>237</v>
      </c>
      <c r="M1593" s="18" t="str">
        <f>IF(I1593&lt;&gt;"Sí","",IF(YEAR(F1593)&lt;&gt;2026,"",INDEX({"Enero","Febrero","Marzo","Abril","Mayo","Junio","Julio","Agosto","Septiembre","Octubre","Noviembre","Diciembre"},MONTH(F1593))))</f>
        <v>Agosto</v>
      </c>
      <c r="N1593" s="18" t="str">
        <f t="shared" si="74"/>
        <v>Agosto|237</v>
      </c>
    </row>
    <row r="1594" spans="1:14" ht="14.5" x14ac:dyDescent="0.25">
      <c r="A1594" s="19">
        <v>34</v>
      </c>
      <c r="B1594" s="18" t="s">
        <v>41</v>
      </c>
      <c r="C1594" s="18" t="s">
        <v>99</v>
      </c>
      <c r="D1594" s="18" t="s">
        <v>1621</v>
      </c>
      <c r="E1594" s="18" t="s">
        <v>2151</v>
      </c>
      <c r="F1594" s="101">
        <v>46240.555555555555</v>
      </c>
      <c r="G1594" s="101">
        <v>46241.802083333336</v>
      </c>
      <c r="H1594" s="18" t="s">
        <v>507</v>
      </c>
      <c r="I1594" s="18" t="s">
        <v>508</v>
      </c>
      <c r="J1594" s="18"/>
      <c r="K1594" s="21">
        <f t="shared" si="72"/>
        <v>29.916666666744277</v>
      </c>
      <c r="L1594" s="19">
        <f t="shared" si="73"/>
        <v>238</v>
      </c>
      <c r="M1594" s="18" t="str">
        <f>IF(I1594&lt;&gt;"Sí","",IF(YEAR(F1594)&lt;&gt;2026,"",INDEX({"Enero","Febrero","Marzo","Abril","Mayo","Junio","Julio","Agosto","Septiembre","Octubre","Noviembre","Diciembre"},MONTH(F1594))))</f>
        <v>Agosto</v>
      </c>
      <c r="N1594" s="18" t="str">
        <f t="shared" si="74"/>
        <v>Agosto|238</v>
      </c>
    </row>
    <row r="1595" spans="1:14" ht="14.5" x14ac:dyDescent="0.25">
      <c r="A1595" s="19">
        <v>34</v>
      </c>
      <c r="B1595" s="18" t="s">
        <v>41</v>
      </c>
      <c r="C1595" s="18" t="s">
        <v>99</v>
      </c>
      <c r="D1595" s="18" t="s">
        <v>1621</v>
      </c>
      <c r="E1595" s="18" t="s">
        <v>2152</v>
      </c>
      <c r="F1595" s="101">
        <v>46240.556944444441</v>
      </c>
      <c r="G1595" s="101">
        <v>46242.003472222219</v>
      </c>
      <c r="H1595" s="18" t="s">
        <v>507</v>
      </c>
      <c r="I1595" s="18" t="s">
        <v>508</v>
      </c>
      <c r="J1595" s="18"/>
      <c r="K1595" s="21">
        <f t="shared" si="72"/>
        <v>34.716666666674428</v>
      </c>
      <c r="L1595" s="19">
        <f t="shared" si="73"/>
        <v>239</v>
      </c>
      <c r="M1595" s="18" t="str">
        <f>IF(I1595&lt;&gt;"Sí","",IF(YEAR(F1595)&lt;&gt;2026,"",INDEX({"Enero","Febrero","Marzo","Abril","Mayo","Junio","Julio","Agosto","Septiembre","Octubre","Noviembre","Diciembre"},MONTH(F1595))))</f>
        <v>Agosto</v>
      </c>
      <c r="N1595" s="18" t="str">
        <f t="shared" si="74"/>
        <v>Agosto|239</v>
      </c>
    </row>
    <row r="1596" spans="1:14" ht="14.5" x14ac:dyDescent="0.25">
      <c r="A1596" s="19">
        <v>34</v>
      </c>
      <c r="B1596" s="18" t="s">
        <v>41</v>
      </c>
      <c r="C1596" s="18" t="s">
        <v>99</v>
      </c>
      <c r="D1596" s="18" t="s">
        <v>1621</v>
      </c>
      <c r="E1596" s="18" t="s">
        <v>2153</v>
      </c>
      <c r="F1596" s="101">
        <v>46240.557638888888</v>
      </c>
      <c r="G1596" s="101">
        <v>46242.416666666664</v>
      </c>
      <c r="H1596" s="18" t="s">
        <v>507</v>
      </c>
      <c r="I1596" s="18" t="s">
        <v>508</v>
      </c>
      <c r="J1596" s="18"/>
      <c r="K1596" s="21">
        <f t="shared" si="72"/>
        <v>44.616666666639503</v>
      </c>
      <c r="L1596" s="19">
        <f t="shared" si="73"/>
        <v>240</v>
      </c>
      <c r="M1596" s="18" t="str">
        <f>IF(I1596&lt;&gt;"Sí","",IF(YEAR(F1596)&lt;&gt;2026,"",INDEX({"Enero","Febrero","Marzo","Abril","Mayo","Junio","Julio","Agosto","Septiembre","Octubre","Noviembre","Diciembre"},MONTH(F1596))))</f>
        <v>Agosto</v>
      </c>
      <c r="N1596" s="18" t="str">
        <f t="shared" si="74"/>
        <v>Agosto|240</v>
      </c>
    </row>
    <row r="1597" spans="1:14" ht="14.5" x14ac:dyDescent="0.25">
      <c r="A1597" s="19">
        <v>34</v>
      </c>
      <c r="B1597" s="18" t="s">
        <v>41</v>
      </c>
      <c r="C1597" s="18" t="s">
        <v>99</v>
      </c>
      <c r="D1597" s="18" t="s">
        <v>1621</v>
      </c>
      <c r="E1597" s="18" t="s">
        <v>2154</v>
      </c>
      <c r="F1597" s="101">
        <v>46240.569444444445</v>
      </c>
      <c r="G1597" s="101">
        <v>46242.395833333336</v>
      </c>
      <c r="H1597" s="18" t="s">
        <v>507</v>
      </c>
      <c r="I1597" s="18" t="s">
        <v>508</v>
      </c>
      <c r="J1597" s="18"/>
      <c r="K1597" s="21">
        <f t="shared" si="72"/>
        <v>43.833333333372138</v>
      </c>
      <c r="L1597" s="19">
        <f t="shared" si="73"/>
        <v>241</v>
      </c>
      <c r="M1597" s="18" t="str">
        <f>IF(I1597&lt;&gt;"Sí","",IF(YEAR(F1597)&lt;&gt;2026,"",INDEX({"Enero","Febrero","Marzo","Abril","Mayo","Junio","Julio","Agosto","Septiembre","Octubre","Noviembre","Diciembre"},MONTH(F1597))))</f>
        <v>Agosto</v>
      </c>
      <c r="N1597" s="18" t="str">
        <f t="shared" si="74"/>
        <v>Agosto|241</v>
      </c>
    </row>
    <row r="1598" spans="1:14" ht="14.5" x14ac:dyDescent="0.25">
      <c r="A1598" s="19">
        <v>34</v>
      </c>
      <c r="B1598" s="18" t="s">
        <v>41</v>
      </c>
      <c r="C1598" s="18" t="s">
        <v>99</v>
      </c>
      <c r="D1598" s="18" t="s">
        <v>1621</v>
      </c>
      <c r="E1598" s="18" t="s">
        <v>2155</v>
      </c>
      <c r="F1598" s="101">
        <v>46240.570833333331</v>
      </c>
      <c r="G1598" s="101">
        <v>46242.402777777781</v>
      </c>
      <c r="H1598" s="18" t="s">
        <v>507</v>
      </c>
      <c r="I1598" s="18" t="s">
        <v>508</v>
      </c>
      <c r="J1598" s="18"/>
      <c r="K1598" s="21">
        <f t="shared" si="72"/>
        <v>43.966666666790843</v>
      </c>
      <c r="L1598" s="19">
        <f t="shared" si="73"/>
        <v>242</v>
      </c>
      <c r="M1598" s="18" t="str">
        <f>IF(I1598&lt;&gt;"Sí","",IF(YEAR(F1598)&lt;&gt;2026,"",INDEX({"Enero","Febrero","Marzo","Abril","Mayo","Junio","Julio","Agosto","Septiembre","Octubre","Noviembre","Diciembre"},MONTH(F1598))))</f>
        <v>Agosto</v>
      </c>
      <c r="N1598" s="18" t="str">
        <f t="shared" si="74"/>
        <v>Agosto|242</v>
      </c>
    </row>
    <row r="1599" spans="1:14" ht="14.5" x14ac:dyDescent="0.25">
      <c r="A1599" s="19">
        <v>34</v>
      </c>
      <c r="B1599" s="18" t="s">
        <v>41</v>
      </c>
      <c r="C1599" s="18" t="s">
        <v>99</v>
      </c>
      <c r="D1599" s="18" t="s">
        <v>1621</v>
      </c>
      <c r="E1599" s="18" t="s">
        <v>2156</v>
      </c>
      <c r="F1599" s="101">
        <v>46240.583333333336</v>
      </c>
      <c r="G1599" s="101">
        <v>46242.1875</v>
      </c>
      <c r="H1599" s="18" t="s">
        <v>507</v>
      </c>
      <c r="I1599" s="18" t="s">
        <v>508</v>
      </c>
      <c r="J1599" s="18"/>
      <c r="K1599" s="21">
        <f t="shared" si="72"/>
        <v>38.499999999941792</v>
      </c>
      <c r="L1599" s="19">
        <f t="shared" si="73"/>
        <v>243</v>
      </c>
      <c r="M1599" s="18" t="str">
        <f>IF(I1599&lt;&gt;"Sí","",IF(YEAR(F1599)&lt;&gt;2026,"",INDEX({"Enero","Febrero","Marzo","Abril","Mayo","Junio","Julio","Agosto","Septiembre","Octubre","Noviembre","Diciembre"},MONTH(F1599))))</f>
        <v>Agosto</v>
      </c>
      <c r="N1599" s="18" t="str">
        <f t="shared" si="74"/>
        <v>Agosto|243</v>
      </c>
    </row>
    <row r="1600" spans="1:14" ht="14.5" x14ac:dyDescent="0.25">
      <c r="A1600" s="19">
        <v>34</v>
      </c>
      <c r="B1600" s="18" t="s">
        <v>41</v>
      </c>
      <c r="C1600" s="18" t="s">
        <v>99</v>
      </c>
      <c r="D1600" s="18" t="s">
        <v>1621</v>
      </c>
      <c r="E1600" s="18" t="s">
        <v>2157</v>
      </c>
      <c r="F1600" s="101">
        <v>46240.584722222222</v>
      </c>
      <c r="G1600" s="101">
        <v>46242.416666666664</v>
      </c>
      <c r="H1600" s="18" t="s">
        <v>507</v>
      </c>
      <c r="I1600" s="18" t="s">
        <v>508</v>
      </c>
      <c r="J1600" s="18"/>
      <c r="K1600" s="21">
        <f t="shared" si="72"/>
        <v>43.96666666661622</v>
      </c>
      <c r="L1600" s="19">
        <f t="shared" si="73"/>
        <v>244</v>
      </c>
      <c r="M1600" s="18" t="str">
        <f>IF(I1600&lt;&gt;"Sí","",IF(YEAR(F1600)&lt;&gt;2026,"",INDEX({"Enero","Febrero","Marzo","Abril","Mayo","Junio","Julio","Agosto","Septiembre","Octubre","Noviembre","Diciembre"},MONTH(F1600))))</f>
        <v>Agosto</v>
      </c>
      <c r="N1600" s="18" t="str">
        <f t="shared" si="74"/>
        <v>Agosto|244</v>
      </c>
    </row>
    <row r="1601" spans="1:14" ht="14.5" x14ac:dyDescent="0.25">
      <c r="A1601" s="19">
        <v>34</v>
      </c>
      <c r="B1601" s="18" t="s">
        <v>41</v>
      </c>
      <c r="C1601" s="18" t="s">
        <v>99</v>
      </c>
      <c r="D1601" s="18" t="s">
        <v>1621</v>
      </c>
      <c r="E1601" s="18" t="s">
        <v>2158</v>
      </c>
      <c r="F1601" s="101">
        <v>46240.586111111108</v>
      </c>
      <c r="G1601" s="101">
        <v>46242.416666666664</v>
      </c>
      <c r="H1601" s="18" t="s">
        <v>507</v>
      </c>
      <c r="I1601" s="18" t="s">
        <v>508</v>
      </c>
      <c r="J1601" s="18"/>
      <c r="K1601" s="21">
        <f t="shared" si="72"/>
        <v>43.933333333348855</v>
      </c>
      <c r="L1601" s="19">
        <f t="shared" si="73"/>
        <v>245</v>
      </c>
      <c r="M1601" s="18" t="str">
        <f>IF(I1601&lt;&gt;"Sí","",IF(YEAR(F1601)&lt;&gt;2026,"",INDEX({"Enero","Febrero","Marzo","Abril","Mayo","Junio","Julio","Agosto","Septiembre","Octubre","Noviembre","Diciembre"},MONTH(F1601))))</f>
        <v>Agosto</v>
      </c>
      <c r="N1601" s="18" t="str">
        <f t="shared" si="74"/>
        <v>Agosto|245</v>
      </c>
    </row>
    <row r="1602" spans="1:14" ht="14.5" x14ac:dyDescent="0.25">
      <c r="A1602" s="19">
        <v>34</v>
      </c>
      <c r="B1602" s="18" t="s">
        <v>41</v>
      </c>
      <c r="C1602" s="18" t="s">
        <v>92</v>
      </c>
      <c r="D1602" s="18" t="s">
        <v>1981</v>
      </c>
      <c r="E1602" s="18" t="s">
        <v>2159</v>
      </c>
      <c r="F1602" s="101">
        <v>46240.590277777781</v>
      </c>
      <c r="G1602" s="101">
        <v>46251.18472222222</v>
      </c>
      <c r="H1602" s="18" t="s">
        <v>507</v>
      </c>
      <c r="I1602" s="18" t="s">
        <v>508</v>
      </c>
      <c r="J1602" s="18"/>
      <c r="K1602" s="21">
        <f t="shared" si="72"/>
        <v>254.26666666654637</v>
      </c>
      <c r="L1602" s="19">
        <f t="shared" si="73"/>
        <v>246</v>
      </c>
      <c r="M1602" s="18" t="str">
        <f>IF(I1602&lt;&gt;"Sí","",IF(YEAR(F1602)&lt;&gt;2026,"",INDEX({"Enero","Febrero","Marzo","Abril","Mayo","Junio","Julio","Agosto","Septiembre","Octubre","Noviembre","Diciembre"},MONTH(F1602))))</f>
        <v>Agosto</v>
      </c>
      <c r="N1602" s="18" t="str">
        <f t="shared" si="74"/>
        <v>Agosto|246</v>
      </c>
    </row>
    <row r="1603" spans="1:14" ht="14.5" x14ac:dyDescent="0.25">
      <c r="A1603" s="19">
        <v>34</v>
      </c>
      <c r="B1603" s="18" t="s">
        <v>41</v>
      </c>
      <c r="C1603" s="18" t="s">
        <v>99</v>
      </c>
      <c r="D1603" s="18" t="s">
        <v>1621</v>
      </c>
      <c r="E1603" s="18" t="s">
        <v>2160</v>
      </c>
      <c r="F1603" s="101">
        <v>46241</v>
      </c>
      <c r="G1603" s="101">
        <v>46242.399305555555</v>
      </c>
      <c r="H1603" s="18" t="s">
        <v>507</v>
      </c>
      <c r="I1603" s="18" t="s">
        <v>508</v>
      </c>
      <c r="J1603" s="18"/>
      <c r="K1603" s="21">
        <f t="shared" si="72"/>
        <v>33.583333333313931</v>
      </c>
      <c r="L1603" s="19">
        <f t="shared" si="73"/>
        <v>222</v>
      </c>
      <c r="M1603" s="18" t="str">
        <f>IF(I1603&lt;&gt;"Sí","",IF(YEAR(F1603)&lt;&gt;2026,"",INDEX({"Enero","Febrero","Marzo","Abril","Mayo","Junio","Julio","Agosto","Septiembre","Octubre","Noviembre","Diciembre"},MONTH(F1603))))</f>
        <v>Agosto</v>
      </c>
      <c r="N1603" s="18" t="str">
        <f t="shared" si="74"/>
        <v>Agosto|222</v>
      </c>
    </row>
    <row r="1604" spans="1:14" ht="14.5" x14ac:dyDescent="0.25">
      <c r="A1604" s="19">
        <v>34</v>
      </c>
      <c r="B1604" s="18" t="s">
        <v>41</v>
      </c>
      <c r="C1604" s="18" t="s">
        <v>99</v>
      </c>
      <c r="D1604" s="18" t="s">
        <v>1621</v>
      </c>
      <c r="E1604" s="18" t="s">
        <v>2161</v>
      </c>
      <c r="F1604" s="101">
        <v>46241.000694444447</v>
      </c>
      <c r="G1604" s="101">
        <v>46242.395833333336</v>
      </c>
      <c r="H1604" s="18" t="s">
        <v>507</v>
      </c>
      <c r="I1604" s="18" t="s">
        <v>508</v>
      </c>
      <c r="J1604" s="18"/>
      <c r="K1604" s="21">
        <f t="shared" si="72"/>
        <v>33.483333333337214</v>
      </c>
      <c r="L1604" s="19">
        <f t="shared" si="73"/>
        <v>223</v>
      </c>
      <c r="M1604" s="18" t="str">
        <f>IF(I1604&lt;&gt;"Sí","",IF(YEAR(F1604)&lt;&gt;2026,"",INDEX({"Enero","Febrero","Marzo","Abril","Mayo","Junio","Julio","Agosto","Septiembre","Octubre","Noviembre","Diciembre"},MONTH(F1604))))</f>
        <v>Agosto</v>
      </c>
      <c r="N1604" s="18" t="str">
        <f t="shared" si="74"/>
        <v>Agosto|223</v>
      </c>
    </row>
    <row r="1605" spans="1:14" ht="14.5" x14ac:dyDescent="0.25">
      <c r="A1605" s="19">
        <v>34</v>
      </c>
      <c r="B1605" s="18" t="s">
        <v>41</v>
      </c>
      <c r="C1605" s="18" t="s">
        <v>99</v>
      </c>
      <c r="D1605" s="18" t="s">
        <v>1621</v>
      </c>
      <c r="E1605" s="18" t="s">
        <v>2162</v>
      </c>
      <c r="F1605" s="101">
        <v>46241.001388888886</v>
      </c>
      <c r="G1605" s="101">
        <v>46242.402777777781</v>
      </c>
      <c r="H1605" s="18" t="s">
        <v>507</v>
      </c>
      <c r="I1605" s="18" t="s">
        <v>508</v>
      </c>
      <c r="J1605" s="18"/>
      <c r="K1605" s="21">
        <f t="shared" si="72"/>
        <v>33.633333333476912</v>
      </c>
      <c r="L1605" s="19">
        <f t="shared" si="73"/>
        <v>224</v>
      </c>
      <c r="M1605" s="18" t="str">
        <f>IF(I1605&lt;&gt;"Sí","",IF(YEAR(F1605)&lt;&gt;2026,"",INDEX({"Enero","Febrero","Marzo","Abril","Mayo","Junio","Julio","Agosto","Septiembre","Octubre","Noviembre","Diciembre"},MONTH(F1605))))</f>
        <v>Agosto</v>
      </c>
      <c r="N1605" s="18" t="str">
        <f t="shared" si="74"/>
        <v>Agosto|224</v>
      </c>
    </row>
    <row r="1606" spans="1:14" ht="14.5" x14ac:dyDescent="0.25">
      <c r="A1606" s="19">
        <v>34</v>
      </c>
      <c r="B1606" s="18" t="s">
        <v>41</v>
      </c>
      <c r="C1606" s="18" t="s">
        <v>99</v>
      </c>
      <c r="D1606" s="18" t="s">
        <v>1621</v>
      </c>
      <c r="E1606" s="18" t="s">
        <v>2163</v>
      </c>
      <c r="F1606" s="101">
        <v>46241.002083333333</v>
      </c>
      <c r="G1606" s="101">
        <v>46242.399305555555</v>
      </c>
      <c r="H1606" s="18" t="s">
        <v>507</v>
      </c>
      <c r="I1606" s="18" t="s">
        <v>508</v>
      </c>
      <c r="J1606" s="18"/>
      <c r="K1606" s="21">
        <f t="shared" si="72"/>
        <v>33.533333333325572</v>
      </c>
      <c r="L1606" s="19">
        <f t="shared" si="73"/>
        <v>225</v>
      </c>
      <c r="M1606" s="18" t="str">
        <f>IF(I1606&lt;&gt;"Sí","",IF(YEAR(F1606)&lt;&gt;2026,"",INDEX({"Enero","Febrero","Marzo","Abril","Mayo","Junio","Julio","Agosto","Septiembre","Octubre","Noviembre","Diciembre"},MONTH(F1606))))</f>
        <v>Agosto</v>
      </c>
      <c r="N1606" s="18" t="str">
        <f t="shared" si="74"/>
        <v>Agosto|225</v>
      </c>
    </row>
    <row r="1607" spans="1:14" ht="14.5" x14ac:dyDescent="0.25">
      <c r="A1607" s="19">
        <v>34</v>
      </c>
      <c r="B1607" s="18" t="s">
        <v>41</v>
      </c>
      <c r="C1607" s="18" t="s">
        <v>99</v>
      </c>
      <c r="D1607" s="18" t="s">
        <v>1621</v>
      </c>
      <c r="E1607" s="18" t="s">
        <v>2164</v>
      </c>
      <c r="F1607" s="101">
        <v>46241.00277777778</v>
      </c>
      <c r="G1607" s="101">
        <v>46242.24722222222</v>
      </c>
      <c r="H1607" s="18" t="s">
        <v>507</v>
      </c>
      <c r="I1607" s="18" t="s">
        <v>508</v>
      </c>
      <c r="J1607" s="18"/>
      <c r="K1607" s="21">
        <f t="shared" ref="K1607:K1670" si="75">IF(I1607="Sí",(G1607-F1607)*24,"")</f>
        <v>29.866666666581295</v>
      </c>
      <c r="L1607" s="19">
        <f t="shared" ref="L1607:L1670" si="76">IF(I1607="Sí",COUNTIFS($F$7:$F$4000,"&lt;="&amp;F1607,$G$7:$G$4000,"&gt;"&amp;F1607,$I$7:$I$4000,"Sí"),"")</f>
        <v>226</v>
      </c>
      <c r="M1607" s="18" t="str">
        <f>IF(I1607&lt;&gt;"Sí","",IF(YEAR(F1607)&lt;&gt;2026,"",INDEX({"Enero","Febrero","Marzo","Abril","Mayo","Junio","Julio","Agosto","Septiembre","Octubre","Noviembre","Diciembre"},MONTH(F1607))))</f>
        <v>Agosto</v>
      </c>
      <c r="N1607" s="18" t="str">
        <f t="shared" ref="N1607:N1670" si="77">IF(M1607="","",M1607&amp;"|"&amp;L1607)</f>
        <v>Agosto|226</v>
      </c>
    </row>
    <row r="1608" spans="1:14" ht="14.5" x14ac:dyDescent="0.25">
      <c r="A1608" s="19">
        <v>34</v>
      </c>
      <c r="B1608" s="18" t="s">
        <v>41</v>
      </c>
      <c r="C1608" s="18" t="s">
        <v>99</v>
      </c>
      <c r="D1608" s="18" t="s">
        <v>1621</v>
      </c>
      <c r="E1608" s="18" t="s">
        <v>2165</v>
      </c>
      <c r="F1608" s="101">
        <v>46241.003472222219</v>
      </c>
      <c r="G1608" s="101">
        <v>46242.24722222222</v>
      </c>
      <c r="H1608" s="18" t="s">
        <v>507</v>
      </c>
      <c r="I1608" s="18" t="s">
        <v>508</v>
      </c>
      <c r="J1608" s="18"/>
      <c r="K1608" s="21">
        <f t="shared" si="75"/>
        <v>29.850000000034925</v>
      </c>
      <c r="L1608" s="19">
        <f t="shared" si="76"/>
        <v>227</v>
      </c>
      <c r="M1608" s="18" t="str">
        <f>IF(I1608&lt;&gt;"Sí","",IF(YEAR(F1608)&lt;&gt;2026,"",INDEX({"Enero","Febrero","Marzo","Abril","Mayo","Junio","Julio","Agosto","Septiembre","Octubre","Noviembre","Diciembre"},MONTH(F1608))))</f>
        <v>Agosto</v>
      </c>
      <c r="N1608" s="18" t="str">
        <f t="shared" si="77"/>
        <v>Agosto|227</v>
      </c>
    </row>
    <row r="1609" spans="1:14" ht="14.5" x14ac:dyDescent="0.25">
      <c r="A1609" s="19">
        <v>34</v>
      </c>
      <c r="B1609" s="18" t="s">
        <v>41</v>
      </c>
      <c r="C1609" s="18" t="s">
        <v>99</v>
      </c>
      <c r="D1609" s="18" t="s">
        <v>1621</v>
      </c>
      <c r="E1609" s="18" t="s">
        <v>2166</v>
      </c>
      <c r="F1609" s="101">
        <v>46241.006944444445</v>
      </c>
      <c r="G1609" s="101">
        <v>46242.24722222222</v>
      </c>
      <c r="H1609" s="18" t="s">
        <v>507</v>
      </c>
      <c r="I1609" s="18" t="s">
        <v>508</v>
      </c>
      <c r="J1609" s="18"/>
      <c r="K1609" s="21">
        <f t="shared" si="75"/>
        <v>29.766666666604578</v>
      </c>
      <c r="L1609" s="19">
        <f t="shared" si="76"/>
        <v>226</v>
      </c>
      <c r="M1609" s="18" t="str">
        <f>IF(I1609&lt;&gt;"Sí","",IF(YEAR(F1609)&lt;&gt;2026,"",INDEX({"Enero","Febrero","Marzo","Abril","Mayo","Junio","Julio","Agosto","Septiembre","Octubre","Noviembre","Diciembre"},MONTH(F1609))))</f>
        <v>Agosto</v>
      </c>
      <c r="N1609" s="18" t="str">
        <f t="shared" si="77"/>
        <v>Agosto|226</v>
      </c>
    </row>
    <row r="1610" spans="1:14" ht="14.5" x14ac:dyDescent="0.25">
      <c r="A1610" s="19">
        <v>34</v>
      </c>
      <c r="B1610" s="18" t="s">
        <v>41</v>
      </c>
      <c r="C1610" s="18" t="s">
        <v>99</v>
      </c>
      <c r="D1610" s="18" t="s">
        <v>1621</v>
      </c>
      <c r="E1610" s="18" t="s">
        <v>2167</v>
      </c>
      <c r="F1610" s="101">
        <v>46241.010416666664</v>
      </c>
      <c r="G1610" s="101">
        <v>46242.180555555555</v>
      </c>
      <c r="H1610" s="18" t="s">
        <v>507</v>
      </c>
      <c r="I1610" s="18" t="s">
        <v>508</v>
      </c>
      <c r="J1610" s="18"/>
      <c r="K1610" s="21">
        <f t="shared" si="75"/>
        <v>28.083333333372138</v>
      </c>
      <c r="L1610" s="19">
        <f t="shared" si="76"/>
        <v>227</v>
      </c>
      <c r="M1610" s="18" t="str">
        <f>IF(I1610&lt;&gt;"Sí","",IF(YEAR(F1610)&lt;&gt;2026,"",INDEX({"Enero","Febrero","Marzo","Abril","Mayo","Junio","Julio","Agosto","Septiembre","Octubre","Noviembre","Diciembre"},MONTH(F1610))))</f>
        <v>Agosto</v>
      </c>
      <c r="N1610" s="18" t="str">
        <f t="shared" si="77"/>
        <v>Agosto|227</v>
      </c>
    </row>
    <row r="1611" spans="1:14" ht="14.5" x14ac:dyDescent="0.25">
      <c r="A1611" s="19">
        <v>34</v>
      </c>
      <c r="B1611" s="18" t="s">
        <v>41</v>
      </c>
      <c r="C1611" s="18" t="s">
        <v>99</v>
      </c>
      <c r="D1611" s="18" t="s">
        <v>1621</v>
      </c>
      <c r="E1611" s="18" t="s">
        <v>2168</v>
      </c>
      <c r="F1611" s="101">
        <v>46241.012499999997</v>
      </c>
      <c r="G1611" s="101">
        <v>46242.180555555555</v>
      </c>
      <c r="H1611" s="18" t="s">
        <v>507</v>
      </c>
      <c r="I1611" s="18" t="s">
        <v>508</v>
      </c>
      <c r="J1611" s="18"/>
      <c r="K1611" s="21">
        <f t="shared" si="75"/>
        <v>28.03333333338378</v>
      </c>
      <c r="L1611" s="19">
        <f t="shared" si="76"/>
        <v>228</v>
      </c>
      <c r="M1611" s="18" t="str">
        <f>IF(I1611&lt;&gt;"Sí","",IF(YEAR(F1611)&lt;&gt;2026,"",INDEX({"Enero","Febrero","Marzo","Abril","Mayo","Junio","Julio","Agosto","Septiembre","Octubre","Noviembre","Diciembre"},MONTH(F1611))))</f>
        <v>Agosto</v>
      </c>
      <c r="N1611" s="18" t="str">
        <f t="shared" si="77"/>
        <v>Agosto|228</v>
      </c>
    </row>
    <row r="1612" spans="1:14" ht="14.5" x14ac:dyDescent="0.25">
      <c r="A1612" s="19">
        <v>34</v>
      </c>
      <c r="B1612" s="18" t="s">
        <v>41</v>
      </c>
      <c r="C1612" s="18" t="s">
        <v>99</v>
      </c>
      <c r="D1612" s="18" t="s">
        <v>1621</v>
      </c>
      <c r="E1612" s="18" t="s">
        <v>2169</v>
      </c>
      <c r="F1612" s="101">
        <v>46241.013888888891</v>
      </c>
      <c r="G1612" s="101">
        <v>46242.180555555555</v>
      </c>
      <c r="H1612" s="18" t="s">
        <v>507</v>
      </c>
      <c r="I1612" s="18" t="s">
        <v>508</v>
      </c>
      <c r="J1612" s="18"/>
      <c r="K1612" s="21">
        <f t="shared" si="75"/>
        <v>27.999999999941792</v>
      </c>
      <c r="L1612" s="19">
        <f t="shared" si="76"/>
        <v>229</v>
      </c>
      <c r="M1612" s="18" t="str">
        <f>IF(I1612&lt;&gt;"Sí","",IF(YEAR(F1612)&lt;&gt;2026,"",INDEX({"Enero","Febrero","Marzo","Abril","Mayo","Junio","Julio","Agosto","Septiembre","Octubre","Noviembre","Diciembre"},MONTH(F1612))))</f>
        <v>Agosto</v>
      </c>
      <c r="N1612" s="18" t="str">
        <f t="shared" si="77"/>
        <v>Agosto|229</v>
      </c>
    </row>
    <row r="1613" spans="1:14" ht="14.5" x14ac:dyDescent="0.25">
      <c r="A1613" s="19">
        <v>34</v>
      </c>
      <c r="B1613" s="18" t="s">
        <v>41</v>
      </c>
      <c r="C1613" s="18" t="s">
        <v>99</v>
      </c>
      <c r="D1613" s="18" t="s">
        <v>1621</v>
      </c>
      <c r="E1613" s="18" t="s">
        <v>2170</v>
      </c>
      <c r="F1613" s="101">
        <v>46241.017361111109</v>
      </c>
      <c r="G1613" s="101">
        <v>46242.180555555555</v>
      </c>
      <c r="H1613" s="18" t="s">
        <v>507</v>
      </c>
      <c r="I1613" s="18" t="s">
        <v>508</v>
      </c>
      <c r="J1613" s="18"/>
      <c r="K1613" s="21">
        <f t="shared" si="75"/>
        <v>27.916666666686069</v>
      </c>
      <c r="L1613" s="19">
        <f t="shared" si="76"/>
        <v>230</v>
      </c>
      <c r="M1613" s="18" t="str">
        <f>IF(I1613&lt;&gt;"Sí","",IF(YEAR(F1613)&lt;&gt;2026,"",INDEX({"Enero","Febrero","Marzo","Abril","Mayo","Junio","Julio","Agosto","Septiembre","Octubre","Noviembre","Diciembre"},MONTH(F1613))))</f>
        <v>Agosto</v>
      </c>
      <c r="N1613" s="18" t="str">
        <f t="shared" si="77"/>
        <v>Agosto|230</v>
      </c>
    </row>
    <row r="1614" spans="1:14" ht="14.5" x14ac:dyDescent="0.25">
      <c r="A1614" s="19">
        <v>34</v>
      </c>
      <c r="B1614" s="18" t="s">
        <v>41</v>
      </c>
      <c r="C1614" s="18" t="s">
        <v>99</v>
      </c>
      <c r="D1614" s="18" t="s">
        <v>1621</v>
      </c>
      <c r="E1614" s="18" t="s">
        <v>2171</v>
      </c>
      <c r="F1614" s="101">
        <v>46241.018750000003</v>
      </c>
      <c r="G1614" s="101">
        <v>46242.180555555555</v>
      </c>
      <c r="H1614" s="18" t="s">
        <v>507</v>
      </c>
      <c r="I1614" s="18" t="s">
        <v>508</v>
      </c>
      <c r="J1614" s="18"/>
      <c r="K1614" s="21">
        <f t="shared" si="75"/>
        <v>27.883333333244082</v>
      </c>
      <c r="L1614" s="19">
        <f t="shared" si="76"/>
        <v>231</v>
      </c>
      <c r="M1614" s="18" t="str">
        <f>IF(I1614&lt;&gt;"Sí","",IF(YEAR(F1614)&lt;&gt;2026,"",INDEX({"Enero","Febrero","Marzo","Abril","Mayo","Junio","Julio","Agosto","Septiembre","Octubre","Noviembre","Diciembre"},MONTH(F1614))))</f>
        <v>Agosto</v>
      </c>
      <c r="N1614" s="18" t="str">
        <f t="shared" si="77"/>
        <v>Agosto|231</v>
      </c>
    </row>
    <row r="1615" spans="1:14" ht="14.5" x14ac:dyDescent="0.25">
      <c r="A1615" s="19">
        <v>34</v>
      </c>
      <c r="B1615" s="18" t="s">
        <v>41</v>
      </c>
      <c r="C1615" s="18" t="s">
        <v>99</v>
      </c>
      <c r="D1615" s="18" t="s">
        <v>1621</v>
      </c>
      <c r="E1615" s="18" t="s">
        <v>2172</v>
      </c>
      <c r="F1615" s="101">
        <v>46241.020833333336</v>
      </c>
      <c r="G1615" s="101">
        <v>46242.180555555555</v>
      </c>
      <c r="H1615" s="18" t="s">
        <v>507</v>
      </c>
      <c r="I1615" s="18" t="s">
        <v>508</v>
      </c>
      <c r="J1615" s="18"/>
      <c r="K1615" s="21">
        <f t="shared" si="75"/>
        <v>27.833333333255723</v>
      </c>
      <c r="L1615" s="19">
        <f t="shared" si="76"/>
        <v>232</v>
      </c>
      <c r="M1615" s="18" t="str">
        <f>IF(I1615&lt;&gt;"Sí","",IF(YEAR(F1615)&lt;&gt;2026,"",INDEX({"Enero","Febrero","Marzo","Abril","Mayo","Junio","Julio","Agosto","Septiembre","Octubre","Noviembre","Diciembre"},MONTH(F1615))))</f>
        <v>Agosto</v>
      </c>
      <c r="N1615" s="18" t="str">
        <f t="shared" si="77"/>
        <v>Agosto|232</v>
      </c>
    </row>
    <row r="1616" spans="1:14" ht="14.5" x14ac:dyDescent="0.25">
      <c r="A1616" s="19">
        <v>34</v>
      </c>
      <c r="B1616" s="18" t="s">
        <v>41</v>
      </c>
      <c r="C1616" s="18" t="s">
        <v>99</v>
      </c>
      <c r="D1616" s="18" t="s">
        <v>1621</v>
      </c>
      <c r="E1616" s="18" t="s">
        <v>2173</v>
      </c>
      <c r="F1616" s="101">
        <v>46241.024305555555</v>
      </c>
      <c r="G1616" s="101">
        <v>46242.006944444445</v>
      </c>
      <c r="H1616" s="18" t="s">
        <v>507</v>
      </c>
      <c r="I1616" s="18" t="s">
        <v>508</v>
      </c>
      <c r="J1616" s="18"/>
      <c r="K1616" s="21">
        <f t="shared" si="75"/>
        <v>23.583333333372138</v>
      </c>
      <c r="L1616" s="19">
        <f t="shared" si="76"/>
        <v>233</v>
      </c>
      <c r="M1616" s="18" t="str">
        <f>IF(I1616&lt;&gt;"Sí","",IF(YEAR(F1616)&lt;&gt;2026,"",INDEX({"Enero","Febrero","Marzo","Abril","Mayo","Junio","Julio","Agosto","Septiembre","Octubre","Noviembre","Diciembre"},MONTH(F1616))))</f>
        <v>Agosto</v>
      </c>
      <c r="N1616" s="18" t="str">
        <f t="shared" si="77"/>
        <v>Agosto|233</v>
      </c>
    </row>
    <row r="1617" spans="1:14" ht="14.5" x14ac:dyDescent="0.25">
      <c r="A1617" s="19">
        <v>34</v>
      </c>
      <c r="B1617" s="18" t="s">
        <v>41</v>
      </c>
      <c r="C1617" s="18" t="s">
        <v>99</v>
      </c>
      <c r="D1617" s="18" t="s">
        <v>1621</v>
      </c>
      <c r="E1617" s="18" t="s">
        <v>2174</v>
      </c>
      <c r="F1617" s="101">
        <v>46241.030555555553</v>
      </c>
      <c r="G1617" s="101">
        <v>46242.004861111112</v>
      </c>
      <c r="H1617" s="18" t="s">
        <v>507</v>
      </c>
      <c r="I1617" s="18" t="s">
        <v>508</v>
      </c>
      <c r="J1617" s="18"/>
      <c r="K1617" s="21">
        <f t="shared" si="75"/>
        <v>23.383333333418705</v>
      </c>
      <c r="L1617" s="19">
        <f t="shared" si="76"/>
        <v>234</v>
      </c>
      <c r="M1617" s="18" t="str">
        <f>IF(I1617&lt;&gt;"Sí","",IF(YEAR(F1617)&lt;&gt;2026,"",INDEX({"Enero","Febrero","Marzo","Abril","Mayo","Junio","Julio","Agosto","Septiembre","Octubre","Noviembre","Diciembre"},MONTH(F1617))))</f>
        <v>Agosto</v>
      </c>
      <c r="N1617" s="18" t="str">
        <f t="shared" si="77"/>
        <v>Agosto|234</v>
      </c>
    </row>
    <row r="1618" spans="1:14" ht="14.5" x14ac:dyDescent="0.25">
      <c r="A1618" s="19">
        <v>34</v>
      </c>
      <c r="B1618" s="18" t="s">
        <v>41</v>
      </c>
      <c r="C1618" s="18" t="s">
        <v>99</v>
      </c>
      <c r="D1618" s="18" t="s">
        <v>1621</v>
      </c>
      <c r="E1618" s="18" t="s">
        <v>2175</v>
      </c>
      <c r="F1618" s="101">
        <v>46241.031944444447</v>
      </c>
      <c r="G1618" s="101">
        <v>46242.00277777778</v>
      </c>
      <c r="H1618" s="18" t="s">
        <v>507</v>
      </c>
      <c r="I1618" s="18" t="s">
        <v>508</v>
      </c>
      <c r="J1618" s="18"/>
      <c r="K1618" s="21">
        <f t="shared" si="75"/>
        <v>23.299999999988358</v>
      </c>
      <c r="L1618" s="19">
        <f t="shared" si="76"/>
        <v>235</v>
      </c>
      <c r="M1618" s="18" t="str">
        <f>IF(I1618&lt;&gt;"Sí","",IF(YEAR(F1618)&lt;&gt;2026,"",INDEX({"Enero","Febrero","Marzo","Abril","Mayo","Junio","Julio","Agosto","Septiembre","Octubre","Noviembre","Diciembre"},MONTH(F1618))))</f>
        <v>Agosto</v>
      </c>
      <c r="N1618" s="18" t="str">
        <f t="shared" si="77"/>
        <v>Agosto|235</v>
      </c>
    </row>
    <row r="1619" spans="1:14" ht="14.5" x14ac:dyDescent="0.25">
      <c r="A1619" s="19">
        <v>34</v>
      </c>
      <c r="B1619" s="18" t="s">
        <v>41</v>
      </c>
      <c r="C1619" s="18" t="s">
        <v>99</v>
      </c>
      <c r="D1619" s="18" t="s">
        <v>1621</v>
      </c>
      <c r="E1619" s="18" t="s">
        <v>2176</v>
      </c>
      <c r="F1619" s="101">
        <v>46241.03402777778</v>
      </c>
      <c r="G1619" s="101">
        <v>46242.000694444447</v>
      </c>
      <c r="H1619" s="18" t="s">
        <v>507</v>
      </c>
      <c r="I1619" s="18" t="s">
        <v>508</v>
      </c>
      <c r="J1619" s="18"/>
      <c r="K1619" s="21">
        <f t="shared" si="75"/>
        <v>23.200000000011642</v>
      </c>
      <c r="L1619" s="19">
        <f t="shared" si="76"/>
        <v>236</v>
      </c>
      <c r="M1619" s="18" t="str">
        <f>IF(I1619&lt;&gt;"Sí","",IF(YEAR(F1619)&lt;&gt;2026,"",INDEX({"Enero","Febrero","Marzo","Abril","Mayo","Junio","Julio","Agosto","Septiembre","Octubre","Noviembre","Diciembre"},MONTH(F1619))))</f>
        <v>Agosto</v>
      </c>
      <c r="N1619" s="18" t="str">
        <f t="shared" si="77"/>
        <v>Agosto|236</v>
      </c>
    </row>
    <row r="1620" spans="1:14" ht="14.5" x14ac:dyDescent="0.25">
      <c r="A1620" s="19">
        <v>34</v>
      </c>
      <c r="B1620" s="18" t="s">
        <v>41</v>
      </c>
      <c r="C1620" s="18" t="s">
        <v>99</v>
      </c>
      <c r="D1620" s="18" t="s">
        <v>1621</v>
      </c>
      <c r="E1620" s="18" t="s">
        <v>2177</v>
      </c>
      <c r="F1620" s="101">
        <v>46241.034722222219</v>
      </c>
      <c r="G1620" s="101">
        <v>46241.998611111114</v>
      </c>
      <c r="H1620" s="18" t="s">
        <v>507</v>
      </c>
      <c r="I1620" s="18" t="s">
        <v>508</v>
      </c>
      <c r="J1620" s="18"/>
      <c r="K1620" s="21">
        <f t="shared" si="75"/>
        <v>23.133333333476912</v>
      </c>
      <c r="L1620" s="19">
        <f t="shared" si="76"/>
        <v>237</v>
      </c>
      <c r="M1620" s="18" t="str">
        <f>IF(I1620&lt;&gt;"Sí","",IF(YEAR(F1620)&lt;&gt;2026,"",INDEX({"Enero","Febrero","Marzo","Abril","Mayo","Junio","Julio","Agosto","Septiembre","Octubre","Noviembre","Diciembre"},MONTH(F1620))))</f>
        <v>Agosto</v>
      </c>
      <c r="N1620" s="18" t="str">
        <f t="shared" si="77"/>
        <v>Agosto|237</v>
      </c>
    </row>
    <row r="1621" spans="1:14" ht="14.5" x14ac:dyDescent="0.25">
      <c r="A1621" s="19">
        <v>34</v>
      </c>
      <c r="B1621" s="18" t="s">
        <v>41</v>
      </c>
      <c r="C1621" s="18" t="s">
        <v>99</v>
      </c>
      <c r="D1621" s="18" t="s">
        <v>1621</v>
      </c>
      <c r="E1621" s="18" t="s">
        <v>2178</v>
      </c>
      <c r="F1621" s="101">
        <v>46241.035416666666</v>
      </c>
      <c r="G1621" s="101">
        <v>46241.996527777781</v>
      </c>
      <c r="H1621" s="18" t="s">
        <v>507</v>
      </c>
      <c r="I1621" s="18" t="s">
        <v>508</v>
      </c>
      <c r="J1621" s="18"/>
      <c r="K1621" s="21">
        <f t="shared" si="75"/>
        <v>23.06666666676756</v>
      </c>
      <c r="L1621" s="19">
        <f t="shared" si="76"/>
        <v>238</v>
      </c>
      <c r="M1621" s="18" t="str">
        <f>IF(I1621&lt;&gt;"Sí","",IF(YEAR(F1621)&lt;&gt;2026,"",INDEX({"Enero","Febrero","Marzo","Abril","Mayo","Junio","Julio","Agosto","Septiembre","Octubre","Noviembre","Diciembre"},MONTH(F1621))))</f>
        <v>Agosto</v>
      </c>
      <c r="N1621" s="18" t="str">
        <f t="shared" si="77"/>
        <v>Agosto|238</v>
      </c>
    </row>
    <row r="1622" spans="1:14" ht="14.5" x14ac:dyDescent="0.25">
      <c r="A1622" s="19">
        <v>34</v>
      </c>
      <c r="B1622" s="18" t="s">
        <v>41</v>
      </c>
      <c r="C1622" s="18" t="s">
        <v>99</v>
      </c>
      <c r="D1622" s="18" t="s">
        <v>1621</v>
      </c>
      <c r="E1622" s="18" t="s">
        <v>2179</v>
      </c>
      <c r="F1622" s="101">
        <v>46241.041666666664</v>
      </c>
      <c r="G1622" s="101">
        <v>46241.994444444441</v>
      </c>
      <c r="H1622" s="18" t="s">
        <v>507</v>
      </c>
      <c r="I1622" s="18" t="s">
        <v>508</v>
      </c>
      <c r="J1622" s="18"/>
      <c r="K1622" s="21">
        <f t="shared" si="75"/>
        <v>22.866666666639503</v>
      </c>
      <c r="L1622" s="19">
        <f t="shared" si="76"/>
        <v>239</v>
      </c>
      <c r="M1622" s="18" t="str">
        <f>IF(I1622&lt;&gt;"Sí","",IF(YEAR(F1622)&lt;&gt;2026,"",INDEX({"Enero","Febrero","Marzo","Abril","Mayo","Junio","Julio","Agosto","Septiembre","Octubre","Noviembre","Diciembre"},MONTH(F1622))))</f>
        <v>Agosto</v>
      </c>
      <c r="N1622" s="18" t="str">
        <f t="shared" si="77"/>
        <v>Agosto|239</v>
      </c>
    </row>
    <row r="1623" spans="1:14" ht="14.5" x14ac:dyDescent="0.25">
      <c r="A1623" s="19">
        <v>34</v>
      </c>
      <c r="B1623" s="18" t="s">
        <v>41</v>
      </c>
      <c r="C1623" s="18" t="s">
        <v>99</v>
      </c>
      <c r="D1623" s="18" t="s">
        <v>1621</v>
      </c>
      <c r="E1623" s="18" t="s">
        <v>2180</v>
      </c>
      <c r="F1623" s="101">
        <v>46241.04583333333</v>
      </c>
      <c r="G1623" s="101">
        <v>46241.993055555555</v>
      </c>
      <c r="H1623" s="18" t="s">
        <v>507</v>
      </c>
      <c r="I1623" s="18" t="s">
        <v>508</v>
      </c>
      <c r="J1623" s="18"/>
      <c r="K1623" s="21">
        <f t="shared" si="75"/>
        <v>22.733333333395422</v>
      </c>
      <c r="L1623" s="19">
        <f t="shared" si="76"/>
        <v>240</v>
      </c>
      <c r="M1623" s="18" t="str">
        <f>IF(I1623&lt;&gt;"Sí","",IF(YEAR(F1623)&lt;&gt;2026,"",INDEX({"Enero","Febrero","Marzo","Abril","Mayo","Junio","Julio","Agosto","Septiembre","Octubre","Noviembre","Diciembre"},MONTH(F1623))))</f>
        <v>Agosto</v>
      </c>
      <c r="N1623" s="18" t="str">
        <f t="shared" si="77"/>
        <v>Agosto|240</v>
      </c>
    </row>
    <row r="1624" spans="1:14" ht="14.5" x14ac:dyDescent="0.25">
      <c r="A1624" s="19">
        <v>34</v>
      </c>
      <c r="B1624" s="18" t="s">
        <v>41</v>
      </c>
      <c r="C1624" s="18" t="s">
        <v>99</v>
      </c>
      <c r="D1624" s="18" t="s">
        <v>1621</v>
      </c>
      <c r="E1624" s="18" t="s">
        <v>2181</v>
      </c>
      <c r="F1624" s="101">
        <v>46241.048611111109</v>
      </c>
      <c r="G1624" s="101">
        <v>46241.990972222222</v>
      </c>
      <c r="H1624" s="18" t="s">
        <v>507</v>
      </c>
      <c r="I1624" s="18" t="s">
        <v>508</v>
      </c>
      <c r="J1624" s="18"/>
      <c r="K1624" s="21">
        <f t="shared" si="75"/>
        <v>22.616666666697711</v>
      </c>
      <c r="L1624" s="19">
        <f t="shared" si="76"/>
        <v>241</v>
      </c>
      <c r="M1624" s="18" t="str">
        <f>IF(I1624&lt;&gt;"Sí","",IF(YEAR(F1624)&lt;&gt;2026,"",INDEX({"Enero","Febrero","Marzo","Abril","Mayo","Junio","Julio","Agosto","Septiembre","Octubre","Noviembre","Diciembre"},MONTH(F1624))))</f>
        <v>Agosto</v>
      </c>
      <c r="N1624" s="18" t="str">
        <f t="shared" si="77"/>
        <v>Agosto|241</v>
      </c>
    </row>
    <row r="1625" spans="1:14" ht="14.5" x14ac:dyDescent="0.25">
      <c r="A1625" s="19">
        <v>34</v>
      </c>
      <c r="B1625" s="18" t="s">
        <v>41</v>
      </c>
      <c r="C1625" s="18" t="s">
        <v>99</v>
      </c>
      <c r="D1625" s="18" t="s">
        <v>1621</v>
      </c>
      <c r="E1625" s="18" t="s">
        <v>2182</v>
      </c>
      <c r="F1625" s="101">
        <v>46241.050694444442</v>
      </c>
      <c r="G1625" s="101">
        <v>46241.988888888889</v>
      </c>
      <c r="H1625" s="18" t="s">
        <v>507</v>
      </c>
      <c r="I1625" s="18" t="s">
        <v>508</v>
      </c>
      <c r="J1625" s="18"/>
      <c r="K1625" s="21">
        <f t="shared" si="75"/>
        <v>22.516666666720994</v>
      </c>
      <c r="L1625" s="19">
        <f t="shared" si="76"/>
        <v>242</v>
      </c>
      <c r="M1625" s="18" t="str">
        <f>IF(I1625&lt;&gt;"Sí","",IF(YEAR(F1625)&lt;&gt;2026,"",INDEX({"Enero","Febrero","Marzo","Abril","Mayo","Junio","Julio","Agosto","Septiembre","Octubre","Noviembre","Diciembre"},MONTH(F1625))))</f>
        <v>Agosto</v>
      </c>
      <c r="N1625" s="18" t="str">
        <f t="shared" si="77"/>
        <v>Agosto|242</v>
      </c>
    </row>
    <row r="1626" spans="1:14" ht="14.5" x14ac:dyDescent="0.25">
      <c r="A1626" s="19">
        <v>34</v>
      </c>
      <c r="B1626" s="18" t="s">
        <v>41</v>
      </c>
      <c r="C1626" s="18" t="s">
        <v>99</v>
      </c>
      <c r="D1626" s="18" t="s">
        <v>1621</v>
      </c>
      <c r="E1626" s="18" t="s">
        <v>2183</v>
      </c>
      <c r="F1626" s="101">
        <v>46241.052083333336</v>
      </c>
      <c r="G1626" s="101">
        <v>46241.986805555556</v>
      </c>
      <c r="H1626" s="18" t="s">
        <v>507</v>
      </c>
      <c r="I1626" s="18" t="s">
        <v>508</v>
      </c>
      <c r="J1626" s="18"/>
      <c r="K1626" s="21">
        <f t="shared" si="75"/>
        <v>22.433333333290648</v>
      </c>
      <c r="L1626" s="19">
        <f t="shared" si="76"/>
        <v>243</v>
      </c>
      <c r="M1626" s="18" t="str">
        <f>IF(I1626&lt;&gt;"Sí","",IF(YEAR(F1626)&lt;&gt;2026,"",INDEX({"Enero","Febrero","Marzo","Abril","Mayo","Junio","Julio","Agosto","Septiembre","Octubre","Noviembre","Diciembre"},MONTH(F1626))))</f>
        <v>Agosto</v>
      </c>
      <c r="N1626" s="18" t="str">
        <f t="shared" si="77"/>
        <v>Agosto|243</v>
      </c>
    </row>
    <row r="1627" spans="1:14" ht="14.5" x14ac:dyDescent="0.25">
      <c r="A1627" s="19">
        <v>34</v>
      </c>
      <c r="B1627" s="18" t="s">
        <v>41</v>
      </c>
      <c r="C1627" s="18" t="s">
        <v>99</v>
      </c>
      <c r="D1627" s="18" t="s">
        <v>1621</v>
      </c>
      <c r="E1627" s="18" t="s">
        <v>2184</v>
      </c>
      <c r="F1627" s="101">
        <v>46241.053472222222</v>
      </c>
      <c r="G1627" s="101">
        <v>46241.981944444444</v>
      </c>
      <c r="H1627" s="18" t="s">
        <v>507</v>
      </c>
      <c r="I1627" s="18" t="s">
        <v>508</v>
      </c>
      <c r="J1627" s="18"/>
      <c r="K1627" s="21">
        <f t="shared" si="75"/>
        <v>22.283333333325572</v>
      </c>
      <c r="L1627" s="19">
        <f t="shared" si="76"/>
        <v>244</v>
      </c>
      <c r="M1627" s="18" t="str">
        <f>IF(I1627&lt;&gt;"Sí","",IF(YEAR(F1627)&lt;&gt;2026,"",INDEX({"Enero","Febrero","Marzo","Abril","Mayo","Junio","Julio","Agosto","Septiembre","Octubre","Noviembre","Diciembre"},MONTH(F1627))))</f>
        <v>Agosto</v>
      </c>
      <c r="N1627" s="18" t="str">
        <f t="shared" si="77"/>
        <v>Agosto|244</v>
      </c>
    </row>
    <row r="1628" spans="1:14" ht="14.5" x14ac:dyDescent="0.25">
      <c r="A1628" s="19">
        <v>34</v>
      </c>
      <c r="B1628" s="18" t="s">
        <v>41</v>
      </c>
      <c r="C1628" s="18" t="s">
        <v>99</v>
      </c>
      <c r="D1628" s="18" t="s">
        <v>1621</v>
      </c>
      <c r="E1628" s="18" t="s">
        <v>2185</v>
      </c>
      <c r="F1628" s="101">
        <v>46241.056944444441</v>
      </c>
      <c r="G1628" s="101">
        <v>46241.9375</v>
      </c>
      <c r="H1628" s="18" t="s">
        <v>507</v>
      </c>
      <c r="I1628" s="18" t="s">
        <v>508</v>
      </c>
      <c r="J1628" s="18"/>
      <c r="K1628" s="21">
        <f t="shared" si="75"/>
        <v>21.133333333418705</v>
      </c>
      <c r="L1628" s="19">
        <f t="shared" si="76"/>
        <v>245</v>
      </c>
      <c r="M1628" s="18" t="str">
        <f>IF(I1628&lt;&gt;"Sí","",IF(YEAR(F1628)&lt;&gt;2026,"",INDEX({"Enero","Febrero","Marzo","Abril","Mayo","Junio","Julio","Agosto","Septiembre","Octubre","Noviembre","Diciembre"},MONTH(F1628))))</f>
        <v>Agosto</v>
      </c>
      <c r="N1628" s="18" t="str">
        <f t="shared" si="77"/>
        <v>Agosto|245</v>
      </c>
    </row>
    <row r="1629" spans="1:14" ht="14.5" x14ac:dyDescent="0.25">
      <c r="A1629" s="19">
        <v>34</v>
      </c>
      <c r="B1629" s="18" t="s">
        <v>41</v>
      </c>
      <c r="C1629" s="18" t="s">
        <v>99</v>
      </c>
      <c r="D1629" s="18" t="s">
        <v>1621</v>
      </c>
      <c r="E1629" s="18" t="s">
        <v>2186</v>
      </c>
      <c r="F1629" s="101">
        <v>46241.058333333334</v>
      </c>
      <c r="G1629" s="101">
        <v>46241.936805555553</v>
      </c>
      <c r="H1629" s="18" t="s">
        <v>507</v>
      </c>
      <c r="I1629" s="18" t="s">
        <v>508</v>
      </c>
      <c r="J1629" s="18"/>
      <c r="K1629" s="21">
        <f t="shared" si="75"/>
        <v>21.083333333255723</v>
      </c>
      <c r="L1629" s="19">
        <f t="shared" si="76"/>
        <v>246</v>
      </c>
      <c r="M1629" s="18" t="str">
        <f>IF(I1629&lt;&gt;"Sí","",IF(YEAR(F1629)&lt;&gt;2026,"",INDEX({"Enero","Febrero","Marzo","Abril","Mayo","Junio","Julio","Agosto","Septiembre","Octubre","Noviembre","Diciembre"},MONTH(F1629))))</f>
        <v>Agosto</v>
      </c>
      <c r="N1629" s="18" t="str">
        <f t="shared" si="77"/>
        <v>Agosto|246</v>
      </c>
    </row>
    <row r="1630" spans="1:14" ht="14.5" x14ac:dyDescent="0.25">
      <c r="A1630" s="19">
        <v>34</v>
      </c>
      <c r="B1630" s="18" t="s">
        <v>41</v>
      </c>
      <c r="C1630" s="18" t="s">
        <v>99</v>
      </c>
      <c r="D1630" s="18" t="s">
        <v>1621</v>
      </c>
      <c r="E1630" s="18" t="s">
        <v>2187</v>
      </c>
      <c r="F1630" s="101">
        <v>46241.05972222222</v>
      </c>
      <c r="G1630" s="101">
        <v>46241.936111111114</v>
      </c>
      <c r="H1630" s="18" t="s">
        <v>507</v>
      </c>
      <c r="I1630" s="18" t="s">
        <v>508</v>
      </c>
      <c r="J1630" s="18"/>
      <c r="K1630" s="21">
        <f t="shared" si="75"/>
        <v>21.033333333441988</v>
      </c>
      <c r="L1630" s="19">
        <f t="shared" si="76"/>
        <v>247</v>
      </c>
      <c r="M1630" s="18" t="str">
        <f>IF(I1630&lt;&gt;"Sí","",IF(YEAR(F1630)&lt;&gt;2026,"",INDEX({"Enero","Febrero","Marzo","Abril","Mayo","Junio","Julio","Agosto","Septiembre","Octubre","Noviembre","Diciembre"},MONTH(F1630))))</f>
        <v>Agosto</v>
      </c>
      <c r="N1630" s="18" t="str">
        <f t="shared" si="77"/>
        <v>Agosto|247</v>
      </c>
    </row>
    <row r="1631" spans="1:14" ht="14.5" x14ac:dyDescent="0.25">
      <c r="A1631" s="19">
        <v>34</v>
      </c>
      <c r="B1631" s="18" t="s">
        <v>41</v>
      </c>
      <c r="C1631" s="18" t="s">
        <v>99</v>
      </c>
      <c r="D1631" s="18" t="s">
        <v>1621</v>
      </c>
      <c r="E1631" s="18" t="s">
        <v>2188</v>
      </c>
      <c r="F1631" s="101">
        <v>46241.061805555553</v>
      </c>
      <c r="G1631" s="101">
        <v>46241.864583333336</v>
      </c>
      <c r="H1631" s="18" t="s">
        <v>507</v>
      </c>
      <c r="I1631" s="18" t="s">
        <v>508</v>
      </c>
      <c r="J1631" s="18"/>
      <c r="K1631" s="21">
        <f t="shared" si="75"/>
        <v>19.266666666779201</v>
      </c>
      <c r="L1631" s="19">
        <f t="shared" si="76"/>
        <v>248</v>
      </c>
      <c r="M1631" s="18" t="str">
        <f>IF(I1631&lt;&gt;"Sí","",IF(YEAR(F1631)&lt;&gt;2026,"",INDEX({"Enero","Febrero","Marzo","Abril","Mayo","Junio","Julio","Agosto","Septiembre","Octubre","Noviembre","Diciembre"},MONTH(F1631))))</f>
        <v>Agosto</v>
      </c>
      <c r="N1631" s="18" t="str">
        <f t="shared" si="77"/>
        <v>Agosto|248</v>
      </c>
    </row>
    <row r="1632" spans="1:14" ht="14.5" x14ac:dyDescent="0.25">
      <c r="A1632" s="19">
        <v>34</v>
      </c>
      <c r="B1632" s="18" t="s">
        <v>41</v>
      </c>
      <c r="C1632" s="18" t="s">
        <v>99</v>
      </c>
      <c r="D1632" s="18" t="s">
        <v>1621</v>
      </c>
      <c r="E1632" s="18" t="s">
        <v>2189</v>
      </c>
      <c r="F1632" s="101">
        <v>46241.063194444447</v>
      </c>
      <c r="G1632" s="101">
        <v>46242.402777777781</v>
      </c>
      <c r="H1632" s="18" t="s">
        <v>507</v>
      </c>
      <c r="I1632" s="18" t="s">
        <v>508</v>
      </c>
      <c r="J1632" s="18"/>
      <c r="K1632" s="21">
        <f t="shared" si="75"/>
        <v>32.150000000023283</v>
      </c>
      <c r="L1632" s="19">
        <f t="shared" si="76"/>
        <v>249</v>
      </c>
      <c r="M1632" s="18" t="str">
        <f>IF(I1632&lt;&gt;"Sí","",IF(YEAR(F1632)&lt;&gt;2026,"",INDEX({"Enero","Febrero","Marzo","Abril","Mayo","Junio","Julio","Agosto","Septiembre","Octubre","Noviembre","Diciembre"},MONTH(F1632))))</f>
        <v>Agosto</v>
      </c>
      <c r="N1632" s="18" t="str">
        <f t="shared" si="77"/>
        <v>Agosto|249</v>
      </c>
    </row>
    <row r="1633" spans="1:14" ht="14.5" x14ac:dyDescent="0.25">
      <c r="A1633" s="19">
        <v>34</v>
      </c>
      <c r="B1633" s="18" t="s">
        <v>41</v>
      </c>
      <c r="C1633" s="18" t="s">
        <v>99</v>
      </c>
      <c r="D1633" s="18" t="s">
        <v>1621</v>
      </c>
      <c r="E1633" s="18" t="s">
        <v>2190</v>
      </c>
      <c r="F1633" s="101">
        <v>46241.065972222219</v>
      </c>
      <c r="G1633" s="101">
        <v>46241.929861111108</v>
      </c>
      <c r="H1633" s="18" t="s">
        <v>507</v>
      </c>
      <c r="I1633" s="18" t="s">
        <v>508</v>
      </c>
      <c r="J1633" s="18"/>
      <c r="K1633" s="21">
        <f t="shared" si="75"/>
        <v>20.733333333337214</v>
      </c>
      <c r="L1633" s="19">
        <f t="shared" si="76"/>
        <v>250</v>
      </c>
      <c r="M1633" s="18" t="str">
        <f>IF(I1633&lt;&gt;"Sí","",IF(YEAR(F1633)&lt;&gt;2026,"",INDEX({"Enero","Febrero","Marzo","Abril","Mayo","Junio","Julio","Agosto","Septiembre","Octubre","Noviembre","Diciembre"},MONTH(F1633))))</f>
        <v>Agosto</v>
      </c>
      <c r="N1633" s="18" t="str">
        <f t="shared" si="77"/>
        <v>Agosto|250</v>
      </c>
    </row>
    <row r="1634" spans="1:14" ht="14.5" x14ac:dyDescent="0.25">
      <c r="A1634" s="19">
        <v>34</v>
      </c>
      <c r="B1634" s="18" t="s">
        <v>41</v>
      </c>
      <c r="C1634" s="18" t="s">
        <v>99</v>
      </c>
      <c r="D1634" s="18" t="s">
        <v>1621</v>
      </c>
      <c r="E1634" s="18" t="s">
        <v>2191</v>
      </c>
      <c r="F1634" s="101">
        <v>46241.067361111112</v>
      </c>
      <c r="G1634" s="101">
        <v>46241.927083333336</v>
      </c>
      <c r="H1634" s="18" t="s">
        <v>507</v>
      </c>
      <c r="I1634" s="18" t="s">
        <v>508</v>
      </c>
      <c r="J1634" s="18"/>
      <c r="K1634" s="21">
        <f t="shared" si="75"/>
        <v>20.633333333360497</v>
      </c>
      <c r="L1634" s="19">
        <f t="shared" si="76"/>
        <v>251</v>
      </c>
      <c r="M1634" s="18" t="str">
        <f>IF(I1634&lt;&gt;"Sí","",IF(YEAR(F1634)&lt;&gt;2026,"",INDEX({"Enero","Febrero","Marzo","Abril","Mayo","Junio","Julio","Agosto","Septiembre","Octubre","Noviembre","Diciembre"},MONTH(F1634))))</f>
        <v>Agosto</v>
      </c>
      <c r="N1634" s="18" t="str">
        <f t="shared" si="77"/>
        <v>Agosto|251</v>
      </c>
    </row>
    <row r="1635" spans="1:14" ht="14.5" x14ac:dyDescent="0.25">
      <c r="A1635" s="19">
        <v>34</v>
      </c>
      <c r="B1635" s="18" t="s">
        <v>41</v>
      </c>
      <c r="C1635" s="18" t="s">
        <v>99</v>
      </c>
      <c r="D1635" s="18" t="s">
        <v>1621</v>
      </c>
      <c r="E1635" s="18" t="s">
        <v>2192</v>
      </c>
      <c r="F1635" s="101">
        <v>46241.069444444445</v>
      </c>
      <c r="G1635" s="101">
        <v>46241.8125</v>
      </c>
      <c r="H1635" s="18" t="s">
        <v>507</v>
      </c>
      <c r="I1635" s="18" t="s">
        <v>508</v>
      </c>
      <c r="J1635" s="18"/>
      <c r="K1635" s="21">
        <f t="shared" si="75"/>
        <v>17.833333333313931</v>
      </c>
      <c r="L1635" s="19">
        <f t="shared" si="76"/>
        <v>252</v>
      </c>
      <c r="M1635" s="18" t="str">
        <f>IF(I1635&lt;&gt;"Sí","",IF(YEAR(F1635)&lt;&gt;2026,"",INDEX({"Enero","Febrero","Marzo","Abril","Mayo","Junio","Julio","Agosto","Septiembre","Octubre","Noviembre","Diciembre"},MONTH(F1635))))</f>
        <v>Agosto</v>
      </c>
      <c r="N1635" s="18" t="str">
        <f t="shared" si="77"/>
        <v>Agosto|252</v>
      </c>
    </row>
    <row r="1636" spans="1:14" ht="14.5" x14ac:dyDescent="0.25">
      <c r="A1636" s="19">
        <v>34</v>
      </c>
      <c r="B1636" s="18" t="s">
        <v>41</v>
      </c>
      <c r="C1636" s="18" t="s">
        <v>99</v>
      </c>
      <c r="D1636" s="18" t="s">
        <v>1621</v>
      </c>
      <c r="E1636" s="18" t="s">
        <v>2193</v>
      </c>
      <c r="F1636" s="101">
        <v>46241.072222222225</v>
      </c>
      <c r="G1636" s="101">
        <v>46241.802083333336</v>
      </c>
      <c r="H1636" s="18" t="s">
        <v>507</v>
      </c>
      <c r="I1636" s="18" t="s">
        <v>508</v>
      </c>
      <c r="J1636" s="18"/>
      <c r="K1636" s="21">
        <f t="shared" si="75"/>
        <v>17.516666666662786</v>
      </c>
      <c r="L1636" s="19">
        <f t="shared" si="76"/>
        <v>253</v>
      </c>
      <c r="M1636" s="18" t="str">
        <f>IF(I1636&lt;&gt;"Sí","",IF(YEAR(F1636)&lt;&gt;2026,"",INDEX({"Enero","Febrero","Marzo","Abril","Mayo","Junio","Julio","Agosto","Septiembre","Octubre","Noviembre","Diciembre"},MONTH(F1636))))</f>
        <v>Agosto</v>
      </c>
      <c r="N1636" s="18" t="str">
        <f t="shared" si="77"/>
        <v>Agosto|253</v>
      </c>
    </row>
    <row r="1637" spans="1:14" ht="14.5" x14ac:dyDescent="0.25">
      <c r="A1637" s="19">
        <v>34</v>
      </c>
      <c r="B1637" s="18" t="s">
        <v>41</v>
      </c>
      <c r="C1637" s="18" t="s">
        <v>99</v>
      </c>
      <c r="D1637" s="18" t="s">
        <v>1621</v>
      </c>
      <c r="E1637" s="18" t="s">
        <v>2194</v>
      </c>
      <c r="F1637" s="101">
        <v>46241.074999999997</v>
      </c>
      <c r="G1637" s="101">
        <v>46241.802083333336</v>
      </c>
      <c r="H1637" s="18" t="s">
        <v>507</v>
      </c>
      <c r="I1637" s="18" t="s">
        <v>508</v>
      </c>
      <c r="J1637" s="18"/>
      <c r="K1637" s="21">
        <f t="shared" si="75"/>
        <v>17.450000000128057</v>
      </c>
      <c r="L1637" s="19">
        <f t="shared" si="76"/>
        <v>254</v>
      </c>
      <c r="M1637" s="18" t="str">
        <f>IF(I1637&lt;&gt;"Sí","",IF(YEAR(F1637)&lt;&gt;2026,"",INDEX({"Enero","Febrero","Marzo","Abril","Mayo","Junio","Julio","Agosto","Septiembre","Octubre","Noviembre","Diciembre"},MONTH(F1637))))</f>
        <v>Agosto</v>
      </c>
      <c r="N1637" s="18" t="str">
        <f t="shared" si="77"/>
        <v>Agosto|254</v>
      </c>
    </row>
    <row r="1638" spans="1:14" ht="14.5" x14ac:dyDescent="0.25">
      <c r="A1638" s="19">
        <v>34</v>
      </c>
      <c r="B1638" s="18" t="s">
        <v>41</v>
      </c>
      <c r="C1638" s="18" t="s">
        <v>99</v>
      </c>
      <c r="D1638" s="18" t="s">
        <v>1621</v>
      </c>
      <c r="E1638" s="18" t="s">
        <v>2195</v>
      </c>
      <c r="F1638" s="101">
        <v>46241.076388888891</v>
      </c>
      <c r="G1638" s="101">
        <v>46241.802083333336</v>
      </c>
      <c r="H1638" s="18" t="s">
        <v>507</v>
      </c>
      <c r="I1638" s="18" t="s">
        <v>508</v>
      </c>
      <c r="J1638" s="18"/>
      <c r="K1638" s="21">
        <f t="shared" si="75"/>
        <v>17.416666666686069</v>
      </c>
      <c r="L1638" s="19">
        <f t="shared" si="76"/>
        <v>255</v>
      </c>
      <c r="M1638" s="18" t="str">
        <f>IF(I1638&lt;&gt;"Sí","",IF(YEAR(F1638)&lt;&gt;2026,"",INDEX({"Enero","Febrero","Marzo","Abril","Mayo","Junio","Julio","Agosto","Septiembre","Octubre","Noviembre","Diciembre"},MONTH(F1638))))</f>
        <v>Agosto</v>
      </c>
      <c r="N1638" s="18" t="str">
        <f t="shared" si="77"/>
        <v>Agosto|255</v>
      </c>
    </row>
    <row r="1639" spans="1:14" ht="14.5" x14ac:dyDescent="0.25">
      <c r="A1639" s="19">
        <v>34</v>
      </c>
      <c r="B1639" s="18" t="s">
        <v>41</v>
      </c>
      <c r="C1639" s="18" t="s">
        <v>99</v>
      </c>
      <c r="D1639" s="18" t="s">
        <v>1621</v>
      </c>
      <c r="E1639" s="18" t="s">
        <v>2196</v>
      </c>
      <c r="F1639" s="101">
        <v>46241.078472222223</v>
      </c>
      <c r="G1639" s="101">
        <v>46241.802083333336</v>
      </c>
      <c r="H1639" s="18" t="s">
        <v>507</v>
      </c>
      <c r="I1639" s="18" t="s">
        <v>508</v>
      </c>
      <c r="J1639" s="18"/>
      <c r="K1639" s="21">
        <f t="shared" si="75"/>
        <v>17.366666666697711</v>
      </c>
      <c r="L1639" s="19">
        <f t="shared" si="76"/>
        <v>256</v>
      </c>
      <c r="M1639" s="18" t="str">
        <f>IF(I1639&lt;&gt;"Sí","",IF(YEAR(F1639)&lt;&gt;2026,"",INDEX({"Enero","Febrero","Marzo","Abril","Mayo","Junio","Julio","Agosto","Septiembre","Octubre","Noviembre","Diciembre"},MONTH(F1639))))</f>
        <v>Agosto</v>
      </c>
      <c r="N1639" s="18" t="str">
        <f t="shared" si="77"/>
        <v>Agosto|256</v>
      </c>
    </row>
    <row r="1640" spans="1:14" ht="14.5" x14ac:dyDescent="0.25">
      <c r="A1640" s="19">
        <v>34</v>
      </c>
      <c r="B1640" s="18" t="s">
        <v>41</v>
      </c>
      <c r="C1640" s="18" t="s">
        <v>99</v>
      </c>
      <c r="D1640" s="18" t="s">
        <v>1621</v>
      </c>
      <c r="E1640" s="18" t="s">
        <v>2197</v>
      </c>
      <c r="F1640" s="101">
        <v>46241.081250000003</v>
      </c>
      <c r="G1640" s="101">
        <v>46241.791666666664</v>
      </c>
      <c r="H1640" s="18" t="s">
        <v>507</v>
      </c>
      <c r="I1640" s="18" t="s">
        <v>508</v>
      </c>
      <c r="J1640" s="18"/>
      <c r="K1640" s="21">
        <f t="shared" si="75"/>
        <v>17.049999999871943</v>
      </c>
      <c r="L1640" s="19">
        <f t="shared" si="76"/>
        <v>257</v>
      </c>
      <c r="M1640" s="18" t="str">
        <f>IF(I1640&lt;&gt;"Sí","",IF(YEAR(F1640)&lt;&gt;2026,"",INDEX({"Enero","Febrero","Marzo","Abril","Mayo","Junio","Julio","Agosto","Septiembre","Octubre","Noviembre","Diciembre"},MONTH(F1640))))</f>
        <v>Agosto</v>
      </c>
      <c r="N1640" s="18" t="str">
        <f t="shared" si="77"/>
        <v>Agosto|257</v>
      </c>
    </row>
    <row r="1641" spans="1:14" ht="14.5" x14ac:dyDescent="0.25">
      <c r="A1641" s="19">
        <v>34</v>
      </c>
      <c r="B1641" s="18" t="s">
        <v>41</v>
      </c>
      <c r="C1641" s="18" t="s">
        <v>99</v>
      </c>
      <c r="D1641" s="18" t="s">
        <v>1621</v>
      </c>
      <c r="E1641" s="18" t="s">
        <v>2198</v>
      </c>
      <c r="F1641" s="101">
        <v>46241.083333333336</v>
      </c>
      <c r="G1641" s="101">
        <v>46241.791666666664</v>
      </c>
      <c r="H1641" s="18" t="s">
        <v>507</v>
      </c>
      <c r="I1641" s="18" t="s">
        <v>508</v>
      </c>
      <c r="J1641" s="18"/>
      <c r="K1641" s="21">
        <f t="shared" si="75"/>
        <v>16.999999999883585</v>
      </c>
      <c r="L1641" s="19">
        <f t="shared" si="76"/>
        <v>258</v>
      </c>
      <c r="M1641" s="18" t="str">
        <f>IF(I1641&lt;&gt;"Sí","",IF(YEAR(F1641)&lt;&gt;2026,"",INDEX({"Enero","Febrero","Marzo","Abril","Mayo","Junio","Julio","Agosto","Septiembre","Octubre","Noviembre","Diciembre"},MONTH(F1641))))</f>
        <v>Agosto</v>
      </c>
      <c r="N1641" s="18" t="str">
        <f t="shared" si="77"/>
        <v>Agosto|258</v>
      </c>
    </row>
    <row r="1642" spans="1:14" ht="14.5" x14ac:dyDescent="0.25">
      <c r="A1642" s="19">
        <v>34</v>
      </c>
      <c r="B1642" s="18" t="s">
        <v>41</v>
      </c>
      <c r="C1642" s="18" t="s">
        <v>99</v>
      </c>
      <c r="D1642" s="18" t="s">
        <v>1621</v>
      </c>
      <c r="E1642" s="18" t="s">
        <v>2199</v>
      </c>
      <c r="F1642" s="101">
        <v>46241.086111111108</v>
      </c>
      <c r="G1642" s="101">
        <v>46241.791666666664</v>
      </c>
      <c r="H1642" s="18" t="s">
        <v>507</v>
      </c>
      <c r="I1642" s="18" t="s">
        <v>508</v>
      </c>
      <c r="J1642" s="18"/>
      <c r="K1642" s="21">
        <f t="shared" si="75"/>
        <v>16.933333333348855</v>
      </c>
      <c r="L1642" s="19">
        <f t="shared" si="76"/>
        <v>259</v>
      </c>
      <c r="M1642" s="18" t="str">
        <f>IF(I1642&lt;&gt;"Sí","",IF(YEAR(F1642)&lt;&gt;2026,"",INDEX({"Enero","Febrero","Marzo","Abril","Mayo","Junio","Julio","Agosto","Septiembre","Octubre","Noviembre","Diciembre"},MONTH(F1642))))</f>
        <v>Agosto</v>
      </c>
      <c r="N1642" s="18" t="str">
        <f t="shared" si="77"/>
        <v>Agosto|259</v>
      </c>
    </row>
    <row r="1643" spans="1:14" ht="14.5" x14ac:dyDescent="0.25">
      <c r="A1643" s="19">
        <v>34</v>
      </c>
      <c r="B1643" s="18" t="s">
        <v>41</v>
      </c>
      <c r="C1643" s="18" t="s">
        <v>99</v>
      </c>
      <c r="D1643" s="18" t="s">
        <v>1621</v>
      </c>
      <c r="E1643" s="18" t="s">
        <v>2200</v>
      </c>
      <c r="F1643" s="101">
        <v>46241.087500000001</v>
      </c>
      <c r="G1643" s="101">
        <v>46241.791666666664</v>
      </c>
      <c r="H1643" s="18" t="s">
        <v>507</v>
      </c>
      <c r="I1643" s="18" t="s">
        <v>508</v>
      </c>
      <c r="J1643" s="18"/>
      <c r="K1643" s="21">
        <f t="shared" si="75"/>
        <v>16.899999999906868</v>
      </c>
      <c r="L1643" s="19">
        <f t="shared" si="76"/>
        <v>260</v>
      </c>
      <c r="M1643" s="18" t="str">
        <f>IF(I1643&lt;&gt;"Sí","",IF(YEAR(F1643)&lt;&gt;2026,"",INDEX({"Enero","Febrero","Marzo","Abril","Mayo","Junio","Julio","Agosto","Septiembre","Octubre","Noviembre","Diciembre"},MONTH(F1643))))</f>
        <v>Agosto</v>
      </c>
      <c r="N1643" s="18" t="str">
        <f t="shared" si="77"/>
        <v>Agosto|260</v>
      </c>
    </row>
    <row r="1644" spans="1:14" ht="14.5" x14ac:dyDescent="0.25">
      <c r="A1644" s="19">
        <v>34</v>
      </c>
      <c r="B1644" s="18" t="s">
        <v>41</v>
      </c>
      <c r="C1644" s="18" t="s">
        <v>92</v>
      </c>
      <c r="D1644" s="18" t="s">
        <v>1981</v>
      </c>
      <c r="E1644" s="18" t="s">
        <v>2201</v>
      </c>
      <c r="F1644" s="101">
        <v>46241.090277777781</v>
      </c>
      <c r="G1644" s="101">
        <v>46251.208333333336</v>
      </c>
      <c r="H1644" s="18" t="s">
        <v>507</v>
      </c>
      <c r="I1644" s="18" t="s">
        <v>508</v>
      </c>
      <c r="J1644" s="18"/>
      <c r="K1644" s="21">
        <f t="shared" si="75"/>
        <v>242.83333333331393</v>
      </c>
      <c r="L1644" s="19">
        <f t="shared" si="76"/>
        <v>261</v>
      </c>
      <c r="M1644" s="18" t="str">
        <f>IF(I1644&lt;&gt;"Sí","",IF(YEAR(F1644)&lt;&gt;2026,"",INDEX({"Enero","Febrero","Marzo","Abril","Mayo","Junio","Julio","Agosto","Septiembre","Octubre","Noviembre","Diciembre"},MONTH(F1644))))</f>
        <v>Agosto</v>
      </c>
      <c r="N1644" s="18" t="str">
        <f t="shared" si="77"/>
        <v>Agosto|261</v>
      </c>
    </row>
    <row r="1645" spans="1:14" ht="14.5" x14ac:dyDescent="0.25">
      <c r="A1645" s="19">
        <v>34</v>
      </c>
      <c r="B1645" s="18" t="s">
        <v>41</v>
      </c>
      <c r="C1645" s="18" t="s">
        <v>99</v>
      </c>
      <c r="D1645" s="18" t="s">
        <v>1621</v>
      </c>
      <c r="E1645" s="18" t="s">
        <v>2202</v>
      </c>
      <c r="F1645" s="101">
        <v>46241.092361111114</v>
      </c>
      <c r="G1645" s="101">
        <v>46241.791666666664</v>
      </c>
      <c r="H1645" s="18" t="s">
        <v>507</v>
      </c>
      <c r="I1645" s="18" t="s">
        <v>508</v>
      </c>
      <c r="J1645" s="18"/>
      <c r="K1645" s="21">
        <f t="shared" si="75"/>
        <v>16.783333333209157</v>
      </c>
      <c r="L1645" s="19">
        <f t="shared" si="76"/>
        <v>262</v>
      </c>
      <c r="M1645" s="18" t="str">
        <f>IF(I1645&lt;&gt;"Sí","",IF(YEAR(F1645)&lt;&gt;2026,"",INDEX({"Enero","Febrero","Marzo","Abril","Mayo","Junio","Julio","Agosto","Septiembre","Octubre","Noviembre","Diciembre"},MONTH(F1645))))</f>
        <v>Agosto</v>
      </c>
      <c r="N1645" s="18" t="str">
        <f t="shared" si="77"/>
        <v>Agosto|262</v>
      </c>
    </row>
    <row r="1646" spans="1:14" ht="14.5" x14ac:dyDescent="0.25">
      <c r="A1646" s="19">
        <v>34</v>
      </c>
      <c r="B1646" s="18" t="s">
        <v>41</v>
      </c>
      <c r="C1646" s="18" t="s">
        <v>99</v>
      </c>
      <c r="D1646" s="18" t="s">
        <v>1621</v>
      </c>
      <c r="E1646" s="18" t="s">
        <v>2203</v>
      </c>
      <c r="F1646" s="101">
        <v>46241.095138888886</v>
      </c>
      <c r="G1646" s="101">
        <v>46241.791666666664</v>
      </c>
      <c r="H1646" s="18" t="s">
        <v>507</v>
      </c>
      <c r="I1646" s="18" t="s">
        <v>508</v>
      </c>
      <c r="J1646" s="18"/>
      <c r="K1646" s="21">
        <f t="shared" si="75"/>
        <v>16.716666666674428</v>
      </c>
      <c r="L1646" s="19">
        <f t="shared" si="76"/>
        <v>263</v>
      </c>
      <c r="M1646" s="18" t="str">
        <f>IF(I1646&lt;&gt;"Sí","",IF(YEAR(F1646)&lt;&gt;2026,"",INDEX({"Enero","Febrero","Marzo","Abril","Mayo","Junio","Julio","Agosto","Septiembre","Octubre","Noviembre","Diciembre"},MONTH(F1646))))</f>
        <v>Agosto</v>
      </c>
      <c r="N1646" s="18" t="str">
        <f t="shared" si="77"/>
        <v>Agosto|263</v>
      </c>
    </row>
    <row r="1647" spans="1:14" ht="14.5" x14ac:dyDescent="0.25">
      <c r="A1647" s="19">
        <v>34</v>
      </c>
      <c r="B1647" s="18" t="s">
        <v>41</v>
      </c>
      <c r="C1647" s="18" t="s">
        <v>99</v>
      </c>
      <c r="D1647" s="18" t="s">
        <v>1621</v>
      </c>
      <c r="E1647" s="18" t="s">
        <v>2204</v>
      </c>
      <c r="F1647" s="101">
        <v>46241.097916666666</v>
      </c>
      <c r="G1647" s="101">
        <v>46241.791666666664</v>
      </c>
      <c r="H1647" s="18" t="s">
        <v>507</v>
      </c>
      <c r="I1647" s="18" t="s">
        <v>508</v>
      </c>
      <c r="J1647" s="18"/>
      <c r="K1647" s="21">
        <f t="shared" si="75"/>
        <v>16.649999999965075</v>
      </c>
      <c r="L1647" s="19">
        <f t="shared" si="76"/>
        <v>264</v>
      </c>
      <c r="M1647" s="18" t="str">
        <f>IF(I1647&lt;&gt;"Sí","",IF(YEAR(F1647)&lt;&gt;2026,"",INDEX({"Enero","Febrero","Marzo","Abril","Mayo","Junio","Julio","Agosto","Septiembre","Octubre","Noviembre","Diciembre"},MONTH(F1647))))</f>
        <v>Agosto</v>
      </c>
      <c r="N1647" s="18" t="str">
        <f t="shared" si="77"/>
        <v>Agosto|264</v>
      </c>
    </row>
    <row r="1648" spans="1:14" ht="14.5" x14ac:dyDescent="0.25">
      <c r="A1648" s="19">
        <v>34</v>
      </c>
      <c r="B1648" s="18" t="s">
        <v>41</v>
      </c>
      <c r="C1648" s="18" t="s">
        <v>99</v>
      </c>
      <c r="D1648" s="18" t="s">
        <v>1621</v>
      </c>
      <c r="E1648" s="18" t="s">
        <v>2205</v>
      </c>
      <c r="F1648" s="101">
        <v>46241.101388888892</v>
      </c>
      <c r="G1648" s="101">
        <v>46241.791666666664</v>
      </c>
      <c r="H1648" s="18" t="s">
        <v>507</v>
      </c>
      <c r="I1648" s="18" t="s">
        <v>508</v>
      </c>
      <c r="J1648" s="18"/>
      <c r="K1648" s="21">
        <f t="shared" si="75"/>
        <v>16.566666666534729</v>
      </c>
      <c r="L1648" s="19">
        <f t="shared" si="76"/>
        <v>265</v>
      </c>
      <c r="M1648" s="18" t="str">
        <f>IF(I1648&lt;&gt;"Sí","",IF(YEAR(F1648)&lt;&gt;2026,"",INDEX({"Enero","Febrero","Marzo","Abril","Mayo","Junio","Julio","Agosto","Septiembre","Octubre","Noviembre","Diciembre"},MONTH(F1648))))</f>
        <v>Agosto</v>
      </c>
      <c r="N1648" s="18" t="str">
        <f t="shared" si="77"/>
        <v>Agosto|265</v>
      </c>
    </row>
    <row r="1649" spans="1:14" ht="14.5" x14ac:dyDescent="0.25">
      <c r="A1649" s="19">
        <v>34</v>
      </c>
      <c r="B1649" s="18" t="s">
        <v>41</v>
      </c>
      <c r="C1649" s="18" t="s">
        <v>99</v>
      </c>
      <c r="D1649" s="18" t="s">
        <v>1621</v>
      </c>
      <c r="E1649" s="18" t="s">
        <v>1584</v>
      </c>
      <c r="F1649" s="101">
        <v>46241.102083333331</v>
      </c>
      <c r="G1649" s="101">
        <v>46241.791666666664</v>
      </c>
      <c r="H1649" s="18" t="s">
        <v>507</v>
      </c>
      <c r="I1649" s="18" t="s">
        <v>508</v>
      </c>
      <c r="J1649" s="18"/>
      <c r="K1649" s="21">
        <f t="shared" si="75"/>
        <v>16.549999999988358</v>
      </c>
      <c r="L1649" s="19">
        <f t="shared" si="76"/>
        <v>266</v>
      </c>
      <c r="M1649" s="18" t="str">
        <f>IF(I1649&lt;&gt;"Sí","",IF(YEAR(F1649)&lt;&gt;2026,"",INDEX({"Enero","Febrero","Marzo","Abril","Mayo","Junio","Julio","Agosto","Septiembre","Octubre","Noviembre","Diciembre"},MONTH(F1649))))</f>
        <v>Agosto</v>
      </c>
      <c r="N1649" s="18" t="str">
        <f t="shared" si="77"/>
        <v>Agosto|266</v>
      </c>
    </row>
    <row r="1650" spans="1:14" ht="14.5" x14ac:dyDescent="0.25">
      <c r="A1650" s="19">
        <v>34</v>
      </c>
      <c r="B1650" s="18" t="s">
        <v>41</v>
      </c>
      <c r="C1650" s="18" t="s">
        <v>99</v>
      </c>
      <c r="D1650" s="18" t="s">
        <v>1621</v>
      </c>
      <c r="E1650" s="18" t="s">
        <v>1548</v>
      </c>
      <c r="F1650" s="101">
        <v>46241.106249999997</v>
      </c>
      <c r="G1650" s="101">
        <v>46241.791666666664</v>
      </c>
      <c r="H1650" s="18" t="s">
        <v>507</v>
      </c>
      <c r="I1650" s="18" t="s">
        <v>508</v>
      </c>
      <c r="J1650" s="18"/>
      <c r="K1650" s="21">
        <f t="shared" si="75"/>
        <v>16.450000000011642</v>
      </c>
      <c r="L1650" s="19">
        <f t="shared" si="76"/>
        <v>267</v>
      </c>
      <c r="M1650" s="18" t="str">
        <f>IF(I1650&lt;&gt;"Sí","",IF(YEAR(F1650)&lt;&gt;2026,"",INDEX({"Enero","Febrero","Marzo","Abril","Mayo","Junio","Julio","Agosto","Septiembre","Octubre","Noviembre","Diciembre"},MONTH(F1650))))</f>
        <v>Agosto</v>
      </c>
      <c r="N1650" s="18" t="str">
        <f t="shared" si="77"/>
        <v>Agosto|267</v>
      </c>
    </row>
    <row r="1651" spans="1:14" ht="14.5" x14ac:dyDescent="0.25">
      <c r="A1651" s="19">
        <v>34</v>
      </c>
      <c r="B1651" s="18" t="s">
        <v>41</v>
      </c>
      <c r="C1651" s="18" t="s">
        <v>99</v>
      </c>
      <c r="D1651" s="18" t="s">
        <v>1621</v>
      </c>
      <c r="E1651" s="18" t="s">
        <v>2206</v>
      </c>
      <c r="F1651" s="101">
        <v>46241.107638888891</v>
      </c>
      <c r="G1651" s="101">
        <v>46241.791666666664</v>
      </c>
      <c r="H1651" s="18" t="s">
        <v>507</v>
      </c>
      <c r="I1651" s="18" t="s">
        <v>508</v>
      </c>
      <c r="J1651" s="18"/>
      <c r="K1651" s="21">
        <f t="shared" si="75"/>
        <v>16.416666666569654</v>
      </c>
      <c r="L1651" s="19">
        <f t="shared" si="76"/>
        <v>268</v>
      </c>
      <c r="M1651" s="18" t="str">
        <f>IF(I1651&lt;&gt;"Sí","",IF(YEAR(F1651)&lt;&gt;2026,"",INDEX({"Enero","Febrero","Marzo","Abril","Mayo","Junio","Julio","Agosto","Septiembre","Octubre","Noviembre","Diciembre"},MONTH(F1651))))</f>
        <v>Agosto</v>
      </c>
      <c r="N1651" s="18" t="str">
        <f t="shared" si="77"/>
        <v>Agosto|268</v>
      </c>
    </row>
    <row r="1652" spans="1:14" ht="14.5" x14ac:dyDescent="0.25">
      <c r="A1652" s="19">
        <v>34</v>
      </c>
      <c r="B1652" s="18" t="s">
        <v>41</v>
      </c>
      <c r="C1652" s="18" t="s">
        <v>99</v>
      </c>
      <c r="D1652" s="18" t="s">
        <v>1621</v>
      </c>
      <c r="E1652" s="18" t="s">
        <v>2207</v>
      </c>
      <c r="F1652" s="101">
        <v>46241.11041666667</v>
      </c>
      <c r="G1652" s="101">
        <v>46241.791666666664</v>
      </c>
      <c r="H1652" s="18" t="s">
        <v>507</v>
      </c>
      <c r="I1652" s="18" t="s">
        <v>508</v>
      </c>
      <c r="J1652" s="18"/>
      <c r="K1652" s="21">
        <f t="shared" si="75"/>
        <v>16.349999999860302</v>
      </c>
      <c r="L1652" s="19">
        <f t="shared" si="76"/>
        <v>269</v>
      </c>
      <c r="M1652" s="18" t="str">
        <f>IF(I1652&lt;&gt;"Sí","",IF(YEAR(F1652)&lt;&gt;2026,"",INDEX({"Enero","Febrero","Marzo","Abril","Mayo","Junio","Julio","Agosto","Septiembre","Octubre","Noviembre","Diciembre"},MONTH(F1652))))</f>
        <v>Agosto</v>
      </c>
      <c r="N1652" s="18" t="str">
        <f t="shared" si="77"/>
        <v>Agosto|269</v>
      </c>
    </row>
    <row r="1653" spans="1:14" ht="14.5" x14ac:dyDescent="0.25">
      <c r="A1653" s="19">
        <v>34</v>
      </c>
      <c r="B1653" s="18" t="s">
        <v>41</v>
      </c>
      <c r="C1653" s="18" t="s">
        <v>99</v>
      </c>
      <c r="D1653" s="18" t="s">
        <v>1621</v>
      </c>
      <c r="E1653" s="18" t="s">
        <v>2208</v>
      </c>
      <c r="F1653" s="101">
        <v>46241.111111111109</v>
      </c>
      <c r="G1653" s="101">
        <v>46241.791666666664</v>
      </c>
      <c r="H1653" s="18" t="s">
        <v>507</v>
      </c>
      <c r="I1653" s="18" t="s">
        <v>508</v>
      </c>
      <c r="J1653" s="18"/>
      <c r="K1653" s="21">
        <f t="shared" si="75"/>
        <v>16.333333333313931</v>
      </c>
      <c r="L1653" s="19">
        <f t="shared" si="76"/>
        <v>270</v>
      </c>
      <c r="M1653" s="18" t="str">
        <f>IF(I1653&lt;&gt;"Sí","",IF(YEAR(F1653)&lt;&gt;2026,"",INDEX({"Enero","Febrero","Marzo","Abril","Mayo","Junio","Julio","Agosto","Septiembre","Octubre","Noviembre","Diciembre"},MONTH(F1653))))</f>
        <v>Agosto</v>
      </c>
      <c r="N1653" s="18" t="str">
        <f t="shared" si="77"/>
        <v>Agosto|270</v>
      </c>
    </row>
    <row r="1654" spans="1:14" ht="14.5" x14ac:dyDescent="0.25">
      <c r="A1654" s="19">
        <v>34</v>
      </c>
      <c r="B1654" s="18" t="s">
        <v>41</v>
      </c>
      <c r="C1654" s="18" t="s">
        <v>99</v>
      </c>
      <c r="D1654" s="18" t="s">
        <v>1621</v>
      </c>
      <c r="E1654" s="18" t="s">
        <v>2209</v>
      </c>
      <c r="F1654" s="101">
        <v>46241.113194444442</v>
      </c>
      <c r="G1654" s="101">
        <v>46241.791666666664</v>
      </c>
      <c r="H1654" s="18" t="s">
        <v>507</v>
      </c>
      <c r="I1654" s="18" t="s">
        <v>508</v>
      </c>
      <c r="J1654" s="18"/>
      <c r="K1654" s="21">
        <f t="shared" si="75"/>
        <v>16.283333333325572</v>
      </c>
      <c r="L1654" s="19">
        <f t="shared" si="76"/>
        <v>271</v>
      </c>
      <c r="M1654" s="18" t="str">
        <f>IF(I1654&lt;&gt;"Sí","",IF(YEAR(F1654)&lt;&gt;2026,"",INDEX({"Enero","Febrero","Marzo","Abril","Mayo","Junio","Julio","Agosto","Septiembre","Octubre","Noviembre","Diciembre"},MONTH(F1654))))</f>
        <v>Agosto</v>
      </c>
      <c r="N1654" s="18" t="str">
        <f t="shared" si="77"/>
        <v>Agosto|271</v>
      </c>
    </row>
    <row r="1655" spans="1:14" ht="14.5" x14ac:dyDescent="0.25">
      <c r="A1655" s="19">
        <v>34</v>
      </c>
      <c r="B1655" s="18" t="s">
        <v>41</v>
      </c>
      <c r="C1655" s="18" t="s">
        <v>99</v>
      </c>
      <c r="D1655" s="18" t="s">
        <v>1621</v>
      </c>
      <c r="E1655" s="18" t="s">
        <v>2210</v>
      </c>
      <c r="F1655" s="101">
        <v>46241.115277777775</v>
      </c>
      <c r="G1655" s="101">
        <v>46242.183333333334</v>
      </c>
      <c r="H1655" s="18" t="s">
        <v>507</v>
      </c>
      <c r="I1655" s="18" t="s">
        <v>508</v>
      </c>
      <c r="J1655" s="18"/>
      <c r="K1655" s="21">
        <f t="shared" si="75"/>
        <v>25.633333333418705</v>
      </c>
      <c r="L1655" s="19">
        <f t="shared" si="76"/>
        <v>272</v>
      </c>
      <c r="M1655" s="18" t="str">
        <f>IF(I1655&lt;&gt;"Sí","",IF(YEAR(F1655)&lt;&gt;2026,"",INDEX({"Enero","Febrero","Marzo","Abril","Mayo","Junio","Julio","Agosto","Septiembre","Octubre","Noviembre","Diciembre"},MONTH(F1655))))</f>
        <v>Agosto</v>
      </c>
      <c r="N1655" s="18" t="str">
        <f t="shared" si="77"/>
        <v>Agosto|272</v>
      </c>
    </row>
    <row r="1656" spans="1:14" ht="14.5" x14ac:dyDescent="0.25">
      <c r="A1656" s="19">
        <v>34</v>
      </c>
      <c r="B1656" s="18" t="s">
        <v>41</v>
      </c>
      <c r="C1656" s="18" t="s">
        <v>99</v>
      </c>
      <c r="D1656" s="18" t="s">
        <v>1621</v>
      </c>
      <c r="E1656" s="18" t="s">
        <v>2211</v>
      </c>
      <c r="F1656" s="101">
        <v>46241.116666666669</v>
      </c>
      <c r="G1656" s="101">
        <v>46242.183333333334</v>
      </c>
      <c r="H1656" s="18" t="s">
        <v>507</v>
      </c>
      <c r="I1656" s="18" t="s">
        <v>508</v>
      </c>
      <c r="J1656" s="18"/>
      <c r="K1656" s="21">
        <f t="shared" si="75"/>
        <v>25.599999999976717</v>
      </c>
      <c r="L1656" s="19">
        <f t="shared" si="76"/>
        <v>273</v>
      </c>
      <c r="M1656" s="18" t="str">
        <f>IF(I1656&lt;&gt;"Sí","",IF(YEAR(F1656)&lt;&gt;2026,"",INDEX({"Enero","Febrero","Marzo","Abril","Mayo","Junio","Julio","Agosto","Septiembre","Octubre","Noviembre","Diciembre"},MONTH(F1656))))</f>
        <v>Agosto</v>
      </c>
      <c r="N1656" s="18" t="str">
        <f t="shared" si="77"/>
        <v>Agosto|273</v>
      </c>
    </row>
    <row r="1657" spans="1:14" ht="14.5" x14ac:dyDescent="0.25">
      <c r="A1657" s="19">
        <v>34</v>
      </c>
      <c r="B1657" s="18" t="s">
        <v>41</v>
      </c>
      <c r="C1657" s="18" t="s">
        <v>99</v>
      </c>
      <c r="D1657" s="18" t="s">
        <v>1621</v>
      </c>
      <c r="E1657" s="18" t="s">
        <v>2212</v>
      </c>
      <c r="F1657" s="101">
        <v>46241.119444444441</v>
      </c>
      <c r="G1657" s="101">
        <v>46242.183333333334</v>
      </c>
      <c r="H1657" s="18" t="s">
        <v>507</v>
      </c>
      <c r="I1657" s="18" t="s">
        <v>508</v>
      </c>
      <c r="J1657" s="18"/>
      <c r="K1657" s="21">
        <f t="shared" si="75"/>
        <v>25.533333333441988</v>
      </c>
      <c r="L1657" s="19">
        <f t="shared" si="76"/>
        <v>274</v>
      </c>
      <c r="M1657" s="18" t="str">
        <f>IF(I1657&lt;&gt;"Sí","",IF(YEAR(F1657)&lt;&gt;2026,"",INDEX({"Enero","Febrero","Marzo","Abril","Mayo","Junio","Julio","Agosto","Septiembre","Octubre","Noviembre","Diciembre"},MONTH(F1657))))</f>
        <v>Agosto</v>
      </c>
      <c r="N1657" s="18" t="str">
        <f t="shared" si="77"/>
        <v>Agosto|274</v>
      </c>
    </row>
    <row r="1658" spans="1:14" ht="14.5" x14ac:dyDescent="0.25">
      <c r="A1658" s="19">
        <v>34</v>
      </c>
      <c r="B1658" s="18" t="s">
        <v>41</v>
      </c>
      <c r="C1658" s="18" t="s">
        <v>99</v>
      </c>
      <c r="D1658" s="18" t="s">
        <v>1621</v>
      </c>
      <c r="E1658" s="18" t="s">
        <v>2213</v>
      </c>
      <c r="F1658" s="101">
        <v>46241.121527777781</v>
      </c>
      <c r="G1658" s="101">
        <v>46242.183333333334</v>
      </c>
      <c r="H1658" s="18" t="s">
        <v>507</v>
      </c>
      <c r="I1658" s="18" t="s">
        <v>508</v>
      </c>
      <c r="J1658" s="18"/>
      <c r="K1658" s="21">
        <f t="shared" si="75"/>
        <v>25.483333333279006</v>
      </c>
      <c r="L1658" s="19">
        <f t="shared" si="76"/>
        <v>275</v>
      </c>
      <c r="M1658" s="18" t="str">
        <f>IF(I1658&lt;&gt;"Sí","",IF(YEAR(F1658)&lt;&gt;2026,"",INDEX({"Enero","Febrero","Marzo","Abril","Mayo","Junio","Julio","Agosto","Septiembre","Octubre","Noviembre","Diciembre"},MONTH(F1658))))</f>
        <v>Agosto</v>
      </c>
      <c r="N1658" s="18" t="str">
        <f t="shared" si="77"/>
        <v>Agosto|275</v>
      </c>
    </row>
    <row r="1659" spans="1:14" ht="14.5" x14ac:dyDescent="0.25">
      <c r="A1659" s="19">
        <v>34</v>
      </c>
      <c r="B1659" s="18" t="s">
        <v>41</v>
      </c>
      <c r="C1659" s="18" t="s">
        <v>99</v>
      </c>
      <c r="D1659" s="18" t="s">
        <v>1621</v>
      </c>
      <c r="E1659" s="18" t="s">
        <v>2214</v>
      </c>
      <c r="F1659" s="101">
        <v>46241.125</v>
      </c>
      <c r="G1659" s="101">
        <v>46242.183333333334</v>
      </c>
      <c r="H1659" s="18" t="s">
        <v>507</v>
      </c>
      <c r="I1659" s="18" t="s">
        <v>508</v>
      </c>
      <c r="J1659" s="18"/>
      <c r="K1659" s="21">
        <f t="shared" si="75"/>
        <v>25.400000000023283</v>
      </c>
      <c r="L1659" s="19">
        <f t="shared" si="76"/>
        <v>276</v>
      </c>
      <c r="M1659" s="18" t="str">
        <f>IF(I1659&lt;&gt;"Sí","",IF(YEAR(F1659)&lt;&gt;2026,"",INDEX({"Enero","Febrero","Marzo","Abril","Mayo","Junio","Julio","Agosto","Septiembre","Octubre","Noviembre","Diciembre"},MONTH(F1659))))</f>
        <v>Agosto</v>
      </c>
      <c r="N1659" s="18" t="str">
        <f t="shared" si="77"/>
        <v>Agosto|276</v>
      </c>
    </row>
    <row r="1660" spans="1:14" ht="14.5" x14ac:dyDescent="0.25">
      <c r="A1660" s="19">
        <v>34</v>
      </c>
      <c r="B1660" s="18" t="s">
        <v>41</v>
      </c>
      <c r="C1660" s="18" t="s">
        <v>99</v>
      </c>
      <c r="D1660" s="18" t="s">
        <v>1621</v>
      </c>
      <c r="E1660" s="18" t="s">
        <v>2215</v>
      </c>
      <c r="F1660" s="101">
        <v>46241.125694444447</v>
      </c>
      <c r="G1660" s="101">
        <v>46242.183333333334</v>
      </c>
      <c r="H1660" s="18" t="s">
        <v>507</v>
      </c>
      <c r="I1660" s="18" t="s">
        <v>508</v>
      </c>
      <c r="J1660" s="18"/>
      <c r="K1660" s="21">
        <f t="shared" si="75"/>
        <v>25.383333333302289</v>
      </c>
      <c r="L1660" s="19">
        <f t="shared" si="76"/>
        <v>277</v>
      </c>
      <c r="M1660" s="18" t="str">
        <f>IF(I1660&lt;&gt;"Sí","",IF(YEAR(F1660)&lt;&gt;2026,"",INDEX({"Enero","Febrero","Marzo","Abril","Mayo","Junio","Julio","Agosto","Septiembre","Octubre","Noviembre","Diciembre"},MONTH(F1660))))</f>
        <v>Agosto</v>
      </c>
      <c r="N1660" s="18" t="str">
        <f t="shared" si="77"/>
        <v>Agosto|277</v>
      </c>
    </row>
    <row r="1661" spans="1:14" ht="14.5" x14ac:dyDescent="0.25">
      <c r="A1661" s="19">
        <v>34</v>
      </c>
      <c r="B1661" s="18" t="s">
        <v>41</v>
      </c>
      <c r="C1661" s="18" t="s">
        <v>99</v>
      </c>
      <c r="D1661" s="18" t="s">
        <v>1621</v>
      </c>
      <c r="E1661" s="18" t="s">
        <v>2216</v>
      </c>
      <c r="F1661" s="101">
        <v>46241.126388888886</v>
      </c>
      <c r="G1661" s="101">
        <v>46242.183333333334</v>
      </c>
      <c r="H1661" s="18" t="s">
        <v>507</v>
      </c>
      <c r="I1661" s="18" t="s">
        <v>508</v>
      </c>
      <c r="J1661" s="18"/>
      <c r="K1661" s="21">
        <f t="shared" si="75"/>
        <v>25.366666666755918</v>
      </c>
      <c r="L1661" s="19">
        <f t="shared" si="76"/>
        <v>278</v>
      </c>
      <c r="M1661" s="18" t="str">
        <f>IF(I1661&lt;&gt;"Sí","",IF(YEAR(F1661)&lt;&gt;2026,"",INDEX({"Enero","Febrero","Marzo","Abril","Mayo","Junio","Julio","Agosto","Septiembre","Octubre","Noviembre","Diciembre"},MONTH(F1661))))</f>
        <v>Agosto</v>
      </c>
      <c r="N1661" s="18" t="str">
        <f t="shared" si="77"/>
        <v>Agosto|278</v>
      </c>
    </row>
    <row r="1662" spans="1:14" ht="14.5" x14ac:dyDescent="0.25">
      <c r="A1662" s="19">
        <v>34</v>
      </c>
      <c r="B1662" s="18" t="s">
        <v>41</v>
      </c>
      <c r="C1662" s="18" t="s">
        <v>99</v>
      </c>
      <c r="D1662" s="18" t="s">
        <v>1621</v>
      </c>
      <c r="E1662" s="18" t="s">
        <v>2217</v>
      </c>
      <c r="F1662" s="101">
        <v>46241.128472222219</v>
      </c>
      <c r="G1662" s="101">
        <v>46242.183333333334</v>
      </c>
      <c r="H1662" s="18" t="s">
        <v>507</v>
      </c>
      <c r="I1662" s="18" t="s">
        <v>508</v>
      </c>
      <c r="J1662" s="18"/>
      <c r="K1662" s="21">
        <f t="shared" si="75"/>
        <v>25.31666666676756</v>
      </c>
      <c r="L1662" s="19">
        <f t="shared" si="76"/>
        <v>279</v>
      </c>
      <c r="M1662" s="18" t="str">
        <f>IF(I1662&lt;&gt;"Sí","",IF(YEAR(F1662)&lt;&gt;2026,"",INDEX({"Enero","Febrero","Marzo","Abril","Mayo","Junio","Julio","Agosto","Septiembre","Octubre","Noviembre","Diciembre"},MONTH(F1662))))</f>
        <v>Agosto</v>
      </c>
      <c r="N1662" s="18" t="str">
        <f t="shared" si="77"/>
        <v>Agosto|279</v>
      </c>
    </row>
    <row r="1663" spans="1:14" ht="14.5" x14ac:dyDescent="0.25">
      <c r="A1663" s="19">
        <v>34</v>
      </c>
      <c r="B1663" s="18" t="s">
        <v>41</v>
      </c>
      <c r="C1663" s="18" t="s">
        <v>99</v>
      </c>
      <c r="D1663" s="18" t="s">
        <v>1621</v>
      </c>
      <c r="E1663" s="18" t="s">
        <v>2218</v>
      </c>
      <c r="F1663" s="101"/>
      <c r="G1663" s="101">
        <v>46241.431944444441</v>
      </c>
      <c r="H1663" s="18" t="s">
        <v>554</v>
      </c>
      <c r="I1663" s="18" t="s">
        <v>555</v>
      </c>
      <c r="J1663" s="18" t="s">
        <v>556</v>
      </c>
      <c r="K1663" s="21" t="str">
        <f t="shared" si="75"/>
        <v/>
      </c>
      <c r="L1663" s="19" t="str">
        <f t="shared" si="76"/>
        <v/>
      </c>
      <c r="M1663" s="18" t="str">
        <f>IF(I1663&lt;&gt;"Sí","",IF(YEAR(F1663)&lt;&gt;2026,"",INDEX({"Enero","Febrero","Marzo","Abril","Mayo","Junio","Julio","Agosto","Septiembre","Octubre","Noviembre","Diciembre"},MONTH(F1663))))</f>
        <v/>
      </c>
      <c r="N1663" s="18" t="str">
        <f t="shared" si="77"/>
        <v/>
      </c>
    </row>
    <row r="1664" spans="1:14" ht="14.5" x14ac:dyDescent="0.25">
      <c r="A1664" s="19">
        <v>34</v>
      </c>
      <c r="B1664" s="18" t="s">
        <v>41</v>
      </c>
      <c r="C1664" s="18" t="s">
        <v>99</v>
      </c>
      <c r="D1664" s="18" t="s">
        <v>1621</v>
      </c>
      <c r="E1664" s="18" t="s">
        <v>2219</v>
      </c>
      <c r="F1664" s="101"/>
      <c r="G1664" s="101">
        <v>46241.431944444441</v>
      </c>
      <c r="H1664" s="18" t="s">
        <v>554</v>
      </c>
      <c r="I1664" s="18" t="s">
        <v>555</v>
      </c>
      <c r="J1664" s="18" t="s">
        <v>556</v>
      </c>
      <c r="K1664" s="21" t="str">
        <f t="shared" si="75"/>
        <v/>
      </c>
      <c r="L1664" s="19" t="str">
        <f t="shared" si="76"/>
        <v/>
      </c>
      <c r="M1664" s="18" t="str">
        <f>IF(I1664&lt;&gt;"Sí","",IF(YEAR(F1664)&lt;&gt;2026,"",INDEX({"Enero","Febrero","Marzo","Abril","Mayo","Junio","Julio","Agosto","Septiembre","Octubre","Noviembre","Diciembre"},MONTH(F1664))))</f>
        <v/>
      </c>
      <c r="N1664" s="18" t="str">
        <f t="shared" si="77"/>
        <v/>
      </c>
    </row>
    <row r="1665" spans="1:14" ht="14.5" x14ac:dyDescent="0.25">
      <c r="A1665" s="19">
        <v>34</v>
      </c>
      <c r="B1665" s="18" t="s">
        <v>41</v>
      </c>
      <c r="C1665" s="18" t="s">
        <v>116</v>
      </c>
      <c r="D1665" s="18" t="s">
        <v>1941</v>
      </c>
      <c r="E1665" s="18" t="s">
        <v>2220</v>
      </c>
      <c r="F1665" s="101">
        <v>46241.644444444442</v>
      </c>
      <c r="G1665" s="101">
        <v>46248.088888888888</v>
      </c>
      <c r="H1665" s="18" t="s">
        <v>507</v>
      </c>
      <c r="I1665" s="18" t="s">
        <v>508</v>
      </c>
      <c r="J1665" s="18"/>
      <c r="K1665" s="21">
        <f t="shared" si="75"/>
        <v>154.66666666668607</v>
      </c>
      <c r="L1665" s="19">
        <f t="shared" si="76"/>
        <v>280</v>
      </c>
      <c r="M1665" s="18" t="str">
        <f>IF(I1665&lt;&gt;"Sí","",IF(YEAR(F1665)&lt;&gt;2026,"",INDEX({"Enero","Febrero","Marzo","Abril","Mayo","Junio","Julio","Agosto","Septiembre","Octubre","Noviembre","Diciembre"},MONTH(F1665))))</f>
        <v>Agosto</v>
      </c>
      <c r="N1665" s="18" t="str">
        <f t="shared" si="77"/>
        <v>Agosto|280</v>
      </c>
    </row>
    <row r="1666" spans="1:14" ht="14.5" x14ac:dyDescent="0.25">
      <c r="A1666" s="19">
        <v>34</v>
      </c>
      <c r="B1666" s="18" t="s">
        <v>41</v>
      </c>
      <c r="C1666" s="18" t="s">
        <v>116</v>
      </c>
      <c r="D1666" s="18" t="s">
        <v>1941</v>
      </c>
      <c r="E1666" s="18" t="s">
        <v>2221</v>
      </c>
      <c r="F1666" s="101">
        <v>46242.504861111112</v>
      </c>
      <c r="G1666" s="101">
        <v>46248.088888888888</v>
      </c>
      <c r="H1666" s="18" t="s">
        <v>507</v>
      </c>
      <c r="I1666" s="18" t="s">
        <v>508</v>
      </c>
      <c r="J1666" s="18"/>
      <c r="K1666" s="21">
        <f t="shared" si="75"/>
        <v>134.01666666660458</v>
      </c>
      <c r="L1666" s="19">
        <f t="shared" si="76"/>
        <v>27</v>
      </c>
      <c r="M1666" s="18" t="str">
        <f>IF(I1666&lt;&gt;"Sí","",IF(YEAR(F1666)&lt;&gt;2026,"",INDEX({"Enero","Febrero","Marzo","Abril","Mayo","Junio","Julio","Agosto","Septiembre","Octubre","Noviembre","Diciembre"},MONTH(F1666))))</f>
        <v>Agosto</v>
      </c>
      <c r="N1666" s="18" t="str">
        <f t="shared" si="77"/>
        <v>Agosto|27</v>
      </c>
    </row>
    <row r="1667" spans="1:14" ht="14.5" x14ac:dyDescent="0.25">
      <c r="A1667" s="19">
        <v>34</v>
      </c>
      <c r="B1667" s="18" t="s">
        <v>41</v>
      </c>
      <c r="C1667" s="18" t="s">
        <v>116</v>
      </c>
      <c r="D1667" s="18" t="s">
        <v>1941</v>
      </c>
      <c r="E1667" s="18" t="s">
        <v>2222</v>
      </c>
      <c r="F1667" s="101">
        <v>46242.504861111112</v>
      </c>
      <c r="G1667" s="101">
        <v>46248.088888888888</v>
      </c>
      <c r="H1667" s="18" t="s">
        <v>507</v>
      </c>
      <c r="I1667" s="18" t="s">
        <v>508</v>
      </c>
      <c r="J1667" s="18"/>
      <c r="K1667" s="21">
        <f t="shared" si="75"/>
        <v>134.01666666660458</v>
      </c>
      <c r="L1667" s="19">
        <f t="shared" si="76"/>
        <v>27</v>
      </c>
      <c r="M1667" s="18" t="str">
        <f>IF(I1667&lt;&gt;"Sí","",IF(YEAR(F1667)&lt;&gt;2026,"",INDEX({"Enero","Febrero","Marzo","Abril","Mayo","Junio","Julio","Agosto","Septiembre","Octubre","Noviembre","Diciembre"},MONTH(F1667))))</f>
        <v>Agosto</v>
      </c>
      <c r="N1667" s="18" t="str">
        <f t="shared" si="77"/>
        <v>Agosto|27</v>
      </c>
    </row>
    <row r="1668" spans="1:14" ht="14.5" x14ac:dyDescent="0.25">
      <c r="A1668" s="19">
        <v>34</v>
      </c>
      <c r="B1668" s="18" t="s">
        <v>41</v>
      </c>
      <c r="C1668" s="18" t="s">
        <v>116</v>
      </c>
      <c r="D1668" s="18" t="s">
        <v>1941</v>
      </c>
      <c r="E1668" s="18" t="s">
        <v>2223</v>
      </c>
      <c r="F1668" s="101">
        <v>46242.504861111112</v>
      </c>
      <c r="G1668" s="101">
        <v>46248.088888888888</v>
      </c>
      <c r="H1668" s="18" t="s">
        <v>507</v>
      </c>
      <c r="I1668" s="18" t="s">
        <v>508</v>
      </c>
      <c r="J1668" s="18"/>
      <c r="K1668" s="21">
        <f t="shared" si="75"/>
        <v>134.01666666660458</v>
      </c>
      <c r="L1668" s="19">
        <f t="shared" si="76"/>
        <v>27</v>
      </c>
      <c r="M1668" s="18" t="str">
        <f>IF(I1668&lt;&gt;"Sí","",IF(YEAR(F1668)&lt;&gt;2026,"",INDEX({"Enero","Febrero","Marzo","Abril","Mayo","Junio","Julio","Agosto","Septiembre","Octubre","Noviembre","Diciembre"},MONTH(F1668))))</f>
        <v>Agosto</v>
      </c>
      <c r="N1668" s="18" t="str">
        <f t="shared" si="77"/>
        <v>Agosto|27</v>
      </c>
    </row>
    <row r="1669" spans="1:14" ht="14.5" x14ac:dyDescent="0.25">
      <c r="A1669" s="19">
        <v>34</v>
      </c>
      <c r="B1669" s="18" t="s">
        <v>41</v>
      </c>
      <c r="C1669" s="18" t="s">
        <v>95</v>
      </c>
      <c r="D1669" s="18" t="s">
        <v>1807</v>
      </c>
      <c r="E1669" s="18" t="s">
        <v>2224</v>
      </c>
      <c r="F1669" s="101">
        <v>46244.504861111112</v>
      </c>
      <c r="G1669" s="101">
        <v>46258.243055555555</v>
      </c>
      <c r="H1669" s="18" t="s">
        <v>507</v>
      </c>
      <c r="I1669" s="18" t="s">
        <v>508</v>
      </c>
      <c r="J1669" s="18"/>
      <c r="K1669" s="21">
        <f t="shared" si="75"/>
        <v>329.71666666661622</v>
      </c>
      <c r="L1669" s="19">
        <f t="shared" si="76"/>
        <v>28</v>
      </c>
      <c r="M1669" s="18" t="str">
        <f>IF(I1669&lt;&gt;"Sí","",IF(YEAR(F1669)&lt;&gt;2026,"",INDEX({"Enero","Febrero","Marzo","Abril","Mayo","Junio","Julio","Agosto","Septiembre","Octubre","Noviembre","Diciembre"},MONTH(F1669))))</f>
        <v>Agosto</v>
      </c>
      <c r="N1669" s="18" t="str">
        <f t="shared" si="77"/>
        <v>Agosto|28</v>
      </c>
    </row>
    <row r="1670" spans="1:14" ht="14.5" x14ac:dyDescent="0.25">
      <c r="A1670" s="19">
        <v>34</v>
      </c>
      <c r="B1670" s="18" t="s">
        <v>41</v>
      </c>
      <c r="C1670" s="18" t="s">
        <v>193</v>
      </c>
      <c r="D1670" s="18" t="s">
        <v>2225</v>
      </c>
      <c r="E1670" s="18" t="s">
        <v>2226</v>
      </c>
      <c r="F1670" s="101">
        <v>46244.568749999999</v>
      </c>
      <c r="G1670" s="101">
        <v>46254.611805555556</v>
      </c>
      <c r="H1670" s="18" t="s">
        <v>507</v>
      </c>
      <c r="I1670" s="18" t="s">
        <v>508</v>
      </c>
      <c r="J1670" s="18"/>
      <c r="K1670" s="21">
        <f t="shared" si="75"/>
        <v>241.03333333338378</v>
      </c>
      <c r="L1670" s="19">
        <f t="shared" si="76"/>
        <v>30</v>
      </c>
      <c r="M1670" s="18" t="str">
        <f>IF(I1670&lt;&gt;"Sí","",IF(YEAR(F1670)&lt;&gt;2026,"",INDEX({"Enero","Febrero","Marzo","Abril","Mayo","Junio","Julio","Agosto","Septiembre","Octubre","Noviembre","Diciembre"},MONTH(F1670))))</f>
        <v>Agosto</v>
      </c>
      <c r="N1670" s="18" t="str">
        <f t="shared" si="77"/>
        <v>Agosto|30</v>
      </c>
    </row>
    <row r="1671" spans="1:14" ht="14.5" x14ac:dyDescent="0.25">
      <c r="A1671" s="19">
        <v>34</v>
      </c>
      <c r="B1671" s="18" t="s">
        <v>41</v>
      </c>
      <c r="C1671" s="18" t="s">
        <v>95</v>
      </c>
      <c r="D1671" s="18" t="s">
        <v>1807</v>
      </c>
      <c r="E1671" s="18" t="s">
        <v>2227</v>
      </c>
      <c r="F1671" s="101">
        <v>46244.568749999999</v>
      </c>
      <c r="G1671" s="101">
        <v>46258.513888888891</v>
      </c>
      <c r="H1671" s="18" t="s">
        <v>507</v>
      </c>
      <c r="I1671" s="18" t="s">
        <v>508</v>
      </c>
      <c r="J1671" s="18"/>
      <c r="K1671" s="21">
        <f t="shared" ref="K1671:K1734" si="78">IF(I1671="Sí",(G1671-F1671)*24,"")</f>
        <v>334.68333333340706</v>
      </c>
      <c r="L1671" s="19">
        <f t="shared" ref="L1671:L1734" si="79">IF(I1671="Sí",COUNTIFS($F$7:$F$4000,"&lt;="&amp;F1671,$G$7:$G$4000,"&gt;"&amp;F1671,$I$7:$I$4000,"Sí"),"")</f>
        <v>30</v>
      </c>
      <c r="M1671" s="18" t="str">
        <f>IF(I1671&lt;&gt;"Sí","",IF(YEAR(F1671)&lt;&gt;2026,"",INDEX({"Enero","Febrero","Marzo","Abril","Mayo","Junio","Julio","Agosto","Septiembre","Octubre","Noviembre","Diciembre"},MONTH(F1671))))</f>
        <v>Agosto</v>
      </c>
      <c r="N1671" s="18" t="str">
        <f t="shared" ref="N1671:N1734" si="80">IF(M1671="","",M1671&amp;"|"&amp;L1671)</f>
        <v>Agosto|30</v>
      </c>
    </row>
    <row r="1672" spans="1:14" ht="14.5" x14ac:dyDescent="0.25">
      <c r="A1672" s="19">
        <v>34</v>
      </c>
      <c r="B1672" s="18" t="s">
        <v>41</v>
      </c>
      <c r="C1672" s="18" t="s">
        <v>195</v>
      </c>
      <c r="D1672" s="18" t="s">
        <v>2228</v>
      </c>
      <c r="E1672" s="18" t="s">
        <v>2229</v>
      </c>
      <c r="F1672" s="101">
        <v>46244.615972222222</v>
      </c>
      <c r="G1672" s="101">
        <v>46245.683333333334</v>
      </c>
      <c r="H1672" s="18" t="s">
        <v>507</v>
      </c>
      <c r="I1672" s="18" t="s">
        <v>508</v>
      </c>
      <c r="J1672" s="18"/>
      <c r="K1672" s="21">
        <f t="shared" si="78"/>
        <v>25.616666666697711</v>
      </c>
      <c r="L1672" s="19">
        <f t="shared" si="79"/>
        <v>31</v>
      </c>
      <c r="M1672" s="18" t="str">
        <f>IF(I1672&lt;&gt;"Sí","",IF(YEAR(F1672)&lt;&gt;2026,"",INDEX({"Enero","Febrero","Marzo","Abril","Mayo","Junio","Julio","Agosto","Septiembre","Octubre","Noviembre","Diciembre"},MONTH(F1672))))</f>
        <v>Agosto</v>
      </c>
      <c r="N1672" s="18" t="str">
        <f t="shared" si="80"/>
        <v>Agosto|31</v>
      </c>
    </row>
    <row r="1673" spans="1:14" ht="14.5" x14ac:dyDescent="0.25">
      <c r="A1673" s="19">
        <v>34</v>
      </c>
      <c r="B1673" s="18" t="s">
        <v>41</v>
      </c>
      <c r="C1673" s="18" t="s">
        <v>122</v>
      </c>
      <c r="D1673" s="18" t="s">
        <v>2230</v>
      </c>
      <c r="E1673" s="18" t="s">
        <v>2231</v>
      </c>
      <c r="F1673" s="101">
        <v>46244.625694444447</v>
      </c>
      <c r="G1673" s="101">
        <v>46256.472222222219</v>
      </c>
      <c r="H1673" s="18" t="s">
        <v>507</v>
      </c>
      <c r="I1673" s="18" t="s">
        <v>508</v>
      </c>
      <c r="J1673" s="18"/>
      <c r="K1673" s="21">
        <f t="shared" si="78"/>
        <v>284.31666666653473</v>
      </c>
      <c r="L1673" s="19">
        <f t="shared" si="79"/>
        <v>33</v>
      </c>
      <c r="M1673" s="18" t="str">
        <f>IF(I1673&lt;&gt;"Sí","",IF(YEAR(F1673)&lt;&gt;2026,"",INDEX({"Enero","Febrero","Marzo","Abril","Mayo","Junio","Julio","Agosto","Septiembre","Octubre","Noviembre","Diciembre"},MONTH(F1673))))</f>
        <v>Agosto</v>
      </c>
      <c r="N1673" s="18" t="str">
        <f t="shared" si="80"/>
        <v>Agosto|33</v>
      </c>
    </row>
    <row r="1674" spans="1:14" ht="14.5" x14ac:dyDescent="0.25">
      <c r="A1674" s="19">
        <v>34</v>
      </c>
      <c r="B1674" s="18" t="s">
        <v>41</v>
      </c>
      <c r="C1674" s="18" t="s">
        <v>95</v>
      </c>
      <c r="D1674" s="18" t="s">
        <v>1807</v>
      </c>
      <c r="E1674" s="18" t="s">
        <v>2232</v>
      </c>
      <c r="F1674" s="101">
        <v>46244.625694444447</v>
      </c>
      <c r="G1674" s="101">
        <v>46258.243055555555</v>
      </c>
      <c r="H1674" s="18" t="s">
        <v>507</v>
      </c>
      <c r="I1674" s="18" t="s">
        <v>508</v>
      </c>
      <c r="J1674" s="18"/>
      <c r="K1674" s="21">
        <f t="shared" si="78"/>
        <v>326.81666666659294</v>
      </c>
      <c r="L1674" s="19">
        <f t="shared" si="79"/>
        <v>33</v>
      </c>
      <c r="M1674" s="18" t="str">
        <f>IF(I1674&lt;&gt;"Sí","",IF(YEAR(F1674)&lt;&gt;2026,"",INDEX({"Enero","Febrero","Marzo","Abril","Mayo","Junio","Julio","Agosto","Septiembre","Octubre","Noviembre","Diciembre"},MONTH(F1674))))</f>
        <v>Agosto</v>
      </c>
      <c r="N1674" s="18" t="str">
        <f t="shared" si="80"/>
        <v>Agosto|33</v>
      </c>
    </row>
    <row r="1675" spans="1:14" ht="14.5" x14ac:dyDescent="0.25">
      <c r="A1675" s="19">
        <v>34</v>
      </c>
      <c r="B1675" s="18" t="s">
        <v>41</v>
      </c>
      <c r="C1675" s="18" t="s">
        <v>122</v>
      </c>
      <c r="D1675" s="18" t="s">
        <v>2230</v>
      </c>
      <c r="E1675" s="18" t="s">
        <v>2233</v>
      </c>
      <c r="F1675" s="101">
        <v>46245.552777777775</v>
      </c>
      <c r="G1675" s="101">
        <v>46256.472222222219</v>
      </c>
      <c r="H1675" s="18" t="s">
        <v>507</v>
      </c>
      <c r="I1675" s="18" t="s">
        <v>508</v>
      </c>
      <c r="J1675" s="18"/>
      <c r="K1675" s="21">
        <f t="shared" si="78"/>
        <v>262.06666666665114</v>
      </c>
      <c r="L1675" s="19">
        <f t="shared" si="79"/>
        <v>30</v>
      </c>
      <c r="M1675" s="18" t="str">
        <f>IF(I1675&lt;&gt;"Sí","",IF(YEAR(F1675)&lt;&gt;2026,"",INDEX({"Enero","Febrero","Marzo","Abril","Mayo","Junio","Julio","Agosto","Septiembre","Octubre","Noviembre","Diciembre"},MONTH(F1675))))</f>
        <v>Agosto</v>
      </c>
      <c r="N1675" s="18" t="str">
        <f t="shared" si="80"/>
        <v>Agosto|30</v>
      </c>
    </row>
    <row r="1676" spans="1:14" ht="14.5" x14ac:dyDescent="0.25">
      <c r="A1676" s="19">
        <v>34</v>
      </c>
      <c r="B1676" s="18" t="s">
        <v>41</v>
      </c>
      <c r="C1676" s="18" t="s">
        <v>122</v>
      </c>
      <c r="D1676" s="18" t="s">
        <v>2230</v>
      </c>
      <c r="E1676" s="18" t="s">
        <v>2234</v>
      </c>
      <c r="F1676" s="101">
        <v>46245.552777777775</v>
      </c>
      <c r="G1676" s="101">
        <v>46256.472222222219</v>
      </c>
      <c r="H1676" s="18" t="s">
        <v>507</v>
      </c>
      <c r="I1676" s="18" t="s">
        <v>508</v>
      </c>
      <c r="J1676" s="18"/>
      <c r="K1676" s="21">
        <f t="shared" si="78"/>
        <v>262.06666666665114</v>
      </c>
      <c r="L1676" s="19">
        <f t="shared" si="79"/>
        <v>30</v>
      </c>
      <c r="M1676" s="18" t="str">
        <f>IF(I1676&lt;&gt;"Sí","",IF(YEAR(F1676)&lt;&gt;2026,"",INDEX({"Enero","Febrero","Marzo","Abril","Mayo","Junio","Julio","Agosto","Septiembre","Octubre","Noviembre","Diciembre"},MONTH(F1676))))</f>
        <v>Agosto</v>
      </c>
      <c r="N1676" s="18" t="str">
        <f t="shared" si="80"/>
        <v>Agosto|30</v>
      </c>
    </row>
    <row r="1677" spans="1:14" ht="14.5" x14ac:dyDescent="0.25">
      <c r="A1677" s="19">
        <v>34</v>
      </c>
      <c r="B1677" s="18" t="s">
        <v>41</v>
      </c>
      <c r="C1677" s="18" t="s">
        <v>122</v>
      </c>
      <c r="D1677" s="18" t="s">
        <v>2230</v>
      </c>
      <c r="E1677" s="18" t="s">
        <v>2235</v>
      </c>
      <c r="F1677" s="101">
        <v>46245.552777777775</v>
      </c>
      <c r="G1677" s="101">
        <v>46256.472222222219</v>
      </c>
      <c r="H1677" s="18" t="s">
        <v>507</v>
      </c>
      <c r="I1677" s="18" t="s">
        <v>508</v>
      </c>
      <c r="J1677" s="18"/>
      <c r="K1677" s="21">
        <f t="shared" si="78"/>
        <v>262.06666666665114</v>
      </c>
      <c r="L1677" s="19">
        <f t="shared" si="79"/>
        <v>30</v>
      </c>
      <c r="M1677" s="18" t="str">
        <f>IF(I1677&lt;&gt;"Sí","",IF(YEAR(F1677)&lt;&gt;2026,"",INDEX({"Enero","Febrero","Marzo","Abril","Mayo","Junio","Julio","Agosto","Septiembre","Octubre","Noviembre","Diciembre"},MONTH(F1677))))</f>
        <v>Agosto</v>
      </c>
      <c r="N1677" s="18" t="str">
        <f t="shared" si="80"/>
        <v>Agosto|30</v>
      </c>
    </row>
    <row r="1678" spans="1:14" ht="14.5" x14ac:dyDescent="0.25">
      <c r="A1678" s="19">
        <v>34</v>
      </c>
      <c r="B1678" s="18" t="s">
        <v>41</v>
      </c>
      <c r="C1678" s="18" t="s">
        <v>122</v>
      </c>
      <c r="D1678" s="18" t="s">
        <v>2230</v>
      </c>
      <c r="E1678" s="18" t="s">
        <v>2236</v>
      </c>
      <c r="F1678" s="101">
        <v>46245.552777777775</v>
      </c>
      <c r="G1678" s="101">
        <v>46256.472222222219</v>
      </c>
      <c r="H1678" s="18" t="s">
        <v>507</v>
      </c>
      <c r="I1678" s="18" t="s">
        <v>508</v>
      </c>
      <c r="J1678" s="18"/>
      <c r="K1678" s="21">
        <f t="shared" si="78"/>
        <v>262.06666666665114</v>
      </c>
      <c r="L1678" s="19">
        <f t="shared" si="79"/>
        <v>30</v>
      </c>
      <c r="M1678" s="18" t="str">
        <f>IF(I1678&lt;&gt;"Sí","",IF(YEAR(F1678)&lt;&gt;2026,"",INDEX({"Enero","Febrero","Marzo","Abril","Mayo","Junio","Julio","Agosto","Septiembre","Octubre","Noviembre","Diciembre"},MONTH(F1678))))</f>
        <v>Agosto</v>
      </c>
      <c r="N1678" s="18" t="str">
        <f t="shared" si="80"/>
        <v>Agosto|30</v>
      </c>
    </row>
    <row r="1679" spans="1:14" ht="14.5" x14ac:dyDescent="0.25">
      <c r="A1679" s="19">
        <v>34</v>
      </c>
      <c r="B1679" s="18" t="s">
        <v>41</v>
      </c>
      <c r="C1679" s="18" t="s">
        <v>95</v>
      </c>
      <c r="D1679" s="18" t="s">
        <v>1807</v>
      </c>
      <c r="E1679" s="18" t="s">
        <v>2237</v>
      </c>
      <c r="F1679" s="101">
        <v>46245.554861111108</v>
      </c>
      <c r="G1679" s="101">
        <v>46258.513888888891</v>
      </c>
      <c r="H1679" s="18" t="s">
        <v>507</v>
      </c>
      <c r="I1679" s="18" t="s">
        <v>508</v>
      </c>
      <c r="J1679" s="18"/>
      <c r="K1679" s="21">
        <f t="shared" si="78"/>
        <v>311.0166666667792</v>
      </c>
      <c r="L1679" s="19">
        <f t="shared" si="79"/>
        <v>31</v>
      </c>
      <c r="M1679" s="18" t="str">
        <f>IF(I1679&lt;&gt;"Sí","",IF(YEAR(F1679)&lt;&gt;2026,"",INDEX({"Enero","Febrero","Marzo","Abril","Mayo","Junio","Julio","Agosto","Septiembre","Octubre","Noviembre","Diciembre"},MONTH(F1679))))</f>
        <v>Agosto</v>
      </c>
      <c r="N1679" s="18" t="str">
        <f t="shared" si="80"/>
        <v>Agosto|31</v>
      </c>
    </row>
    <row r="1680" spans="1:14" ht="14.5" x14ac:dyDescent="0.25">
      <c r="A1680" s="19">
        <v>34</v>
      </c>
      <c r="B1680" s="18" t="s">
        <v>41</v>
      </c>
      <c r="C1680" s="18" t="s">
        <v>122</v>
      </c>
      <c r="D1680" s="18" t="s">
        <v>2230</v>
      </c>
      <c r="E1680" s="18" t="s">
        <v>2238</v>
      </c>
      <c r="F1680" s="101">
        <v>46245.686805555553</v>
      </c>
      <c r="G1680" s="101">
        <v>46256.472222222219</v>
      </c>
      <c r="H1680" s="18" t="s">
        <v>507</v>
      </c>
      <c r="I1680" s="18" t="s">
        <v>508</v>
      </c>
      <c r="J1680" s="18"/>
      <c r="K1680" s="21">
        <f t="shared" si="78"/>
        <v>258.84999999997672</v>
      </c>
      <c r="L1680" s="19">
        <f t="shared" si="79"/>
        <v>31</v>
      </c>
      <c r="M1680" s="18" t="str">
        <f>IF(I1680&lt;&gt;"Sí","",IF(YEAR(F1680)&lt;&gt;2026,"",INDEX({"Enero","Febrero","Marzo","Abril","Mayo","Junio","Julio","Agosto","Septiembre","Octubre","Noviembre","Diciembre"},MONTH(F1680))))</f>
        <v>Agosto</v>
      </c>
      <c r="N1680" s="18" t="str">
        <f t="shared" si="80"/>
        <v>Agosto|31</v>
      </c>
    </row>
    <row r="1681" spans="1:14" ht="14.5" x14ac:dyDescent="0.25">
      <c r="A1681" s="19">
        <v>34</v>
      </c>
      <c r="B1681" s="18" t="s">
        <v>41</v>
      </c>
      <c r="C1681" s="18" t="s">
        <v>122</v>
      </c>
      <c r="D1681" s="18" t="s">
        <v>2230</v>
      </c>
      <c r="E1681" s="18" t="s">
        <v>2239</v>
      </c>
      <c r="F1681" s="101">
        <v>46246.55972222222</v>
      </c>
      <c r="G1681" s="101">
        <v>46256.92083333333</v>
      </c>
      <c r="H1681" s="18" t="s">
        <v>507</v>
      </c>
      <c r="I1681" s="18" t="s">
        <v>508</v>
      </c>
      <c r="J1681" s="18"/>
      <c r="K1681" s="21">
        <f t="shared" si="78"/>
        <v>248.66666666662786</v>
      </c>
      <c r="L1681" s="19">
        <f t="shared" si="79"/>
        <v>33</v>
      </c>
      <c r="M1681" s="18" t="str">
        <f>IF(I1681&lt;&gt;"Sí","",IF(YEAR(F1681)&lt;&gt;2026,"",INDEX({"Enero","Febrero","Marzo","Abril","Mayo","Junio","Julio","Agosto","Septiembre","Octubre","Noviembre","Diciembre"},MONTH(F1681))))</f>
        <v>Agosto</v>
      </c>
      <c r="N1681" s="18" t="str">
        <f t="shared" si="80"/>
        <v>Agosto|33</v>
      </c>
    </row>
    <row r="1682" spans="1:14" ht="14.5" x14ac:dyDescent="0.25">
      <c r="A1682" s="19">
        <v>34</v>
      </c>
      <c r="B1682" s="18" t="s">
        <v>41</v>
      </c>
      <c r="C1682" s="18" t="s">
        <v>122</v>
      </c>
      <c r="D1682" s="18" t="s">
        <v>2230</v>
      </c>
      <c r="E1682" s="18" t="s">
        <v>2240</v>
      </c>
      <c r="F1682" s="101">
        <v>46246.55972222222</v>
      </c>
      <c r="G1682" s="101">
        <v>46255.757638888892</v>
      </c>
      <c r="H1682" s="18" t="s">
        <v>507</v>
      </c>
      <c r="I1682" s="18" t="s">
        <v>508</v>
      </c>
      <c r="J1682" s="18"/>
      <c r="K1682" s="21">
        <f t="shared" si="78"/>
        <v>220.75000000011642</v>
      </c>
      <c r="L1682" s="19">
        <f t="shared" si="79"/>
        <v>33</v>
      </c>
      <c r="M1682" s="18" t="str">
        <f>IF(I1682&lt;&gt;"Sí","",IF(YEAR(F1682)&lt;&gt;2026,"",INDEX({"Enero","Febrero","Marzo","Abril","Mayo","Junio","Julio","Agosto","Septiembre","Octubre","Noviembre","Diciembre"},MONTH(F1682))))</f>
        <v>Agosto</v>
      </c>
      <c r="N1682" s="18" t="str">
        <f t="shared" si="80"/>
        <v>Agosto|33</v>
      </c>
    </row>
    <row r="1683" spans="1:14" ht="14.5" x14ac:dyDescent="0.25">
      <c r="A1683" s="19">
        <v>34</v>
      </c>
      <c r="B1683" s="18" t="s">
        <v>41</v>
      </c>
      <c r="C1683" s="18" t="s">
        <v>122</v>
      </c>
      <c r="D1683" s="18" t="s">
        <v>2230</v>
      </c>
      <c r="E1683" s="18" t="s">
        <v>2241</v>
      </c>
      <c r="F1683" s="101">
        <v>46246.55972222222</v>
      </c>
      <c r="G1683" s="101">
        <v>46255.757638888892</v>
      </c>
      <c r="H1683" s="18" t="s">
        <v>507</v>
      </c>
      <c r="I1683" s="18" t="s">
        <v>508</v>
      </c>
      <c r="J1683" s="18"/>
      <c r="K1683" s="21">
        <f t="shared" si="78"/>
        <v>220.75000000011642</v>
      </c>
      <c r="L1683" s="19">
        <f t="shared" si="79"/>
        <v>33</v>
      </c>
      <c r="M1683" s="18" t="str">
        <f>IF(I1683&lt;&gt;"Sí","",IF(YEAR(F1683)&lt;&gt;2026,"",INDEX({"Enero","Febrero","Marzo","Abril","Mayo","Junio","Julio","Agosto","Septiembre","Octubre","Noviembre","Diciembre"},MONTH(F1683))))</f>
        <v>Agosto</v>
      </c>
      <c r="N1683" s="18" t="str">
        <f t="shared" si="80"/>
        <v>Agosto|33</v>
      </c>
    </row>
    <row r="1684" spans="1:14" ht="14.5" x14ac:dyDescent="0.25">
      <c r="A1684" s="19">
        <v>34</v>
      </c>
      <c r="B1684" s="18" t="s">
        <v>41</v>
      </c>
      <c r="C1684" s="18" t="s">
        <v>122</v>
      </c>
      <c r="D1684" s="18" t="s">
        <v>2230</v>
      </c>
      <c r="E1684" s="18" t="s">
        <v>2242</v>
      </c>
      <c r="F1684" s="101">
        <v>46246.55972222222</v>
      </c>
      <c r="G1684" s="101">
        <v>46256.472222222219</v>
      </c>
      <c r="H1684" s="18" t="s">
        <v>507</v>
      </c>
      <c r="I1684" s="18" t="s">
        <v>508</v>
      </c>
      <c r="J1684" s="18"/>
      <c r="K1684" s="21">
        <f t="shared" si="78"/>
        <v>237.89999999996508</v>
      </c>
      <c r="L1684" s="19">
        <f t="shared" si="79"/>
        <v>33</v>
      </c>
      <c r="M1684" s="18" t="str">
        <f>IF(I1684&lt;&gt;"Sí","",IF(YEAR(F1684)&lt;&gt;2026,"",INDEX({"Enero","Febrero","Marzo","Abril","Mayo","Junio","Julio","Agosto","Septiembre","Octubre","Noviembre","Diciembre"},MONTH(F1684))))</f>
        <v>Agosto</v>
      </c>
      <c r="N1684" s="18" t="str">
        <f t="shared" si="80"/>
        <v>Agosto|33</v>
      </c>
    </row>
    <row r="1685" spans="1:14" ht="14.5" x14ac:dyDescent="0.25">
      <c r="A1685" s="19">
        <v>34</v>
      </c>
      <c r="B1685" s="18" t="s">
        <v>41</v>
      </c>
      <c r="C1685" s="18" t="s">
        <v>95</v>
      </c>
      <c r="D1685" s="18" t="s">
        <v>1807</v>
      </c>
      <c r="E1685" s="18" t="s">
        <v>2243</v>
      </c>
      <c r="F1685" s="101">
        <v>46246.55972222222</v>
      </c>
      <c r="G1685" s="101">
        <v>46258.243055555555</v>
      </c>
      <c r="H1685" s="18" t="s">
        <v>507</v>
      </c>
      <c r="I1685" s="18" t="s">
        <v>508</v>
      </c>
      <c r="J1685" s="18"/>
      <c r="K1685" s="21">
        <f t="shared" si="78"/>
        <v>280.40000000002328</v>
      </c>
      <c r="L1685" s="19">
        <f t="shared" si="79"/>
        <v>33</v>
      </c>
      <c r="M1685" s="18" t="str">
        <f>IF(I1685&lt;&gt;"Sí","",IF(YEAR(F1685)&lt;&gt;2026,"",INDEX({"Enero","Febrero","Marzo","Abril","Mayo","Junio","Julio","Agosto","Septiembre","Octubre","Noviembre","Diciembre"},MONTH(F1685))))</f>
        <v>Agosto</v>
      </c>
      <c r="N1685" s="18" t="str">
        <f t="shared" si="80"/>
        <v>Agosto|33</v>
      </c>
    </row>
    <row r="1686" spans="1:14" ht="14.5" x14ac:dyDescent="0.25">
      <c r="A1686" s="19">
        <v>34</v>
      </c>
      <c r="B1686" s="18" t="s">
        <v>41</v>
      </c>
      <c r="C1686" s="18" t="s">
        <v>122</v>
      </c>
      <c r="D1686" s="18" t="s">
        <v>2230</v>
      </c>
      <c r="E1686" s="18" t="s">
        <v>2244</v>
      </c>
      <c r="F1686" s="101">
        <v>46246.561805555553</v>
      </c>
      <c r="G1686" s="101">
        <v>46256.92083333333</v>
      </c>
      <c r="H1686" s="18" t="s">
        <v>507</v>
      </c>
      <c r="I1686" s="18" t="s">
        <v>508</v>
      </c>
      <c r="J1686" s="18"/>
      <c r="K1686" s="21">
        <f t="shared" si="78"/>
        <v>248.6166666666395</v>
      </c>
      <c r="L1686" s="19">
        <f t="shared" si="79"/>
        <v>34</v>
      </c>
      <c r="M1686" s="18" t="str">
        <f>IF(I1686&lt;&gt;"Sí","",IF(YEAR(F1686)&lt;&gt;2026,"",INDEX({"Enero","Febrero","Marzo","Abril","Mayo","Junio","Julio","Agosto","Septiembre","Octubre","Noviembre","Diciembre"},MONTH(F1686))))</f>
        <v>Agosto</v>
      </c>
      <c r="N1686" s="18" t="str">
        <f t="shared" si="80"/>
        <v>Agosto|34</v>
      </c>
    </row>
    <row r="1687" spans="1:14" ht="14.5" x14ac:dyDescent="0.25">
      <c r="A1687" s="19">
        <v>34</v>
      </c>
      <c r="B1687" s="18" t="s">
        <v>41</v>
      </c>
      <c r="C1687" s="18" t="s">
        <v>122</v>
      </c>
      <c r="D1687" s="18" t="s">
        <v>2230</v>
      </c>
      <c r="E1687" s="18" t="s">
        <v>2245</v>
      </c>
      <c r="F1687" s="101">
        <v>46246.642361111109</v>
      </c>
      <c r="G1687" s="101">
        <v>46256.466666666667</v>
      </c>
      <c r="H1687" s="18" t="s">
        <v>507</v>
      </c>
      <c r="I1687" s="18" t="s">
        <v>508</v>
      </c>
      <c r="J1687" s="18"/>
      <c r="K1687" s="21">
        <f t="shared" si="78"/>
        <v>235.78333333338378</v>
      </c>
      <c r="L1687" s="19">
        <f t="shared" si="79"/>
        <v>42</v>
      </c>
      <c r="M1687" s="18" t="str">
        <f>IF(I1687&lt;&gt;"Sí","",IF(YEAR(F1687)&lt;&gt;2026,"",INDEX({"Enero","Febrero","Marzo","Abril","Mayo","Junio","Julio","Agosto","Septiembre","Octubre","Noviembre","Diciembre"},MONTH(F1687))))</f>
        <v>Agosto</v>
      </c>
      <c r="N1687" s="18" t="str">
        <f t="shared" si="80"/>
        <v>Agosto|42</v>
      </c>
    </row>
    <row r="1688" spans="1:14" ht="14.5" x14ac:dyDescent="0.25">
      <c r="A1688" s="19">
        <v>34</v>
      </c>
      <c r="B1688" s="18" t="s">
        <v>41</v>
      </c>
      <c r="C1688" s="18" t="s">
        <v>122</v>
      </c>
      <c r="D1688" s="18" t="s">
        <v>2230</v>
      </c>
      <c r="E1688" s="18" t="s">
        <v>2246</v>
      </c>
      <c r="F1688" s="101">
        <v>46246.642361111109</v>
      </c>
      <c r="G1688" s="101">
        <v>46255.757638888892</v>
      </c>
      <c r="H1688" s="18" t="s">
        <v>507</v>
      </c>
      <c r="I1688" s="18" t="s">
        <v>508</v>
      </c>
      <c r="J1688" s="18"/>
      <c r="K1688" s="21">
        <f t="shared" si="78"/>
        <v>218.7666666667792</v>
      </c>
      <c r="L1688" s="19">
        <f t="shared" si="79"/>
        <v>42</v>
      </c>
      <c r="M1688" s="18" t="str">
        <f>IF(I1688&lt;&gt;"Sí","",IF(YEAR(F1688)&lt;&gt;2026,"",INDEX({"Enero","Febrero","Marzo","Abril","Mayo","Junio","Julio","Agosto","Septiembre","Octubre","Noviembre","Diciembre"},MONTH(F1688))))</f>
        <v>Agosto</v>
      </c>
      <c r="N1688" s="18" t="str">
        <f t="shared" si="80"/>
        <v>Agosto|42</v>
      </c>
    </row>
    <row r="1689" spans="1:14" ht="14.5" x14ac:dyDescent="0.25">
      <c r="A1689" s="19">
        <v>34</v>
      </c>
      <c r="B1689" s="18" t="s">
        <v>41</v>
      </c>
      <c r="C1689" s="18" t="s">
        <v>122</v>
      </c>
      <c r="D1689" s="18" t="s">
        <v>2230</v>
      </c>
      <c r="E1689" s="18" t="s">
        <v>2247</v>
      </c>
      <c r="F1689" s="101">
        <v>46246.642361111109</v>
      </c>
      <c r="G1689" s="101">
        <v>46255.757638888892</v>
      </c>
      <c r="H1689" s="18" t="s">
        <v>507</v>
      </c>
      <c r="I1689" s="18" t="s">
        <v>508</v>
      </c>
      <c r="J1689" s="18"/>
      <c r="K1689" s="21">
        <f t="shared" si="78"/>
        <v>218.7666666667792</v>
      </c>
      <c r="L1689" s="19">
        <f t="shared" si="79"/>
        <v>42</v>
      </c>
      <c r="M1689" s="18" t="str">
        <f>IF(I1689&lt;&gt;"Sí","",IF(YEAR(F1689)&lt;&gt;2026,"",INDEX({"Enero","Febrero","Marzo","Abril","Mayo","Junio","Julio","Agosto","Septiembre","Octubre","Noviembre","Diciembre"},MONTH(F1689))))</f>
        <v>Agosto</v>
      </c>
      <c r="N1689" s="18" t="str">
        <f t="shared" si="80"/>
        <v>Agosto|42</v>
      </c>
    </row>
    <row r="1690" spans="1:14" ht="14.5" x14ac:dyDescent="0.25">
      <c r="A1690" s="19">
        <v>34</v>
      </c>
      <c r="B1690" s="18" t="s">
        <v>41</v>
      </c>
      <c r="C1690" s="18" t="s">
        <v>122</v>
      </c>
      <c r="D1690" s="18" t="s">
        <v>2230</v>
      </c>
      <c r="E1690" s="18" t="s">
        <v>2248</v>
      </c>
      <c r="F1690" s="101">
        <v>46246.642361111109</v>
      </c>
      <c r="G1690" s="101">
        <v>46255.757638888892</v>
      </c>
      <c r="H1690" s="18" t="s">
        <v>507</v>
      </c>
      <c r="I1690" s="18" t="s">
        <v>508</v>
      </c>
      <c r="J1690" s="18"/>
      <c r="K1690" s="21">
        <f t="shared" si="78"/>
        <v>218.7666666667792</v>
      </c>
      <c r="L1690" s="19">
        <f t="shared" si="79"/>
        <v>42</v>
      </c>
      <c r="M1690" s="18" t="str">
        <f>IF(I1690&lt;&gt;"Sí","",IF(YEAR(F1690)&lt;&gt;2026,"",INDEX({"Enero","Febrero","Marzo","Abril","Mayo","Junio","Julio","Agosto","Septiembre","Octubre","Noviembre","Diciembre"},MONTH(F1690))))</f>
        <v>Agosto</v>
      </c>
      <c r="N1690" s="18" t="str">
        <f t="shared" si="80"/>
        <v>Agosto|42</v>
      </c>
    </row>
    <row r="1691" spans="1:14" ht="14.5" x14ac:dyDescent="0.25">
      <c r="A1691" s="19">
        <v>34</v>
      </c>
      <c r="B1691" s="18" t="s">
        <v>41</v>
      </c>
      <c r="C1691" s="18" t="s">
        <v>95</v>
      </c>
      <c r="D1691" s="18" t="s">
        <v>1807</v>
      </c>
      <c r="E1691" s="18" t="s">
        <v>2249</v>
      </c>
      <c r="F1691" s="101">
        <v>46246.642361111109</v>
      </c>
      <c r="G1691" s="101">
        <v>46258.243055555555</v>
      </c>
      <c r="H1691" s="18" t="s">
        <v>507</v>
      </c>
      <c r="I1691" s="18" t="s">
        <v>508</v>
      </c>
      <c r="J1691" s="18"/>
      <c r="K1691" s="21">
        <f t="shared" si="78"/>
        <v>278.41666666668607</v>
      </c>
      <c r="L1691" s="19">
        <f t="shared" si="79"/>
        <v>42</v>
      </c>
      <c r="M1691" s="18" t="str">
        <f>IF(I1691&lt;&gt;"Sí","",IF(YEAR(F1691)&lt;&gt;2026,"",INDEX({"Enero","Febrero","Marzo","Abril","Mayo","Junio","Julio","Agosto","Septiembre","Octubre","Noviembre","Diciembre"},MONTH(F1691))))</f>
        <v>Agosto</v>
      </c>
      <c r="N1691" s="18" t="str">
        <f t="shared" si="80"/>
        <v>Agosto|42</v>
      </c>
    </row>
    <row r="1692" spans="1:14" ht="14.5" x14ac:dyDescent="0.25">
      <c r="A1692" s="19">
        <v>34</v>
      </c>
      <c r="B1692" s="18" t="s">
        <v>41</v>
      </c>
      <c r="C1692" s="18" t="s">
        <v>95</v>
      </c>
      <c r="D1692" s="18" t="s">
        <v>1807</v>
      </c>
      <c r="E1692" s="18" t="s">
        <v>2250</v>
      </c>
      <c r="F1692" s="101">
        <v>46246.642361111109</v>
      </c>
      <c r="G1692" s="101">
        <v>46258.243055555555</v>
      </c>
      <c r="H1692" s="18" t="s">
        <v>507</v>
      </c>
      <c r="I1692" s="18" t="s">
        <v>508</v>
      </c>
      <c r="J1692" s="18"/>
      <c r="K1692" s="21">
        <f t="shared" si="78"/>
        <v>278.41666666668607</v>
      </c>
      <c r="L1692" s="19">
        <f t="shared" si="79"/>
        <v>42</v>
      </c>
      <c r="M1692" s="18" t="str">
        <f>IF(I1692&lt;&gt;"Sí","",IF(YEAR(F1692)&lt;&gt;2026,"",INDEX({"Enero","Febrero","Marzo","Abril","Mayo","Junio","Julio","Agosto","Septiembre","Octubre","Noviembre","Diciembre"},MONTH(F1692))))</f>
        <v>Agosto</v>
      </c>
      <c r="N1692" s="18" t="str">
        <f t="shared" si="80"/>
        <v>Agosto|42</v>
      </c>
    </row>
    <row r="1693" spans="1:14" ht="14.5" x14ac:dyDescent="0.25">
      <c r="A1693" s="19">
        <v>34</v>
      </c>
      <c r="B1693" s="18" t="s">
        <v>41</v>
      </c>
      <c r="C1693" s="18" t="s">
        <v>95</v>
      </c>
      <c r="D1693" s="18" t="s">
        <v>1807</v>
      </c>
      <c r="E1693" s="18" t="s">
        <v>2251</v>
      </c>
      <c r="F1693" s="101">
        <v>46246.642361111109</v>
      </c>
      <c r="G1693" s="101">
        <v>46258.232638888891</v>
      </c>
      <c r="H1693" s="18" t="s">
        <v>507</v>
      </c>
      <c r="I1693" s="18" t="s">
        <v>508</v>
      </c>
      <c r="J1693" s="18"/>
      <c r="K1693" s="21">
        <f t="shared" si="78"/>
        <v>278.16666666674428</v>
      </c>
      <c r="L1693" s="19">
        <f t="shared" si="79"/>
        <v>42</v>
      </c>
      <c r="M1693" s="18" t="str">
        <f>IF(I1693&lt;&gt;"Sí","",IF(YEAR(F1693)&lt;&gt;2026,"",INDEX({"Enero","Febrero","Marzo","Abril","Mayo","Junio","Julio","Agosto","Septiembre","Octubre","Noviembre","Diciembre"},MONTH(F1693))))</f>
        <v>Agosto</v>
      </c>
      <c r="N1693" s="18" t="str">
        <f t="shared" si="80"/>
        <v>Agosto|42</v>
      </c>
    </row>
    <row r="1694" spans="1:14" ht="14.5" x14ac:dyDescent="0.25">
      <c r="A1694" s="19">
        <v>34</v>
      </c>
      <c r="B1694" s="18" t="s">
        <v>41</v>
      </c>
      <c r="C1694" s="18" t="s">
        <v>95</v>
      </c>
      <c r="D1694" s="18" t="s">
        <v>1807</v>
      </c>
      <c r="E1694" s="18" t="s">
        <v>2252</v>
      </c>
      <c r="F1694" s="101">
        <v>46246.642361111109</v>
      </c>
      <c r="G1694" s="101">
        <v>46258.232638888891</v>
      </c>
      <c r="H1694" s="18" t="s">
        <v>507</v>
      </c>
      <c r="I1694" s="18" t="s">
        <v>508</v>
      </c>
      <c r="J1694" s="18"/>
      <c r="K1694" s="21">
        <f t="shared" si="78"/>
        <v>278.16666666674428</v>
      </c>
      <c r="L1694" s="19">
        <f t="shared" si="79"/>
        <v>42</v>
      </c>
      <c r="M1694" s="18" t="str">
        <f>IF(I1694&lt;&gt;"Sí","",IF(YEAR(F1694)&lt;&gt;2026,"",INDEX({"Enero","Febrero","Marzo","Abril","Mayo","Junio","Julio","Agosto","Septiembre","Octubre","Noviembre","Diciembre"},MONTH(F1694))))</f>
        <v>Agosto</v>
      </c>
      <c r="N1694" s="18" t="str">
        <f t="shared" si="80"/>
        <v>Agosto|42</v>
      </c>
    </row>
    <row r="1695" spans="1:14" ht="14.5" x14ac:dyDescent="0.25">
      <c r="A1695" s="19">
        <v>34</v>
      </c>
      <c r="B1695" s="18" t="s">
        <v>41</v>
      </c>
      <c r="C1695" s="18" t="s">
        <v>122</v>
      </c>
      <c r="D1695" s="18" t="s">
        <v>2230</v>
      </c>
      <c r="E1695" s="18" t="s">
        <v>2253</v>
      </c>
      <c r="F1695" s="101">
        <v>46247.542361111111</v>
      </c>
      <c r="G1695" s="101">
        <v>46257.070833333331</v>
      </c>
      <c r="H1695" s="18" t="s">
        <v>507</v>
      </c>
      <c r="I1695" s="18" t="s">
        <v>508</v>
      </c>
      <c r="J1695" s="18"/>
      <c r="K1695" s="21">
        <f t="shared" si="78"/>
        <v>228.68333333329065</v>
      </c>
      <c r="L1695" s="19">
        <f t="shared" si="79"/>
        <v>47</v>
      </c>
      <c r="M1695" s="18" t="str">
        <f>IF(I1695&lt;&gt;"Sí","",IF(YEAR(F1695)&lt;&gt;2026,"",INDEX({"Enero","Febrero","Marzo","Abril","Mayo","Junio","Julio","Agosto","Septiembre","Octubre","Noviembre","Diciembre"},MONTH(F1695))))</f>
        <v>Agosto</v>
      </c>
      <c r="N1695" s="18" t="str">
        <f t="shared" si="80"/>
        <v>Agosto|47</v>
      </c>
    </row>
    <row r="1696" spans="1:14" ht="14.5" x14ac:dyDescent="0.25">
      <c r="A1696" s="19">
        <v>34</v>
      </c>
      <c r="B1696" s="18" t="s">
        <v>41</v>
      </c>
      <c r="C1696" s="18" t="s">
        <v>122</v>
      </c>
      <c r="D1696" s="18" t="s">
        <v>2230</v>
      </c>
      <c r="E1696" s="18" t="s">
        <v>2254</v>
      </c>
      <c r="F1696" s="101">
        <v>46247.542361111111</v>
      </c>
      <c r="G1696" s="101">
        <v>46257.072916666664</v>
      </c>
      <c r="H1696" s="18" t="s">
        <v>507</v>
      </c>
      <c r="I1696" s="18" t="s">
        <v>508</v>
      </c>
      <c r="J1696" s="18"/>
      <c r="K1696" s="21">
        <f t="shared" si="78"/>
        <v>228.73333333327901</v>
      </c>
      <c r="L1696" s="19">
        <f t="shared" si="79"/>
        <v>47</v>
      </c>
      <c r="M1696" s="18" t="str">
        <f>IF(I1696&lt;&gt;"Sí","",IF(YEAR(F1696)&lt;&gt;2026,"",INDEX({"Enero","Febrero","Marzo","Abril","Mayo","Junio","Julio","Agosto","Septiembre","Octubre","Noviembre","Diciembre"},MONTH(F1696))))</f>
        <v>Agosto</v>
      </c>
      <c r="N1696" s="18" t="str">
        <f t="shared" si="80"/>
        <v>Agosto|47</v>
      </c>
    </row>
    <row r="1697" spans="1:14" ht="14.5" x14ac:dyDescent="0.25">
      <c r="A1697" s="19">
        <v>34</v>
      </c>
      <c r="B1697" s="18" t="s">
        <v>41</v>
      </c>
      <c r="C1697" s="18" t="s">
        <v>122</v>
      </c>
      <c r="D1697" s="18" t="s">
        <v>2230</v>
      </c>
      <c r="E1697" s="18" t="s">
        <v>2255</v>
      </c>
      <c r="F1697" s="101">
        <v>46247.542361111111</v>
      </c>
      <c r="G1697" s="101">
        <v>46256.913194444445</v>
      </c>
      <c r="H1697" s="18" t="s">
        <v>507</v>
      </c>
      <c r="I1697" s="18" t="s">
        <v>508</v>
      </c>
      <c r="J1697" s="18"/>
      <c r="K1697" s="21">
        <f t="shared" si="78"/>
        <v>224.90000000002328</v>
      </c>
      <c r="L1697" s="19">
        <f t="shared" si="79"/>
        <v>47</v>
      </c>
      <c r="M1697" s="18" t="str">
        <f>IF(I1697&lt;&gt;"Sí","",IF(YEAR(F1697)&lt;&gt;2026,"",INDEX({"Enero","Febrero","Marzo","Abril","Mayo","Junio","Julio","Agosto","Septiembre","Octubre","Noviembre","Diciembre"},MONTH(F1697))))</f>
        <v>Agosto</v>
      </c>
      <c r="N1697" s="18" t="str">
        <f t="shared" si="80"/>
        <v>Agosto|47</v>
      </c>
    </row>
    <row r="1698" spans="1:14" ht="14.5" x14ac:dyDescent="0.25">
      <c r="A1698" s="19">
        <v>34</v>
      </c>
      <c r="B1698" s="18" t="s">
        <v>41</v>
      </c>
      <c r="C1698" s="18" t="s">
        <v>122</v>
      </c>
      <c r="D1698" s="18" t="s">
        <v>2230</v>
      </c>
      <c r="E1698" s="18" t="s">
        <v>2256</v>
      </c>
      <c r="F1698" s="101">
        <v>46247.542361111111</v>
      </c>
      <c r="G1698" s="101">
        <v>46256.913194444445</v>
      </c>
      <c r="H1698" s="18" t="s">
        <v>507</v>
      </c>
      <c r="I1698" s="18" t="s">
        <v>508</v>
      </c>
      <c r="J1698" s="18"/>
      <c r="K1698" s="21">
        <f t="shared" si="78"/>
        <v>224.90000000002328</v>
      </c>
      <c r="L1698" s="19">
        <f t="shared" si="79"/>
        <v>47</v>
      </c>
      <c r="M1698" s="18" t="str">
        <f>IF(I1698&lt;&gt;"Sí","",IF(YEAR(F1698)&lt;&gt;2026,"",INDEX({"Enero","Febrero","Marzo","Abril","Mayo","Junio","Julio","Agosto","Septiembre","Octubre","Noviembre","Diciembre"},MONTH(F1698))))</f>
        <v>Agosto</v>
      </c>
      <c r="N1698" s="18" t="str">
        <f t="shared" si="80"/>
        <v>Agosto|47</v>
      </c>
    </row>
    <row r="1699" spans="1:14" ht="14.5" x14ac:dyDescent="0.25">
      <c r="A1699" s="19">
        <v>34</v>
      </c>
      <c r="B1699" s="18" t="s">
        <v>41</v>
      </c>
      <c r="C1699" s="18" t="s">
        <v>122</v>
      </c>
      <c r="D1699" s="18" t="s">
        <v>2230</v>
      </c>
      <c r="E1699" s="18" t="s">
        <v>2257</v>
      </c>
      <c r="F1699" s="101">
        <v>46247.542361111111</v>
      </c>
      <c r="G1699" s="101">
        <v>46256.92083333333</v>
      </c>
      <c r="H1699" s="18" t="s">
        <v>507</v>
      </c>
      <c r="I1699" s="18" t="s">
        <v>508</v>
      </c>
      <c r="J1699" s="18"/>
      <c r="K1699" s="21">
        <f t="shared" si="78"/>
        <v>225.08333333325572</v>
      </c>
      <c r="L1699" s="19">
        <f t="shared" si="79"/>
        <v>47</v>
      </c>
      <c r="M1699" s="18" t="str">
        <f>IF(I1699&lt;&gt;"Sí","",IF(YEAR(F1699)&lt;&gt;2026,"",INDEX({"Enero","Febrero","Marzo","Abril","Mayo","Junio","Julio","Agosto","Septiembre","Octubre","Noviembre","Diciembre"},MONTH(F1699))))</f>
        <v>Agosto</v>
      </c>
      <c r="N1699" s="18" t="str">
        <f t="shared" si="80"/>
        <v>Agosto|47</v>
      </c>
    </row>
    <row r="1700" spans="1:14" ht="14.5" x14ac:dyDescent="0.25">
      <c r="A1700" s="19">
        <v>34</v>
      </c>
      <c r="B1700" s="18" t="s">
        <v>41</v>
      </c>
      <c r="C1700" s="18" t="s">
        <v>193</v>
      </c>
      <c r="D1700" s="18" t="s">
        <v>2225</v>
      </c>
      <c r="E1700" s="18" t="s">
        <v>2258</v>
      </c>
      <c r="F1700" s="101">
        <v>46247.61041666667</v>
      </c>
      <c r="G1700" s="101">
        <v>46254.777777777781</v>
      </c>
      <c r="H1700" s="18" t="s">
        <v>507</v>
      </c>
      <c r="I1700" s="18" t="s">
        <v>508</v>
      </c>
      <c r="J1700" s="18"/>
      <c r="K1700" s="21">
        <f t="shared" si="78"/>
        <v>172.01666666666279</v>
      </c>
      <c r="L1700" s="19">
        <f t="shared" si="79"/>
        <v>48</v>
      </c>
      <c r="M1700" s="18" t="str">
        <f>IF(I1700&lt;&gt;"Sí","",IF(YEAR(F1700)&lt;&gt;2026,"",INDEX({"Enero","Febrero","Marzo","Abril","Mayo","Junio","Julio","Agosto","Septiembre","Octubre","Noviembre","Diciembre"},MONTH(F1700))))</f>
        <v>Agosto</v>
      </c>
      <c r="N1700" s="18" t="str">
        <f t="shared" si="80"/>
        <v>Agosto|48</v>
      </c>
    </row>
    <row r="1701" spans="1:14" ht="14.5" x14ac:dyDescent="0.25">
      <c r="A1701" s="19">
        <v>34</v>
      </c>
      <c r="B1701" s="18" t="s">
        <v>41</v>
      </c>
      <c r="C1701" s="18" t="s">
        <v>122</v>
      </c>
      <c r="D1701" s="18" t="s">
        <v>2230</v>
      </c>
      <c r="E1701" s="18" t="s">
        <v>2259</v>
      </c>
      <c r="F1701" s="101">
        <v>46247.681944444441</v>
      </c>
      <c r="G1701" s="101">
        <v>46255.757638888892</v>
      </c>
      <c r="H1701" s="18" t="s">
        <v>507</v>
      </c>
      <c r="I1701" s="18" t="s">
        <v>508</v>
      </c>
      <c r="J1701" s="18"/>
      <c r="K1701" s="21">
        <f t="shared" si="78"/>
        <v>193.81666666682577</v>
      </c>
      <c r="L1701" s="19">
        <f t="shared" si="79"/>
        <v>49</v>
      </c>
      <c r="M1701" s="18" t="str">
        <f>IF(I1701&lt;&gt;"Sí","",IF(YEAR(F1701)&lt;&gt;2026,"",INDEX({"Enero","Febrero","Marzo","Abril","Mayo","Junio","Julio","Agosto","Septiembre","Octubre","Noviembre","Diciembre"},MONTH(F1701))))</f>
        <v>Agosto</v>
      </c>
      <c r="N1701" s="18" t="str">
        <f t="shared" si="80"/>
        <v>Agosto|49</v>
      </c>
    </row>
    <row r="1702" spans="1:14" ht="14.5" x14ac:dyDescent="0.25">
      <c r="A1702" s="19">
        <v>34</v>
      </c>
      <c r="B1702" s="18" t="s">
        <v>41</v>
      </c>
      <c r="C1702" s="18" t="s">
        <v>122</v>
      </c>
      <c r="D1702" s="18" t="s">
        <v>2230</v>
      </c>
      <c r="E1702" s="18" t="s">
        <v>2260</v>
      </c>
      <c r="F1702" s="101">
        <v>46248.506944444445</v>
      </c>
      <c r="G1702" s="101">
        <v>46257.086805555555</v>
      </c>
      <c r="H1702" s="18" t="s">
        <v>507</v>
      </c>
      <c r="I1702" s="18" t="s">
        <v>508</v>
      </c>
      <c r="J1702" s="18"/>
      <c r="K1702" s="21">
        <f t="shared" si="78"/>
        <v>205.91666666662786</v>
      </c>
      <c r="L1702" s="19">
        <f t="shared" si="79"/>
        <v>44</v>
      </c>
      <c r="M1702" s="18" t="str">
        <f>IF(I1702&lt;&gt;"Sí","",IF(YEAR(F1702)&lt;&gt;2026,"",INDEX({"Enero","Febrero","Marzo","Abril","Mayo","Junio","Julio","Agosto","Septiembre","Octubre","Noviembre","Diciembre"},MONTH(F1702))))</f>
        <v>Agosto</v>
      </c>
      <c r="N1702" s="18" t="str">
        <f t="shared" si="80"/>
        <v>Agosto|44</v>
      </c>
    </row>
    <row r="1703" spans="1:14" ht="14.5" x14ac:dyDescent="0.25">
      <c r="A1703" s="19">
        <v>34</v>
      </c>
      <c r="B1703" s="18" t="s">
        <v>41</v>
      </c>
      <c r="C1703" s="18" t="s">
        <v>122</v>
      </c>
      <c r="D1703" s="18" t="s">
        <v>2230</v>
      </c>
      <c r="E1703" s="18" t="s">
        <v>2261</v>
      </c>
      <c r="F1703" s="101">
        <v>46248.506944444445</v>
      </c>
      <c r="G1703" s="101">
        <v>46256.47152777778</v>
      </c>
      <c r="H1703" s="18" t="s">
        <v>507</v>
      </c>
      <c r="I1703" s="18" t="s">
        <v>508</v>
      </c>
      <c r="J1703" s="18"/>
      <c r="K1703" s="21">
        <f t="shared" si="78"/>
        <v>191.15000000002328</v>
      </c>
      <c r="L1703" s="19">
        <f t="shared" si="79"/>
        <v>44</v>
      </c>
      <c r="M1703" s="18" t="str">
        <f>IF(I1703&lt;&gt;"Sí","",IF(YEAR(F1703)&lt;&gt;2026,"",INDEX({"Enero","Febrero","Marzo","Abril","Mayo","Junio","Julio","Agosto","Septiembre","Octubre","Noviembre","Diciembre"},MONTH(F1703))))</f>
        <v>Agosto</v>
      </c>
      <c r="N1703" s="18" t="str">
        <f t="shared" si="80"/>
        <v>Agosto|44</v>
      </c>
    </row>
    <row r="1704" spans="1:14" ht="14.5" x14ac:dyDescent="0.25">
      <c r="A1704" s="19">
        <v>34</v>
      </c>
      <c r="B1704" s="18" t="s">
        <v>41</v>
      </c>
      <c r="C1704" s="18" t="s">
        <v>122</v>
      </c>
      <c r="D1704" s="18" t="s">
        <v>2230</v>
      </c>
      <c r="E1704" s="18" t="s">
        <v>2262</v>
      </c>
      <c r="F1704" s="101">
        <v>46248.556250000001</v>
      </c>
      <c r="G1704" s="101">
        <v>46257.085416666669</v>
      </c>
      <c r="H1704" s="18" t="s">
        <v>507</v>
      </c>
      <c r="I1704" s="18" t="s">
        <v>508</v>
      </c>
      <c r="J1704" s="18"/>
      <c r="K1704" s="21">
        <f t="shared" si="78"/>
        <v>204.70000000001164</v>
      </c>
      <c r="L1704" s="19">
        <f t="shared" si="79"/>
        <v>45</v>
      </c>
      <c r="M1704" s="18" t="str">
        <f>IF(I1704&lt;&gt;"Sí","",IF(YEAR(F1704)&lt;&gt;2026,"",INDEX({"Enero","Febrero","Marzo","Abril","Mayo","Junio","Julio","Agosto","Septiembre","Octubre","Noviembre","Diciembre"},MONTH(F1704))))</f>
        <v>Agosto</v>
      </c>
      <c r="N1704" s="18" t="str">
        <f t="shared" si="80"/>
        <v>Agosto|45</v>
      </c>
    </row>
    <row r="1705" spans="1:14" ht="14.5" x14ac:dyDescent="0.25">
      <c r="A1705" s="19">
        <v>34</v>
      </c>
      <c r="B1705" s="18" t="s">
        <v>41</v>
      </c>
      <c r="C1705" s="18" t="s">
        <v>122</v>
      </c>
      <c r="D1705" s="18" t="s">
        <v>2230</v>
      </c>
      <c r="E1705" s="18" t="s">
        <v>2263</v>
      </c>
      <c r="F1705" s="101">
        <v>46248.631944444445</v>
      </c>
      <c r="G1705" s="101">
        <v>46256.92083333333</v>
      </c>
      <c r="H1705" s="18" t="s">
        <v>507</v>
      </c>
      <c r="I1705" s="18" t="s">
        <v>508</v>
      </c>
      <c r="J1705" s="18"/>
      <c r="K1705" s="21">
        <f t="shared" si="78"/>
        <v>198.93333333323244</v>
      </c>
      <c r="L1705" s="19">
        <f t="shared" si="79"/>
        <v>47</v>
      </c>
      <c r="M1705" s="18" t="str">
        <f>IF(I1705&lt;&gt;"Sí","",IF(YEAR(F1705)&lt;&gt;2026,"",INDEX({"Enero","Febrero","Marzo","Abril","Mayo","Junio","Julio","Agosto","Septiembre","Octubre","Noviembre","Diciembre"},MONTH(F1705))))</f>
        <v>Agosto</v>
      </c>
      <c r="N1705" s="18" t="str">
        <f t="shared" si="80"/>
        <v>Agosto|47</v>
      </c>
    </row>
    <row r="1706" spans="1:14" ht="14.5" x14ac:dyDescent="0.25">
      <c r="A1706" s="19">
        <v>34</v>
      </c>
      <c r="B1706" s="18" t="s">
        <v>41</v>
      </c>
      <c r="C1706" s="18" t="s">
        <v>122</v>
      </c>
      <c r="D1706" s="18" t="s">
        <v>2230</v>
      </c>
      <c r="E1706" s="18" t="s">
        <v>2264</v>
      </c>
      <c r="F1706" s="101">
        <v>46248.631944444445</v>
      </c>
      <c r="G1706" s="101">
        <v>46255.757638888892</v>
      </c>
      <c r="H1706" s="18" t="s">
        <v>507</v>
      </c>
      <c r="I1706" s="18" t="s">
        <v>508</v>
      </c>
      <c r="J1706" s="18"/>
      <c r="K1706" s="21">
        <f t="shared" si="78"/>
        <v>171.01666666672099</v>
      </c>
      <c r="L1706" s="19">
        <f t="shared" si="79"/>
        <v>47</v>
      </c>
      <c r="M1706" s="18" t="str">
        <f>IF(I1706&lt;&gt;"Sí","",IF(YEAR(F1706)&lt;&gt;2026,"",INDEX({"Enero","Febrero","Marzo","Abril","Mayo","Junio","Julio","Agosto","Septiembre","Octubre","Noviembre","Diciembre"},MONTH(F1706))))</f>
        <v>Agosto</v>
      </c>
      <c r="N1706" s="18" t="str">
        <f t="shared" si="80"/>
        <v>Agosto|47</v>
      </c>
    </row>
    <row r="1707" spans="1:14" ht="14.5" x14ac:dyDescent="0.25">
      <c r="A1707" s="19">
        <v>34</v>
      </c>
      <c r="B1707" s="18" t="s">
        <v>41</v>
      </c>
      <c r="C1707" s="18" t="s">
        <v>95</v>
      </c>
      <c r="D1707" s="18" t="s">
        <v>1807</v>
      </c>
      <c r="E1707" s="18" t="s">
        <v>2265</v>
      </c>
      <c r="F1707" s="101">
        <v>46248.634027777778</v>
      </c>
      <c r="G1707" s="101">
        <v>46258.451388888891</v>
      </c>
      <c r="H1707" s="18" t="s">
        <v>507</v>
      </c>
      <c r="I1707" s="18" t="s">
        <v>508</v>
      </c>
      <c r="J1707" s="18"/>
      <c r="K1707" s="21">
        <f t="shared" si="78"/>
        <v>235.61666666669771</v>
      </c>
      <c r="L1707" s="19">
        <f t="shared" si="79"/>
        <v>48</v>
      </c>
      <c r="M1707" s="18" t="str">
        <f>IF(I1707&lt;&gt;"Sí","",IF(YEAR(F1707)&lt;&gt;2026,"",INDEX({"Enero","Febrero","Marzo","Abril","Mayo","Junio","Julio","Agosto","Septiembre","Octubre","Noviembre","Diciembre"},MONTH(F1707))))</f>
        <v>Agosto</v>
      </c>
      <c r="N1707" s="18" t="str">
        <f t="shared" si="80"/>
        <v>Agosto|48</v>
      </c>
    </row>
    <row r="1708" spans="1:14" ht="14.5" x14ac:dyDescent="0.25">
      <c r="A1708" s="19">
        <v>34</v>
      </c>
      <c r="B1708" s="18" t="s">
        <v>41</v>
      </c>
      <c r="C1708" s="18" t="s">
        <v>92</v>
      </c>
      <c r="D1708" s="18" t="s">
        <v>1981</v>
      </c>
      <c r="E1708" s="18" t="s">
        <v>2266</v>
      </c>
      <c r="F1708" s="101"/>
      <c r="G1708" s="101">
        <v>46249.54583333333</v>
      </c>
      <c r="H1708" s="18" t="s">
        <v>554</v>
      </c>
      <c r="I1708" s="18" t="s">
        <v>555</v>
      </c>
      <c r="J1708" s="18" t="s">
        <v>556</v>
      </c>
      <c r="K1708" s="21" t="str">
        <f t="shared" si="78"/>
        <v/>
      </c>
      <c r="L1708" s="19" t="str">
        <f t="shared" si="79"/>
        <v/>
      </c>
      <c r="M1708" s="18" t="str">
        <f>IF(I1708&lt;&gt;"Sí","",IF(YEAR(F1708)&lt;&gt;2026,"",INDEX({"Enero","Febrero","Marzo","Abril","Mayo","Junio","Julio","Agosto","Septiembre","Octubre","Noviembre","Diciembre"},MONTH(F1708))))</f>
        <v/>
      </c>
      <c r="N1708" s="18" t="str">
        <f t="shared" si="80"/>
        <v/>
      </c>
    </row>
    <row r="1709" spans="1:14" ht="14.5" x14ac:dyDescent="0.25">
      <c r="A1709" s="19">
        <v>34</v>
      </c>
      <c r="B1709" s="18" t="s">
        <v>41</v>
      </c>
      <c r="C1709" s="18" t="s">
        <v>122</v>
      </c>
      <c r="D1709" s="18" t="s">
        <v>2230</v>
      </c>
      <c r="E1709" s="18" t="s">
        <v>2267</v>
      </c>
      <c r="F1709" s="101">
        <v>46249.584027777775</v>
      </c>
      <c r="G1709" s="101">
        <v>46257.077777777777</v>
      </c>
      <c r="H1709" s="18" t="s">
        <v>507</v>
      </c>
      <c r="I1709" s="18" t="s">
        <v>508</v>
      </c>
      <c r="J1709" s="18"/>
      <c r="K1709" s="21">
        <f t="shared" si="78"/>
        <v>179.85000000003492</v>
      </c>
      <c r="L1709" s="19">
        <f t="shared" si="79"/>
        <v>55</v>
      </c>
      <c r="M1709" s="18" t="str">
        <f>IF(I1709&lt;&gt;"Sí","",IF(YEAR(F1709)&lt;&gt;2026,"",INDEX({"Enero","Febrero","Marzo","Abril","Mayo","Junio","Julio","Agosto","Septiembre","Octubre","Noviembre","Diciembre"},MONTH(F1709))))</f>
        <v>Agosto</v>
      </c>
      <c r="N1709" s="18" t="str">
        <f t="shared" si="80"/>
        <v>Agosto|55</v>
      </c>
    </row>
    <row r="1710" spans="1:14" ht="14.5" x14ac:dyDescent="0.25">
      <c r="A1710" s="19">
        <v>34</v>
      </c>
      <c r="B1710" s="18" t="s">
        <v>41</v>
      </c>
      <c r="C1710" s="18" t="s">
        <v>122</v>
      </c>
      <c r="D1710" s="18" t="s">
        <v>2230</v>
      </c>
      <c r="E1710" s="18" t="s">
        <v>2268</v>
      </c>
      <c r="F1710" s="101">
        <v>46249.584027777775</v>
      </c>
      <c r="G1710" s="101">
        <v>46257.077777777777</v>
      </c>
      <c r="H1710" s="18" t="s">
        <v>507</v>
      </c>
      <c r="I1710" s="18" t="s">
        <v>508</v>
      </c>
      <c r="J1710" s="18"/>
      <c r="K1710" s="21">
        <f t="shared" si="78"/>
        <v>179.85000000003492</v>
      </c>
      <c r="L1710" s="19">
        <f t="shared" si="79"/>
        <v>55</v>
      </c>
      <c r="M1710" s="18" t="str">
        <f>IF(I1710&lt;&gt;"Sí","",IF(YEAR(F1710)&lt;&gt;2026,"",INDEX({"Enero","Febrero","Marzo","Abril","Mayo","Junio","Julio","Agosto","Septiembre","Octubre","Noviembre","Diciembre"},MONTH(F1710))))</f>
        <v>Agosto</v>
      </c>
      <c r="N1710" s="18" t="str">
        <f t="shared" si="80"/>
        <v>Agosto|55</v>
      </c>
    </row>
    <row r="1711" spans="1:14" ht="14.5" x14ac:dyDescent="0.25">
      <c r="A1711" s="19">
        <v>34</v>
      </c>
      <c r="B1711" s="18" t="s">
        <v>41</v>
      </c>
      <c r="C1711" s="18" t="s">
        <v>122</v>
      </c>
      <c r="D1711" s="18" t="s">
        <v>2230</v>
      </c>
      <c r="E1711" s="18" t="s">
        <v>2269</v>
      </c>
      <c r="F1711" s="101">
        <v>46249.584027777775</v>
      </c>
      <c r="G1711" s="101">
        <v>46257.077777777777</v>
      </c>
      <c r="H1711" s="18" t="s">
        <v>507</v>
      </c>
      <c r="I1711" s="18" t="s">
        <v>508</v>
      </c>
      <c r="J1711" s="18"/>
      <c r="K1711" s="21">
        <f t="shared" si="78"/>
        <v>179.85000000003492</v>
      </c>
      <c r="L1711" s="19">
        <f t="shared" si="79"/>
        <v>55</v>
      </c>
      <c r="M1711" s="18" t="str">
        <f>IF(I1711&lt;&gt;"Sí","",IF(YEAR(F1711)&lt;&gt;2026,"",INDEX({"Enero","Febrero","Marzo","Abril","Mayo","Junio","Julio","Agosto","Septiembre","Octubre","Noviembre","Diciembre"},MONTH(F1711))))</f>
        <v>Agosto</v>
      </c>
      <c r="N1711" s="18" t="str">
        <f t="shared" si="80"/>
        <v>Agosto|55</v>
      </c>
    </row>
    <row r="1712" spans="1:14" ht="14.5" x14ac:dyDescent="0.25">
      <c r="A1712" s="19">
        <v>34</v>
      </c>
      <c r="B1712" s="18" t="s">
        <v>41</v>
      </c>
      <c r="C1712" s="18" t="s">
        <v>122</v>
      </c>
      <c r="D1712" s="18" t="s">
        <v>2230</v>
      </c>
      <c r="E1712" s="18" t="s">
        <v>2270</v>
      </c>
      <c r="F1712" s="101">
        <v>46249.584027777775</v>
      </c>
      <c r="G1712" s="101">
        <v>46257.081944444442</v>
      </c>
      <c r="H1712" s="18" t="s">
        <v>507</v>
      </c>
      <c r="I1712" s="18" t="s">
        <v>508</v>
      </c>
      <c r="J1712" s="18"/>
      <c r="K1712" s="21">
        <f t="shared" si="78"/>
        <v>179.95000000001164</v>
      </c>
      <c r="L1712" s="19">
        <f t="shared" si="79"/>
        <v>55</v>
      </c>
      <c r="M1712" s="18" t="str">
        <f>IF(I1712&lt;&gt;"Sí","",IF(YEAR(F1712)&lt;&gt;2026,"",INDEX({"Enero","Febrero","Marzo","Abril","Mayo","Junio","Julio","Agosto","Septiembre","Octubre","Noviembre","Diciembre"},MONTH(F1712))))</f>
        <v>Agosto</v>
      </c>
      <c r="N1712" s="18" t="str">
        <f t="shared" si="80"/>
        <v>Agosto|55</v>
      </c>
    </row>
    <row r="1713" spans="1:14" ht="14.5" x14ac:dyDescent="0.25">
      <c r="A1713" s="19">
        <v>34</v>
      </c>
      <c r="B1713" s="18" t="s">
        <v>41</v>
      </c>
      <c r="C1713" s="18" t="s">
        <v>122</v>
      </c>
      <c r="D1713" s="18" t="s">
        <v>2230</v>
      </c>
      <c r="E1713" s="18" t="s">
        <v>2271</v>
      </c>
      <c r="F1713" s="101">
        <v>46249.584027777775</v>
      </c>
      <c r="G1713" s="101">
        <v>46255.757638888892</v>
      </c>
      <c r="H1713" s="18" t="s">
        <v>507</v>
      </c>
      <c r="I1713" s="18" t="s">
        <v>508</v>
      </c>
      <c r="J1713" s="18"/>
      <c r="K1713" s="21">
        <f t="shared" si="78"/>
        <v>148.16666666680248</v>
      </c>
      <c r="L1713" s="19">
        <f t="shared" si="79"/>
        <v>55</v>
      </c>
      <c r="M1713" s="18" t="str">
        <f>IF(I1713&lt;&gt;"Sí","",IF(YEAR(F1713)&lt;&gt;2026,"",INDEX({"Enero","Febrero","Marzo","Abril","Mayo","Junio","Julio","Agosto","Septiembre","Octubre","Noviembre","Diciembre"},MONTH(F1713))))</f>
        <v>Agosto</v>
      </c>
      <c r="N1713" s="18" t="str">
        <f t="shared" si="80"/>
        <v>Agosto|55</v>
      </c>
    </row>
    <row r="1714" spans="1:14" ht="14.5" x14ac:dyDescent="0.25">
      <c r="A1714" s="19">
        <v>34</v>
      </c>
      <c r="B1714" s="18" t="s">
        <v>41</v>
      </c>
      <c r="C1714" s="18" t="s">
        <v>122</v>
      </c>
      <c r="D1714" s="18" t="s">
        <v>2230</v>
      </c>
      <c r="E1714" s="18" t="s">
        <v>2272</v>
      </c>
      <c r="F1714" s="101">
        <v>46249.584027777775</v>
      </c>
      <c r="G1714" s="101">
        <v>46255.757638888892</v>
      </c>
      <c r="H1714" s="18" t="s">
        <v>507</v>
      </c>
      <c r="I1714" s="18" t="s">
        <v>508</v>
      </c>
      <c r="J1714" s="18"/>
      <c r="K1714" s="21">
        <f t="shared" si="78"/>
        <v>148.16666666680248</v>
      </c>
      <c r="L1714" s="19">
        <f t="shared" si="79"/>
        <v>55</v>
      </c>
      <c r="M1714" s="18" t="str">
        <f>IF(I1714&lt;&gt;"Sí","",IF(YEAR(F1714)&lt;&gt;2026,"",INDEX({"Enero","Febrero","Marzo","Abril","Mayo","Junio","Julio","Agosto","Septiembre","Octubre","Noviembre","Diciembre"},MONTH(F1714))))</f>
        <v>Agosto</v>
      </c>
      <c r="N1714" s="18" t="str">
        <f t="shared" si="80"/>
        <v>Agosto|55</v>
      </c>
    </row>
    <row r="1715" spans="1:14" ht="14.5" x14ac:dyDescent="0.25">
      <c r="A1715" s="19">
        <v>34</v>
      </c>
      <c r="B1715" s="18" t="s">
        <v>41</v>
      </c>
      <c r="C1715" s="18" t="s">
        <v>95</v>
      </c>
      <c r="D1715" s="18" t="s">
        <v>1807</v>
      </c>
      <c r="E1715" s="18" t="s">
        <v>2273</v>
      </c>
      <c r="F1715" s="101">
        <v>46249.584027777775</v>
      </c>
      <c r="G1715" s="101">
        <v>46258.513888888891</v>
      </c>
      <c r="H1715" s="18" t="s">
        <v>507</v>
      </c>
      <c r="I1715" s="18" t="s">
        <v>508</v>
      </c>
      <c r="J1715" s="18"/>
      <c r="K1715" s="21">
        <f t="shared" si="78"/>
        <v>214.31666666676756</v>
      </c>
      <c r="L1715" s="19">
        <f t="shared" si="79"/>
        <v>55</v>
      </c>
      <c r="M1715" s="18" t="str">
        <f>IF(I1715&lt;&gt;"Sí","",IF(YEAR(F1715)&lt;&gt;2026,"",INDEX({"Enero","Febrero","Marzo","Abril","Mayo","Junio","Julio","Agosto","Septiembre","Octubre","Noviembre","Diciembre"},MONTH(F1715))))</f>
        <v>Agosto</v>
      </c>
      <c r="N1715" s="18" t="str">
        <f t="shared" si="80"/>
        <v>Agosto|55</v>
      </c>
    </row>
    <row r="1716" spans="1:14" ht="14.5" x14ac:dyDescent="0.25">
      <c r="A1716" s="19">
        <v>34</v>
      </c>
      <c r="B1716" s="18" t="s">
        <v>41</v>
      </c>
      <c r="C1716" s="18" t="s">
        <v>95</v>
      </c>
      <c r="D1716" s="18" t="s">
        <v>1807</v>
      </c>
      <c r="E1716" s="18" t="s">
        <v>2274</v>
      </c>
      <c r="F1716" s="101">
        <v>46249.584027777775</v>
      </c>
      <c r="G1716" s="101">
        <v>46258.513888888891</v>
      </c>
      <c r="H1716" s="18" t="s">
        <v>507</v>
      </c>
      <c r="I1716" s="18" t="s">
        <v>508</v>
      </c>
      <c r="J1716" s="18"/>
      <c r="K1716" s="21">
        <f t="shared" si="78"/>
        <v>214.31666666676756</v>
      </c>
      <c r="L1716" s="19">
        <f t="shared" si="79"/>
        <v>55</v>
      </c>
      <c r="M1716" s="18" t="str">
        <f>IF(I1716&lt;&gt;"Sí","",IF(YEAR(F1716)&lt;&gt;2026,"",INDEX({"Enero","Febrero","Marzo","Abril","Mayo","Junio","Julio","Agosto","Septiembre","Octubre","Noviembre","Diciembre"},MONTH(F1716))))</f>
        <v>Agosto</v>
      </c>
      <c r="N1716" s="18" t="str">
        <f t="shared" si="80"/>
        <v>Agosto|55</v>
      </c>
    </row>
    <row r="1717" spans="1:14" ht="14.5" x14ac:dyDescent="0.25">
      <c r="A1717" s="19">
        <v>34</v>
      </c>
      <c r="B1717" s="18" t="s">
        <v>41</v>
      </c>
      <c r="C1717" s="18" t="s">
        <v>95</v>
      </c>
      <c r="D1717" s="18" t="s">
        <v>1807</v>
      </c>
      <c r="E1717" s="18" t="s">
        <v>2275</v>
      </c>
      <c r="F1717" s="101">
        <v>46249.584027777775</v>
      </c>
      <c r="G1717" s="101">
        <v>46258.513888888891</v>
      </c>
      <c r="H1717" s="18" t="s">
        <v>507</v>
      </c>
      <c r="I1717" s="18" t="s">
        <v>508</v>
      </c>
      <c r="J1717" s="18"/>
      <c r="K1717" s="21">
        <f t="shared" si="78"/>
        <v>214.31666666676756</v>
      </c>
      <c r="L1717" s="19">
        <f t="shared" si="79"/>
        <v>55</v>
      </c>
      <c r="M1717" s="18" t="str">
        <f>IF(I1717&lt;&gt;"Sí","",IF(YEAR(F1717)&lt;&gt;2026,"",INDEX({"Enero","Febrero","Marzo","Abril","Mayo","Junio","Julio","Agosto","Septiembre","Octubre","Noviembre","Diciembre"},MONTH(F1717))))</f>
        <v>Agosto</v>
      </c>
      <c r="N1717" s="18" t="str">
        <f t="shared" si="80"/>
        <v>Agosto|55</v>
      </c>
    </row>
    <row r="1718" spans="1:14" ht="14.5" x14ac:dyDescent="0.25">
      <c r="A1718" s="19">
        <v>34</v>
      </c>
      <c r="B1718" s="18" t="s">
        <v>41</v>
      </c>
      <c r="C1718" s="18" t="s">
        <v>95</v>
      </c>
      <c r="D1718" s="18" t="s">
        <v>1807</v>
      </c>
      <c r="E1718" s="18" t="s">
        <v>2276</v>
      </c>
      <c r="F1718" s="101">
        <v>46249.584027777775</v>
      </c>
      <c r="G1718" s="101">
        <v>46258.513888888891</v>
      </c>
      <c r="H1718" s="18" t="s">
        <v>507</v>
      </c>
      <c r="I1718" s="18" t="s">
        <v>508</v>
      </c>
      <c r="J1718" s="18"/>
      <c r="K1718" s="21">
        <f t="shared" si="78"/>
        <v>214.31666666676756</v>
      </c>
      <c r="L1718" s="19">
        <f t="shared" si="79"/>
        <v>55</v>
      </c>
      <c r="M1718" s="18" t="str">
        <f>IF(I1718&lt;&gt;"Sí","",IF(YEAR(F1718)&lt;&gt;2026,"",INDEX({"Enero","Febrero","Marzo","Abril","Mayo","Junio","Julio","Agosto","Septiembre","Octubre","Noviembre","Diciembre"},MONTH(F1718))))</f>
        <v>Agosto</v>
      </c>
      <c r="N1718" s="18" t="str">
        <f t="shared" si="80"/>
        <v>Agosto|55</v>
      </c>
    </row>
    <row r="1719" spans="1:14" ht="14.5" x14ac:dyDescent="0.25">
      <c r="A1719" s="19">
        <v>34</v>
      </c>
      <c r="B1719" s="18" t="s">
        <v>41</v>
      </c>
      <c r="C1719" s="18" t="s">
        <v>193</v>
      </c>
      <c r="D1719" s="18" t="s">
        <v>2225</v>
      </c>
      <c r="E1719" s="18" t="s">
        <v>2277</v>
      </c>
      <c r="F1719" s="101"/>
      <c r="G1719" s="101">
        <v>46251.478472222225</v>
      </c>
      <c r="H1719" s="18" t="s">
        <v>554</v>
      </c>
      <c r="I1719" s="18" t="s">
        <v>555</v>
      </c>
      <c r="J1719" s="18" t="s">
        <v>556</v>
      </c>
      <c r="K1719" s="21" t="str">
        <f t="shared" si="78"/>
        <v/>
      </c>
      <c r="L1719" s="19" t="str">
        <f t="shared" si="79"/>
        <v/>
      </c>
      <c r="M1719" s="18" t="str">
        <f>IF(I1719&lt;&gt;"Sí","",IF(YEAR(F1719)&lt;&gt;2026,"",INDEX({"Enero","Febrero","Marzo","Abril","Mayo","Junio","Julio","Agosto","Septiembre","Octubre","Noviembre","Diciembre"},MONTH(F1719))))</f>
        <v/>
      </c>
      <c r="N1719" s="18" t="str">
        <f t="shared" si="80"/>
        <v/>
      </c>
    </row>
    <row r="1720" spans="1:14" ht="14.5" x14ac:dyDescent="0.25">
      <c r="A1720" s="19">
        <v>34</v>
      </c>
      <c r="B1720" s="18" t="s">
        <v>41</v>
      </c>
      <c r="C1720" s="18" t="s">
        <v>95</v>
      </c>
      <c r="D1720" s="18" t="s">
        <v>1807</v>
      </c>
      <c r="E1720" s="18" t="s">
        <v>2278</v>
      </c>
      <c r="F1720" s="101">
        <v>46254.488888888889</v>
      </c>
      <c r="G1720" s="101">
        <v>46258.555555555555</v>
      </c>
      <c r="H1720" s="18" t="s">
        <v>507</v>
      </c>
      <c r="I1720" s="18" t="s">
        <v>508</v>
      </c>
      <c r="J1720" s="18"/>
      <c r="K1720" s="21">
        <f t="shared" si="78"/>
        <v>97.599999999976717</v>
      </c>
      <c r="L1720" s="19">
        <f t="shared" si="79"/>
        <v>52</v>
      </c>
      <c r="M1720" s="18" t="str">
        <f>IF(I1720&lt;&gt;"Sí","",IF(YEAR(F1720)&lt;&gt;2026,"",INDEX({"Enero","Febrero","Marzo","Abril","Mayo","Junio","Julio","Agosto","Septiembre","Octubre","Noviembre","Diciembre"},MONTH(F1720))))</f>
        <v>Agosto</v>
      </c>
      <c r="N1720" s="18" t="str">
        <f t="shared" si="80"/>
        <v>Agosto|52</v>
      </c>
    </row>
    <row r="1721" spans="1:14" ht="14.5" x14ac:dyDescent="0.25">
      <c r="A1721" s="19">
        <v>34</v>
      </c>
      <c r="B1721" s="18" t="s">
        <v>41</v>
      </c>
      <c r="C1721" s="18" t="s">
        <v>95</v>
      </c>
      <c r="D1721" s="18" t="s">
        <v>1807</v>
      </c>
      <c r="E1721" s="18" t="s">
        <v>2279</v>
      </c>
      <c r="F1721" s="101">
        <v>46254.488888888889</v>
      </c>
      <c r="G1721" s="101">
        <v>46258.555555555555</v>
      </c>
      <c r="H1721" s="18" t="s">
        <v>507</v>
      </c>
      <c r="I1721" s="18" t="s">
        <v>508</v>
      </c>
      <c r="J1721" s="18"/>
      <c r="K1721" s="21">
        <f t="shared" si="78"/>
        <v>97.599999999976717</v>
      </c>
      <c r="L1721" s="19">
        <f t="shared" si="79"/>
        <v>52</v>
      </c>
      <c r="M1721" s="18" t="str">
        <f>IF(I1721&lt;&gt;"Sí","",IF(YEAR(F1721)&lt;&gt;2026,"",INDEX({"Enero","Febrero","Marzo","Abril","Mayo","Junio","Julio","Agosto","Septiembre","Octubre","Noviembre","Diciembre"},MONTH(F1721))))</f>
        <v>Agosto</v>
      </c>
      <c r="N1721" s="18" t="str">
        <f t="shared" si="80"/>
        <v>Agosto|52</v>
      </c>
    </row>
    <row r="1722" spans="1:14" ht="14.5" x14ac:dyDescent="0.25">
      <c r="A1722" s="19">
        <v>34</v>
      </c>
      <c r="B1722" s="18" t="s">
        <v>41</v>
      </c>
      <c r="C1722" s="18" t="s">
        <v>95</v>
      </c>
      <c r="D1722" s="18" t="s">
        <v>1807</v>
      </c>
      <c r="E1722" s="18" t="s">
        <v>2280</v>
      </c>
      <c r="F1722" s="101">
        <v>46254.488888888889</v>
      </c>
      <c r="G1722" s="101">
        <v>46258.513888888891</v>
      </c>
      <c r="H1722" s="18" t="s">
        <v>507</v>
      </c>
      <c r="I1722" s="18" t="s">
        <v>508</v>
      </c>
      <c r="J1722" s="18"/>
      <c r="K1722" s="21">
        <f t="shared" si="78"/>
        <v>96.600000000034925</v>
      </c>
      <c r="L1722" s="19">
        <f t="shared" si="79"/>
        <v>52</v>
      </c>
      <c r="M1722" s="18" t="str">
        <f>IF(I1722&lt;&gt;"Sí","",IF(YEAR(F1722)&lt;&gt;2026,"",INDEX({"Enero","Febrero","Marzo","Abril","Mayo","Junio","Julio","Agosto","Septiembre","Octubre","Noviembre","Diciembre"},MONTH(F1722))))</f>
        <v>Agosto</v>
      </c>
      <c r="N1722" s="18" t="str">
        <f t="shared" si="80"/>
        <v>Agosto|52</v>
      </c>
    </row>
    <row r="1723" spans="1:14" ht="14.5" x14ac:dyDescent="0.25">
      <c r="A1723" s="19">
        <v>34</v>
      </c>
      <c r="B1723" s="18" t="s">
        <v>41</v>
      </c>
      <c r="C1723" s="18" t="s">
        <v>95</v>
      </c>
      <c r="D1723" s="18" t="s">
        <v>1807</v>
      </c>
      <c r="E1723" s="18" t="s">
        <v>2281</v>
      </c>
      <c r="F1723" s="101">
        <v>46254.53125</v>
      </c>
      <c r="G1723" s="101">
        <v>46258.513888888891</v>
      </c>
      <c r="H1723" s="18" t="s">
        <v>507</v>
      </c>
      <c r="I1723" s="18" t="s">
        <v>508</v>
      </c>
      <c r="J1723" s="18"/>
      <c r="K1723" s="21">
        <f t="shared" si="78"/>
        <v>95.583333333372138</v>
      </c>
      <c r="L1723" s="19">
        <f t="shared" si="79"/>
        <v>53</v>
      </c>
      <c r="M1723" s="18" t="str">
        <f>IF(I1723&lt;&gt;"Sí","",IF(YEAR(F1723)&lt;&gt;2026,"",INDEX({"Enero","Febrero","Marzo","Abril","Mayo","Junio","Julio","Agosto","Septiembre","Octubre","Noviembre","Diciembre"},MONTH(F1723))))</f>
        <v>Agosto</v>
      </c>
      <c r="N1723" s="18" t="str">
        <f t="shared" si="80"/>
        <v>Agosto|53</v>
      </c>
    </row>
    <row r="1724" spans="1:14" ht="14.5" x14ac:dyDescent="0.25">
      <c r="A1724" s="19">
        <v>34</v>
      </c>
      <c r="B1724" s="18" t="s">
        <v>41</v>
      </c>
      <c r="C1724" s="18" t="s">
        <v>95</v>
      </c>
      <c r="D1724" s="18" t="s">
        <v>1807</v>
      </c>
      <c r="E1724" s="18" t="s">
        <v>2282</v>
      </c>
      <c r="F1724" s="101">
        <v>46254.552083333336</v>
      </c>
      <c r="G1724" s="101">
        <v>46258.513888888891</v>
      </c>
      <c r="H1724" s="18" t="s">
        <v>507</v>
      </c>
      <c r="I1724" s="18" t="s">
        <v>508</v>
      </c>
      <c r="J1724" s="18"/>
      <c r="K1724" s="21">
        <f t="shared" si="78"/>
        <v>95.083333333313931</v>
      </c>
      <c r="L1724" s="19">
        <f t="shared" si="79"/>
        <v>60</v>
      </c>
      <c r="M1724" s="18" t="str">
        <f>IF(I1724&lt;&gt;"Sí","",IF(YEAR(F1724)&lt;&gt;2026,"",INDEX({"Enero","Febrero","Marzo","Abril","Mayo","Junio","Julio","Agosto","Septiembre","Octubre","Noviembre","Diciembre"},MONTH(F1724))))</f>
        <v>Agosto</v>
      </c>
      <c r="N1724" s="18" t="str">
        <f t="shared" si="80"/>
        <v>Agosto|60</v>
      </c>
    </row>
    <row r="1725" spans="1:14" ht="14.5" x14ac:dyDescent="0.25">
      <c r="A1725" s="19">
        <v>34</v>
      </c>
      <c r="B1725" s="18" t="s">
        <v>41</v>
      </c>
      <c r="C1725" s="18" t="s">
        <v>95</v>
      </c>
      <c r="D1725" s="18" t="s">
        <v>1807</v>
      </c>
      <c r="E1725" s="18" t="s">
        <v>2283</v>
      </c>
      <c r="F1725" s="101">
        <v>46254.552083333336</v>
      </c>
      <c r="G1725" s="101">
        <v>46258.513888888891</v>
      </c>
      <c r="H1725" s="18" t="s">
        <v>507</v>
      </c>
      <c r="I1725" s="18" t="s">
        <v>508</v>
      </c>
      <c r="J1725" s="18"/>
      <c r="K1725" s="21">
        <f t="shared" si="78"/>
        <v>95.083333333313931</v>
      </c>
      <c r="L1725" s="19">
        <f t="shared" si="79"/>
        <v>60</v>
      </c>
      <c r="M1725" s="18" t="str">
        <f>IF(I1725&lt;&gt;"Sí","",IF(YEAR(F1725)&lt;&gt;2026,"",INDEX({"Enero","Febrero","Marzo","Abril","Mayo","Junio","Julio","Agosto","Septiembre","Octubre","Noviembre","Diciembre"},MONTH(F1725))))</f>
        <v>Agosto</v>
      </c>
      <c r="N1725" s="18" t="str">
        <f t="shared" si="80"/>
        <v>Agosto|60</v>
      </c>
    </row>
    <row r="1726" spans="1:14" ht="14.5" x14ac:dyDescent="0.25">
      <c r="A1726" s="19">
        <v>34</v>
      </c>
      <c r="B1726" s="18" t="s">
        <v>41</v>
      </c>
      <c r="C1726" s="18" t="s">
        <v>95</v>
      </c>
      <c r="D1726" s="18" t="s">
        <v>1807</v>
      </c>
      <c r="E1726" s="18" t="s">
        <v>2284</v>
      </c>
      <c r="F1726" s="101">
        <v>46254.552083333336</v>
      </c>
      <c r="G1726" s="101">
        <v>46258.555555555555</v>
      </c>
      <c r="H1726" s="18" t="s">
        <v>507</v>
      </c>
      <c r="I1726" s="18" t="s">
        <v>508</v>
      </c>
      <c r="J1726" s="18"/>
      <c r="K1726" s="21">
        <f t="shared" si="78"/>
        <v>96.083333333255723</v>
      </c>
      <c r="L1726" s="19">
        <f t="shared" si="79"/>
        <v>60</v>
      </c>
      <c r="M1726" s="18" t="str">
        <f>IF(I1726&lt;&gt;"Sí","",IF(YEAR(F1726)&lt;&gt;2026,"",INDEX({"Enero","Febrero","Marzo","Abril","Mayo","Junio","Julio","Agosto","Septiembre","Octubre","Noviembre","Diciembre"},MONTH(F1726))))</f>
        <v>Agosto</v>
      </c>
      <c r="N1726" s="18" t="str">
        <f t="shared" si="80"/>
        <v>Agosto|60</v>
      </c>
    </row>
    <row r="1727" spans="1:14" ht="14.5" x14ac:dyDescent="0.25">
      <c r="A1727" s="19">
        <v>34</v>
      </c>
      <c r="B1727" s="18" t="s">
        <v>41</v>
      </c>
      <c r="C1727" s="18" t="s">
        <v>153</v>
      </c>
      <c r="D1727" s="18" t="s">
        <v>2285</v>
      </c>
      <c r="E1727" s="18" t="s">
        <v>2286</v>
      </c>
      <c r="F1727" s="101">
        <v>46254.552083333336</v>
      </c>
      <c r="G1727" s="101">
        <v>46263.615972222222</v>
      </c>
      <c r="H1727" s="18" t="s">
        <v>507</v>
      </c>
      <c r="I1727" s="18" t="s">
        <v>508</v>
      </c>
      <c r="J1727" s="18"/>
      <c r="K1727" s="21">
        <f t="shared" si="78"/>
        <v>217.53333333326736</v>
      </c>
      <c r="L1727" s="19">
        <f t="shared" si="79"/>
        <v>60</v>
      </c>
      <c r="M1727" s="18" t="str">
        <f>IF(I1727&lt;&gt;"Sí","",IF(YEAR(F1727)&lt;&gt;2026,"",INDEX({"Enero","Febrero","Marzo","Abril","Mayo","Junio","Julio","Agosto","Septiembre","Octubre","Noviembre","Diciembre"},MONTH(F1727))))</f>
        <v>Agosto</v>
      </c>
      <c r="N1727" s="18" t="str">
        <f t="shared" si="80"/>
        <v>Agosto|60</v>
      </c>
    </row>
    <row r="1728" spans="1:14" ht="14.5" x14ac:dyDescent="0.25">
      <c r="A1728" s="19">
        <v>34</v>
      </c>
      <c r="B1728" s="18" t="s">
        <v>41</v>
      </c>
      <c r="C1728" s="18" t="s">
        <v>153</v>
      </c>
      <c r="D1728" s="18" t="s">
        <v>2285</v>
      </c>
      <c r="E1728" s="18" t="s">
        <v>2287</v>
      </c>
      <c r="F1728" s="101">
        <v>46254.552083333336</v>
      </c>
      <c r="G1728" s="101">
        <v>46263.615972222222</v>
      </c>
      <c r="H1728" s="18" t="s">
        <v>507</v>
      </c>
      <c r="I1728" s="18" t="s">
        <v>508</v>
      </c>
      <c r="J1728" s="18"/>
      <c r="K1728" s="21">
        <f t="shared" si="78"/>
        <v>217.53333333326736</v>
      </c>
      <c r="L1728" s="19">
        <f t="shared" si="79"/>
        <v>60</v>
      </c>
      <c r="M1728" s="18" t="str">
        <f>IF(I1728&lt;&gt;"Sí","",IF(YEAR(F1728)&lt;&gt;2026,"",INDEX({"Enero","Febrero","Marzo","Abril","Mayo","Junio","Julio","Agosto","Septiembre","Octubre","Noviembre","Diciembre"},MONTH(F1728))))</f>
        <v>Agosto</v>
      </c>
      <c r="N1728" s="18" t="str">
        <f t="shared" si="80"/>
        <v>Agosto|60</v>
      </c>
    </row>
    <row r="1729" spans="1:14" ht="14.5" x14ac:dyDescent="0.25">
      <c r="A1729" s="19">
        <v>34</v>
      </c>
      <c r="B1729" s="18" t="s">
        <v>41</v>
      </c>
      <c r="C1729" s="18" t="s">
        <v>153</v>
      </c>
      <c r="D1729" s="18" t="s">
        <v>2285</v>
      </c>
      <c r="E1729" s="18" t="s">
        <v>2288</v>
      </c>
      <c r="F1729" s="101">
        <v>46254.552083333336</v>
      </c>
      <c r="G1729" s="101">
        <v>46263.615972222222</v>
      </c>
      <c r="H1729" s="18" t="s">
        <v>507</v>
      </c>
      <c r="I1729" s="18" t="s">
        <v>508</v>
      </c>
      <c r="J1729" s="18"/>
      <c r="K1729" s="21">
        <f t="shared" si="78"/>
        <v>217.53333333326736</v>
      </c>
      <c r="L1729" s="19">
        <f t="shared" si="79"/>
        <v>60</v>
      </c>
      <c r="M1729" s="18" t="str">
        <f>IF(I1729&lt;&gt;"Sí","",IF(YEAR(F1729)&lt;&gt;2026,"",INDEX({"Enero","Febrero","Marzo","Abril","Mayo","Junio","Julio","Agosto","Septiembre","Octubre","Noviembre","Diciembre"},MONTH(F1729))))</f>
        <v>Agosto</v>
      </c>
      <c r="N1729" s="18" t="str">
        <f t="shared" si="80"/>
        <v>Agosto|60</v>
      </c>
    </row>
    <row r="1730" spans="1:14" ht="14.5" x14ac:dyDescent="0.25">
      <c r="A1730" s="19">
        <v>34</v>
      </c>
      <c r="B1730" s="18" t="s">
        <v>41</v>
      </c>
      <c r="C1730" s="18" t="s">
        <v>153</v>
      </c>
      <c r="D1730" s="18" t="s">
        <v>2285</v>
      </c>
      <c r="E1730" s="18" t="s">
        <v>2289</v>
      </c>
      <c r="F1730" s="101">
        <v>46254.552083333336</v>
      </c>
      <c r="G1730" s="101">
        <v>46263.615972222222</v>
      </c>
      <c r="H1730" s="18" t="s">
        <v>507</v>
      </c>
      <c r="I1730" s="18" t="s">
        <v>508</v>
      </c>
      <c r="J1730" s="18"/>
      <c r="K1730" s="21">
        <f t="shared" si="78"/>
        <v>217.53333333326736</v>
      </c>
      <c r="L1730" s="19">
        <f t="shared" si="79"/>
        <v>60</v>
      </c>
      <c r="M1730" s="18" t="str">
        <f>IF(I1730&lt;&gt;"Sí","",IF(YEAR(F1730)&lt;&gt;2026,"",INDEX({"Enero","Febrero","Marzo","Abril","Mayo","Junio","Julio","Agosto","Septiembre","Octubre","Noviembre","Diciembre"},MONTH(F1730))))</f>
        <v>Agosto</v>
      </c>
      <c r="N1730" s="18" t="str">
        <f t="shared" si="80"/>
        <v>Agosto|60</v>
      </c>
    </row>
    <row r="1731" spans="1:14" ht="14.5" x14ac:dyDescent="0.25">
      <c r="A1731" s="19">
        <v>34</v>
      </c>
      <c r="B1731" s="18" t="s">
        <v>41</v>
      </c>
      <c r="C1731" s="18" t="s">
        <v>97</v>
      </c>
      <c r="D1731" s="18" t="s">
        <v>2290</v>
      </c>
      <c r="E1731" s="18" t="s">
        <v>2291</v>
      </c>
      <c r="F1731" s="101">
        <v>46254.767361111109</v>
      </c>
      <c r="G1731" s="101">
        <v>46265.131944444445</v>
      </c>
      <c r="H1731" s="18" t="s">
        <v>507</v>
      </c>
      <c r="I1731" s="18" t="s">
        <v>508</v>
      </c>
      <c r="J1731" s="18"/>
      <c r="K1731" s="21">
        <f t="shared" si="78"/>
        <v>248.75000000005821</v>
      </c>
      <c r="L1731" s="19">
        <f t="shared" si="79"/>
        <v>60</v>
      </c>
      <c r="M1731" s="18" t="str">
        <f>IF(I1731&lt;&gt;"Sí","",IF(YEAR(F1731)&lt;&gt;2026,"",INDEX({"Enero","Febrero","Marzo","Abril","Mayo","Junio","Julio","Agosto","Septiembre","Octubre","Noviembre","Diciembre"},MONTH(F1731))))</f>
        <v>Agosto</v>
      </c>
      <c r="N1731" s="18" t="str">
        <f t="shared" si="80"/>
        <v>Agosto|60</v>
      </c>
    </row>
    <row r="1732" spans="1:14" ht="14.5" x14ac:dyDescent="0.25">
      <c r="A1732" s="19">
        <v>34</v>
      </c>
      <c r="B1732" s="18" t="s">
        <v>41</v>
      </c>
      <c r="C1732" s="18" t="s">
        <v>153</v>
      </c>
      <c r="D1732" s="18" t="s">
        <v>2285</v>
      </c>
      <c r="E1732" s="18" t="s">
        <v>2292</v>
      </c>
      <c r="F1732" s="101">
        <v>46254.781944444447</v>
      </c>
      <c r="G1732" s="101">
        <v>46263.615972222222</v>
      </c>
      <c r="H1732" s="18" t="s">
        <v>507</v>
      </c>
      <c r="I1732" s="18" t="s">
        <v>508</v>
      </c>
      <c r="J1732" s="18"/>
      <c r="K1732" s="21">
        <f t="shared" si="78"/>
        <v>212.01666666660458</v>
      </c>
      <c r="L1732" s="19">
        <f t="shared" si="79"/>
        <v>61</v>
      </c>
      <c r="M1732" s="18" t="str">
        <f>IF(I1732&lt;&gt;"Sí","",IF(YEAR(F1732)&lt;&gt;2026,"",INDEX({"Enero","Febrero","Marzo","Abril","Mayo","Junio","Julio","Agosto","Septiembre","Octubre","Noviembre","Diciembre"},MONTH(F1732))))</f>
        <v>Agosto</v>
      </c>
      <c r="N1732" s="18" t="str">
        <f t="shared" si="80"/>
        <v>Agosto|61</v>
      </c>
    </row>
    <row r="1733" spans="1:14" ht="14.5" x14ac:dyDescent="0.25">
      <c r="A1733" s="19">
        <v>34</v>
      </c>
      <c r="B1733" s="18" t="s">
        <v>41</v>
      </c>
      <c r="C1733" s="18" t="s">
        <v>153</v>
      </c>
      <c r="D1733" s="18" t="s">
        <v>2285</v>
      </c>
      <c r="E1733" s="18" t="s">
        <v>2293</v>
      </c>
      <c r="F1733" s="101">
        <v>46254.781944444447</v>
      </c>
      <c r="G1733" s="101">
        <v>46263.615972222222</v>
      </c>
      <c r="H1733" s="18" t="s">
        <v>507</v>
      </c>
      <c r="I1733" s="18" t="s">
        <v>508</v>
      </c>
      <c r="J1733" s="18"/>
      <c r="K1733" s="21">
        <f t="shared" si="78"/>
        <v>212.01666666660458</v>
      </c>
      <c r="L1733" s="19">
        <f t="shared" si="79"/>
        <v>61</v>
      </c>
      <c r="M1733" s="18" t="str">
        <f>IF(I1733&lt;&gt;"Sí","",IF(YEAR(F1733)&lt;&gt;2026,"",INDEX({"Enero","Febrero","Marzo","Abril","Mayo","Junio","Julio","Agosto","Septiembre","Octubre","Noviembre","Diciembre"},MONTH(F1733))))</f>
        <v>Agosto</v>
      </c>
      <c r="N1733" s="18" t="str">
        <f t="shared" si="80"/>
        <v>Agosto|61</v>
      </c>
    </row>
    <row r="1734" spans="1:14" ht="14.5" x14ac:dyDescent="0.25">
      <c r="A1734" s="19">
        <v>34</v>
      </c>
      <c r="B1734" s="18" t="s">
        <v>41</v>
      </c>
      <c r="C1734" s="18" t="s">
        <v>106</v>
      </c>
      <c r="D1734" s="18" t="s">
        <v>2294</v>
      </c>
      <c r="E1734" s="18" t="s">
        <v>2295</v>
      </c>
      <c r="F1734" s="101"/>
      <c r="G1734" s="101">
        <v>46255.395833333336</v>
      </c>
      <c r="H1734" s="18" t="s">
        <v>554</v>
      </c>
      <c r="I1734" s="18" t="s">
        <v>555</v>
      </c>
      <c r="J1734" s="18" t="s">
        <v>556</v>
      </c>
      <c r="K1734" s="21" t="str">
        <f t="shared" si="78"/>
        <v/>
      </c>
      <c r="L1734" s="19" t="str">
        <f t="shared" si="79"/>
        <v/>
      </c>
      <c r="M1734" s="18" t="str">
        <f>IF(I1734&lt;&gt;"Sí","",IF(YEAR(F1734)&lt;&gt;2026,"",INDEX({"Enero","Febrero","Marzo","Abril","Mayo","Junio","Julio","Agosto","Septiembre","Octubre","Noviembre","Diciembre"},MONTH(F1734))))</f>
        <v/>
      </c>
      <c r="N1734" s="18" t="str">
        <f t="shared" si="80"/>
        <v/>
      </c>
    </row>
    <row r="1735" spans="1:14" ht="14.5" x14ac:dyDescent="0.25">
      <c r="A1735" s="19">
        <v>34</v>
      </c>
      <c r="B1735" s="18" t="s">
        <v>41</v>
      </c>
      <c r="C1735" s="18" t="s">
        <v>106</v>
      </c>
      <c r="D1735" s="18" t="s">
        <v>2294</v>
      </c>
      <c r="E1735" s="18" t="s">
        <v>2296</v>
      </c>
      <c r="F1735" s="101"/>
      <c r="G1735" s="101">
        <v>46255.395833333336</v>
      </c>
      <c r="H1735" s="18" t="s">
        <v>554</v>
      </c>
      <c r="I1735" s="18" t="s">
        <v>555</v>
      </c>
      <c r="J1735" s="18" t="s">
        <v>556</v>
      </c>
      <c r="K1735" s="21" t="str">
        <f t="shared" ref="K1735:K1798" si="81">IF(I1735="Sí",(G1735-F1735)*24,"")</f>
        <v/>
      </c>
      <c r="L1735" s="19" t="str">
        <f t="shared" ref="L1735:L1798" si="82">IF(I1735="Sí",COUNTIFS($F$7:$F$4000,"&lt;="&amp;F1735,$G$7:$G$4000,"&gt;"&amp;F1735,$I$7:$I$4000,"Sí"),"")</f>
        <v/>
      </c>
      <c r="M1735" s="18" t="str">
        <f>IF(I1735&lt;&gt;"Sí","",IF(YEAR(F1735)&lt;&gt;2026,"",INDEX({"Enero","Febrero","Marzo","Abril","Mayo","Junio","Julio","Agosto","Septiembre","Octubre","Noviembre","Diciembre"},MONTH(F1735))))</f>
        <v/>
      </c>
      <c r="N1735" s="18" t="str">
        <f t="shared" ref="N1735:N1798" si="83">IF(M1735="","",M1735&amp;"|"&amp;L1735)</f>
        <v/>
      </c>
    </row>
    <row r="1736" spans="1:14" ht="14.5" x14ac:dyDescent="0.25">
      <c r="A1736" s="19">
        <v>34</v>
      </c>
      <c r="B1736" s="18" t="s">
        <v>41</v>
      </c>
      <c r="C1736" s="18" t="s">
        <v>106</v>
      </c>
      <c r="D1736" s="18" t="s">
        <v>2294</v>
      </c>
      <c r="E1736" s="18" t="s">
        <v>2297</v>
      </c>
      <c r="F1736" s="101"/>
      <c r="G1736" s="101">
        <v>46255.395833333336</v>
      </c>
      <c r="H1736" s="18" t="s">
        <v>554</v>
      </c>
      <c r="I1736" s="18" t="s">
        <v>555</v>
      </c>
      <c r="J1736" s="18" t="s">
        <v>556</v>
      </c>
      <c r="K1736" s="21" t="str">
        <f t="shared" si="81"/>
        <v/>
      </c>
      <c r="L1736" s="19" t="str">
        <f t="shared" si="82"/>
        <v/>
      </c>
      <c r="M1736" s="18" t="str">
        <f>IF(I1736&lt;&gt;"Sí","",IF(YEAR(F1736)&lt;&gt;2026,"",INDEX({"Enero","Febrero","Marzo","Abril","Mayo","Junio","Julio","Agosto","Septiembre","Octubre","Noviembre","Diciembre"},MONTH(F1736))))</f>
        <v/>
      </c>
      <c r="N1736" s="18" t="str">
        <f t="shared" si="83"/>
        <v/>
      </c>
    </row>
    <row r="1737" spans="1:14" ht="14.5" x14ac:dyDescent="0.25">
      <c r="A1737" s="19">
        <v>34</v>
      </c>
      <c r="B1737" s="18" t="s">
        <v>41</v>
      </c>
      <c r="C1737" s="18" t="s">
        <v>106</v>
      </c>
      <c r="D1737" s="18" t="s">
        <v>2294</v>
      </c>
      <c r="E1737" s="18" t="s">
        <v>2298</v>
      </c>
      <c r="F1737" s="101"/>
      <c r="G1737" s="101">
        <v>46255.395833333336</v>
      </c>
      <c r="H1737" s="18" t="s">
        <v>523</v>
      </c>
      <c r="I1737" s="18" t="s">
        <v>555</v>
      </c>
      <c r="J1737" s="18" t="s">
        <v>556</v>
      </c>
      <c r="K1737" s="21" t="str">
        <f t="shared" si="81"/>
        <v/>
      </c>
      <c r="L1737" s="19" t="str">
        <f t="shared" si="82"/>
        <v/>
      </c>
      <c r="M1737" s="18" t="str">
        <f>IF(I1737&lt;&gt;"Sí","",IF(YEAR(F1737)&lt;&gt;2026,"",INDEX({"Enero","Febrero","Marzo","Abril","Mayo","Junio","Julio","Agosto","Septiembre","Octubre","Noviembre","Diciembre"},MONTH(F1737))))</f>
        <v/>
      </c>
      <c r="N1737" s="18" t="str">
        <f t="shared" si="83"/>
        <v/>
      </c>
    </row>
    <row r="1738" spans="1:14" ht="14.5" x14ac:dyDescent="0.25">
      <c r="A1738" s="19">
        <v>34</v>
      </c>
      <c r="B1738" s="18" t="s">
        <v>41</v>
      </c>
      <c r="C1738" s="18" t="s">
        <v>106</v>
      </c>
      <c r="D1738" s="18" t="s">
        <v>2294</v>
      </c>
      <c r="E1738" s="18" t="s">
        <v>2299</v>
      </c>
      <c r="F1738" s="101"/>
      <c r="G1738" s="101">
        <v>46255.413888888892</v>
      </c>
      <c r="H1738" s="18" t="s">
        <v>554</v>
      </c>
      <c r="I1738" s="18" t="s">
        <v>555</v>
      </c>
      <c r="J1738" s="18" t="s">
        <v>556</v>
      </c>
      <c r="K1738" s="21" t="str">
        <f t="shared" si="81"/>
        <v/>
      </c>
      <c r="L1738" s="19" t="str">
        <f t="shared" si="82"/>
        <v/>
      </c>
      <c r="M1738" s="18" t="str">
        <f>IF(I1738&lt;&gt;"Sí","",IF(YEAR(F1738)&lt;&gt;2026,"",INDEX({"Enero","Febrero","Marzo","Abril","Mayo","Junio","Julio","Agosto","Septiembre","Octubre","Noviembre","Diciembre"},MONTH(F1738))))</f>
        <v/>
      </c>
      <c r="N1738" s="18" t="str">
        <f t="shared" si="83"/>
        <v/>
      </c>
    </row>
    <row r="1739" spans="1:14" ht="14.5" x14ac:dyDescent="0.25">
      <c r="A1739" s="19">
        <v>34</v>
      </c>
      <c r="B1739" s="18" t="s">
        <v>41</v>
      </c>
      <c r="C1739" s="18" t="s">
        <v>106</v>
      </c>
      <c r="D1739" s="18" t="s">
        <v>2294</v>
      </c>
      <c r="E1739" s="18" t="s">
        <v>2300</v>
      </c>
      <c r="F1739" s="101"/>
      <c r="G1739" s="101">
        <v>46255.414583333331</v>
      </c>
      <c r="H1739" s="18" t="s">
        <v>554</v>
      </c>
      <c r="I1739" s="18" t="s">
        <v>555</v>
      </c>
      <c r="J1739" s="18" t="s">
        <v>556</v>
      </c>
      <c r="K1739" s="21" t="str">
        <f t="shared" si="81"/>
        <v/>
      </c>
      <c r="L1739" s="19" t="str">
        <f t="shared" si="82"/>
        <v/>
      </c>
      <c r="M1739" s="18" t="str">
        <f>IF(I1739&lt;&gt;"Sí","",IF(YEAR(F1739)&lt;&gt;2026,"",INDEX({"Enero","Febrero","Marzo","Abril","Mayo","Junio","Julio","Agosto","Septiembre","Octubre","Noviembre","Diciembre"},MONTH(F1739))))</f>
        <v/>
      </c>
      <c r="N1739" s="18" t="str">
        <f t="shared" si="83"/>
        <v/>
      </c>
    </row>
    <row r="1740" spans="1:14" ht="14.5" x14ac:dyDescent="0.25">
      <c r="A1740" s="19">
        <v>34</v>
      </c>
      <c r="B1740" s="18" t="s">
        <v>41</v>
      </c>
      <c r="C1740" s="18" t="s">
        <v>106</v>
      </c>
      <c r="D1740" s="18" t="s">
        <v>2294</v>
      </c>
      <c r="E1740" s="18" t="s">
        <v>2301</v>
      </c>
      <c r="F1740" s="101"/>
      <c r="G1740" s="101">
        <v>46255.415277777778</v>
      </c>
      <c r="H1740" s="18" t="s">
        <v>554</v>
      </c>
      <c r="I1740" s="18" t="s">
        <v>555</v>
      </c>
      <c r="J1740" s="18" t="s">
        <v>556</v>
      </c>
      <c r="K1740" s="21" t="str">
        <f t="shared" si="81"/>
        <v/>
      </c>
      <c r="L1740" s="19" t="str">
        <f t="shared" si="82"/>
        <v/>
      </c>
      <c r="M1740" s="18" t="str">
        <f>IF(I1740&lt;&gt;"Sí","",IF(YEAR(F1740)&lt;&gt;2026,"",INDEX({"Enero","Febrero","Marzo","Abril","Mayo","Junio","Julio","Agosto","Septiembre","Octubre","Noviembre","Diciembre"},MONTH(F1740))))</f>
        <v/>
      </c>
      <c r="N1740" s="18" t="str">
        <f t="shared" si="83"/>
        <v/>
      </c>
    </row>
    <row r="1741" spans="1:14" ht="14.5" x14ac:dyDescent="0.25">
      <c r="A1741" s="19">
        <v>34</v>
      </c>
      <c r="B1741" s="18" t="s">
        <v>41</v>
      </c>
      <c r="C1741" s="18" t="s">
        <v>106</v>
      </c>
      <c r="D1741" s="18" t="s">
        <v>2294</v>
      </c>
      <c r="E1741" s="18" t="s">
        <v>2302</v>
      </c>
      <c r="F1741" s="101"/>
      <c r="G1741" s="101">
        <v>46255.415972222225</v>
      </c>
      <c r="H1741" s="18" t="s">
        <v>554</v>
      </c>
      <c r="I1741" s="18" t="s">
        <v>555</v>
      </c>
      <c r="J1741" s="18" t="s">
        <v>556</v>
      </c>
      <c r="K1741" s="21" t="str">
        <f t="shared" si="81"/>
        <v/>
      </c>
      <c r="L1741" s="19" t="str">
        <f t="shared" si="82"/>
        <v/>
      </c>
      <c r="M1741" s="18" t="str">
        <f>IF(I1741&lt;&gt;"Sí","",IF(YEAR(F1741)&lt;&gt;2026,"",INDEX({"Enero","Febrero","Marzo","Abril","Mayo","Junio","Julio","Agosto","Septiembre","Octubre","Noviembre","Diciembre"},MONTH(F1741))))</f>
        <v/>
      </c>
      <c r="N1741" s="18" t="str">
        <f t="shared" si="83"/>
        <v/>
      </c>
    </row>
    <row r="1742" spans="1:14" ht="14.5" x14ac:dyDescent="0.25">
      <c r="A1742" s="19">
        <v>34</v>
      </c>
      <c r="B1742" s="18" t="s">
        <v>41</v>
      </c>
      <c r="C1742" s="18" t="s">
        <v>106</v>
      </c>
      <c r="D1742" s="18" t="s">
        <v>2294</v>
      </c>
      <c r="E1742" s="18" t="s">
        <v>2303</v>
      </c>
      <c r="F1742" s="101"/>
      <c r="G1742" s="101">
        <v>46255.416666666664</v>
      </c>
      <c r="H1742" s="18" t="s">
        <v>554</v>
      </c>
      <c r="I1742" s="18" t="s">
        <v>555</v>
      </c>
      <c r="J1742" s="18" t="s">
        <v>556</v>
      </c>
      <c r="K1742" s="21" t="str">
        <f t="shared" si="81"/>
        <v/>
      </c>
      <c r="L1742" s="19" t="str">
        <f t="shared" si="82"/>
        <v/>
      </c>
      <c r="M1742" s="18" t="str">
        <f>IF(I1742&lt;&gt;"Sí","",IF(YEAR(F1742)&lt;&gt;2026,"",INDEX({"Enero","Febrero","Marzo","Abril","Mayo","Junio","Julio","Agosto","Septiembre","Octubre","Noviembre","Diciembre"},MONTH(F1742))))</f>
        <v/>
      </c>
      <c r="N1742" s="18" t="str">
        <f t="shared" si="83"/>
        <v/>
      </c>
    </row>
    <row r="1743" spans="1:14" ht="14.5" x14ac:dyDescent="0.25">
      <c r="A1743" s="19">
        <v>34</v>
      </c>
      <c r="B1743" s="18" t="s">
        <v>41</v>
      </c>
      <c r="C1743" s="18" t="s">
        <v>106</v>
      </c>
      <c r="D1743" s="18" t="s">
        <v>2294</v>
      </c>
      <c r="E1743" s="18" t="s">
        <v>2303</v>
      </c>
      <c r="F1743" s="101">
        <v>46255.458333333336</v>
      </c>
      <c r="G1743" s="101">
        <v>46256.54583333333</v>
      </c>
      <c r="H1743" s="18" t="s">
        <v>554</v>
      </c>
      <c r="I1743" s="18" t="s">
        <v>508</v>
      </c>
      <c r="J1743" s="18"/>
      <c r="K1743" s="21">
        <f t="shared" si="81"/>
        <v>26.099999999860302</v>
      </c>
      <c r="L1743" s="19">
        <f t="shared" si="82"/>
        <v>68</v>
      </c>
      <c r="M1743" s="18" t="str">
        <f>IF(I1743&lt;&gt;"Sí","",IF(YEAR(F1743)&lt;&gt;2026,"",INDEX({"Enero","Febrero","Marzo","Abril","Mayo","Junio","Julio","Agosto","Septiembre","Octubre","Noviembre","Diciembre"},MONTH(F1743))))</f>
        <v>Agosto</v>
      </c>
      <c r="N1743" s="18" t="str">
        <f t="shared" si="83"/>
        <v>Agosto|68</v>
      </c>
    </row>
    <row r="1744" spans="1:14" ht="14.5" x14ac:dyDescent="0.25">
      <c r="A1744" s="19">
        <v>34</v>
      </c>
      <c r="B1744" s="18" t="s">
        <v>41</v>
      </c>
      <c r="C1744" s="18" t="s">
        <v>106</v>
      </c>
      <c r="D1744" s="18" t="s">
        <v>2294</v>
      </c>
      <c r="E1744" s="18" t="s">
        <v>2295</v>
      </c>
      <c r="F1744" s="101">
        <v>46255.458333333336</v>
      </c>
      <c r="G1744" s="101">
        <v>46262.333333333336</v>
      </c>
      <c r="H1744" s="18" t="s">
        <v>554</v>
      </c>
      <c r="I1744" s="18" t="s">
        <v>508</v>
      </c>
      <c r="J1744" s="18"/>
      <c r="K1744" s="21">
        <f t="shared" si="81"/>
        <v>165</v>
      </c>
      <c r="L1744" s="19">
        <f t="shared" si="82"/>
        <v>68</v>
      </c>
      <c r="M1744" s="18" t="str">
        <f>IF(I1744&lt;&gt;"Sí","",IF(YEAR(F1744)&lt;&gt;2026,"",INDEX({"Enero","Febrero","Marzo","Abril","Mayo","Junio","Julio","Agosto","Septiembre","Octubre","Noviembre","Diciembre"},MONTH(F1744))))</f>
        <v>Agosto</v>
      </c>
      <c r="N1744" s="18" t="str">
        <f t="shared" si="83"/>
        <v>Agosto|68</v>
      </c>
    </row>
    <row r="1745" spans="1:14" ht="14.5" x14ac:dyDescent="0.25">
      <c r="A1745" s="19">
        <v>34</v>
      </c>
      <c r="B1745" s="18" t="s">
        <v>41</v>
      </c>
      <c r="C1745" s="18" t="s">
        <v>106</v>
      </c>
      <c r="D1745" s="18" t="s">
        <v>2294</v>
      </c>
      <c r="E1745" s="18" t="s">
        <v>2296</v>
      </c>
      <c r="F1745" s="101">
        <v>46255.458333333336</v>
      </c>
      <c r="G1745" s="101">
        <v>46262.333333333336</v>
      </c>
      <c r="H1745" s="18" t="s">
        <v>554</v>
      </c>
      <c r="I1745" s="18" t="s">
        <v>508</v>
      </c>
      <c r="J1745" s="18"/>
      <c r="K1745" s="21">
        <f t="shared" si="81"/>
        <v>165</v>
      </c>
      <c r="L1745" s="19">
        <f t="shared" si="82"/>
        <v>68</v>
      </c>
      <c r="M1745" s="18" t="str">
        <f>IF(I1745&lt;&gt;"Sí","",IF(YEAR(F1745)&lt;&gt;2026,"",INDEX({"Enero","Febrero","Marzo","Abril","Mayo","Junio","Julio","Agosto","Septiembre","Octubre","Noviembre","Diciembre"},MONTH(F1745))))</f>
        <v>Agosto</v>
      </c>
      <c r="N1745" s="18" t="str">
        <f t="shared" si="83"/>
        <v>Agosto|68</v>
      </c>
    </row>
    <row r="1746" spans="1:14" ht="14.5" x14ac:dyDescent="0.25">
      <c r="A1746" s="19">
        <v>34</v>
      </c>
      <c r="B1746" s="18" t="s">
        <v>41</v>
      </c>
      <c r="C1746" s="18" t="s">
        <v>106</v>
      </c>
      <c r="D1746" s="18" t="s">
        <v>2294</v>
      </c>
      <c r="E1746" s="18" t="s">
        <v>2297</v>
      </c>
      <c r="F1746" s="101">
        <v>46255.458333333336</v>
      </c>
      <c r="G1746" s="101">
        <v>46262.333333333336</v>
      </c>
      <c r="H1746" s="18" t="s">
        <v>554</v>
      </c>
      <c r="I1746" s="18" t="s">
        <v>508</v>
      </c>
      <c r="J1746" s="18"/>
      <c r="K1746" s="21">
        <f t="shared" si="81"/>
        <v>165</v>
      </c>
      <c r="L1746" s="19">
        <f t="shared" si="82"/>
        <v>68</v>
      </c>
      <c r="M1746" s="18" t="str">
        <f>IF(I1746&lt;&gt;"Sí","",IF(YEAR(F1746)&lt;&gt;2026,"",INDEX({"Enero","Febrero","Marzo","Abril","Mayo","Junio","Julio","Agosto","Septiembre","Octubre","Noviembre","Diciembre"},MONTH(F1746))))</f>
        <v>Agosto</v>
      </c>
      <c r="N1746" s="18" t="str">
        <f t="shared" si="83"/>
        <v>Agosto|68</v>
      </c>
    </row>
    <row r="1747" spans="1:14" ht="14.5" x14ac:dyDescent="0.25">
      <c r="A1747" s="19">
        <v>34</v>
      </c>
      <c r="B1747" s="18" t="s">
        <v>41</v>
      </c>
      <c r="C1747" s="18" t="s">
        <v>106</v>
      </c>
      <c r="D1747" s="18" t="s">
        <v>2294</v>
      </c>
      <c r="E1747" s="18" t="s">
        <v>2301</v>
      </c>
      <c r="F1747" s="101">
        <v>46255.458333333336</v>
      </c>
      <c r="G1747" s="101">
        <v>46259.379166666666</v>
      </c>
      <c r="H1747" s="18" t="s">
        <v>554</v>
      </c>
      <c r="I1747" s="18" t="s">
        <v>508</v>
      </c>
      <c r="J1747" s="18"/>
      <c r="K1747" s="21">
        <f t="shared" si="81"/>
        <v>94.099999999918509</v>
      </c>
      <c r="L1747" s="19">
        <f t="shared" si="82"/>
        <v>68</v>
      </c>
      <c r="M1747" s="18" t="str">
        <f>IF(I1747&lt;&gt;"Sí","",IF(YEAR(F1747)&lt;&gt;2026,"",INDEX({"Enero","Febrero","Marzo","Abril","Mayo","Junio","Julio","Agosto","Septiembre","Octubre","Noviembre","Diciembre"},MONTH(F1747))))</f>
        <v>Agosto</v>
      </c>
      <c r="N1747" s="18" t="str">
        <f t="shared" si="83"/>
        <v>Agosto|68</v>
      </c>
    </row>
    <row r="1748" spans="1:14" ht="14.5" x14ac:dyDescent="0.25">
      <c r="A1748" s="19">
        <v>34</v>
      </c>
      <c r="B1748" s="18" t="s">
        <v>41</v>
      </c>
      <c r="C1748" s="18" t="s">
        <v>106</v>
      </c>
      <c r="D1748" s="18" t="s">
        <v>2294</v>
      </c>
      <c r="E1748" s="18" t="s">
        <v>2298</v>
      </c>
      <c r="F1748" s="101">
        <v>46255.458333333336</v>
      </c>
      <c r="G1748" s="101">
        <v>46262.333333333336</v>
      </c>
      <c r="H1748" s="18" t="s">
        <v>554</v>
      </c>
      <c r="I1748" s="18" t="s">
        <v>508</v>
      </c>
      <c r="J1748" s="18"/>
      <c r="K1748" s="21">
        <f t="shared" si="81"/>
        <v>165</v>
      </c>
      <c r="L1748" s="19">
        <f t="shared" si="82"/>
        <v>68</v>
      </c>
      <c r="M1748" s="18" t="str">
        <f>IF(I1748&lt;&gt;"Sí","",IF(YEAR(F1748)&lt;&gt;2026,"",INDEX({"Enero","Febrero","Marzo","Abril","Mayo","Junio","Julio","Agosto","Septiembre","Octubre","Noviembre","Diciembre"},MONTH(F1748))))</f>
        <v>Agosto</v>
      </c>
      <c r="N1748" s="18" t="str">
        <f t="shared" si="83"/>
        <v>Agosto|68</v>
      </c>
    </row>
    <row r="1749" spans="1:14" ht="14.5" x14ac:dyDescent="0.25">
      <c r="A1749" s="19">
        <v>34</v>
      </c>
      <c r="B1749" s="18" t="s">
        <v>41</v>
      </c>
      <c r="C1749" s="18" t="s">
        <v>106</v>
      </c>
      <c r="D1749" s="18" t="s">
        <v>2294</v>
      </c>
      <c r="E1749" s="18" t="s">
        <v>2300</v>
      </c>
      <c r="F1749" s="101">
        <v>46255.458333333336</v>
      </c>
      <c r="G1749" s="101">
        <v>46259.379166666666</v>
      </c>
      <c r="H1749" s="18" t="s">
        <v>554</v>
      </c>
      <c r="I1749" s="18" t="s">
        <v>508</v>
      </c>
      <c r="J1749" s="18"/>
      <c r="K1749" s="21">
        <f t="shared" si="81"/>
        <v>94.099999999918509</v>
      </c>
      <c r="L1749" s="19">
        <f t="shared" si="82"/>
        <v>68</v>
      </c>
      <c r="M1749" s="18" t="str">
        <f>IF(I1749&lt;&gt;"Sí","",IF(YEAR(F1749)&lt;&gt;2026,"",INDEX({"Enero","Febrero","Marzo","Abril","Mayo","Junio","Julio","Agosto","Septiembre","Octubre","Noviembre","Diciembre"},MONTH(F1749))))</f>
        <v>Agosto</v>
      </c>
      <c r="N1749" s="18" t="str">
        <f t="shared" si="83"/>
        <v>Agosto|68</v>
      </c>
    </row>
    <row r="1750" spans="1:14" ht="14.5" x14ac:dyDescent="0.25">
      <c r="A1750" s="19">
        <v>34</v>
      </c>
      <c r="B1750" s="18" t="s">
        <v>41</v>
      </c>
      <c r="C1750" s="18" t="s">
        <v>153</v>
      </c>
      <c r="D1750" s="18" t="s">
        <v>2285</v>
      </c>
      <c r="E1750" s="18" t="s">
        <v>2304</v>
      </c>
      <c r="F1750" s="101">
        <v>46255.486111111109</v>
      </c>
      <c r="G1750" s="101">
        <v>46264.175694444442</v>
      </c>
      <c r="H1750" s="18" t="s">
        <v>507</v>
      </c>
      <c r="I1750" s="18" t="s">
        <v>508</v>
      </c>
      <c r="J1750" s="18"/>
      <c r="K1750" s="21">
        <f t="shared" si="81"/>
        <v>208.54999999998836</v>
      </c>
      <c r="L1750" s="19">
        <f t="shared" si="82"/>
        <v>73</v>
      </c>
      <c r="M1750" s="18" t="str">
        <f>IF(I1750&lt;&gt;"Sí","",IF(YEAR(F1750)&lt;&gt;2026,"",INDEX({"Enero","Febrero","Marzo","Abril","Mayo","Junio","Julio","Agosto","Septiembre","Octubre","Noviembre","Diciembre"},MONTH(F1750))))</f>
        <v>Agosto</v>
      </c>
      <c r="N1750" s="18" t="str">
        <f t="shared" si="83"/>
        <v>Agosto|73</v>
      </c>
    </row>
    <row r="1751" spans="1:14" ht="14.5" x14ac:dyDescent="0.25">
      <c r="A1751" s="19">
        <v>34</v>
      </c>
      <c r="B1751" s="18" t="s">
        <v>41</v>
      </c>
      <c r="C1751" s="18" t="s">
        <v>153</v>
      </c>
      <c r="D1751" s="18" t="s">
        <v>2285</v>
      </c>
      <c r="E1751" s="18" t="s">
        <v>2305</v>
      </c>
      <c r="F1751" s="101">
        <v>46255.486111111109</v>
      </c>
      <c r="G1751" s="101">
        <v>46263.615972222222</v>
      </c>
      <c r="H1751" s="18" t="s">
        <v>507</v>
      </c>
      <c r="I1751" s="18" t="s">
        <v>508</v>
      </c>
      <c r="J1751" s="18"/>
      <c r="K1751" s="21">
        <f t="shared" si="81"/>
        <v>195.11666666669771</v>
      </c>
      <c r="L1751" s="19">
        <f t="shared" si="82"/>
        <v>73</v>
      </c>
      <c r="M1751" s="18" t="str">
        <f>IF(I1751&lt;&gt;"Sí","",IF(YEAR(F1751)&lt;&gt;2026,"",INDEX({"Enero","Febrero","Marzo","Abril","Mayo","Junio","Julio","Agosto","Septiembre","Octubre","Noviembre","Diciembre"},MONTH(F1751))))</f>
        <v>Agosto</v>
      </c>
      <c r="N1751" s="18" t="str">
        <f t="shared" si="83"/>
        <v>Agosto|73</v>
      </c>
    </row>
    <row r="1752" spans="1:14" ht="14.5" x14ac:dyDescent="0.25">
      <c r="A1752" s="19">
        <v>34</v>
      </c>
      <c r="B1752" s="18" t="s">
        <v>41</v>
      </c>
      <c r="C1752" s="18" t="s">
        <v>153</v>
      </c>
      <c r="D1752" s="18" t="s">
        <v>2285</v>
      </c>
      <c r="E1752" s="18" t="s">
        <v>2306</v>
      </c>
      <c r="F1752" s="101">
        <v>46255.486111111109</v>
      </c>
      <c r="G1752" s="101">
        <v>46263.615972222222</v>
      </c>
      <c r="H1752" s="18" t="s">
        <v>507</v>
      </c>
      <c r="I1752" s="18" t="s">
        <v>508</v>
      </c>
      <c r="J1752" s="18"/>
      <c r="K1752" s="21">
        <f t="shared" si="81"/>
        <v>195.11666666669771</v>
      </c>
      <c r="L1752" s="19">
        <f t="shared" si="82"/>
        <v>73</v>
      </c>
      <c r="M1752" s="18" t="str">
        <f>IF(I1752&lt;&gt;"Sí","",IF(YEAR(F1752)&lt;&gt;2026,"",INDEX({"Enero","Febrero","Marzo","Abril","Mayo","Junio","Julio","Agosto","Septiembre","Octubre","Noviembre","Diciembre"},MONTH(F1752))))</f>
        <v>Agosto</v>
      </c>
      <c r="N1752" s="18" t="str">
        <f t="shared" si="83"/>
        <v>Agosto|73</v>
      </c>
    </row>
    <row r="1753" spans="1:14" ht="14.5" x14ac:dyDescent="0.25">
      <c r="A1753" s="19">
        <v>34</v>
      </c>
      <c r="B1753" s="18" t="s">
        <v>41</v>
      </c>
      <c r="C1753" s="18" t="s">
        <v>97</v>
      </c>
      <c r="D1753" s="18" t="s">
        <v>2290</v>
      </c>
      <c r="E1753" s="18" t="s">
        <v>2307</v>
      </c>
      <c r="F1753" s="101">
        <v>46255.486111111109</v>
      </c>
      <c r="G1753" s="101">
        <v>46265.134722222225</v>
      </c>
      <c r="H1753" s="18" t="s">
        <v>507</v>
      </c>
      <c r="I1753" s="18" t="s">
        <v>508</v>
      </c>
      <c r="J1753" s="18"/>
      <c r="K1753" s="21">
        <f t="shared" si="81"/>
        <v>231.56666666676756</v>
      </c>
      <c r="L1753" s="19">
        <f t="shared" si="82"/>
        <v>73</v>
      </c>
      <c r="M1753" s="18" t="str">
        <f>IF(I1753&lt;&gt;"Sí","",IF(YEAR(F1753)&lt;&gt;2026,"",INDEX({"Enero","Febrero","Marzo","Abril","Mayo","Junio","Julio","Agosto","Septiembre","Octubre","Noviembre","Diciembre"},MONTH(F1753))))</f>
        <v>Agosto</v>
      </c>
      <c r="N1753" s="18" t="str">
        <f t="shared" si="83"/>
        <v>Agosto|73</v>
      </c>
    </row>
    <row r="1754" spans="1:14" ht="14.5" x14ac:dyDescent="0.25">
      <c r="A1754" s="19">
        <v>34</v>
      </c>
      <c r="B1754" s="18" t="s">
        <v>41</v>
      </c>
      <c r="C1754" s="18" t="s">
        <v>97</v>
      </c>
      <c r="D1754" s="18" t="s">
        <v>2290</v>
      </c>
      <c r="E1754" s="18" t="s">
        <v>2308</v>
      </c>
      <c r="F1754" s="101">
        <v>46255.486111111109</v>
      </c>
      <c r="G1754" s="101">
        <v>46265.137499999997</v>
      </c>
      <c r="H1754" s="18" t="s">
        <v>507</v>
      </c>
      <c r="I1754" s="18" t="s">
        <v>508</v>
      </c>
      <c r="J1754" s="18"/>
      <c r="K1754" s="21">
        <f t="shared" si="81"/>
        <v>231.63333333330229</v>
      </c>
      <c r="L1754" s="19">
        <f t="shared" si="82"/>
        <v>73</v>
      </c>
      <c r="M1754" s="18" t="str">
        <f>IF(I1754&lt;&gt;"Sí","",IF(YEAR(F1754)&lt;&gt;2026,"",INDEX({"Enero","Febrero","Marzo","Abril","Mayo","Junio","Julio","Agosto","Septiembre","Octubre","Noviembre","Diciembre"},MONTH(F1754))))</f>
        <v>Agosto</v>
      </c>
      <c r="N1754" s="18" t="str">
        <f t="shared" si="83"/>
        <v>Agosto|73</v>
      </c>
    </row>
    <row r="1755" spans="1:14" ht="14.5" x14ac:dyDescent="0.25">
      <c r="A1755" s="19">
        <v>34</v>
      </c>
      <c r="B1755" s="18" t="s">
        <v>41</v>
      </c>
      <c r="C1755" s="18" t="s">
        <v>122</v>
      </c>
      <c r="D1755" s="18" t="s">
        <v>2230</v>
      </c>
      <c r="E1755" s="18" t="s">
        <v>2309</v>
      </c>
      <c r="F1755" s="101">
        <v>46255.6</v>
      </c>
      <c r="G1755" s="101">
        <v>46255.913194444445</v>
      </c>
      <c r="H1755" s="18" t="s">
        <v>754</v>
      </c>
      <c r="I1755" s="18" t="s">
        <v>508</v>
      </c>
      <c r="J1755" s="18"/>
      <c r="K1755" s="21">
        <f t="shared" si="81"/>
        <v>7.5166666667209938</v>
      </c>
      <c r="L1755" s="19">
        <f t="shared" si="82"/>
        <v>74</v>
      </c>
      <c r="M1755" s="18" t="str">
        <f>IF(I1755&lt;&gt;"Sí","",IF(YEAR(F1755)&lt;&gt;2026,"",INDEX({"Enero","Febrero","Marzo","Abril","Mayo","Junio","Julio","Agosto","Septiembre","Octubre","Noviembre","Diciembre"},MONTH(F1755))))</f>
        <v>Agosto</v>
      </c>
      <c r="N1755" s="18" t="str">
        <f t="shared" si="83"/>
        <v>Agosto|74</v>
      </c>
    </row>
    <row r="1756" spans="1:14" ht="14.5" x14ac:dyDescent="0.25">
      <c r="A1756" s="19">
        <v>34</v>
      </c>
      <c r="B1756" s="18" t="s">
        <v>41</v>
      </c>
      <c r="C1756" s="18" t="s">
        <v>122</v>
      </c>
      <c r="D1756" s="18" t="s">
        <v>2230</v>
      </c>
      <c r="E1756" s="18" t="s">
        <v>2310</v>
      </c>
      <c r="F1756" s="101">
        <v>46255.600694444445</v>
      </c>
      <c r="G1756" s="101">
        <v>46255.913194444445</v>
      </c>
      <c r="H1756" s="18" t="s">
        <v>754</v>
      </c>
      <c r="I1756" s="18" t="s">
        <v>508</v>
      </c>
      <c r="J1756" s="18"/>
      <c r="K1756" s="21">
        <f t="shared" si="81"/>
        <v>7.5</v>
      </c>
      <c r="L1756" s="19">
        <f t="shared" si="82"/>
        <v>75</v>
      </c>
      <c r="M1756" s="18" t="str">
        <f>IF(I1756&lt;&gt;"Sí","",IF(YEAR(F1756)&lt;&gt;2026,"",INDEX({"Enero","Febrero","Marzo","Abril","Mayo","Junio","Julio","Agosto","Septiembre","Octubre","Noviembre","Diciembre"},MONTH(F1756))))</f>
        <v>Agosto</v>
      </c>
      <c r="N1756" s="18" t="str">
        <f t="shared" si="83"/>
        <v>Agosto|75</v>
      </c>
    </row>
    <row r="1757" spans="1:14" ht="14.5" x14ac:dyDescent="0.25">
      <c r="A1757" s="19">
        <v>34</v>
      </c>
      <c r="B1757" s="18" t="s">
        <v>41</v>
      </c>
      <c r="C1757" s="18" t="s">
        <v>122</v>
      </c>
      <c r="D1757" s="18" t="s">
        <v>2230</v>
      </c>
      <c r="E1757" s="18" t="s">
        <v>2311</v>
      </c>
      <c r="F1757" s="101">
        <v>46255.604861111111</v>
      </c>
      <c r="G1757" s="101">
        <v>46255.913194444445</v>
      </c>
      <c r="H1757" s="18" t="s">
        <v>754</v>
      </c>
      <c r="I1757" s="18" t="s">
        <v>508</v>
      </c>
      <c r="J1757" s="18"/>
      <c r="K1757" s="21">
        <f t="shared" si="81"/>
        <v>7.4000000000232831</v>
      </c>
      <c r="L1757" s="19">
        <f t="shared" si="82"/>
        <v>76</v>
      </c>
      <c r="M1757" s="18" t="str">
        <f>IF(I1757&lt;&gt;"Sí","",IF(YEAR(F1757)&lt;&gt;2026,"",INDEX({"Enero","Febrero","Marzo","Abril","Mayo","Junio","Julio","Agosto","Septiembre","Octubre","Noviembre","Diciembre"},MONTH(F1757))))</f>
        <v>Agosto</v>
      </c>
      <c r="N1757" s="18" t="str">
        <f t="shared" si="83"/>
        <v>Agosto|76</v>
      </c>
    </row>
    <row r="1758" spans="1:14" ht="14.5" x14ac:dyDescent="0.25">
      <c r="A1758" s="19">
        <v>34</v>
      </c>
      <c r="B1758" s="18" t="s">
        <v>41</v>
      </c>
      <c r="C1758" s="18" t="s">
        <v>122</v>
      </c>
      <c r="D1758" s="18" t="s">
        <v>2230</v>
      </c>
      <c r="E1758" s="18" t="s">
        <v>2310</v>
      </c>
      <c r="F1758" s="101">
        <v>46255.945138888892</v>
      </c>
      <c r="G1758" s="101">
        <v>46255.378472222219</v>
      </c>
      <c r="H1758" s="18" t="s">
        <v>754</v>
      </c>
      <c r="I1758" s="18" t="s">
        <v>555</v>
      </c>
      <c r="J1758" s="18" t="s">
        <v>755</v>
      </c>
      <c r="K1758" s="21" t="str">
        <f t="shared" si="81"/>
        <v/>
      </c>
      <c r="L1758" s="19" t="str">
        <f t="shared" si="82"/>
        <v/>
      </c>
      <c r="M1758" s="18" t="str">
        <f>IF(I1758&lt;&gt;"Sí","",IF(YEAR(F1758)&lt;&gt;2026,"",INDEX({"Enero","Febrero","Marzo","Abril","Mayo","Junio","Julio","Agosto","Septiembre","Octubre","Noviembre","Diciembre"},MONTH(F1758))))</f>
        <v/>
      </c>
      <c r="N1758" s="18" t="str">
        <f t="shared" si="83"/>
        <v/>
      </c>
    </row>
    <row r="1759" spans="1:14" ht="14.5" x14ac:dyDescent="0.25">
      <c r="A1759" s="19">
        <v>34</v>
      </c>
      <c r="B1759" s="18" t="s">
        <v>41</v>
      </c>
      <c r="C1759" s="18" t="s">
        <v>122</v>
      </c>
      <c r="D1759" s="18" t="s">
        <v>2230</v>
      </c>
      <c r="E1759" s="18" t="s">
        <v>2311</v>
      </c>
      <c r="F1759" s="101">
        <v>46255.945138888892</v>
      </c>
      <c r="G1759" s="101">
        <v>46255.381249999999</v>
      </c>
      <c r="H1759" s="18" t="s">
        <v>754</v>
      </c>
      <c r="I1759" s="18" t="s">
        <v>555</v>
      </c>
      <c r="J1759" s="18" t="s">
        <v>755</v>
      </c>
      <c r="K1759" s="21" t="str">
        <f t="shared" si="81"/>
        <v/>
      </c>
      <c r="L1759" s="19" t="str">
        <f t="shared" si="82"/>
        <v/>
      </c>
      <c r="M1759" s="18" t="str">
        <f>IF(I1759&lt;&gt;"Sí","",IF(YEAR(F1759)&lt;&gt;2026,"",INDEX({"Enero","Febrero","Marzo","Abril","Mayo","Junio","Julio","Agosto","Septiembre","Octubre","Noviembre","Diciembre"},MONTH(F1759))))</f>
        <v/>
      </c>
      <c r="N1759" s="18" t="str">
        <f t="shared" si="83"/>
        <v/>
      </c>
    </row>
    <row r="1760" spans="1:14" ht="14.5" x14ac:dyDescent="0.25">
      <c r="A1760" s="19">
        <v>34</v>
      </c>
      <c r="B1760" s="18" t="s">
        <v>41</v>
      </c>
      <c r="C1760" s="18" t="s">
        <v>122</v>
      </c>
      <c r="D1760" s="18" t="s">
        <v>2230</v>
      </c>
      <c r="E1760" s="18" t="s">
        <v>2309</v>
      </c>
      <c r="F1760" s="101">
        <v>46255.945833333331</v>
      </c>
      <c r="G1760" s="101">
        <v>46255.384027777778</v>
      </c>
      <c r="H1760" s="18" t="s">
        <v>754</v>
      </c>
      <c r="I1760" s="18" t="s">
        <v>555</v>
      </c>
      <c r="J1760" s="18" t="s">
        <v>755</v>
      </c>
      <c r="K1760" s="21" t="str">
        <f t="shared" si="81"/>
        <v/>
      </c>
      <c r="L1760" s="19" t="str">
        <f t="shared" si="82"/>
        <v/>
      </c>
      <c r="M1760" s="18" t="str">
        <f>IF(I1760&lt;&gt;"Sí","",IF(YEAR(F1760)&lt;&gt;2026,"",INDEX({"Enero","Febrero","Marzo","Abril","Mayo","Junio","Julio","Agosto","Septiembre","Octubre","Noviembre","Diciembre"},MONTH(F1760))))</f>
        <v/>
      </c>
      <c r="N1760" s="18" t="str">
        <f t="shared" si="83"/>
        <v/>
      </c>
    </row>
    <row r="1761" spans="1:14" ht="14.5" x14ac:dyDescent="0.25">
      <c r="A1761" s="19">
        <v>34</v>
      </c>
      <c r="B1761" s="18" t="s">
        <v>41</v>
      </c>
      <c r="C1761" s="18" t="s">
        <v>95</v>
      </c>
      <c r="D1761" s="18" t="s">
        <v>1807</v>
      </c>
      <c r="E1761" s="18" t="s">
        <v>2312</v>
      </c>
      <c r="F1761" s="101">
        <v>46256</v>
      </c>
      <c r="G1761" s="101">
        <v>46258.477083333331</v>
      </c>
      <c r="H1761" s="18" t="s">
        <v>507</v>
      </c>
      <c r="I1761" s="18" t="s">
        <v>508</v>
      </c>
      <c r="J1761" s="18"/>
      <c r="K1761" s="21">
        <f t="shared" si="81"/>
        <v>59.449999999953434</v>
      </c>
      <c r="L1761" s="19">
        <f t="shared" si="82"/>
        <v>65</v>
      </c>
      <c r="M1761" s="18" t="str">
        <f>IF(I1761&lt;&gt;"Sí","",IF(YEAR(F1761)&lt;&gt;2026,"",INDEX({"Enero","Febrero","Marzo","Abril","Mayo","Junio","Julio","Agosto","Septiembre","Octubre","Noviembre","Diciembre"},MONTH(F1761))))</f>
        <v>Agosto</v>
      </c>
      <c r="N1761" s="18" t="str">
        <f t="shared" si="83"/>
        <v>Agosto|65</v>
      </c>
    </row>
    <row r="1762" spans="1:14" ht="14.5" x14ac:dyDescent="0.25">
      <c r="A1762" s="19">
        <v>34</v>
      </c>
      <c r="B1762" s="18" t="s">
        <v>41</v>
      </c>
      <c r="C1762" s="18" t="s">
        <v>198</v>
      </c>
      <c r="D1762" s="18" t="s">
        <v>2313</v>
      </c>
      <c r="E1762" s="18" t="s">
        <v>2314</v>
      </c>
      <c r="F1762" s="101">
        <v>46256.502083333333</v>
      </c>
      <c r="G1762" s="101">
        <v>46261.24722222222</v>
      </c>
      <c r="H1762" s="18" t="s">
        <v>507</v>
      </c>
      <c r="I1762" s="18" t="s">
        <v>508</v>
      </c>
      <c r="J1762" s="18"/>
      <c r="K1762" s="21">
        <f t="shared" si="81"/>
        <v>113.88333333330229</v>
      </c>
      <c r="L1762" s="19">
        <f t="shared" si="82"/>
        <v>57</v>
      </c>
      <c r="M1762" s="18" t="str">
        <f>IF(I1762&lt;&gt;"Sí","",IF(YEAR(F1762)&lt;&gt;2026,"",INDEX({"Enero","Febrero","Marzo","Abril","Mayo","Junio","Julio","Agosto","Septiembre","Octubre","Noviembre","Diciembre"},MONTH(F1762))))</f>
        <v>Agosto</v>
      </c>
      <c r="N1762" s="18" t="str">
        <f t="shared" si="83"/>
        <v>Agosto|57</v>
      </c>
    </row>
    <row r="1763" spans="1:14" ht="14.5" x14ac:dyDescent="0.25">
      <c r="A1763" s="19">
        <v>34</v>
      </c>
      <c r="B1763" s="18" t="s">
        <v>41</v>
      </c>
      <c r="C1763" s="18" t="s">
        <v>95</v>
      </c>
      <c r="D1763" s="18" t="s">
        <v>1807</v>
      </c>
      <c r="E1763" s="18" t="s">
        <v>2315</v>
      </c>
      <c r="F1763" s="101">
        <v>46256.583333333336</v>
      </c>
      <c r="G1763" s="101">
        <v>46258.118055555555</v>
      </c>
      <c r="H1763" s="18" t="s">
        <v>507</v>
      </c>
      <c r="I1763" s="18" t="s">
        <v>508</v>
      </c>
      <c r="J1763" s="18"/>
      <c r="K1763" s="21">
        <f t="shared" si="81"/>
        <v>36.833333333255723</v>
      </c>
      <c r="L1763" s="19">
        <f t="shared" si="82"/>
        <v>57</v>
      </c>
      <c r="M1763" s="18" t="str">
        <f>IF(I1763&lt;&gt;"Sí","",IF(YEAR(F1763)&lt;&gt;2026,"",INDEX({"Enero","Febrero","Marzo","Abril","Mayo","Junio","Julio","Agosto","Septiembre","Octubre","Noviembre","Diciembre"},MONTH(F1763))))</f>
        <v>Agosto</v>
      </c>
      <c r="N1763" s="18" t="str">
        <f t="shared" si="83"/>
        <v>Agosto|57</v>
      </c>
    </row>
    <row r="1764" spans="1:14" ht="14.5" x14ac:dyDescent="0.25">
      <c r="A1764" s="19">
        <v>34</v>
      </c>
      <c r="B1764" s="18" t="s">
        <v>41</v>
      </c>
      <c r="C1764" s="18" t="s">
        <v>95</v>
      </c>
      <c r="D1764" s="18" t="s">
        <v>1807</v>
      </c>
      <c r="E1764" s="18" t="s">
        <v>2316</v>
      </c>
      <c r="F1764" s="101">
        <v>46256.600694444445</v>
      </c>
      <c r="G1764" s="101">
        <v>46258.118055555555</v>
      </c>
      <c r="H1764" s="18" t="s">
        <v>507</v>
      </c>
      <c r="I1764" s="18" t="s">
        <v>508</v>
      </c>
      <c r="J1764" s="18"/>
      <c r="K1764" s="21">
        <f t="shared" si="81"/>
        <v>36.416666666627862</v>
      </c>
      <c r="L1764" s="19">
        <f t="shared" si="82"/>
        <v>58</v>
      </c>
      <c r="M1764" s="18" t="str">
        <f>IF(I1764&lt;&gt;"Sí","",IF(YEAR(F1764)&lt;&gt;2026,"",INDEX({"Enero","Febrero","Marzo","Abril","Mayo","Junio","Julio","Agosto","Septiembre","Octubre","Noviembre","Diciembre"},MONTH(F1764))))</f>
        <v>Agosto</v>
      </c>
      <c r="N1764" s="18" t="str">
        <f t="shared" si="83"/>
        <v>Agosto|58</v>
      </c>
    </row>
    <row r="1765" spans="1:14" ht="14.5" x14ac:dyDescent="0.25">
      <c r="A1765" s="19">
        <v>34</v>
      </c>
      <c r="B1765" s="18" t="s">
        <v>41</v>
      </c>
      <c r="C1765" s="18" t="s">
        <v>95</v>
      </c>
      <c r="D1765" s="18" t="s">
        <v>1807</v>
      </c>
      <c r="E1765" s="18" t="s">
        <v>2317</v>
      </c>
      <c r="F1765" s="101">
        <v>46256.604861111111</v>
      </c>
      <c r="G1765" s="101">
        <v>46258.118055555555</v>
      </c>
      <c r="H1765" s="18" t="s">
        <v>507</v>
      </c>
      <c r="I1765" s="18" t="s">
        <v>508</v>
      </c>
      <c r="J1765" s="18"/>
      <c r="K1765" s="21">
        <f t="shared" si="81"/>
        <v>36.316666666651145</v>
      </c>
      <c r="L1765" s="19">
        <f t="shared" si="82"/>
        <v>59</v>
      </c>
      <c r="M1765" s="18" t="str">
        <f>IF(I1765&lt;&gt;"Sí","",IF(YEAR(F1765)&lt;&gt;2026,"",INDEX({"Enero","Febrero","Marzo","Abril","Mayo","Junio","Julio","Agosto","Septiembre","Octubre","Noviembre","Diciembre"},MONTH(F1765))))</f>
        <v>Agosto</v>
      </c>
      <c r="N1765" s="18" t="str">
        <f t="shared" si="83"/>
        <v>Agosto|59</v>
      </c>
    </row>
    <row r="1766" spans="1:14" ht="14.5" x14ac:dyDescent="0.25">
      <c r="A1766" s="19">
        <v>34</v>
      </c>
      <c r="B1766" s="18" t="s">
        <v>41</v>
      </c>
      <c r="C1766" s="18" t="s">
        <v>95</v>
      </c>
      <c r="D1766" s="18" t="s">
        <v>1807</v>
      </c>
      <c r="E1766" s="18" t="s">
        <v>2318</v>
      </c>
      <c r="F1766" s="101">
        <v>46256.607638888891</v>
      </c>
      <c r="G1766" s="101">
        <v>46258.081944444442</v>
      </c>
      <c r="H1766" s="18" t="s">
        <v>507</v>
      </c>
      <c r="I1766" s="18" t="s">
        <v>508</v>
      </c>
      <c r="J1766" s="18"/>
      <c r="K1766" s="21">
        <f t="shared" si="81"/>
        <v>35.383333333244082</v>
      </c>
      <c r="L1766" s="19">
        <f t="shared" si="82"/>
        <v>71</v>
      </c>
      <c r="M1766" s="18" t="str">
        <f>IF(I1766&lt;&gt;"Sí","",IF(YEAR(F1766)&lt;&gt;2026,"",INDEX({"Enero","Febrero","Marzo","Abril","Mayo","Junio","Julio","Agosto","Septiembre","Octubre","Noviembre","Diciembre"},MONTH(F1766))))</f>
        <v>Agosto</v>
      </c>
      <c r="N1766" s="18" t="str">
        <f t="shared" si="83"/>
        <v>Agosto|71</v>
      </c>
    </row>
    <row r="1767" spans="1:14" ht="14.5" x14ac:dyDescent="0.25">
      <c r="A1767" s="19">
        <v>34</v>
      </c>
      <c r="B1767" s="18" t="s">
        <v>41</v>
      </c>
      <c r="C1767" s="18" t="s">
        <v>95</v>
      </c>
      <c r="D1767" s="18" t="s">
        <v>1807</v>
      </c>
      <c r="E1767" s="18" t="s">
        <v>2319</v>
      </c>
      <c r="F1767" s="101">
        <v>46256.607638888891</v>
      </c>
      <c r="G1767" s="101">
        <v>46258.081944444442</v>
      </c>
      <c r="H1767" s="18" t="s">
        <v>507</v>
      </c>
      <c r="I1767" s="18" t="s">
        <v>508</v>
      </c>
      <c r="J1767" s="18"/>
      <c r="K1767" s="21">
        <f t="shared" si="81"/>
        <v>35.383333333244082</v>
      </c>
      <c r="L1767" s="19">
        <f t="shared" si="82"/>
        <v>71</v>
      </c>
      <c r="M1767" s="18" t="str">
        <f>IF(I1767&lt;&gt;"Sí","",IF(YEAR(F1767)&lt;&gt;2026,"",INDEX({"Enero","Febrero","Marzo","Abril","Mayo","Junio","Julio","Agosto","Septiembre","Octubre","Noviembre","Diciembre"},MONTH(F1767))))</f>
        <v>Agosto</v>
      </c>
      <c r="N1767" s="18" t="str">
        <f t="shared" si="83"/>
        <v>Agosto|71</v>
      </c>
    </row>
    <row r="1768" spans="1:14" ht="14.5" x14ac:dyDescent="0.25">
      <c r="A1768" s="19">
        <v>34</v>
      </c>
      <c r="B1768" s="18" t="s">
        <v>41</v>
      </c>
      <c r="C1768" s="18" t="s">
        <v>95</v>
      </c>
      <c r="D1768" s="18" t="s">
        <v>1807</v>
      </c>
      <c r="E1768" s="18" t="s">
        <v>2320</v>
      </c>
      <c r="F1768" s="101">
        <v>46256.607638888891</v>
      </c>
      <c r="G1768" s="101">
        <v>46258.081944444442</v>
      </c>
      <c r="H1768" s="18" t="s">
        <v>507</v>
      </c>
      <c r="I1768" s="18" t="s">
        <v>508</v>
      </c>
      <c r="J1768" s="18"/>
      <c r="K1768" s="21">
        <f t="shared" si="81"/>
        <v>35.383333333244082</v>
      </c>
      <c r="L1768" s="19">
        <f t="shared" si="82"/>
        <v>71</v>
      </c>
      <c r="M1768" s="18" t="str">
        <f>IF(I1768&lt;&gt;"Sí","",IF(YEAR(F1768)&lt;&gt;2026,"",INDEX({"Enero","Febrero","Marzo","Abril","Mayo","Junio","Julio","Agosto","Septiembre","Octubre","Noviembre","Diciembre"},MONTH(F1768))))</f>
        <v>Agosto</v>
      </c>
      <c r="N1768" s="18" t="str">
        <f t="shared" si="83"/>
        <v>Agosto|71</v>
      </c>
    </row>
    <row r="1769" spans="1:14" ht="14.5" x14ac:dyDescent="0.25">
      <c r="A1769" s="19">
        <v>34</v>
      </c>
      <c r="B1769" s="18" t="s">
        <v>41</v>
      </c>
      <c r="C1769" s="18" t="s">
        <v>95</v>
      </c>
      <c r="D1769" s="18" t="s">
        <v>1807</v>
      </c>
      <c r="E1769" s="18" t="s">
        <v>2321</v>
      </c>
      <c r="F1769" s="101">
        <v>46256.607638888891</v>
      </c>
      <c r="G1769" s="101">
        <v>46258.081944444442</v>
      </c>
      <c r="H1769" s="18" t="s">
        <v>507</v>
      </c>
      <c r="I1769" s="18" t="s">
        <v>508</v>
      </c>
      <c r="J1769" s="18"/>
      <c r="K1769" s="21">
        <f t="shared" si="81"/>
        <v>35.383333333244082</v>
      </c>
      <c r="L1769" s="19">
        <f t="shared" si="82"/>
        <v>71</v>
      </c>
      <c r="M1769" s="18" t="str">
        <f>IF(I1769&lt;&gt;"Sí","",IF(YEAR(F1769)&lt;&gt;2026,"",INDEX({"Enero","Febrero","Marzo","Abril","Mayo","Junio","Julio","Agosto","Septiembre","Octubre","Noviembre","Diciembre"},MONTH(F1769))))</f>
        <v>Agosto</v>
      </c>
      <c r="N1769" s="18" t="str">
        <f t="shared" si="83"/>
        <v>Agosto|71</v>
      </c>
    </row>
    <row r="1770" spans="1:14" ht="14.5" x14ac:dyDescent="0.25">
      <c r="A1770" s="19">
        <v>34</v>
      </c>
      <c r="B1770" s="18" t="s">
        <v>41</v>
      </c>
      <c r="C1770" s="18" t="s">
        <v>95</v>
      </c>
      <c r="D1770" s="18" t="s">
        <v>1807</v>
      </c>
      <c r="E1770" s="18" t="s">
        <v>2322</v>
      </c>
      <c r="F1770" s="101">
        <v>46256.607638888891</v>
      </c>
      <c r="G1770" s="101">
        <v>46258.081944444442</v>
      </c>
      <c r="H1770" s="18" t="s">
        <v>507</v>
      </c>
      <c r="I1770" s="18" t="s">
        <v>508</v>
      </c>
      <c r="J1770" s="18"/>
      <c r="K1770" s="21">
        <f t="shared" si="81"/>
        <v>35.383333333244082</v>
      </c>
      <c r="L1770" s="19">
        <f t="shared" si="82"/>
        <v>71</v>
      </c>
      <c r="M1770" s="18" t="str">
        <f>IF(I1770&lt;&gt;"Sí","",IF(YEAR(F1770)&lt;&gt;2026,"",INDEX({"Enero","Febrero","Marzo","Abril","Mayo","Junio","Julio","Agosto","Septiembre","Octubre","Noviembre","Diciembre"},MONTH(F1770))))</f>
        <v>Agosto</v>
      </c>
      <c r="N1770" s="18" t="str">
        <f t="shared" si="83"/>
        <v>Agosto|71</v>
      </c>
    </row>
    <row r="1771" spans="1:14" ht="14.5" x14ac:dyDescent="0.25">
      <c r="A1771" s="19">
        <v>34</v>
      </c>
      <c r="B1771" s="18" t="s">
        <v>41</v>
      </c>
      <c r="C1771" s="18" t="s">
        <v>95</v>
      </c>
      <c r="D1771" s="18" t="s">
        <v>1807</v>
      </c>
      <c r="E1771" s="18" t="s">
        <v>2323</v>
      </c>
      <c r="F1771" s="101">
        <v>46256.607638888891</v>
      </c>
      <c r="G1771" s="101">
        <v>46258.081944444442</v>
      </c>
      <c r="H1771" s="18" t="s">
        <v>507</v>
      </c>
      <c r="I1771" s="18" t="s">
        <v>508</v>
      </c>
      <c r="J1771" s="18"/>
      <c r="K1771" s="21">
        <f t="shared" si="81"/>
        <v>35.383333333244082</v>
      </c>
      <c r="L1771" s="19">
        <f t="shared" si="82"/>
        <v>71</v>
      </c>
      <c r="M1771" s="18" t="str">
        <f>IF(I1771&lt;&gt;"Sí","",IF(YEAR(F1771)&lt;&gt;2026,"",INDEX({"Enero","Febrero","Marzo","Abril","Mayo","Junio","Julio","Agosto","Septiembre","Octubre","Noviembre","Diciembre"},MONTH(F1771))))</f>
        <v>Agosto</v>
      </c>
      <c r="N1771" s="18" t="str">
        <f t="shared" si="83"/>
        <v>Agosto|71</v>
      </c>
    </row>
    <row r="1772" spans="1:14" ht="14.5" x14ac:dyDescent="0.25">
      <c r="A1772" s="19">
        <v>34</v>
      </c>
      <c r="B1772" s="18" t="s">
        <v>41</v>
      </c>
      <c r="C1772" s="18" t="s">
        <v>95</v>
      </c>
      <c r="D1772" s="18" t="s">
        <v>1807</v>
      </c>
      <c r="E1772" s="18" t="s">
        <v>2324</v>
      </c>
      <c r="F1772" s="101">
        <v>46256.607638888891</v>
      </c>
      <c r="G1772" s="101">
        <v>46258.081944444442</v>
      </c>
      <c r="H1772" s="18" t="s">
        <v>507</v>
      </c>
      <c r="I1772" s="18" t="s">
        <v>508</v>
      </c>
      <c r="J1772" s="18"/>
      <c r="K1772" s="21">
        <f t="shared" si="81"/>
        <v>35.383333333244082</v>
      </c>
      <c r="L1772" s="19">
        <f t="shared" si="82"/>
        <v>71</v>
      </c>
      <c r="M1772" s="18" t="str">
        <f>IF(I1772&lt;&gt;"Sí","",IF(YEAR(F1772)&lt;&gt;2026,"",INDEX({"Enero","Febrero","Marzo","Abril","Mayo","Junio","Julio","Agosto","Septiembre","Octubre","Noviembre","Diciembre"},MONTH(F1772))))</f>
        <v>Agosto</v>
      </c>
      <c r="N1772" s="18" t="str">
        <f t="shared" si="83"/>
        <v>Agosto|71</v>
      </c>
    </row>
    <row r="1773" spans="1:14" ht="14.5" x14ac:dyDescent="0.25">
      <c r="A1773" s="19">
        <v>34</v>
      </c>
      <c r="B1773" s="18" t="s">
        <v>41</v>
      </c>
      <c r="C1773" s="18" t="s">
        <v>95</v>
      </c>
      <c r="D1773" s="18" t="s">
        <v>1807</v>
      </c>
      <c r="E1773" s="18" t="s">
        <v>2325</v>
      </c>
      <c r="F1773" s="101">
        <v>46256.607638888891</v>
      </c>
      <c r="G1773" s="101">
        <v>46258.081944444442</v>
      </c>
      <c r="H1773" s="18" t="s">
        <v>507</v>
      </c>
      <c r="I1773" s="18" t="s">
        <v>508</v>
      </c>
      <c r="J1773" s="18"/>
      <c r="K1773" s="21">
        <f t="shared" si="81"/>
        <v>35.383333333244082</v>
      </c>
      <c r="L1773" s="19">
        <f t="shared" si="82"/>
        <v>71</v>
      </c>
      <c r="M1773" s="18" t="str">
        <f>IF(I1773&lt;&gt;"Sí","",IF(YEAR(F1773)&lt;&gt;2026,"",INDEX({"Enero","Febrero","Marzo","Abril","Mayo","Junio","Julio","Agosto","Septiembre","Octubre","Noviembre","Diciembre"},MONTH(F1773))))</f>
        <v>Agosto</v>
      </c>
      <c r="N1773" s="18" t="str">
        <f t="shared" si="83"/>
        <v>Agosto|71</v>
      </c>
    </row>
    <row r="1774" spans="1:14" ht="14.5" x14ac:dyDescent="0.25">
      <c r="A1774" s="19">
        <v>34</v>
      </c>
      <c r="B1774" s="18" t="s">
        <v>41</v>
      </c>
      <c r="C1774" s="18" t="s">
        <v>95</v>
      </c>
      <c r="D1774" s="18" t="s">
        <v>1807</v>
      </c>
      <c r="E1774" s="18" t="s">
        <v>2326</v>
      </c>
      <c r="F1774" s="101">
        <v>46256.607638888891</v>
      </c>
      <c r="G1774" s="101">
        <v>46258.081944444442</v>
      </c>
      <c r="H1774" s="18" t="s">
        <v>507</v>
      </c>
      <c r="I1774" s="18" t="s">
        <v>508</v>
      </c>
      <c r="J1774" s="18"/>
      <c r="K1774" s="21">
        <f t="shared" si="81"/>
        <v>35.383333333244082</v>
      </c>
      <c r="L1774" s="19">
        <f t="shared" si="82"/>
        <v>71</v>
      </c>
      <c r="M1774" s="18" t="str">
        <f>IF(I1774&lt;&gt;"Sí","",IF(YEAR(F1774)&lt;&gt;2026,"",INDEX({"Enero","Febrero","Marzo","Abril","Mayo","Junio","Julio","Agosto","Septiembre","Octubre","Noviembre","Diciembre"},MONTH(F1774))))</f>
        <v>Agosto</v>
      </c>
      <c r="N1774" s="18" t="str">
        <f t="shared" si="83"/>
        <v>Agosto|71</v>
      </c>
    </row>
    <row r="1775" spans="1:14" ht="14.5" x14ac:dyDescent="0.25">
      <c r="A1775" s="19">
        <v>34</v>
      </c>
      <c r="B1775" s="18" t="s">
        <v>41</v>
      </c>
      <c r="C1775" s="18" t="s">
        <v>95</v>
      </c>
      <c r="D1775" s="18" t="s">
        <v>1807</v>
      </c>
      <c r="E1775" s="18" t="s">
        <v>2327</v>
      </c>
      <c r="F1775" s="101">
        <v>46256.607638888891</v>
      </c>
      <c r="G1775" s="101">
        <v>46258.081944444442</v>
      </c>
      <c r="H1775" s="18" t="s">
        <v>507</v>
      </c>
      <c r="I1775" s="18" t="s">
        <v>508</v>
      </c>
      <c r="J1775" s="18"/>
      <c r="K1775" s="21">
        <f t="shared" si="81"/>
        <v>35.383333333244082</v>
      </c>
      <c r="L1775" s="19">
        <f t="shared" si="82"/>
        <v>71</v>
      </c>
      <c r="M1775" s="18" t="str">
        <f>IF(I1775&lt;&gt;"Sí","",IF(YEAR(F1775)&lt;&gt;2026,"",INDEX({"Enero","Febrero","Marzo","Abril","Mayo","Junio","Julio","Agosto","Septiembre","Octubre","Noviembre","Diciembre"},MONTH(F1775))))</f>
        <v>Agosto</v>
      </c>
      <c r="N1775" s="18" t="str">
        <f t="shared" si="83"/>
        <v>Agosto|71</v>
      </c>
    </row>
    <row r="1776" spans="1:14" ht="14.5" x14ac:dyDescent="0.25">
      <c r="A1776" s="19">
        <v>34</v>
      </c>
      <c r="B1776" s="18" t="s">
        <v>41</v>
      </c>
      <c r="C1776" s="18" t="s">
        <v>95</v>
      </c>
      <c r="D1776" s="18" t="s">
        <v>1807</v>
      </c>
      <c r="E1776" s="18" t="s">
        <v>2328</v>
      </c>
      <c r="F1776" s="101">
        <v>46256.607638888891</v>
      </c>
      <c r="G1776" s="101">
        <v>46258.081944444442</v>
      </c>
      <c r="H1776" s="18" t="s">
        <v>507</v>
      </c>
      <c r="I1776" s="18" t="s">
        <v>508</v>
      </c>
      <c r="J1776" s="18"/>
      <c r="K1776" s="21">
        <f t="shared" si="81"/>
        <v>35.383333333244082</v>
      </c>
      <c r="L1776" s="19">
        <f t="shared" si="82"/>
        <v>71</v>
      </c>
      <c r="M1776" s="18" t="str">
        <f>IF(I1776&lt;&gt;"Sí","",IF(YEAR(F1776)&lt;&gt;2026,"",INDEX({"Enero","Febrero","Marzo","Abril","Mayo","Junio","Julio","Agosto","Septiembre","Octubre","Noviembre","Diciembre"},MONTH(F1776))))</f>
        <v>Agosto</v>
      </c>
      <c r="N1776" s="18" t="str">
        <f t="shared" si="83"/>
        <v>Agosto|71</v>
      </c>
    </row>
    <row r="1777" spans="1:14" ht="14.5" x14ac:dyDescent="0.25">
      <c r="A1777" s="19">
        <v>34</v>
      </c>
      <c r="B1777" s="18" t="s">
        <v>41</v>
      </c>
      <c r="C1777" s="18" t="s">
        <v>95</v>
      </c>
      <c r="D1777" s="18" t="s">
        <v>1807</v>
      </c>
      <c r="E1777" s="18" t="s">
        <v>2329</v>
      </c>
      <c r="F1777" s="101">
        <v>46256.607638888891</v>
      </c>
      <c r="G1777" s="101">
        <v>46258.081944444442</v>
      </c>
      <c r="H1777" s="18" t="s">
        <v>507</v>
      </c>
      <c r="I1777" s="18" t="s">
        <v>508</v>
      </c>
      <c r="J1777" s="18"/>
      <c r="K1777" s="21">
        <f t="shared" si="81"/>
        <v>35.383333333244082</v>
      </c>
      <c r="L1777" s="19">
        <f t="shared" si="82"/>
        <v>71</v>
      </c>
      <c r="M1777" s="18" t="str">
        <f>IF(I1777&lt;&gt;"Sí","",IF(YEAR(F1777)&lt;&gt;2026,"",INDEX({"Enero","Febrero","Marzo","Abril","Mayo","Junio","Julio","Agosto","Septiembre","Octubre","Noviembre","Diciembre"},MONTH(F1777))))</f>
        <v>Agosto</v>
      </c>
      <c r="N1777" s="18" t="str">
        <f t="shared" si="83"/>
        <v>Agosto|71</v>
      </c>
    </row>
    <row r="1778" spans="1:14" ht="14.5" x14ac:dyDescent="0.25">
      <c r="A1778" s="19">
        <v>34</v>
      </c>
      <c r="B1778" s="18" t="s">
        <v>41</v>
      </c>
      <c r="C1778" s="18" t="s">
        <v>95</v>
      </c>
      <c r="D1778" s="18" t="s">
        <v>1807</v>
      </c>
      <c r="E1778" s="18" t="s">
        <v>2330</v>
      </c>
      <c r="F1778" s="101">
        <v>46256.60833333333</v>
      </c>
      <c r="G1778" s="101">
        <v>46258.118055555555</v>
      </c>
      <c r="H1778" s="18" t="s">
        <v>507</v>
      </c>
      <c r="I1778" s="18" t="s">
        <v>508</v>
      </c>
      <c r="J1778" s="18"/>
      <c r="K1778" s="21">
        <f t="shared" si="81"/>
        <v>36.233333333395422</v>
      </c>
      <c r="L1778" s="19">
        <f t="shared" si="82"/>
        <v>72</v>
      </c>
      <c r="M1778" s="18" t="str">
        <f>IF(I1778&lt;&gt;"Sí","",IF(YEAR(F1778)&lt;&gt;2026,"",INDEX({"Enero","Febrero","Marzo","Abril","Mayo","Junio","Julio","Agosto","Septiembre","Octubre","Noviembre","Diciembre"},MONTH(F1778))))</f>
        <v>Agosto</v>
      </c>
      <c r="N1778" s="18" t="str">
        <f t="shared" si="83"/>
        <v>Agosto|72</v>
      </c>
    </row>
    <row r="1779" spans="1:14" ht="14.5" x14ac:dyDescent="0.25">
      <c r="A1779" s="19">
        <v>34</v>
      </c>
      <c r="B1779" s="18" t="s">
        <v>41</v>
      </c>
      <c r="C1779" s="18" t="s">
        <v>95</v>
      </c>
      <c r="D1779" s="18" t="s">
        <v>1807</v>
      </c>
      <c r="E1779" s="18" t="s">
        <v>2331</v>
      </c>
      <c r="F1779" s="101">
        <v>46256.612500000003</v>
      </c>
      <c r="G1779" s="101">
        <v>46258.118055555555</v>
      </c>
      <c r="H1779" s="18" t="s">
        <v>507</v>
      </c>
      <c r="I1779" s="18" t="s">
        <v>508</v>
      </c>
      <c r="J1779" s="18"/>
      <c r="K1779" s="21">
        <f t="shared" si="81"/>
        <v>36.133333333244082</v>
      </c>
      <c r="L1779" s="19">
        <f t="shared" si="82"/>
        <v>73</v>
      </c>
      <c r="M1779" s="18" t="str">
        <f>IF(I1779&lt;&gt;"Sí","",IF(YEAR(F1779)&lt;&gt;2026,"",INDEX({"Enero","Febrero","Marzo","Abril","Mayo","Junio","Julio","Agosto","Septiembre","Octubre","Noviembre","Diciembre"},MONTH(F1779))))</f>
        <v>Agosto</v>
      </c>
      <c r="N1779" s="18" t="str">
        <f t="shared" si="83"/>
        <v>Agosto|73</v>
      </c>
    </row>
    <row r="1780" spans="1:14" ht="14.5" x14ac:dyDescent="0.25">
      <c r="A1780" s="19">
        <v>34</v>
      </c>
      <c r="B1780" s="18" t="s">
        <v>41</v>
      </c>
      <c r="C1780" s="18" t="s">
        <v>95</v>
      </c>
      <c r="D1780" s="18" t="s">
        <v>1807</v>
      </c>
      <c r="E1780" s="18" t="s">
        <v>2332</v>
      </c>
      <c r="F1780" s="101">
        <v>46256.614583333336</v>
      </c>
      <c r="G1780" s="101">
        <v>46258.118055555555</v>
      </c>
      <c r="H1780" s="18" t="s">
        <v>507</v>
      </c>
      <c r="I1780" s="18" t="s">
        <v>508</v>
      </c>
      <c r="J1780" s="18"/>
      <c r="K1780" s="21">
        <f t="shared" si="81"/>
        <v>36.083333333255723</v>
      </c>
      <c r="L1780" s="19">
        <f t="shared" si="82"/>
        <v>75</v>
      </c>
      <c r="M1780" s="18" t="str">
        <f>IF(I1780&lt;&gt;"Sí","",IF(YEAR(F1780)&lt;&gt;2026,"",INDEX({"Enero","Febrero","Marzo","Abril","Mayo","Junio","Julio","Agosto","Septiembre","Octubre","Noviembre","Diciembre"},MONTH(F1780))))</f>
        <v>Agosto</v>
      </c>
      <c r="N1780" s="18" t="str">
        <f t="shared" si="83"/>
        <v>Agosto|75</v>
      </c>
    </row>
    <row r="1781" spans="1:14" ht="14.5" x14ac:dyDescent="0.25">
      <c r="A1781" s="19">
        <v>34</v>
      </c>
      <c r="B1781" s="18" t="s">
        <v>41</v>
      </c>
      <c r="C1781" s="18" t="s">
        <v>95</v>
      </c>
      <c r="D1781" s="18" t="s">
        <v>1807</v>
      </c>
      <c r="E1781" s="18" t="s">
        <v>2333</v>
      </c>
      <c r="F1781" s="101">
        <v>46256.614583333336</v>
      </c>
      <c r="G1781" s="101">
        <v>46258.513888888891</v>
      </c>
      <c r="H1781" s="18" t="s">
        <v>507</v>
      </c>
      <c r="I1781" s="18" t="s">
        <v>508</v>
      </c>
      <c r="J1781" s="18"/>
      <c r="K1781" s="21">
        <f t="shared" si="81"/>
        <v>45.583333333313931</v>
      </c>
      <c r="L1781" s="19">
        <f t="shared" si="82"/>
        <v>75</v>
      </c>
      <c r="M1781" s="18" t="str">
        <f>IF(I1781&lt;&gt;"Sí","",IF(YEAR(F1781)&lt;&gt;2026,"",INDEX({"Enero","Febrero","Marzo","Abril","Mayo","Junio","Julio","Agosto","Septiembre","Octubre","Noviembre","Diciembre"},MONTH(F1781))))</f>
        <v>Agosto</v>
      </c>
      <c r="N1781" s="18" t="str">
        <f t="shared" si="83"/>
        <v>Agosto|75</v>
      </c>
    </row>
    <row r="1782" spans="1:14" ht="14.5" x14ac:dyDescent="0.25">
      <c r="A1782" s="19">
        <v>34</v>
      </c>
      <c r="B1782" s="18" t="s">
        <v>41</v>
      </c>
      <c r="C1782" s="18" t="s">
        <v>95</v>
      </c>
      <c r="D1782" s="18" t="s">
        <v>1807</v>
      </c>
      <c r="E1782" s="18" t="s">
        <v>2334</v>
      </c>
      <c r="F1782" s="101">
        <v>46256.618055555555</v>
      </c>
      <c r="G1782" s="101">
        <v>46258.118055555555</v>
      </c>
      <c r="H1782" s="18" t="s">
        <v>507</v>
      </c>
      <c r="I1782" s="18" t="s">
        <v>508</v>
      </c>
      <c r="J1782" s="18"/>
      <c r="K1782" s="21">
        <f t="shared" si="81"/>
        <v>36</v>
      </c>
      <c r="L1782" s="19">
        <f t="shared" si="82"/>
        <v>76</v>
      </c>
      <c r="M1782" s="18" t="str">
        <f>IF(I1782&lt;&gt;"Sí","",IF(YEAR(F1782)&lt;&gt;2026,"",INDEX({"Enero","Febrero","Marzo","Abril","Mayo","Junio","Julio","Agosto","Septiembre","Octubre","Noviembre","Diciembre"},MONTH(F1782))))</f>
        <v>Agosto</v>
      </c>
      <c r="N1782" s="18" t="str">
        <f t="shared" si="83"/>
        <v>Agosto|76</v>
      </c>
    </row>
    <row r="1783" spans="1:14" ht="14.5" x14ac:dyDescent="0.25">
      <c r="A1783" s="19">
        <v>34</v>
      </c>
      <c r="B1783" s="18" t="s">
        <v>41</v>
      </c>
      <c r="C1783" s="18" t="s">
        <v>95</v>
      </c>
      <c r="D1783" s="18" t="s">
        <v>1807</v>
      </c>
      <c r="E1783" s="18" t="s">
        <v>2335</v>
      </c>
      <c r="F1783" s="101">
        <v>46256.620138888888</v>
      </c>
      <c r="G1783" s="101">
        <v>46258.118055555555</v>
      </c>
      <c r="H1783" s="18" t="s">
        <v>507</v>
      </c>
      <c r="I1783" s="18" t="s">
        <v>508</v>
      </c>
      <c r="J1783" s="18"/>
      <c r="K1783" s="21">
        <f t="shared" si="81"/>
        <v>35.950000000011642</v>
      </c>
      <c r="L1783" s="19">
        <f t="shared" si="82"/>
        <v>77</v>
      </c>
      <c r="M1783" s="18" t="str">
        <f>IF(I1783&lt;&gt;"Sí","",IF(YEAR(F1783)&lt;&gt;2026,"",INDEX({"Enero","Febrero","Marzo","Abril","Mayo","Junio","Julio","Agosto","Septiembre","Octubre","Noviembre","Diciembre"},MONTH(F1783))))</f>
        <v>Agosto</v>
      </c>
      <c r="N1783" s="18" t="str">
        <f t="shared" si="83"/>
        <v>Agosto|77</v>
      </c>
    </row>
    <row r="1784" spans="1:14" ht="14.5" x14ac:dyDescent="0.25">
      <c r="A1784" s="19">
        <v>34</v>
      </c>
      <c r="B1784" s="18" t="s">
        <v>41</v>
      </c>
      <c r="C1784" s="18" t="s">
        <v>95</v>
      </c>
      <c r="D1784" s="18" t="s">
        <v>1807</v>
      </c>
      <c r="E1784" s="18" t="s">
        <v>2336</v>
      </c>
      <c r="F1784" s="101">
        <v>46256.622916666667</v>
      </c>
      <c r="G1784" s="101">
        <v>46258.118055555555</v>
      </c>
      <c r="H1784" s="18" t="s">
        <v>507</v>
      </c>
      <c r="I1784" s="18" t="s">
        <v>508</v>
      </c>
      <c r="J1784" s="18"/>
      <c r="K1784" s="21">
        <f t="shared" si="81"/>
        <v>35.883333333302289</v>
      </c>
      <c r="L1784" s="19">
        <f t="shared" si="82"/>
        <v>78</v>
      </c>
      <c r="M1784" s="18" t="str">
        <f>IF(I1784&lt;&gt;"Sí","",IF(YEAR(F1784)&lt;&gt;2026,"",INDEX({"Enero","Febrero","Marzo","Abril","Mayo","Junio","Julio","Agosto","Septiembre","Octubre","Noviembre","Diciembre"},MONTH(F1784))))</f>
        <v>Agosto</v>
      </c>
      <c r="N1784" s="18" t="str">
        <f t="shared" si="83"/>
        <v>Agosto|78</v>
      </c>
    </row>
    <row r="1785" spans="1:14" ht="14.5" x14ac:dyDescent="0.25">
      <c r="A1785" s="19">
        <v>34</v>
      </c>
      <c r="B1785" s="18" t="s">
        <v>41</v>
      </c>
      <c r="C1785" s="18" t="s">
        <v>95</v>
      </c>
      <c r="D1785" s="18" t="s">
        <v>1807</v>
      </c>
      <c r="E1785" s="18" t="s">
        <v>2337</v>
      </c>
      <c r="F1785" s="101">
        <v>46256.626388888886</v>
      </c>
      <c r="G1785" s="101">
        <v>46258.118055555555</v>
      </c>
      <c r="H1785" s="18" t="s">
        <v>507</v>
      </c>
      <c r="I1785" s="18" t="s">
        <v>508</v>
      </c>
      <c r="J1785" s="18"/>
      <c r="K1785" s="21">
        <f t="shared" si="81"/>
        <v>35.800000000046566</v>
      </c>
      <c r="L1785" s="19">
        <f t="shared" si="82"/>
        <v>79</v>
      </c>
      <c r="M1785" s="18" t="str">
        <f>IF(I1785&lt;&gt;"Sí","",IF(YEAR(F1785)&lt;&gt;2026,"",INDEX({"Enero","Febrero","Marzo","Abril","Mayo","Junio","Julio","Agosto","Septiembre","Octubre","Noviembre","Diciembre"},MONTH(F1785))))</f>
        <v>Agosto</v>
      </c>
      <c r="N1785" s="18" t="str">
        <f t="shared" si="83"/>
        <v>Agosto|79</v>
      </c>
    </row>
    <row r="1786" spans="1:14" ht="14.5" x14ac:dyDescent="0.25">
      <c r="A1786" s="19">
        <v>34</v>
      </c>
      <c r="B1786" s="18" t="s">
        <v>41</v>
      </c>
      <c r="C1786" s="18" t="s">
        <v>95</v>
      </c>
      <c r="D1786" s="18" t="s">
        <v>1807</v>
      </c>
      <c r="E1786" s="18" t="s">
        <v>2338</v>
      </c>
      <c r="F1786" s="101">
        <v>46256.631249999999</v>
      </c>
      <c r="G1786" s="101">
        <v>46258.118055555555</v>
      </c>
      <c r="H1786" s="18" t="s">
        <v>507</v>
      </c>
      <c r="I1786" s="18" t="s">
        <v>508</v>
      </c>
      <c r="J1786" s="18"/>
      <c r="K1786" s="21">
        <f t="shared" si="81"/>
        <v>35.683333333348855</v>
      </c>
      <c r="L1786" s="19">
        <f t="shared" si="82"/>
        <v>80</v>
      </c>
      <c r="M1786" s="18" t="str">
        <f>IF(I1786&lt;&gt;"Sí","",IF(YEAR(F1786)&lt;&gt;2026,"",INDEX({"Enero","Febrero","Marzo","Abril","Mayo","Junio","Julio","Agosto","Septiembre","Octubre","Noviembre","Diciembre"},MONTH(F1786))))</f>
        <v>Agosto</v>
      </c>
      <c r="N1786" s="18" t="str">
        <f t="shared" si="83"/>
        <v>Agosto|80</v>
      </c>
    </row>
    <row r="1787" spans="1:14" ht="14.5" x14ac:dyDescent="0.25">
      <c r="A1787" s="19">
        <v>34</v>
      </c>
      <c r="B1787" s="18" t="s">
        <v>41</v>
      </c>
      <c r="C1787" s="18" t="s">
        <v>95</v>
      </c>
      <c r="D1787" s="18" t="s">
        <v>1807</v>
      </c>
      <c r="E1787" s="18" t="s">
        <v>2339</v>
      </c>
      <c r="F1787" s="101">
        <v>46256.673611111109</v>
      </c>
      <c r="G1787" s="101">
        <v>46258.118055555555</v>
      </c>
      <c r="H1787" s="18" t="s">
        <v>507</v>
      </c>
      <c r="I1787" s="18" t="s">
        <v>508</v>
      </c>
      <c r="J1787" s="18"/>
      <c r="K1787" s="21">
        <f t="shared" si="81"/>
        <v>34.666666666686069</v>
      </c>
      <c r="L1787" s="19">
        <f t="shared" si="82"/>
        <v>81</v>
      </c>
      <c r="M1787" s="18" t="str">
        <f>IF(I1787&lt;&gt;"Sí","",IF(YEAR(F1787)&lt;&gt;2026,"",INDEX({"Enero","Febrero","Marzo","Abril","Mayo","Junio","Julio","Agosto","Septiembre","Octubre","Noviembre","Diciembre"},MONTH(F1787))))</f>
        <v>Agosto</v>
      </c>
      <c r="N1787" s="18" t="str">
        <f t="shared" si="83"/>
        <v>Agosto|81</v>
      </c>
    </row>
    <row r="1788" spans="1:14" ht="14.5" x14ac:dyDescent="0.25">
      <c r="A1788" s="19">
        <v>34</v>
      </c>
      <c r="B1788" s="18" t="s">
        <v>41</v>
      </c>
      <c r="C1788" s="18" t="s">
        <v>95</v>
      </c>
      <c r="D1788" s="18" t="s">
        <v>1807</v>
      </c>
      <c r="E1788" s="18" t="s">
        <v>2340</v>
      </c>
      <c r="F1788" s="101">
        <v>46256.675694444442</v>
      </c>
      <c r="G1788" s="101">
        <v>46258.118055555555</v>
      </c>
      <c r="H1788" s="18" t="s">
        <v>507</v>
      </c>
      <c r="I1788" s="18" t="s">
        <v>508</v>
      </c>
      <c r="J1788" s="18"/>
      <c r="K1788" s="21">
        <f t="shared" si="81"/>
        <v>34.616666666697711</v>
      </c>
      <c r="L1788" s="19">
        <f t="shared" si="82"/>
        <v>82</v>
      </c>
      <c r="M1788" s="18" t="str">
        <f>IF(I1788&lt;&gt;"Sí","",IF(YEAR(F1788)&lt;&gt;2026,"",INDEX({"Enero","Febrero","Marzo","Abril","Mayo","Junio","Julio","Agosto","Septiembre","Octubre","Noviembre","Diciembre"},MONTH(F1788))))</f>
        <v>Agosto</v>
      </c>
      <c r="N1788" s="18" t="str">
        <f t="shared" si="83"/>
        <v>Agosto|82</v>
      </c>
    </row>
    <row r="1789" spans="1:14" ht="14.5" x14ac:dyDescent="0.25">
      <c r="A1789" s="19">
        <v>34</v>
      </c>
      <c r="B1789" s="18" t="s">
        <v>41</v>
      </c>
      <c r="C1789" s="18" t="s">
        <v>95</v>
      </c>
      <c r="D1789" s="18" t="s">
        <v>1807</v>
      </c>
      <c r="E1789" s="18" t="s">
        <v>2341</v>
      </c>
      <c r="F1789" s="101">
        <v>46256.676388888889</v>
      </c>
      <c r="G1789" s="101">
        <v>46258.118055555555</v>
      </c>
      <c r="H1789" s="18" t="s">
        <v>507</v>
      </c>
      <c r="I1789" s="18" t="s">
        <v>508</v>
      </c>
      <c r="J1789" s="18"/>
      <c r="K1789" s="21">
        <f t="shared" si="81"/>
        <v>34.599999999976717</v>
      </c>
      <c r="L1789" s="19">
        <f t="shared" si="82"/>
        <v>83</v>
      </c>
      <c r="M1789" s="18" t="str">
        <f>IF(I1789&lt;&gt;"Sí","",IF(YEAR(F1789)&lt;&gt;2026,"",INDEX({"Enero","Febrero","Marzo","Abril","Mayo","Junio","Julio","Agosto","Septiembre","Octubre","Noviembre","Diciembre"},MONTH(F1789))))</f>
        <v>Agosto</v>
      </c>
      <c r="N1789" s="18" t="str">
        <f t="shared" si="83"/>
        <v>Agosto|83</v>
      </c>
    </row>
    <row r="1790" spans="1:14" ht="14.5" x14ac:dyDescent="0.25">
      <c r="A1790" s="19">
        <v>34</v>
      </c>
      <c r="B1790" s="18" t="s">
        <v>41</v>
      </c>
      <c r="C1790" s="18" t="s">
        <v>95</v>
      </c>
      <c r="D1790" s="18" t="s">
        <v>1807</v>
      </c>
      <c r="E1790" s="18" t="s">
        <v>2342</v>
      </c>
      <c r="F1790" s="101">
        <v>46256.678472222222</v>
      </c>
      <c r="G1790" s="101">
        <v>46258.118055555555</v>
      </c>
      <c r="H1790" s="18" t="s">
        <v>507</v>
      </c>
      <c r="I1790" s="18" t="s">
        <v>508</v>
      </c>
      <c r="J1790" s="18"/>
      <c r="K1790" s="21">
        <f t="shared" si="81"/>
        <v>34.549999999988358</v>
      </c>
      <c r="L1790" s="19">
        <f t="shared" si="82"/>
        <v>84</v>
      </c>
      <c r="M1790" s="18" t="str">
        <f>IF(I1790&lt;&gt;"Sí","",IF(YEAR(F1790)&lt;&gt;2026,"",INDEX({"Enero","Febrero","Marzo","Abril","Mayo","Junio","Julio","Agosto","Septiembre","Octubre","Noviembre","Diciembre"},MONTH(F1790))))</f>
        <v>Agosto</v>
      </c>
      <c r="N1790" s="18" t="str">
        <f t="shared" si="83"/>
        <v>Agosto|84</v>
      </c>
    </row>
    <row r="1791" spans="1:14" ht="14.5" x14ac:dyDescent="0.25">
      <c r="A1791" s="19">
        <v>34</v>
      </c>
      <c r="B1791" s="18" t="s">
        <v>41</v>
      </c>
      <c r="C1791" s="18" t="s">
        <v>95</v>
      </c>
      <c r="D1791" s="18" t="s">
        <v>1807</v>
      </c>
      <c r="E1791" s="18" t="s">
        <v>2343</v>
      </c>
      <c r="F1791" s="101">
        <v>46256.681250000001</v>
      </c>
      <c r="G1791" s="101">
        <v>46258.118055555555</v>
      </c>
      <c r="H1791" s="18" t="s">
        <v>507</v>
      </c>
      <c r="I1791" s="18" t="s">
        <v>508</v>
      </c>
      <c r="J1791" s="18"/>
      <c r="K1791" s="21">
        <f t="shared" si="81"/>
        <v>34.483333333279006</v>
      </c>
      <c r="L1791" s="19">
        <f t="shared" si="82"/>
        <v>85</v>
      </c>
      <c r="M1791" s="18" t="str">
        <f>IF(I1791&lt;&gt;"Sí","",IF(YEAR(F1791)&lt;&gt;2026,"",INDEX({"Enero","Febrero","Marzo","Abril","Mayo","Junio","Julio","Agosto","Septiembre","Octubre","Noviembre","Diciembre"},MONTH(F1791))))</f>
        <v>Agosto</v>
      </c>
      <c r="N1791" s="18" t="str">
        <f t="shared" si="83"/>
        <v>Agosto|85</v>
      </c>
    </row>
    <row r="1792" spans="1:14" ht="14.5" x14ac:dyDescent="0.25">
      <c r="A1792" s="19">
        <v>34</v>
      </c>
      <c r="B1792" s="18" t="s">
        <v>41</v>
      </c>
      <c r="C1792" s="18" t="s">
        <v>95</v>
      </c>
      <c r="D1792" s="18" t="s">
        <v>1807</v>
      </c>
      <c r="E1792" s="18" t="s">
        <v>2344</v>
      </c>
      <c r="F1792" s="101">
        <v>46256.6875</v>
      </c>
      <c r="G1792" s="101">
        <v>46258.5</v>
      </c>
      <c r="H1792" s="18" t="s">
        <v>507</v>
      </c>
      <c r="I1792" s="18" t="s">
        <v>508</v>
      </c>
      <c r="J1792" s="18"/>
      <c r="K1792" s="21">
        <f t="shared" si="81"/>
        <v>43.5</v>
      </c>
      <c r="L1792" s="19">
        <f t="shared" si="82"/>
        <v>116</v>
      </c>
      <c r="M1792" s="18" t="str">
        <f>IF(I1792&lt;&gt;"Sí","",IF(YEAR(F1792)&lt;&gt;2026,"",INDEX({"Enero","Febrero","Marzo","Abril","Mayo","Junio","Julio","Agosto","Septiembre","Octubre","Noviembre","Diciembre"},MONTH(F1792))))</f>
        <v>Agosto</v>
      </c>
      <c r="N1792" s="18" t="str">
        <f t="shared" si="83"/>
        <v>Agosto|116</v>
      </c>
    </row>
    <row r="1793" spans="1:14" ht="14.5" x14ac:dyDescent="0.25">
      <c r="A1793" s="19">
        <v>34</v>
      </c>
      <c r="B1793" s="18" t="s">
        <v>41</v>
      </c>
      <c r="C1793" s="18" t="s">
        <v>95</v>
      </c>
      <c r="D1793" s="18" t="s">
        <v>1807</v>
      </c>
      <c r="E1793" s="18" t="s">
        <v>2345</v>
      </c>
      <c r="F1793" s="101">
        <v>46256.6875</v>
      </c>
      <c r="G1793" s="101">
        <v>46258.118055555555</v>
      </c>
      <c r="H1793" s="18" t="s">
        <v>507</v>
      </c>
      <c r="I1793" s="18" t="s">
        <v>508</v>
      </c>
      <c r="J1793" s="18"/>
      <c r="K1793" s="21">
        <f t="shared" si="81"/>
        <v>34.333333333313931</v>
      </c>
      <c r="L1793" s="19">
        <f t="shared" si="82"/>
        <v>116</v>
      </c>
      <c r="M1793" s="18" t="str">
        <f>IF(I1793&lt;&gt;"Sí","",IF(YEAR(F1793)&lt;&gt;2026,"",INDEX({"Enero","Febrero","Marzo","Abril","Mayo","Junio","Julio","Agosto","Septiembre","Octubre","Noviembre","Diciembre"},MONTH(F1793))))</f>
        <v>Agosto</v>
      </c>
      <c r="N1793" s="18" t="str">
        <f t="shared" si="83"/>
        <v>Agosto|116</v>
      </c>
    </row>
    <row r="1794" spans="1:14" ht="14.5" x14ac:dyDescent="0.25">
      <c r="A1794" s="19">
        <v>34</v>
      </c>
      <c r="B1794" s="18" t="s">
        <v>41</v>
      </c>
      <c r="C1794" s="18" t="s">
        <v>95</v>
      </c>
      <c r="D1794" s="18" t="s">
        <v>1807</v>
      </c>
      <c r="E1794" s="18" t="s">
        <v>2346</v>
      </c>
      <c r="F1794" s="101">
        <v>46256.6875</v>
      </c>
      <c r="G1794" s="101">
        <v>46258.45416666667</v>
      </c>
      <c r="H1794" s="18" t="s">
        <v>507</v>
      </c>
      <c r="I1794" s="18" t="s">
        <v>508</v>
      </c>
      <c r="J1794" s="18"/>
      <c r="K1794" s="21">
        <f t="shared" si="81"/>
        <v>42.400000000081491</v>
      </c>
      <c r="L1794" s="19">
        <f t="shared" si="82"/>
        <v>116</v>
      </c>
      <c r="M1794" s="18" t="str">
        <f>IF(I1794&lt;&gt;"Sí","",IF(YEAR(F1794)&lt;&gt;2026,"",INDEX({"Enero","Febrero","Marzo","Abril","Mayo","Junio","Julio","Agosto","Septiembre","Octubre","Noviembre","Diciembre"},MONTH(F1794))))</f>
        <v>Agosto</v>
      </c>
      <c r="N1794" s="18" t="str">
        <f t="shared" si="83"/>
        <v>Agosto|116</v>
      </c>
    </row>
    <row r="1795" spans="1:14" ht="14.5" x14ac:dyDescent="0.25">
      <c r="A1795" s="19">
        <v>34</v>
      </c>
      <c r="B1795" s="18" t="s">
        <v>41</v>
      </c>
      <c r="C1795" s="18" t="s">
        <v>95</v>
      </c>
      <c r="D1795" s="18" t="s">
        <v>1807</v>
      </c>
      <c r="E1795" s="18" t="s">
        <v>2347</v>
      </c>
      <c r="F1795" s="101">
        <v>46256.6875</v>
      </c>
      <c r="G1795" s="101">
        <v>46258.45416666667</v>
      </c>
      <c r="H1795" s="18" t="s">
        <v>507</v>
      </c>
      <c r="I1795" s="18" t="s">
        <v>508</v>
      </c>
      <c r="J1795" s="18"/>
      <c r="K1795" s="21">
        <f t="shared" si="81"/>
        <v>42.400000000081491</v>
      </c>
      <c r="L1795" s="19">
        <f t="shared" si="82"/>
        <v>116</v>
      </c>
      <c r="M1795" s="18" t="str">
        <f>IF(I1795&lt;&gt;"Sí","",IF(YEAR(F1795)&lt;&gt;2026,"",INDEX({"Enero","Febrero","Marzo","Abril","Mayo","Junio","Julio","Agosto","Septiembre","Octubre","Noviembre","Diciembre"},MONTH(F1795))))</f>
        <v>Agosto</v>
      </c>
      <c r="N1795" s="18" t="str">
        <f t="shared" si="83"/>
        <v>Agosto|116</v>
      </c>
    </row>
    <row r="1796" spans="1:14" ht="14.5" x14ac:dyDescent="0.25">
      <c r="A1796" s="19">
        <v>34</v>
      </c>
      <c r="B1796" s="18" t="s">
        <v>41</v>
      </c>
      <c r="C1796" s="18" t="s">
        <v>95</v>
      </c>
      <c r="D1796" s="18" t="s">
        <v>1807</v>
      </c>
      <c r="E1796" s="18" t="s">
        <v>2348</v>
      </c>
      <c r="F1796" s="101">
        <v>46256.6875</v>
      </c>
      <c r="G1796" s="101">
        <v>46258.118055555555</v>
      </c>
      <c r="H1796" s="18" t="s">
        <v>507</v>
      </c>
      <c r="I1796" s="18" t="s">
        <v>508</v>
      </c>
      <c r="J1796" s="18"/>
      <c r="K1796" s="21">
        <f t="shared" si="81"/>
        <v>34.333333333313931</v>
      </c>
      <c r="L1796" s="19">
        <f t="shared" si="82"/>
        <v>116</v>
      </c>
      <c r="M1796" s="18" t="str">
        <f>IF(I1796&lt;&gt;"Sí","",IF(YEAR(F1796)&lt;&gt;2026,"",INDEX({"Enero","Febrero","Marzo","Abril","Mayo","Junio","Julio","Agosto","Septiembre","Octubre","Noviembre","Diciembre"},MONTH(F1796))))</f>
        <v>Agosto</v>
      </c>
      <c r="N1796" s="18" t="str">
        <f t="shared" si="83"/>
        <v>Agosto|116</v>
      </c>
    </row>
    <row r="1797" spans="1:14" ht="14.5" x14ac:dyDescent="0.25">
      <c r="A1797" s="19">
        <v>34</v>
      </c>
      <c r="B1797" s="18" t="s">
        <v>41</v>
      </c>
      <c r="C1797" s="18" t="s">
        <v>95</v>
      </c>
      <c r="D1797" s="18" t="s">
        <v>1807</v>
      </c>
      <c r="E1797" s="18" t="s">
        <v>2349</v>
      </c>
      <c r="F1797" s="101">
        <v>46256.6875</v>
      </c>
      <c r="G1797" s="101">
        <v>46258.118055555555</v>
      </c>
      <c r="H1797" s="18" t="s">
        <v>507</v>
      </c>
      <c r="I1797" s="18" t="s">
        <v>508</v>
      </c>
      <c r="J1797" s="18"/>
      <c r="K1797" s="21">
        <f t="shared" si="81"/>
        <v>34.333333333313931</v>
      </c>
      <c r="L1797" s="19">
        <f t="shared" si="82"/>
        <v>116</v>
      </c>
      <c r="M1797" s="18" t="str">
        <f>IF(I1797&lt;&gt;"Sí","",IF(YEAR(F1797)&lt;&gt;2026,"",INDEX({"Enero","Febrero","Marzo","Abril","Mayo","Junio","Julio","Agosto","Septiembre","Octubre","Noviembre","Diciembre"},MONTH(F1797))))</f>
        <v>Agosto</v>
      </c>
      <c r="N1797" s="18" t="str">
        <f t="shared" si="83"/>
        <v>Agosto|116</v>
      </c>
    </row>
    <row r="1798" spans="1:14" ht="14.5" x14ac:dyDescent="0.25">
      <c r="A1798" s="19">
        <v>34</v>
      </c>
      <c r="B1798" s="18" t="s">
        <v>41</v>
      </c>
      <c r="C1798" s="18" t="s">
        <v>95</v>
      </c>
      <c r="D1798" s="18" t="s">
        <v>1807</v>
      </c>
      <c r="E1798" s="18" t="s">
        <v>2350</v>
      </c>
      <c r="F1798" s="101">
        <v>46256.6875</v>
      </c>
      <c r="G1798" s="101">
        <v>46258.118055555555</v>
      </c>
      <c r="H1798" s="18" t="s">
        <v>507</v>
      </c>
      <c r="I1798" s="18" t="s">
        <v>508</v>
      </c>
      <c r="J1798" s="18"/>
      <c r="K1798" s="21">
        <f t="shared" si="81"/>
        <v>34.333333333313931</v>
      </c>
      <c r="L1798" s="19">
        <f t="shared" si="82"/>
        <v>116</v>
      </c>
      <c r="M1798" s="18" t="str">
        <f>IF(I1798&lt;&gt;"Sí","",IF(YEAR(F1798)&lt;&gt;2026,"",INDEX({"Enero","Febrero","Marzo","Abril","Mayo","Junio","Julio","Agosto","Septiembre","Octubre","Noviembre","Diciembre"},MONTH(F1798))))</f>
        <v>Agosto</v>
      </c>
      <c r="N1798" s="18" t="str">
        <f t="shared" si="83"/>
        <v>Agosto|116</v>
      </c>
    </row>
    <row r="1799" spans="1:14" ht="14.5" x14ac:dyDescent="0.25">
      <c r="A1799" s="19">
        <v>34</v>
      </c>
      <c r="B1799" s="18" t="s">
        <v>41</v>
      </c>
      <c r="C1799" s="18" t="s">
        <v>95</v>
      </c>
      <c r="D1799" s="18" t="s">
        <v>1807</v>
      </c>
      <c r="E1799" s="18" t="s">
        <v>2351</v>
      </c>
      <c r="F1799" s="101">
        <v>46256.6875</v>
      </c>
      <c r="G1799" s="101">
        <v>46258.118055555555</v>
      </c>
      <c r="H1799" s="18" t="s">
        <v>507</v>
      </c>
      <c r="I1799" s="18" t="s">
        <v>508</v>
      </c>
      <c r="J1799" s="18"/>
      <c r="K1799" s="21">
        <f t="shared" ref="K1799:K1862" si="84">IF(I1799="Sí",(G1799-F1799)*24,"")</f>
        <v>34.333333333313931</v>
      </c>
      <c r="L1799" s="19">
        <f t="shared" ref="L1799:L1862" si="85">IF(I1799="Sí",COUNTIFS($F$7:$F$4000,"&lt;="&amp;F1799,$G$7:$G$4000,"&gt;"&amp;F1799,$I$7:$I$4000,"Sí"),"")</f>
        <v>116</v>
      </c>
      <c r="M1799" s="18" t="str">
        <f>IF(I1799&lt;&gt;"Sí","",IF(YEAR(F1799)&lt;&gt;2026,"",INDEX({"Enero","Febrero","Marzo","Abril","Mayo","Junio","Julio","Agosto","Septiembre","Octubre","Noviembre","Diciembre"},MONTH(F1799))))</f>
        <v>Agosto</v>
      </c>
      <c r="N1799" s="18" t="str">
        <f t="shared" ref="N1799:N1862" si="86">IF(M1799="","",M1799&amp;"|"&amp;L1799)</f>
        <v>Agosto|116</v>
      </c>
    </row>
    <row r="1800" spans="1:14" ht="14.5" x14ac:dyDescent="0.25">
      <c r="A1800" s="19">
        <v>34</v>
      </c>
      <c r="B1800" s="18" t="s">
        <v>41</v>
      </c>
      <c r="C1800" s="18" t="s">
        <v>95</v>
      </c>
      <c r="D1800" s="18" t="s">
        <v>1807</v>
      </c>
      <c r="E1800" s="18" t="s">
        <v>2352</v>
      </c>
      <c r="F1800" s="101">
        <v>46256.6875</v>
      </c>
      <c r="G1800" s="101">
        <v>46258.118055555555</v>
      </c>
      <c r="H1800" s="18" t="s">
        <v>507</v>
      </c>
      <c r="I1800" s="18" t="s">
        <v>508</v>
      </c>
      <c r="J1800" s="18"/>
      <c r="K1800" s="21">
        <f t="shared" si="84"/>
        <v>34.333333333313931</v>
      </c>
      <c r="L1800" s="19">
        <f t="shared" si="85"/>
        <v>116</v>
      </c>
      <c r="M1800" s="18" t="str">
        <f>IF(I1800&lt;&gt;"Sí","",IF(YEAR(F1800)&lt;&gt;2026,"",INDEX({"Enero","Febrero","Marzo","Abril","Mayo","Junio","Julio","Agosto","Septiembre","Octubre","Noviembre","Diciembre"},MONTH(F1800))))</f>
        <v>Agosto</v>
      </c>
      <c r="N1800" s="18" t="str">
        <f t="shared" si="86"/>
        <v>Agosto|116</v>
      </c>
    </row>
    <row r="1801" spans="1:14" ht="14.5" x14ac:dyDescent="0.25">
      <c r="A1801" s="19">
        <v>34</v>
      </c>
      <c r="B1801" s="18" t="s">
        <v>41</v>
      </c>
      <c r="C1801" s="18" t="s">
        <v>95</v>
      </c>
      <c r="D1801" s="18" t="s">
        <v>1807</v>
      </c>
      <c r="E1801" s="18" t="s">
        <v>2353</v>
      </c>
      <c r="F1801" s="101">
        <v>46256.6875</v>
      </c>
      <c r="G1801" s="101">
        <v>46258.118055555555</v>
      </c>
      <c r="H1801" s="18" t="s">
        <v>507</v>
      </c>
      <c r="I1801" s="18" t="s">
        <v>508</v>
      </c>
      <c r="J1801" s="18"/>
      <c r="K1801" s="21">
        <f t="shared" si="84"/>
        <v>34.333333333313931</v>
      </c>
      <c r="L1801" s="19">
        <f t="shared" si="85"/>
        <v>116</v>
      </c>
      <c r="M1801" s="18" t="str">
        <f>IF(I1801&lt;&gt;"Sí","",IF(YEAR(F1801)&lt;&gt;2026,"",INDEX({"Enero","Febrero","Marzo","Abril","Mayo","Junio","Julio","Agosto","Septiembre","Octubre","Noviembre","Diciembre"},MONTH(F1801))))</f>
        <v>Agosto</v>
      </c>
      <c r="N1801" s="18" t="str">
        <f t="shared" si="86"/>
        <v>Agosto|116</v>
      </c>
    </row>
    <row r="1802" spans="1:14" ht="14.5" x14ac:dyDescent="0.25">
      <c r="A1802" s="19">
        <v>34</v>
      </c>
      <c r="B1802" s="18" t="s">
        <v>41</v>
      </c>
      <c r="C1802" s="18" t="s">
        <v>95</v>
      </c>
      <c r="D1802" s="18" t="s">
        <v>1807</v>
      </c>
      <c r="E1802" s="18" t="s">
        <v>2354</v>
      </c>
      <c r="F1802" s="101">
        <v>46256.6875</v>
      </c>
      <c r="G1802" s="101">
        <v>46258.052083333336</v>
      </c>
      <c r="H1802" s="18" t="s">
        <v>507</v>
      </c>
      <c r="I1802" s="18" t="s">
        <v>508</v>
      </c>
      <c r="J1802" s="18"/>
      <c r="K1802" s="21">
        <f t="shared" si="84"/>
        <v>32.750000000058208</v>
      </c>
      <c r="L1802" s="19">
        <f t="shared" si="85"/>
        <v>116</v>
      </c>
      <c r="M1802" s="18" t="str">
        <f>IF(I1802&lt;&gt;"Sí","",IF(YEAR(F1802)&lt;&gt;2026,"",INDEX({"Enero","Febrero","Marzo","Abril","Mayo","Junio","Julio","Agosto","Septiembre","Octubre","Noviembre","Diciembre"},MONTH(F1802))))</f>
        <v>Agosto</v>
      </c>
      <c r="N1802" s="18" t="str">
        <f t="shared" si="86"/>
        <v>Agosto|116</v>
      </c>
    </row>
    <row r="1803" spans="1:14" ht="14.5" x14ac:dyDescent="0.25">
      <c r="A1803" s="19">
        <v>34</v>
      </c>
      <c r="B1803" s="18" t="s">
        <v>41</v>
      </c>
      <c r="C1803" s="18" t="s">
        <v>95</v>
      </c>
      <c r="D1803" s="18" t="s">
        <v>1807</v>
      </c>
      <c r="E1803" s="18" t="s">
        <v>2355</v>
      </c>
      <c r="F1803" s="101">
        <v>46256.6875</v>
      </c>
      <c r="G1803" s="101">
        <v>46258.052083333336</v>
      </c>
      <c r="H1803" s="18" t="s">
        <v>507</v>
      </c>
      <c r="I1803" s="18" t="s">
        <v>508</v>
      </c>
      <c r="J1803" s="18"/>
      <c r="K1803" s="21">
        <f t="shared" si="84"/>
        <v>32.750000000058208</v>
      </c>
      <c r="L1803" s="19">
        <f t="shared" si="85"/>
        <v>116</v>
      </c>
      <c r="M1803" s="18" t="str">
        <f>IF(I1803&lt;&gt;"Sí","",IF(YEAR(F1803)&lt;&gt;2026,"",INDEX({"Enero","Febrero","Marzo","Abril","Mayo","Junio","Julio","Agosto","Septiembre","Octubre","Noviembre","Diciembre"},MONTH(F1803))))</f>
        <v>Agosto</v>
      </c>
      <c r="N1803" s="18" t="str">
        <f t="shared" si="86"/>
        <v>Agosto|116</v>
      </c>
    </row>
    <row r="1804" spans="1:14" ht="14.5" x14ac:dyDescent="0.25">
      <c r="A1804" s="19">
        <v>34</v>
      </c>
      <c r="B1804" s="18" t="s">
        <v>41</v>
      </c>
      <c r="C1804" s="18" t="s">
        <v>95</v>
      </c>
      <c r="D1804" s="18" t="s">
        <v>1807</v>
      </c>
      <c r="E1804" s="18" t="s">
        <v>2356</v>
      </c>
      <c r="F1804" s="101">
        <v>46256.6875</v>
      </c>
      <c r="G1804" s="101">
        <v>46258.02847222222</v>
      </c>
      <c r="H1804" s="18" t="s">
        <v>507</v>
      </c>
      <c r="I1804" s="18" t="s">
        <v>508</v>
      </c>
      <c r="J1804" s="18"/>
      <c r="K1804" s="21">
        <f t="shared" si="84"/>
        <v>32.183333333290648</v>
      </c>
      <c r="L1804" s="19">
        <f t="shared" si="85"/>
        <v>116</v>
      </c>
      <c r="M1804" s="18" t="str">
        <f>IF(I1804&lt;&gt;"Sí","",IF(YEAR(F1804)&lt;&gt;2026,"",INDEX({"Enero","Febrero","Marzo","Abril","Mayo","Junio","Julio","Agosto","Septiembre","Octubre","Noviembre","Diciembre"},MONTH(F1804))))</f>
        <v>Agosto</v>
      </c>
      <c r="N1804" s="18" t="str">
        <f t="shared" si="86"/>
        <v>Agosto|116</v>
      </c>
    </row>
    <row r="1805" spans="1:14" ht="14.5" x14ac:dyDescent="0.25">
      <c r="A1805" s="19">
        <v>34</v>
      </c>
      <c r="B1805" s="18" t="s">
        <v>41</v>
      </c>
      <c r="C1805" s="18" t="s">
        <v>95</v>
      </c>
      <c r="D1805" s="18" t="s">
        <v>1807</v>
      </c>
      <c r="E1805" s="18" t="s">
        <v>2357</v>
      </c>
      <c r="F1805" s="101">
        <v>46256.6875</v>
      </c>
      <c r="G1805" s="101">
        <v>46258.052083333336</v>
      </c>
      <c r="H1805" s="18" t="s">
        <v>507</v>
      </c>
      <c r="I1805" s="18" t="s">
        <v>508</v>
      </c>
      <c r="J1805" s="18"/>
      <c r="K1805" s="21">
        <f t="shared" si="84"/>
        <v>32.750000000058208</v>
      </c>
      <c r="L1805" s="19">
        <f t="shared" si="85"/>
        <v>116</v>
      </c>
      <c r="M1805" s="18" t="str">
        <f>IF(I1805&lt;&gt;"Sí","",IF(YEAR(F1805)&lt;&gt;2026,"",INDEX({"Enero","Febrero","Marzo","Abril","Mayo","Junio","Julio","Agosto","Septiembre","Octubre","Noviembre","Diciembre"},MONTH(F1805))))</f>
        <v>Agosto</v>
      </c>
      <c r="N1805" s="18" t="str">
        <f t="shared" si="86"/>
        <v>Agosto|116</v>
      </c>
    </row>
    <row r="1806" spans="1:14" ht="14.5" x14ac:dyDescent="0.25">
      <c r="A1806" s="19">
        <v>34</v>
      </c>
      <c r="B1806" s="18" t="s">
        <v>41</v>
      </c>
      <c r="C1806" s="18" t="s">
        <v>95</v>
      </c>
      <c r="D1806" s="18" t="s">
        <v>1807</v>
      </c>
      <c r="E1806" s="18" t="s">
        <v>2358</v>
      </c>
      <c r="F1806" s="101">
        <v>46256.6875</v>
      </c>
      <c r="G1806" s="101">
        <v>46258.052083333336</v>
      </c>
      <c r="H1806" s="18" t="s">
        <v>507</v>
      </c>
      <c r="I1806" s="18" t="s">
        <v>508</v>
      </c>
      <c r="J1806" s="18"/>
      <c r="K1806" s="21">
        <f t="shared" si="84"/>
        <v>32.750000000058208</v>
      </c>
      <c r="L1806" s="19">
        <f t="shared" si="85"/>
        <v>116</v>
      </c>
      <c r="M1806" s="18" t="str">
        <f>IF(I1806&lt;&gt;"Sí","",IF(YEAR(F1806)&lt;&gt;2026,"",INDEX({"Enero","Febrero","Marzo","Abril","Mayo","Junio","Julio","Agosto","Septiembre","Octubre","Noviembre","Diciembre"},MONTH(F1806))))</f>
        <v>Agosto</v>
      </c>
      <c r="N1806" s="18" t="str">
        <f t="shared" si="86"/>
        <v>Agosto|116</v>
      </c>
    </row>
    <row r="1807" spans="1:14" ht="14.5" x14ac:dyDescent="0.25">
      <c r="A1807" s="19">
        <v>34</v>
      </c>
      <c r="B1807" s="18" t="s">
        <v>41</v>
      </c>
      <c r="C1807" s="18" t="s">
        <v>95</v>
      </c>
      <c r="D1807" s="18" t="s">
        <v>1807</v>
      </c>
      <c r="E1807" s="18" t="s">
        <v>2359</v>
      </c>
      <c r="F1807" s="101">
        <v>46256.6875</v>
      </c>
      <c r="G1807" s="101">
        <v>46258.052083333336</v>
      </c>
      <c r="H1807" s="18" t="s">
        <v>507</v>
      </c>
      <c r="I1807" s="18" t="s">
        <v>508</v>
      </c>
      <c r="J1807" s="18"/>
      <c r="K1807" s="21">
        <f t="shared" si="84"/>
        <v>32.750000000058208</v>
      </c>
      <c r="L1807" s="19">
        <f t="shared" si="85"/>
        <v>116</v>
      </c>
      <c r="M1807" s="18" t="str">
        <f>IF(I1807&lt;&gt;"Sí","",IF(YEAR(F1807)&lt;&gt;2026,"",INDEX({"Enero","Febrero","Marzo","Abril","Mayo","Junio","Julio","Agosto","Septiembre","Octubre","Noviembre","Diciembre"},MONTH(F1807))))</f>
        <v>Agosto</v>
      </c>
      <c r="N1807" s="18" t="str">
        <f t="shared" si="86"/>
        <v>Agosto|116</v>
      </c>
    </row>
    <row r="1808" spans="1:14" ht="14.5" x14ac:dyDescent="0.25">
      <c r="A1808" s="19">
        <v>34</v>
      </c>
      <c r="B1808" s="18" t="s">
        <v>41</v>
      </c>
      <c r="C1808" s="18" t="s">
        <v>95</v>
      </c>
      <c r="D1808" s="18" t="s">
        <v>1807</v>
      </c>
      <c r="E1808" s="18" t="s">
        <v>2360</v>
      </c>
      <c r="F1808" s="101">
        <v>46256.6875</v>
      </c>
      <c r="G1808" s="101">
        <v>46258.052083333336</v>
      </c>
      <c r="H1808" s="18" t="s">
        <v>507</v>
      </c>
      <c r="I1808" s="18" t="s">
        <v>508</v>
      </c>
      <c r="J1808" s="18"/>
      <c r="K1808" s="21">
        <f t="shared" si="84"/>
        <v>32.750000000058208</v>
      </c>
      <c r="L1808" s="19">
        <f t="shared" si="85"/>
        <v>116</v>
      </c>
      <c r="M1808" s="18" t="str">
        <f>IF(I1808&lt;&gt;"Sí","",IF(YEAR(F1808)&lt;&gt;2026,"",INDEX({"Enero","Febrero","Marzo","Abril","Mayo","Junio","Julio","Agosto","Septiembre","Octubre","Noviembre","Diciembre"},MONTH(F1808))))</f>
        <v>Agosto</v>
      </c>
      <c r="N1808" s="18" t="str">
        <f t="shared" si="86"/>
        <v>Agosto|116</v>
      </c>
    </row>
    <row r="1809" spans="1:14" ht="14.5" x14ac:dyDescent="0.25">
      <c r="A1809" s="19">
        <v>34</v>
      </c>
      <c r="B1809" s="18" t="s">
        <v>41</v>
      </c>
      <c r="C1809" s="18" t="s">
        <v>95</v>
      </c>
      <c r="D1809" s="18" t="s">
        <v>1807</v>
      </c>
      <c r="E1809" s="18" t="s">
        <v>2361</v>
      </c>
      <c r="F1809" s="101">
        <v>46256.6875</v>
      </c>
      <c r="G1809" s="101">
        <v>46258.052083333336</v>
      </c>
      <c r="H1809" s="18" t="s">
        <v>507</v>
      </c>
      <c r="I1809" s="18" t="s">
        <v>508</v>
      </c>
      <c r="J1809" s="18"/>
      <c r="K1809" s="21">
        <f t="shared" si="84"/>
        <v>32.750000000058208</v>
      </c>
      <c r="L1809" s="19">
        <f t="shared" si="85"/>
        <v>116</v>
      </c>
      <c r="M1809" s="18" t="str">
        <f>IF(I1809&lt;&gt;"Sí","",IF(YEAR(F1809)&lt;&gt;2026,"",INDEX({"Enero","Febrero","Marzo","Abril","Mayo","Junio","Julio","Agosto","Septiembre","Octubre","Noviembre","Diciembre"},MONTH(F1809))))</f>
        <v>Agosto</v>
      </c>
      <c r="N1809" s="18" t="str">
        <f t="shared" si="86"/>
        <v>Agosto|116</v>
      </c>
    </row>
    <row r="1810" spans="1:14" ht="14.5" x14ac:dyDescent="0.25">
      <c r="A1810" s="19">
        <v>34</v>
      </c>
      <c r="B1810" s="18" t="s">
        <v>41</v>
      </c>
      <c r="C1810" s="18" t="s">
        <v>95</v>
      </c>
      <c r="D1810" s="18" t="s">
        <v>1807</v>
      </c>
      <c r="E1810" s="18" t="s">
        <v>2362</v>
      </c>
      <c r="F1810" s="101">
        <v>46256.6875</v>
      </c>
      <c r="G1810" s="101">
        <v>46258.052083333336</v>
      </c>
      <c r="H1810" s="18" t="s">
        <v>507</v>
      </c>
      <c r="I1810" s="18" t="s">
        <v>508</v>
      </c>
      <c r="J1810" s="18"/>
      <c r="K1810" s="21">
        <f t="shared" si="84"/>
        <v>32.750000000058208</v>
      </c>
      <c r="L1810" s="19">
        <f t="shared" si="85"/>
        <v>116</v>
      </c>
      <c r="M1810" s="18" t="str">
        <f>IF(I1810&lt;&gt;"Sí","",IF(YEAR(F1810)&lt;&gt;2026,"",INDEX({"Enero","Febrero","Marzo","Abril","Mayo","Junio","Julio","Agosto","Septiembre","Octubre","Noviembre","Diciembre"},MONTH(F1810))))</f>
        <v>Agosto</v>
      </c>
      <c r="N1810" s="18" t="str">
        <f t="shared" si="86"/>
        <v>Agosto|116</v>
      </c>
    </row>
    <row r="1811" spans="1:14" ht="14.5" x14ac:dyDescent="0.25">
      <c r="A1811" s="19">
        <v>34</v>
      </c>
      <c r="B1811" s="18" t="s">
        <v>41</v>
      </c>
      <c r="C1811" s="18" t="s">
        <v>95</v>
      </c>
      <c r="D1811" s="18" t="s">
        <v>1807</v>
      </c>
      <c r="E1811" s="18" t="s">
        <v>2363</v>
      </c>
      <c r="F1811" s="101">
        <v>46256.6875</v>
      </c>
      <c r="G1811" s="101">
        <v>46258.052083333336</v>
      </c>
      <c r="H1811" s="18" t="s">
        <v>507</v>
      </c>
      <c r="I1811" s="18" t="s">
        <v>508</v>
      </c>
      <c r="J1811" s="18"/>
      <c r="K1811" s="21">
        <f t="shared" si="84"/>
        <v>32.750000000058208</v>
      </c>
      <c r="L1811" s="19">
        <f t="shared" si="85"/>
        <v>116</v>
      </c>
      <c r="M1811" s="18" t="str">
        <f>IF(I1811&lt;&gt;"Sí","",IF(YEAR(F1811)&lt;&gt;2026,"",INDEX({"Enero","Febrero","Marzo","Abril","Mayo","Junio","Julio","Agosto","Septiembre","Octubre","Noviembre","Diciembre"},MONTH(F1811))))</f>
        <v>Agosto</v>
      </c>
      <c r="N1811" s="18" t="str">
        <f t="shared" si="86"/>
        <v>Agosto|116</v>
      </c>
    </row>
    <row r="1812" spans="1:14" ht="14.5" x14ac:dyDescent="0.25">
      <c r="A1812" s="19">
        <v>34</v>
      </c>
      <c r="B1812" s="18" t="s">
        <v>41</v>
      </c>
      <c r="C1812" s="18" t="s">
        <v>95</v>
      </c>
      <c r="D1812" s="18" t="s">
        <v>1807</v>
      </c>
      <c r="E1812" s="18" t="s">
        <v>2364</v>
      </c>
      <c r="F1812" s="101">
        <v>46256.6875</v>
      </c>
      <c r="G1812" s="101">
        <v>46258.052083333336</v>
      </c>
      <c r="H1812" s="18" t="s">
        <v>507</v>
      </c>
      <c r="I1812" s="18" t="s">
        <v>508</v>
      </c>
      <c r="J1812" s="18"/>
      <c r="K1812" s="21">
        <f t="shared" si="84"/>
        <v>32.750000000058208</v>
      </c>
      <c r="L1812" s="19">
        <f t="shared" si="85"/>
        <v>116</v>
      </c>
      <c r="M1812" s="18" t="str">
        <f>IF(I1812&lt;&gt;"Sí","",IF(YEAR(F1812)&lt;&gt;2026,"",INDEX({"Enero","Febrero","Marzo","Abril","Mayo","Junio","Julio","Agosto","Septiembre","Octubre","Noviembre","Diciembre"},MONTH(F1812))))</f>
        <v>Agosto</v>
      </c>
      <c r="N1812" s="18" t="str">
        <f t="shared" si="86"/>
        <v>Agosto|116</v>
      </c>
    </row>
    <row r="1813" spans="1:14" ht="14.5" x14ac:dyDescent="0.25">
      <c r="A1813" s="19">
        <v>34</v>
      </c>
      <c r="B1813" s="18" t="s">
        <v>41</v>
      </c>
      <c r="C1813" s="18" t="s">
        <v>95</v>
      </c>
      <c r="D1813" s="18" t="s">
        <v>1807</v>
      </c>
      <c r="E1813" s="18" t="s">
        <v>2365</v>
      </c>
      <c r="F1813" s="101">
        <v>46256.6875</v>
      </c>
      <c r="G1813" s="101">
        <v>46258.541666666664</v>
      </c>
      <c r="H1813" s="18" t="s">
        <v>507</v>
      </c>
      <c r="I1813" s="18" t="s">
        <v>508</v>
      </c>
      <c r="J1813" s="18"/>
      <c r="K1813" s="21">
        <f t="shared" si="84"/>
        <v>44.499999999941792</v>
      </c>
      <c r="L1813" s="19">
        <f t="shared" si="85"/>
        <v>116</v>
      </c>
      <c r="M1813" s="18" t="str">
        <f>IF(I1813&lt;&gt;"Sí","",IF(YEAR(F1813)&lt;&gt;2026,"",INDEX({"Enero","Febrero","Marzo","Abril","Mayo","Junio","Julio","Agosto","Septiembre","Octubre","Noviembre","Diciembre"},MONTH(F1813))))</f>
        <v>Agosto</v>
      </c>
      <c r="N1813" s="18" t="str">
        <f t="shared" si="86"/>
        <v>Agosto|116</v>
      </c>
    </row>
    <row r="1814" spans="1:14" ht="14.5" x14ac:dyDescent="0.25">
      <c r="A1814" s="19">
        <v>34</v>
      </c>
      <c r="B1814" s="18" t="s">
        <v>41</v>
      </c>
      <c r="C1814" s="18" t="s">
        <v>95</v>
      </c>
      <c r="D1814" s="18" t="s">
        <v>1807</v>
      </c>
      <c r="E1814" s="18" t="s">
        <v>2366</v>
      </c>
      <c r="F1814" s="101">
        <v>46256.6875</v>
      </c>
      <c r="G1814" s="101">
        <v>46258.930555555555</v>
      </c>
      <c r="H1814" s="18" t="s">
        <v>507</v>
      </c>
      <c r="I1814" s="18" t="s">
        <v>508</v>
      </c>
      <c r="J1814" s="18"/>
      <c r="K1814" s="21">
        <f t="shared" si="84"/>
        <v>53.833333333313931</v>
      </c>
      <c r="L1814" s="19">
        <f t="shared" si="85"/>
        <v>116</v>
      </c>
      <c r="M1814" s="18" t="str">
        <f>IF(I1814&lt;&gt;"Sí","",IF(YEAR(F1814)&lt;&gt;2026,"",INDEX({"Enero","Febrero","Marzo","Abril","Mayo","Junio","Julio","Agosto","Septiembre","Octubre","Noviembre","Diciembre"},MONTH(F1814))))</f>
        <v>Agosto</v>
      </c>
      <c r="N1814" s="18" t="str">
        <f t="shared" si="86"/>
        <v>Agosto|116</v>
      </c>
    </row>
    <row r="1815" spans="1:14" ht="14.5" x14ac:dyDescent="0.25">
      <c r="A1815" s="19">
        <v>34</v>
      </c>
      <c r="B1815" s="18" t="s">
        <v>41</v>
      </c>
      <c r="C1815" s="18" t="s">
        <v>95</v>
      </c>
      <c r="D1815" s="18" t="s">
        <v>1807</v>
      </c>
      <c r="E1815" s="18" t="s">
        <v>2367</v>
      </c>
      <c r="F1815" s="101">
        <v>46256.6875</v>
      </c>
      <c r="G1815" s="101">
        <v>46258.930555555555</v>
      </c>
      <c r="H1815" s="18" t="s">
        <v>507</v>
      </c>
      <c r="I1815" s="18" t="s">
        <v>508</v>
      </c>
      <c r="J1815" s="18"/>
      <c r="K1815" s="21">
        <f t="shared" si="84"/>
        <v>53.833333333313931</v>
      </c>
      <c r="L1815" s="19">
        <f t="shared" si="85"/>
        <v>116</v>
      </c>
      <c r="M1815" s="18" t="str">
        <f>IF(I1815&lt;&gt;"Sí","",IF(YEAR(F1815)&lt;&gt;2026,"",INDEX({"Enero","Febrero","Marzo","Abril","Mayo","Junio","Julio","Agosto","Septiembre","Octubre","Noviembre","Diciembre"},MONTH(F1815))))</f>
        <v>Agosto</v>
      </c>
      <c r="N1815" s="18" t="str">
        <f t="shared" si="86"/>
        <v>Agosto|116</v>
      </c>
    </row>
    <row r="1816" spans="1:14" ht="14.5" x14ac:dyDescent="0.25">
      <c r="A1816" s="19">
        <v>34</v>
      </c>
      <c r="B1816" s="18" t="s">
        <v>41</v>
      </c>
      <c r="C1816" s="18" t="s">
        <v>95</v>
      </c>
      <c r="D1816" s="18" t="s">
        <v>1807</v>
      </c>
      <c r="E1816" s="18" t="s">
        <v>2368</v>
      </c>
      <c r="F1816" s="101">
        <v>46256.6875</v>
      </c>
      <c r="G1816" s="101">
        <v>46258.930555555555</v>
      </c>
      <c r="H1816" s="18" t="s">
        <v>507</v>
      </c>
      <c r="I1816" s="18" t="s">
        <v>508</v>
      </c>
      <c r="J1816" s="18"/>
      <c r="K1816" s="21">
        <f t="shared" si="84"/>
        <v>53.833333333313931</v>
      </c>
      <c r="L1816" s="19">
        <f t="shared" si="85"/>
        <v>116</v>
      </c>
      <c r="M1816" s="18" t="str">
        <f>IF(I1816&lt;&gt;"Sí","",IF(YEAR(F1816)&lt;&gt;2026,"",INDEX({"Enero","Febrero","Marzo","Abril","Mayo","Junio","Julio","Agosto","Septiembre","Octubre","Noviembre","Diciembre"},MONTH(F1816))))</f>
        <v>Agosto</v>
      </c>
      <c r="N1816" s="18" t="str">
        <f t="shared" si="86"/>
        <v>Agosto|116</v>
      </c>
    </row>
    <row r="1817" spans="1:14" ht="14.5" x14ac:dyDescent="0.25">
      <c r="A1817" s="19">
        <v>34</v>
      </c>
      <c r="B1817" s="18" t="s">
        <v>41</v>
      </c>
      <c r="C1817" s="18" t="s">
        <v>95</v>
      </c>
      <c r="D1817" s="18" t="s">
        <v>1807</v>
      </c>
      <c r="E1817" s="18" t="s">
        <v>2369</v>
      </c>
      <c r="F1817" s="101">
        <v>46256.6875</v>
      </c>
      <c r="G1817" s="101">
        <v>46258.930555555555</v>
      </c>
      <c r="H1817" s="18" t="s">
        <v>507</v>
      </c>
      <c r="I1817" s="18" t="s">
        <v>508</v>
      </c>
      <c r="J1817" s="18"/>
      <c r="K1817" s="21">
        <f t="shared" si="84"/>
        <v>53.833333333313931</v>
      </c>
      <c r="L1817" s="19">
        <f t="shared" si="85"/>
        <v>116</v>
      </c>
      <c r="M1817" s="18" t="str">
        <f>IF(I1817&lt;&gt;"Sí","",IF(YEAR(F1817)&lt;&gt;2026,"",INDEX({"Enero","Febrero","Marzo","Abril","Mayo","Junio","Julio","Agosto","Septiembre","Octubre","Noviembre","Diciembre"},MONTH(F1817))))</f>
        <v>Agosto</v>
      </c>
      <c r="N1817" s="18" t="str">
        <f t="shared" si="86"/>
        <v>Agosto|116</v>
      </c>
    </row>
    <row r="1818" spans="1:14" ht="14.5" x14ac:dyDescent="0.25">
      <c r="A1818" s="19">
        <v>34</v>
      </c>
      <c r="B1818" s="18" t="s">
        <v>41</v>
      </c>
      <c r="C1818" s="18" t="s">
        <v>95</v>
      </c>
      <c r="D1818" s="18" t="s">
        <v>1807</v>
      </c>
      <c r="E1818" s="18" t="s">
        <v>2370</v>
      </c>
      <c r="F1818" s="101">
        <v>46256.6875</v>
      </c>
      <c r="G1818" s="101">
        <v>46258.930555555555</v>
      </c>
      <c r="H1818" s="18" t="s">
        <v>507</v>
      </c>
      <c r="I1818" s="18" t="s">
        <v>508</v>
      </c>
      <c r="J1818" s="18"/>
      <c r="K1818" s="21">
        <f t="shared" si="84"/>
        <v>53.833333333313931</v>
      </c>
      <c r="L1818" s="19">
        <f t="shared" si="85"/>
        <v>116</v>
      </c>
      <c r="M1818" s="18" t="str">
        <f>IF(I1818&lt;&gt;"Sí","",IF(YEAR(F1818)&lt;&gt;2026,"",INDEX({"Enero","Febrero","Marzo","Abril","Mayo","Junio","Julio","Agosto","Septiembre","Octubre","Noviembre","Diciembre"},MONTH(F1818))))</f>
        <v>Agosto</v>
      </c>
      <c r="N1818" s="18" t="str">
        <f t="shared" si="86"/>
        <v>Agosto|116</v>
      </c>
    </row>
    <row r="1819" spans="1:14" ht="14.5" x14ac:dyDescent="0.25">
      <c r="A1819" s="19">
        <v>34</v>
      </c>
      <c r="B1819" s="18" t="s">
        <v>41</v>
      </c>
      <c r="C1819" s="18" t="s">
        <v>95</v>
      </c>
      <c r="D1819" s="18" t="s">
        <v>1807</v>
      </c>
      <c r="E1819" s="18" t="s">
        <v>2371</v>
      </c>
      <c r="F1819" s="101">
        <v>46256.6875</v>
      </c>
      <c r="G1819" s="101">
        <v>46258.930555555555</v>
      </c>
      <c r="H1819" s="18" t="s">
        <v>507</v>
      </c>
      <c r="I1819" s="18" t="s">
        <v>508</v>
      </c>
      <c r="J1819" s="18"/>
      <c r="K1819" s="21">
        <f t="shared" si="84"/>
        <v>53.833333333313931</v>
      </c>
      <c r="L1819" s="19">
        <f t="shared" si="85"/>
        <v>116</v>
      </c>
      <c r="M1819" s="18" t="str">
        <f>IF(I1819&lt;&gt;"Sí","",IF(YEAR(F1819)&lt;&gt;2026,"",INDEX({"Enero","Febrero","Marzo","Abril","Mayo","Junio","Julio","Agosto","Septiembre","Octubre","Noviembre","Diciembre"},MONTH(F1819))))</f>
        <v>Agosto</v>
      </c>
      <c r="N1819" s="18" t="str">
        <f t="shared" si="86"/>
        <v>Agosto|116</v>
      </c>
    </row>
    <row r="1820" spans="1:14" ht="14.5" x14ac:dyDescent="0.25">
      <c r="A1820" s="19">
        <v>34</v>
      </c>
      <c r="B1820" s="18" t="s">
        <v>41</v>
      </c>
      <c r="C1820" s="18" t="s">
        <v>95</v>
      </c>
      <c r="D1820" s="18" t="s">
        <v>1807</v>
      </c>
      <c r="E1820" s="18" t="s">
        <v>2372</v>
      </c>
      <c r="F1820" s="101">
        <v>46256.6875</v>
      </c>
      <c r="G1820" s="101">
        <v>46258.930555555555</v>
      </c>
      <c r="H1820" s="18" t="s">
        <v>507</v>
      </c>
      <c r="I1820" s="18" t="s">
        <v>508</v>
      </c>
      <c r="J1820" s="18"/>
      <c r="K1820" s="21">
        <f t="shared" si="84"/>
        <v>53.833333333313931</v>
      </c>
      <c r="L1820" s="19">
        <f t="shared" si="85"/>
        <v>116</v>
      </c>
      <c r="M1820" s="18" t="str">
        <f>IF(I1820&lt;&gt;"Sí","",IF(YEAR(F1820)&lt;&gt;2026,"",INDEX({"Enero","Febrero","Marzo","Abril","Mayo","Junio","Julio","Agosto","Septiembre","Octubre","Noviembre","Diciembre"},MONTH(F1820))))</f>
        <v>Agosto</v>
      </c>
      <c r="N1820" s="18" t="str">
        <f t="shared" si="86"/>
        <v>Agosto|116</v>
      </c>
    </row>
    <row r="1821" spans="1:14" ht="14.5" x14ac:dyDescent="0.25">
      <c r="A1821" s="19">
        <v>34</v>
      </c>
      <c r="B1821" s="18" t="s">
        <v>41</v>
      </c>
      <c r="C1821" s="18" t="s">
        <v>95</v>
      </c>
      <c r="D1821" s="18" t="s">
        <v>1807</v>
      </c>
      <c r="E1821" s="18" t="s">
        <v>2373</v>
      </c>
      <c r="F1821" s="101">
        <v>46256.6875</v>
      </c>
      <c r="G1821" s="101">
        <v>46258.930555555555</v>
      </c>
      <c r="H1821" s="18" t="s">
        <v>507</v>
      </c>
      <c r="I1821" s="18" t="s">
        <v>508</v>
      </c>
      <c r="J1821" s="18"/>
      <c r="K1821" s="21">
        <f t="shared" si="84"/>
        <v>53.833333333313931</v>
      </c>
      <c r="L1821" s="19">
        <f t="shared" si="85"/>
        <v>116</v>
      </c>
      <c r="M1821" s="18" t="str">
        <f>IF(I1821&lt;&gt;"Sí","",IF(YEAR(F1821)&lt;&gt;2026,"",INDEX({"Enero","Febrero","Marzo","Abril","Mayo","Junio","Julio","Agosto","Septiembre","Octubre","Noviembre","Diciembre"},MONTH(F1821))))</f>
        <v>Agosto</v>
      </c>
      <c r="N1821" s="18" t="str">
        <f t="shared" si="86"/>
        <v>Agosto|116</v>
      </c>
    </row>
    <row r="1822" spans="1:14" ht="14.5" x14ac:dyDescent="0.25">
      <c r="A1822" s="19">
        <v>34</v>
      </c>
      <c r="B1822" s="18" t="s">
        <v>41</v>
      </c>
      <c r="C1822" s="18" t="s">
        <v>95</v>
      </c>
      <c r="D1822" s="18" t="s">
        <v>1807</v>
      </c>
      <c r="E1822" s="18" t="s">
        <v>2374</v>
      </c>
      <c r="F1822" s="101">
        <v>46256.6875</v>
      </c>
      <c r="G1822" s="101">
        <v>46258.930555555555</v>
      </c>
      <c r="H1822" s="18" t="s">
        <v>507</v>
      </c>
      <c r="I1822" s="18" t="s">
        <v>508</v>
      </c>
      <c r="J1822" s="18"/>
      <c r="K1822" s="21">
        <f t="shared" si="84"/>
        <v>53.833333333313931</v>
      </c>
      <c r="L1822" s="19">
        <f t="shared" si="85"/>
        <v>116</v>
      </c>
      <c r="M1822" s="18" t="str">
        <f>IF(I1822&lt;&gt;"Sí","",IF(YEAR(F1822)&lt;&gt;2026,"",INDEX({"Enero","Febrero","Marzo","Abril","Mayo","Junio","Julio","Agosto","Septiembre","Octubre","Noviembre","Diciembre"},MONTH(F1822))))</f>
        <v>Agosto</v>
      </c>
      <c r="N1822" s="18" t="str">
        <f t="shared" si="86"/>
        <v>Agosto|116</v>
      </c>
    </row>
    <row r="1823" spans="1:14" ht="14.5" x14ac:dyDescent="0.25">
      <c r="A1823" s="19">
        <v>34</v>
      </c>
      <c r="B1823" s="18" t="s">
        <v>41</v>
      </c>
      <c r="C1823" s="18" t="s">
        <v>95</v>
      </c>
      <c r="D1823" s="18" t="s">
        <v>1807</v>
      </c>
      <c r="E1823" s="18" t="s">
        <v>2375</v>
      </c>
      <c r="F1823" s="101">
        <v>46256.702777777777</v>
      </c>
      <c r="G1823" s="101">
        <v>46258.165972222225</v>
      </c>
      <c r="H1823" s="18" t="s">
        <v>507</v>
      </c>
      <c r="I1823" s="18" t="s">
        <v>508</v>
      </c>
      <c r="J1823" s="18"/>
      <c r="K1823" s="21">
        <f t="shared" si="84"/>
        <v>35.116666666755918</v>
      </c>
      <c r="L1823" s="19">
        <f t="shared" si="85"/>
        <v>117</v>
      </c>
      <c r="M1823" s="18" t="str">
        <f>IF(I1823&lt;&gt;"Sí","",IF(YEAR(F1823)&lt;&gt;2026,"",INDEX({"Enero","Febrero","Marzo","Abril","Mayo","Junio","Julio","Agosto","Septiembre","Octubre","Noviembre","Diciembre"},MONTH(F1823))))</f>
        <v>Agosto</v>
      </c>
      <c r="N1823" s="18" t="str">
        <f t="shared" si="86"/>
        <v>Agosto|117</v>
      </c>
    </row>
    <row r="1824" spans="1:14" ht="14.5" x14ac:dyDescent="0.25">
      <c r="A1824" s="19">
        <v>34</v>
      </c>
      <c r="B1824" s="18" t="s">
        <v>41</v>
      </c>
      <c r="C1824" s="18" t="s">
        <v>95</v>
      </c>
      <c r="D1824" s="18" t="s">
        <v>1807</v>
      </c>
      <c r="E1824" s="18" t="s">
        <v>2376</v>
      </c>
      <c r="F1824" s="101">
        <v>46256.703472222223</v>
      </c>
      <c r="G1824" s="101">
        <v>46258.165972222225</v>
      </c>
      <c r="H1824" s="18" t="s">
        <v>507</v>
      </c>
      <c r="I1824" s="18" t="s">
        <v>508</v>
      </c>
      <c r="J1824" s="18"/>
      <c r="K1824" s="21">
        <f t="shared" si="84"/>
        <v>35.100000000034925</v>
      </c>
      <c r="L1824" s="19">
        <f t="shared" si="85"/>
        <v>119</v>
      </c>
      <c r="M1824" s="18" t="str">
        <f>IF(I1824&lt;&gt;"Sí","",IF(YEAR(F1824)&lt;&gt;2026,"",INDEX({"Enero","Febrero","Marzo","Abril","Mayo","Junio","Julio","Agosto","Septiembre","Octubre","Noviembre","Diciembre"},MONTH(F1824))))</f>
        <v>Agosto</v>
      </c>
      <c r="N1824" s="18" t="str">
        <f t="shared" si="86"/>
        <v>Agosto|119</v>
      </c>
    </row>
    <row r="1825" spans="1:14" ht="14.5" x14ac:dyDescent="0.25">
      <c r="A1825" s="19">
        <v>34</v>
      </c>
      <c r="B1825" s="18" t="s">
        <v>41</v>
      </c>
      <c r="C1825" s="18" t="s">
        <v>95</v>
      </c>
      <c r="D1825" s="18" t="s">
        <v>1807</v>
      </c>
      <c r="E1825" s="18" t="s">
        <v>2376</v>
      </c>
      <c r="F1825" s="101">
        <v>46256.703472222223</v>
      </c>
      <c r="G1825" s="101">
        <v>46258.165972222225</v>
      </c>
      <c r="H1825" s="18" t="s">
        <v>507</v>
      </c>
      <c r="I1825" s="18" t="s">
        <v>555</v>
      </c>
      <c r="J1825" s="18" t="s">
        <v>2377</v>
      </c>
      <c r="K1825" s="21" t="str">
        <f t="shared" si="84"/>
        <v/>
      </c>
      <c r="L1825" s="19" t="str">
        <f t="shared" si="85"/>
        <v/>
      </c>
      <c r="M1825" s="18" t="str">
        <f>IF(I1825&lt;&gt;"Sí","",IF(YEAR(F1825)&lt;&gt;2026,"",INDEX({"Enero","Febrero","Marzo","Abril","Mayo","Junio","Julio","Agosto","Septiembre","Octubre","Noviembre","Diciembre"},MONTH(F1825))))</f>
        <v/>
      </c>
      <c r="N1825" s="18" t="str">
        <f t="shared" si="86"/>
        <v/>
      </c>
    </row>
    <row r="1826" spans="1:14" ht="14.5" x14ac:dyDescent="0.25">
      <c r="A1826" s="19">
        <v>34</v>
      </c>
      <c r="B1826" s="18" t="s">
        <v>41</v>
      </c>
      <c r="C1826" s="18" t="s">
        <v>95</v>
      </c>
      <c r="D1826" s="18" t="s">
        <v>1807</v>
      </c>
      <c r="E1826" s="18" t="s">
        <v>2378</v>
      </c>
      <c r="F1826" s="101">
        <v>46256.703472222223</v>
      </c>
      <c r="G1826" s="101">
        <v>46258.165972222225</v>
      </c>
      <c r="H1826" s="18" t="s">
        <v>507</v>
      </c>
      <c r="I1826" s="18" t="s">
        <v>508</v>
      </c>
      <c r="J1826" s="18"/>
      <c r="K1826" s="21">
        <f t="shared" si="84"/>
        <v>35.100000000034925</v>
      </c>
      <c r="L1826" s="19">
        <f t="shared" si="85"/>
        <v>119</v>
      </c>
      <c r="M1826" s="18" t="str">
        <f>IF(I1826&lt;&gt;"Sí","",IF(YEAR(F1826)&lt;&gt;2026,"",INDEX({"Enero","Febrero","Marzo","Abril","Mayo","Junio","Julio","Agosto","Septiembre","Octubre","Noviembre","Diciembre"},MONTH(F1826))))</f>
        <v>Agosto</v>
      </c>
      <c r="N1826" s="18" t="str">
        <f t="shared" si="86"/>
        <v>Agosto|119</v>
      </c>
    </row>
    <row r="1827" spans="1:14" ht="14.5" x14ac:dyDescent="0.25">
      <c r="A1827" s="19">
        <v>34</v>
      </c>
      <c r="B1827" s="18" t="s">
        <v>41</v>
      </c>
      <c r="C1827" s="18" t="s">
        <v>95</v>
      </c>
      <c r="D1827" s="18" t="s">
        <v>1807</v>
      </c>
      <c r="E1827" s="18" t="s">
        <v>2379</v>
      </c>
      <c r="F1827" s="101">
        <v>46256.706250000003</v>
      </c>
      <c r="G1827" s="101">
        <v>46258.165972222225</v>
      </c>
      <c r="H1827" s="18" t="s">
        <v>507</v>
      </c>
      <c r="I1827" s="18" t="s">
        <v>508</v>
      </c>
      <c r="J1827" s="18"/>
      <c r="K1827" s="21">
        <f t="shared" si="84"/>
        <v>35.033333333325572</v>
      </c>
      <c r="L1827" s="19">
        <f t="shared" si="85"/>
        <v>120</v>
      </c>
      <c r="M1827" s="18" t="str">
        <f>IF(I1827&lt;&gt;"Sí","",IF(YEAR(F1827)&lt;&gt;2026,"",INDEX({"Enero","Febrero","Marzo","Abril","Mayo","Junio","Julio","Agosto","Septiembre","Octubre","Noviembre","Diciembre"},MONTH(F1827))))</f>
        <v>Agosto</v>
      </c>
      <c r="N1827" s="18" t="str">
        <f t="shared" si="86"/>
        <v>Agosto|120</v>
      </c>
    </row>
    <row r="1828" spans="1:14" ht="14.5" x14ac:dyDescent="0.25">
      <c r="A1828" s="19">
        <v>34</v>
      </c>
      <c r="B1828" s="18" t="s">
        <v>41</v>
      </c>
      <c r="C1828" s="18" t="s">
        <v>95</v>
      </c>
      <c r="D1828" s="18" t="s">
        <v>1807</v>
      </c>
      <c r="E1828" s="18" t="s">
        <v>2380</v>
      </c>
      <c r="F1828" s="101">
        <v>46256.707638888889</v>
      </c>
      <c r="G1828" s="101">
        <v>46258.165972222225</v>
      </c>
      <c r="H1828" s="18" t="s">
        <v>507</v>
      </c>
      <c r="I1828" s="18" t="s">
        <v>508</v>
      </c>
      <c r="J1828" s="18"/>
      <c r="K1828" s="21">
        <f t="shared" si="84"/>
        <v>35.000000000058208</v>
      </c>
      <c r="L1828" s="19">
        <f t="shared" si="85"/>
        <v>121</v>
      </c>
      <c r="M1828" s="18" t="str">
        <f>IF(I1828&lt;&gt;"Sí","",IF(YEAR(F1828)&lt;&gt;2026,"",INDEX({"Enero","Febrero","Marzo","Abril","Mayo","Junio","Julio","Agosto","Septiembre","Octubre","Noviembre","Diciembre"},MONTH(F1828))))</f>
        <v>Agosto</v>
      </c>
      <c r="N1828" s="18" t="str">
        <f t="shared" si="86"/>
        <v>Agosto|121</v>
      </c>
    </row>
    <row r="1829" spans="1:14" ht="14.5" x14ac:dyDescent="0.25">
      <c r="A1829" s="19">
        <v>34</v>
      </c>
      <c r="B1829" s="18" t="s">
        <v>41</v>
      </c>
      <c r="C1829" s="18" t="s">
        <v>95</v>
      </c>
      <c r="D1829" s="18" t="s">
        <v>1807</v>
      </c>
      <c r="E1829" s="18" t="s">
        <v>2381</v>
      </c>
      <c r="F1829" s="101">
        <v>46256.711805555555</v>
      </c>
      <c r="G1829" s="101">
        <v>46258.165972222225</v>
      </c>
      <c r="H1829" s="18" t="s">
        <v>507</v>
      </c>
      <c r="I1829" s="18" t="s">
        <v>508</v>
      </c>
      <c r="J1829" s="18"/>
      <c r="K1829" s="21">
        <f t="shared" si="84"/>
        <v>34.900000000081491</v>
      </c>
      <c r="L1829" s="19">
        <f t="shared" si="85"/>
        <v>122</v>
      </c>
      <c r="M1829" s="18" t="str">
        <f>IF(I1829&lt;&gt;"Sí","",IF(YEAR(F1829)&lt;&gt;2026,"",INDEX({"Enero","Febrero","Marzo","Abril","Mayo","Junio","Julio","Agosto","Septiembre","Octubre","Noviembre","Diciembre"},MONTH(F1829))))</f>
        <v>Agosto</v>
      </c>
      <c r="N1829" s="18" t="str">
        <f t="shared" si="86"/>
        <v>Agosto|122</v>
      </c>
    </row>
    <row r="1830" spans="1:14" ht="14.5" x14ac:dyDescent="0.25">
      <c r="A1830" s="19">
        <v>34</v>
      </c>
      <c r="B1830" s="18" t="s">
        <v>41</v>
      </c>
      <c r="C1830" s="18" t="s">
        <v>95</v>
      </c>
      <c r="D1830" s="18" t="s">
        <v>1807</v>
      </c>
      <c r="E1830" s="18" t="s">
        <v>2382</v>
      </c>
      <c r="F1830" s="101">
        <v>46256.713194444441</v>
      </c>
      <c r="G1830" s="101">
        <v>46258.165972222225</v>
      </c>
      <c r="H1830" s="18" t="s">
        <v>507</v>
      </c>
      <c r="I1830" s="18" t="s">
        <v>508</v>
      </c>
      <c r="J1830" s="18"/>
      <c r="K1830" s="21">
        <f t="shared" si="84"/>
        <v>34.866666666814126</v>
      </c>
      <c r="L1830" s="19">
        <f t="shared" si="85"/>
        <v>123</v>
      </c>
      <c r="M1830" s="18" t="str">
        <f>IF(I1830&lt;&gt;"Sí","",IF(YEAR(F1830)&lt;&gt;2026,"",INDEX({"Enero","Febrero","Marzo","Abril","Mayo","Junio","Julio","Agosto","Septiembre","Octubre","Noviembre","Diciembre"},MONTH(F1830))))</f>
        <v>Agosto</v>
      </c>
      <c r="N1830" s="18" t="str">
        <f t="shared" si="86"/>
        <v>Agosto|123</v>
      </c>
    </row>
    <row r="1831" spans="1:14" ht="14.5" x14ac:dyDescent="0.25">
      <c r="A1831" s="19">
        <v>34</v>
      </c>
      <c r="B1831" s="18" t="s">
        <v>41</v>
      </c>
      <c r="C1831" s="18" t="s">
        <v>95</v>
      </c>
      <c r="D1831" s="18" t="s">
        <v>1807</v>
      </c>
      <c r="E1831" s="18" t="s">
        <v>2383</v>
      </c>
      <c r="F1831" s="101">
        <v>46256.714583333334</v>
      </c>
      <c r="G1831" s="101">
        <v>46258.165972222225</v>
      </c>
      <c r="H1831" s="18" t="s">
        <v>507</v>
      </c>
      <c r="I1831" s="18" t="s">
        <v>508</v>
      </c>
      <c r="J1831" s="18"/>
      <c r="K1831" s="21">
        <f t="shared" si="84"/>
        <v>34.833333333372138</v>
      </c>
      <c r="L1831" s="19">
        <f t="shared" si="85"/>
        <v>124</v>
      </c>
      <c r="M1831" s="18" t="str">
        <f>IF(I1831&lt;&gt;"Sí","",IF(YEAR(F1831)&lt;&gt;2026,"",INDEX({"Enero","Febrero","Marzo","Abril","Mayo","Junio","Julio","Agosto","Septiembre","Octubre","Noviembre","Diciembre"},MONTH(F1831))))</f>
        <v>Agosto</v>
      </c>
      <c r="N1831" s="18" t="str">
        <f t="shared" si="86"/>
        <v>Agosto|124</v>
      </c>
    </row>
    <row r="1832" spans="1:14" ht="14.5" x14ac:dyDescent="0.25">
      <c r="A1832" s="19">
        <v>34</v>
      </c>
      <c r="B1832" s="18" t="s">
        <v>41</v>
      </c>
      <c r="C1832" s="18" t="s">
        <v>95</v>
      </c>
      <c r="D1832" s="18" t="s">
        <v>1807</v>
      </c>
      <c r="E1832" s="18" t="s">
        <v>2384</v>
      </c>
      <c r="F1832" s="101">
        <v>46256.717361111114</v>
      </c>
      <c r="G1832" s="101">
        <v>46258.180555555555</v>
      </c>
      <c r="H1832" s="18" t="s">
        <v>507</v>
      </c>
      <c r="I1832" s="18" t="s">
        <v>508</v>
      </c>
      <c r="J1832" s="18"/>
      <c r="K1832" s="21">
        <f t="shared" si="84"/>
        <v>35.116666666581295</v>
      </c>
      <c r="L1832" s="19">
        <f t="shared" si="85"/>
        <v>125</v>
      </c>
      <c r="M1832" s="18" t="str">
        <f>IF(I1832&lt;&gt;"Sí","",IF(YEAR(F1832)&lt;&gt;2026,"",INDEX({"Enero","Febrero","Marzo","Abril","Mayo","Junio","Julio","Agosto","Septiembre","Octubre","Noviembre","Diciembre"},MONTH(F1832))))</f>
        <v>Agosto</v>
      </c>
      <c r="N1832" s="18" t="str">
        <f t="shared" si="86"/>
        <v>Agosto|125</v>
      </c>
    </row>
    <row r="1833" spans="1:14" ht="14.5" x14ac:dyDescent="0.25">
      <c r="A1833" s="19">
        <v>34</v>
      </c>
      <c r="B1833" s="18" t="s">
        <v>41</v>
      </c>
      <c r="C1833" s="18" t="s">
        <v>95</v>
      </c>
      <c r="D1833" s="18" t="s">
        <v>1807</v>
      </c>
      <c r="E1833" s="18" t="s">
        <v>2385</v>
      </c>
      <c r="F1833" s="101">
        <v>46256.71875</v>
      </c>
      <c r="G1833" s="101">
        <v>46258.122916666667</v>
      </c>
      <c r="H1833" s="18" t="s">
        <v>507</v>
      </c>
      <c r="I1833" s="18" t="s">
        <v>508</v>
      </c>
      <c r="J1833" s="18"/>
      <c r="K1833" s="21">
        <f t="shared" si="84"/>
        <v>33.700000000011642</v>
      </c>
      <c r="L1833" s="19">
        <f t="shared" si="85"/>
        <v>126</v>
      </c>
      <c r="M1833" s="18" t="str">
        <f>IF(I1833&lt;&gt;"Sí","",IF(YEAR(F1833)&lt;&gt;2026,"",INDEX({"Enero","Febrero","Marzo","Abril","Mayo","Junio","Julio","Agosto","Septiembre","Octubre","Noviembre","Diciembre"},MONTH(F1833))))</f>
        <v>Agosto</v>
      </c>
      <c r="N1833" s="18" t="str">
        <f t="shared" si="86"/>
        <v>Agosto|126</v>
      </c>
    </row>
    <row r="1834" spans="1:14" ht="14.5" x14ac:dyDescent="0.25">
      <c r="A1834" s="19">
        <v>34</v>
      </c>
      <c r="B1834" s="18" t="s">
        <v>41</v>
      </c>
      <c r="C1834" s="18" t="s">
        <v>95</v>
      </c>
      <c r="D1834" s="18" t="s">
        <v>1807</v>
      </c>
      <c r="E1834" s="18" t="s">
        <v>2386</v>
      </c>
      <c r="F1834" s="101">
        <v>46256.720138888886</v>
      </c>
      <c r="G1834" s="101">
        <v>46258.119444444441</v>
      </c>
      <c r="H1834" s="18" t="s">
        <v>507</v>
      </c>
      <c r="I1834" s="18" t="s">
        <v>508</v>
      </c>
      <c r="J1834" s="18"/>
      <c r="K1834" s="21">
        <f t="shared" si="84"/>
        <v>33.583333333313931</v>
      </c>
      <c r="L1834" s="19">
        <f t="shared" si="85"/>
        <v>127</v>
      </c>
      <c r="M1834" s="18" t="str">
        <f>IF(I1834&lt;&gt;"Sí","",IF(YEAR(F1834)&lt;&gt;2026,"",INDEX({"Enero","Febrero","Marzo","Abril","Mayo","Junio","Julio","Agosto","Septiembre","Octubre","Noviembre","Diciembre"},MONTH(F1834))))</f>
        <v>Agosto</v>
      </c>
      <c r="N1834" s="18" t="str">
        <f t="shared" si="86"/>
        <v>Agosto|127</v>
      </c>
    </row>
    <row r="1835" spans="1:14" ht="14.5" x14ac:dyDescent="0.25">
      <c r="A1835" s="19">
        <v>34</v>
      </c>
      <c r="B1835" s="18" t="s">
        <v>41</v>
      </c>
      <c r="C1835" s="18" t="s">
        <v>95</v>
      </c>
      <c r="D1835" s="18" t="s">
        <v>1807</v>
      </c>
      <c r="E1835" s="18" t="s">
        <v>2387</v>
      </c>
      <c r="F1835" s="101">
        <v>46256.72152777778</v>
      </c>
      <c r="G1835" s="101">
        <v>46258.116666666669</v>
      </c>
      <c r="H1835" s="18" t="s">
        <v>507</v>
      </c>
      <c r="I1835" s="18" t="s">
        <v>508</v>
      </c>
      <c r="J1835" s="18"/>
      <c r="K1835" s="21">
        <f t="shared" si="84"/>
        <v>33.483333333337214</v>
      </c>
      <c r="L1835" s="19">
        <f t="shared" si="85"/>
        <v>128</v>
      </c>
      <c r="M1835" s="18" t="str">
        <f>IF(I1835&lt;&gt;"Sí","",IF(YEAR(F1835)&lt;&gt;2026,"",INDEX({"Enero","Febrero","Marzo","Abril","Mayo","Junio","Julio","Agosto","Septiembre","Octubre","Noviembre","Diciembre"},MONTH(F1835))))</f>
        <v>Agosto</v>
      </c>
      <c r="N1835" s="18" t="str">
        <f t="shared" si="86"/>
        <v>Agosto|128</v>
      </c>
    </row>
    <row r="1836" spans="1:14" ht="14.5" x14ac:dyDescent="0.25">
      <c r="A1836" s="19">
        <v>34</v>
      </c>
      <c r="B1836" s="18" t="s">
        <v>41</v>
      </c>
      <c r="C1836" s="18" t="s">
        <v>95</v>
      </c>
      <c r="D1836" s="18" t="s">
        <v>1807</v>
      </c>
      <c r="E1836" s="18" t="s">
        <v>2388</v>
      </c>
      <c r="F1836" s="101">
        <v>46256.722222222219</v>
      </c>
      <c r="G1836" s="101">
        <v>46258.930555555555</v>
      </c>
      <c r="H1836" s="18" t="s">
        <v>507</v>
      </c>
      <c r="I1836" s="18" t="s">
        <v>508</v>
      </c>
      <c r="J1836" s="18"/>
      <c r="K1836" s="21">
        <f t="shared" si="84"/>
        <v>53.000000000058208</v>
      </c>
      <c r="L1836" s="19">
        <f t="shared" si="85"/>
        <v>129</v>
      </c>
      <c r="M1836" s="18" t="str">
        <f>IF(I1836&lt;&gt;"Sí","",IF(YEAR(F1836)&lt;&gt;2026,"",INDEX({"Enero","Febrero","Marzo","Abril","Mayo","Junio","Julio","Agosto","Septiembre","Octubre","Noviembre","Diciembre"},MONTH(F1836))))</f>
        <v>Agosto</v>
      </c>
      <c r="N1836" s="18" t="str">
        <f t="shared" si="86"/>
        <v>Agosto|129</v>
      </c>
    </row>
    <row r="1837" spans="1:14" ht="14.5" x14ac:dyDescent="0.25">
      <c r="A1837" s="19">
        <v>34</v>
      </c>
      <c r="B1837" s="18" t="s">
        <v>41</v>
      </c>
      <c r="C1837" s="18" t="s">
        <v>95</v>
      </c>
      <c r="D1837" s="18" t="s">
        <v>1807</v>
      </c>
      <c r="E1837" s="18" t="s">
        <v>2389</v>
      </c>
      <c r="F1837" s="101">
        <v>46256.731249999997</v>
      </c>
      <c r="G1837" s="101">
        <v>46258.930555555555</v>
      </c>
      <c r="H1837" s="18" t="s">
        <v>507</v>
      </c>
      <c r="I1837" s="18" t="s">
        <v>508</v>
      </c>
      <c r="J1837" s="18"/>
      <c r="K1837" s="21">
        <f t="shared" si="84"/>
        <v>52.78333333338378</v>
      </c>
      <c r="L1837" s="19">
        <f t="shared" si="85"/>
        <v>135</v>
      </c>
      <c r="M1837" s="18" t="str">
        <f>IF(I1837&lt;&gt;"Sí","",IF(YEAR(F1837)&lt;&gt;2026,"",INDEX({"Enero","Febrero","Marzo","Abril","Mayo","Junio","Julio","Agosto","Septiembre","Octubre","Noviembre","Diciembre"},MONTH(F1837))))</f>
        <v>Agosto</v>
      </c>
      <c r="N1837" s="18" t="str">
        <f t="shared" si="86"/>
        <v>Agosto|135</v>
      </c>
    </row>
    <row r="1838" spans="1:14" ht="14.5" x14ac:dyDescent="0.25">
      <c r="A1838" s="19">
        <v>34</v>
      </c>
      <c r="B1838" s="18" t="s">
        <v>41</v>
      </c>
      <c r="C1838" s="18" t="s">
        <v>95</v>
      </c>
      <c r="D1838" s="18" t="s">
        <v>1807</v>
      </c>
      <c r="E1838" s="18" t="s">
        <v>2390</v>
      </c>
      <c r="F1838" s="101">
        <v>46256.731249999997</v>
      </c>
      <c r="G1838" s="101">
        <v>46258.930555555555</v>
      </c>
      <c r="H1838" s="18" t="s">
        <v>507</v>
      </c>
      <c r="I1838" s="18" t="s">
        <v>508</v>
      </c>
      <c r="J1838" s="18"/>
      <c r="K1838" s="21">
        <f t="shared" si="84"/>
        <v>52.78333333338378</v>
      </c>
      <c r="L1838" s="19">
        <f t="shared" si="85"/>
        <v>135</v>
      </c>
      <c r="M1838" s="18" t="str">
        <f>IF(I1838&lt;&gt;"Sí","",IF(YEAR(F1838)&lt;&gt;2026,"",INDEX({"Enero","Febrero","Marzo","Abril","Mayo","Junio","Julio","Agosto","Septiembre","Octubre","Noviembre","Diciembre"},MONTH(F1838))))</f>
        <v>Agosto</v>
      </c>
      <c r="N1838" s="18" t="str">
        <f t="shared" si="86"/>
        <v>Agosto|135</v>
      </c>
    </row>
    <row r="1839" spans="1:14" ht="14.5" x14ac:dyDescent="0.25">
      <c r="A1839" s="19">
        <v>34</v>
      </c>
      <c r="B1839" s="18" t="s">
        <v>41</v>
      </c>
      <c r="C1839" s="18" t="s">
        <v>95</v>
      </c>
      <c r="D1839" s="18" t="s">
        <v>1807</v>
      </c>
      <c r="E1839" s="18" t="s">
        <v>2391</v>
      </c>
      <c r="F1839" s="101">
        <v>46256.731249999997</v>
      </c>
      <c r="G1839" s="101">
        <v>46258.930555555555</v>
      </c>
      <c r="H1839" s="18" t="s">
        <v>507</v>
      </c>
      <c r="I1839" s="18" t="s">
        <v>508</v>
      </c>
      <c r="J1839" s="18"/>
      <c r="K1839" s="21">
        <f t="shared" si="84"/>
        <v>52.78333333338378</v>
      </c>
      <c r="L1839" s="19">
        <f t="shared" si="85"/>
        <v>135</v>
      </c>
      <c r="M1839" s="18" t="str">
        <f>IF(I1839&lt;&gt;"Sí","",IF(YEAR(F1839)&lt;&gt;2026,"",INDEX({"Enero","Febrero","Marzo","Abril","Mayo","Junio","Julio","Agosto","Septiembre","Octubre","Noviembre","Diciembre"},MONTH(F1839))))</f>
        <v>Agosto</v>
      </c>
      <c r="N1839" s="18" t="str">
        <f t="shared" si="86"/>
        <v>Agosto|135</v>
      </c>
    </row>
    <row r="1840" spans="1:14" ht="14.5" x14ac:dyDescent="0.25">
      <c r="A1840" s="19">
        <v>34</v>
      </c>
      <c r="B1840" s="18" t="s">
        <v>41</v>
      </c>
      <c r="C1840" s="18" t="s">
        <v>95</v>
      </c>
      <c r="D1840" s="18" t="s">
        <v>1807</v>
      </c>
      <c r="E1840" s="18" t="s">
        <v>2392</v>
      </c>
      <c r="F1840" s="101">
        <v>46256.731249999997</v>
      </c>
      <c r="G1840" s="101">
        <v>46258.930555555555</v>
      </c>
      <c r="H1840" s="18" t="s">
        <v>507</v>
      </c>
      <c r="I1840" s="18" t="s">
        <v>508</v>
      </c>
      <c r="J1840" s="18"/>
      <c r="K1840" s="21">
        <f t="shared" si="84"/>
        <v>52.78333333338378</v>
      </c>
      <c r="L1840" s="19">
        <f t="shared" si="85"/>
        <v>135</v>
      </c>
      <c r="M1840" s="18" t="str">
        <f>IF(I1840&lt;&gt;"Sí","",IF(YEAR(F1840)&lt;&gt;2026,"",INDEX({"Enero","Febrero","Marzo","Abril","Mayo","Junio","Julio","Agosto","Septiembre","Octubre","Noviembre","Diciembre"},MONTH(F1840))))</f>
        <v>Agosto</v>
      </c>
      <c r="N1840" s="18" t="str">
        <f t="shared" si="86"/>
        <v>Agosto|135</v>
      </c>
    </row>
    <row r="1841" spans="1:14" ht="14.5" x14ac:dyDescent="0.25">
      <c r="A1841" s="19">
        <v>34</v>
      </c>
      <c r="B1841" s="18" t="s">
        <v>41</v>
      </c>
      <c r="C1841" s="18" t="s">
        <v>95</v>
      </c>
      <c r="D1841" s="18" t="s">
        <v>1807</v>
      </c>
      <c r="E1841" s="18" t="s">
        <v>2393</v>
      </c>
      <c r="F1841" s="101">
        <v>46256.731249999997</v>
      </c>
      <c r="G1841" s="101">
        <v>46258.930555555555</v>
      </c>
      <c r="H1841" s="18" t="s">
        <v>507</v>
      </c>
      <c r="I1841" s="18" t="s">
        <v>508</v>
      </c>
      <c r="J1841" s="18"/>
      <c r="K1841" s="21">
        <f t="shared" si="84"/>
        <v>52.78333333338378</v>
      </c>
      <c r="L1841" s="19">
        <f t="shared" si="85"/>
        <v>135</v>
      </c>
      <c r="M1841" s="18" t="str">
        <f>IF(I1841&lt;&gt;"Sí","",IF(YEAR(F1841)&lt;&gt;2026,"",INDEX({"Enero","Febrero","Marzo","Abril","Mayo","Junio","Julio","Agosto","Septiembre","Octubre","Noviembre","Diciembre"},MONTH(F1841))))</f>
        <v>Agosto</v>
      </c>
      <c r="N1841" s="18" t="str">
        <f t="shared" si="86"/>
        <v>Agosto|135</v>
      </c>
    </row>
    <row r="1842" spans="1:14" ht="14.5" x14ac:dyDescent="0.25">
      <c r="A1842" s="19">
        <v>34</v>
      </c>
      <c r="B1842" s="18" t="s">
        <v>41</v>
      </c>
      <c r="C1842" s="18" t="s">
        <v>95</v>
      </c>
      <c r="D1842" s="18" t="s">
        <v>1807</v>
      </c>
      <c r="E1842" s="18" t="s">
        <v>2394</v>
      </c>
      <c r="F1842" s="101">
        <v>46256.731249999997</v>
      </c>
      <c r="G1842" s="101">
        <v>46258.930555555555</v>
      </c>
      <c r="H1842" s="18" t="s">
        <v>507</v>
      </c>
      <c r="I1842" s="18" t="s">
        <v>508</v>
      </c>
      <c r="J1842" s="18"/>
      <c r="K1842" s="21">
        <f t="shared" si="84"/>
        <v>52.78333333338378</v>
      </c>
      <c r="L1842" s="19">
        <f t="shared" si="85"/>
        <v>135</v>
      </c>
      <c r="M1842" s="18" t="str">
        <f>IF(I1842&lt;&gt;"Sí","",IF(YEAR(F1842)&lt;&gt;2026,"",INDEX({"Enero","Febrero","Marzo","Abril","Mayo","Junio","Julio","Agosto","Septiembre","Octubre","Noviembre","Diciembre"},MONTH(F1842))))</f>
        <v>Agosto</v>
      </c>
      <c r="N1842" s="18" t="str">
        <f t="shared" si="86"/>
        <v>Agosto|135</v>
      </c>
    </row>
    <row r="1843" spans="1:14" ht="14.5" x14ac:dyDescent="0.25">
      <c r="A1843" s="19">
        <v>34</v>
      </c>
      <c r="B1843" s="18" t="s">
        <v>41</v>
      </c>
      <c r="C1843" s="18" t="s">
        <v>95</v>
      </c>
      <c r="D1843" s="18" t="s">
        <v>1807</v>
      </c>
      <c r="E1843" s="18" t="s">
        <v>2395</v>
      </c>
      <c r="F1843" s="101">
        <v>46256.737500000003</v>
      </c>
      <c r="G1843" s="101">
        <v>46258.5</v>
      </c>
      <c r="H1843" s="18" t="s">
        <v>507</v>
      </c>
      <c r="I1843" s="18" t="s">
        <v>508</v>
      </c>
      <c r="J1843" s="18"/>
      <c r="K1843" s="21">
        <f t="shared" si="84"/>
        <v>42.299999999930151</v>
      </c>
      <c r="L1843" s="19">
        <f t="shared" si="85"/>
        <v>136</v>
      </c>
      <c r="M1843" s="18" t="str">
        <f>IF(I1843&lt;&gt;"Sí","",IF(YEAR(F1843)&lt;&gt;2026,"",INDEX({"Enero","Febrero","Marzo","Abril","Mayo","Junio","Julio","Agosto","Septiembre","Octubre","Noviembre","Diciembre"},MONTH(F1843))))</f>
        <v>Agosto</v>
      </c>
      <c r="N1843" s="18" t="str">
        <f t="shared" si="86"/>
        <v>Agosto|136</v>
      </c>
    </row>
    <row r="1844" spans="1:14" ht="14.5" x14ac:dyDescent="0.25">
      <c r="A1844" s="19">
        <v>34</v>
      </c>
      <c r="B1844" s="18" t="s">
        <v>41</v>
      </c>
      <c r="C1844" s="18" t="s">
        <v>95</v>
      </c>
      <c r="D1844" s="18" t="s">
        <v>1807</v>
      </c>
      <c r="E1844" s="18" t="s">
        <v>2396</v>
      </c>
      <c r="F1844" s="101">
        <v>46256.743055555555</v>
      </c>
      <c r="G1844" s="101">
        <v>46258.513888888891</v>
      </c>
      <c r="H1844" s="18" t="s">
        <v>507</v>
      </c>
      <c r="I1844" s="18" t="s">
        <v>508</v>
      </c>
      <c r="J1844" s="18"/>
      <c r="K1844" s="21">
        <f t="shared" si="84"/>
        <v>42.500000000058208</v>
      </c>
      <c r="L1844" s="19">
        <f t="shared" si="85"/>
        <v>137</v>
      </c>
      <c r="M1844" s="18" t="str">
        <f>IF(I1844&lt;&gt;"Sí","",IF(YEAR(F1844)&lt;&gt;2026,"",INDEX({"Enero","Febrero","Marzo","Abril","Mayo","Junio","Julio","Agosto","Septiembre","Octubre","Noviembre","Diciembre"},MONTH(F1844))))</f>
        <v>Agosto</v>
      </c>
      <c r="N1844" s="18" t="str">
        <f t="shared" si="86"/>
        <v>Agosto|137</v>
      </c>
    </row>
    <row r="1845" spans="1:14" ht="14.5" x14ac:dyDescent="0.25">
      <c r="A1845" s="19">
        <v>34</v>
      </c>
      <c r="B1845" s="18" t="s">
        <v>41</v>
      </c>
      <c r="C1845" s="18" t="s">
        <v>95</v>
      </c>
      <c r="D1845" s="18" t="s">
        <v>1807</v>
      </c>
      <c r="E1845" s="18" t="s">
        <v>2397</v>
      </c>
      <c r="F1845" s="101">
        <v>46256.745138888888</v>
      </c>
      <c r="G1845" s="101">
        <v>46258.513888888891</v>
      </c>
      <c r="H1845" s="18" t="s">
        <v>507</v>
      </c>
      <c r="I1845" s="18" t="s">
        <v>508</v>
      </c>
      <c r="J1845" s="18"/>
      <c r="K1845" s="21">
        <f t="shared" si="84"/>
        <v>42.450000000069849</v>
      </c>
      <c r="L1845" s="19">
        <f t="shared" si="85"/>
        <v>138</v>
      </c>
      <c r="M1845" s="18" t="str">
        <f>IF(I1845&lt;&gt;"Sí","",IF(YEAR(F1845)&lt;&gt;2026,"",INDEX({"Enero","Febrero","Marzo","Abril","Mayo","Junio","Julio","Agosto","Septiembre","Octubre","Noviembre","Diciembre"},MONTH(F1845))))</f>
        <v>Agosto</v>
      </c>
      <c r="N1845" s="18" t="str">
        <f t="shared" si="86"/>
        <v>Agosto|138</v>
      </c>
    </row>
    <row r="1846" spans="1:14" ht="14.5" x14ac:dyDescent="0.25">
      <c r="A1846" s="19">
        <v>34</v>
      </c>
      <c r="B1846" s="18" t="s">
        <v>41</v>
      </c>
      <c r="C1846" s="18" t="s">
        <v>95</v>
      </c>
      <c r="D1846" s="18" t="s">
        <v>1807</v>
      </c>
      <c r="E1846" s="18" t="s">
        <v>2398</v>
      </c>
      <c r="F1846" s="101">
        <v>46256.746527777781</v>
      </c>
      <c r="G1846" s="101">
        <v>46258.916666666664</v>
      </c>
      <c r="H1846" s="18" t="s">
        <v>507</v>
      </c>
      <c r="I1846" s="18" t="s">
        <v>508</v>
      </c>
      <c r="J1846" s="18"/>
      <c r="K1846" s="21">
        <f t="shared" si="84"/>
        <v>52.083333333197515</v>
      </c>
      <c r="L1846" s="19">
        <f t="shared" si="85"/>
        <v>141</v>
      </c>
      <c r="M1846" s="18" t="str">
        <f>IF(I1846&lt;&gt;"Sí","",IF(YEAR(F1846)&lt;&gt;2026,"",INDEX({"Enero","Febrero","Marzo","Abril","Mayo","Junio","Julio","Agosto","Septiembre","Octubre","Noviembre","Diciembre"},MONTH(F1846))))</f>
        <v>Agosto</v>
      </c>
      <c r="N1846" s="18" t="str">
        <f t="shared" si="86"/>
        <v>Agosto|141</v>
      </c>
    </row>
    <row r="1847" spans="1:14" ht="14.5" x14ac:dyDescent="0.25">
      <c r="A1847" s="19">
        <v>34</v>
      </c>
      <c r="B1847" s="18" t="s">
        <v>41</v>
      </c>
      <c r="C1847" s="18" t="s">
        <v>95</v>
      </c>
      <c r="D1847" s="18" t="s">
        <v>1807</v>
      </c>
      <c r="E1847" s="18" t="s">
        <v>2399</v>
      </c>
      <c r="F1847" s="101">
        <v>46256.746527777781</v>
      </c>
      <c r="G1847" s="101">
        <v>46258.513888888891</v>
      </c>
      <c r="H1847" s="18" t="s">
        <v>507</v>
      </c>
      <c r="I1847" s="18" t="s">
        <v>508</v>
      </c>
      <c r="J1847" s="18"/>
      <c r="K1847" s="21">
        <f t="shared" si="84"/>
        <v>42.416666666627862</v>
      </c>
      <c r="L1847" s="19">
        <f t="shared" si="85"/>
        <v>141</v>
      </c>
      <c r="M1847" s="18" t="str">
        <f>IF(I1847&lt;&gt;"Sí","",IF(YEAR(F1847)&lt;&gt;2026,"",INDEX({"Enero","Febrero","Marzo","Abril","Mayo","Junio","Julio","Agosto","Septiembre","Octubre","Noviembre","Diciembre"},MONTH(F1847))))</f>
        <v>Agosto</v>
      </c>
      <c r="N1847" s="18" t="str">
        <f t="shared" si="86"/>
        <v>Agosto|141</v>
      </c>
    </row>
    <row r="1848" spans="1:14" ht="14.5" x14ac:dyDescent="0.25">
      <c r="A1848" s="19">
        <v>34</v>
      </c>
      <c r="B1848" s="18" t="s">
        <v>41</v>
      </c>
      <c r="C1848" s="18" t="s">
        <v>95</v>
      </c>
      <c r="D1848" s="18" t="s">
        <v>1807</v>
      </c>
      <c r="E1848" s="18" t="s">
        <v>2400</v>
      </c>
      <c r="F1848" s="101">
        <v>46256.746527777781</v>
      </c>
      <c r="G1848" s="101">
        <v>46258.513888888891</v>
      </c>
      <c r="H1848" s="18" t="s">
        <v>507</v>
      </c>
      <c r="I1848" s="18" t="s">
        <v>508</v>
      </c>
      <c r="J1848" s="18"/>
      <c r="K1848" s="21">
        <f t="shared" si="84"/>
        <v>42.416666666627862</v>
      </c>
      <c r="L1848" s="19">
        <f t="shared" si="85"/>
        <v>141</v>
      </c>
      <c r="M1848" s="18" t="str">
        <f>IF(I1848&lt;&gt;"Sí","",IF(YEAR(F1848)&lt;&gt;2026,"",INDEX({"Enero","Febrero","Marzo","Abril","Mayo","Junio","Julio","Agosto","Septiembre","Octubre","Noviembre","Diciembre"},MONTH(F1848))))</f>
        <v>Agosto</v>
      </c>
      <c r="N1848" s="18" t="str">
        <f t="shared" si="86"/>
        <v>Agosto|141</v>
      </c>
    </row>
    <row r="1849" spans="1:14" ht="14.5" x14ac:dyDescent="0.25">
      <c r="A1849" s="19">
        <v>34</v>
      </c>
      <c r="B1849" s="18" t="s">
        <v>41</v>
      </c>
      <c r="C1849" s="18" t="s">
        <v>95</v>
      </c>
      <c r="D1849" s="18" t="s">
        <v>1807</v>
      </c>
      <c r="E1849" s="18" t="s">
        <v>2401</v>
      </c>
      <c r="F1849" s="101">
        <v>46256.754861111112</v>
      </c>
      <c r="G1849" s="101">
        <v>46258.916666666664</v>
      </c>
      <c r="H1849" s="18" t="s">
        <v>507</v>
      </c>
      <c r="I1849" s="18" t="s">
        <v>508</v>
      </c>
      <c r="J1849" s="18"/>
      <c r="K1849" s="21">
        <f t="shared" si="84"/>
        <v>51.883333333244082</v>
      </c>
      <c r="L1849" s="19">
        <f t="shared" si="85"/>
        <v>142</v>
      </c>
      <c r="M1849" s="18" t="str">
        <f>IF(I1849&lt;&gt;"Sí","",IF(YEAR(F1849)&lt;&gt;2026,"",INDEX({"Enero","Febrero","Marzo","Abril","Mayo","Junio","Julio","Agosto","Septiembre","Octubre","Noviembre","Diciembre"},MONTH(F1849))))</f>
        <v>Agosto</v>
      </c>
      <c r="N1849" s="18" t="str">
        <f t="shared" si="86"/>
        <v>Agosto|142</v>
      </c>
    </row>
    <row r="1850" spans="1:14" ht="14.5" x14ac:dyDescent="0.25">
      <c r="A1850" s="19">
        <v>34</v>
      </c>
      <c r="B1850" s="18" t="s">
        <v>41</v>
      </c>
      <c r="C1850" s="18" t="s">
        <v>95</v>
      </c>
      <c r="D1850" s="18" t="s">
        <v>1807</v>
      </c>
      <c r="E1850" s="18" t="s">
        <v>2402</v>
      </c>
      <c r="F1850" s="101">
        <v>46256.756249999999</v>
      </c>
      <c r="G1850" s="101">
        <v>46258.5</v>
      </c>
      <c r="H1850" s="18" t="s">
        <v>507</v>
      </c>
      <c r="I1850" s="18" t="s">
        <v>508</v>
      </c>
      <c r="J1850" s="18"/>
      <c r="K1850" s="21">
        <f t="shared" si="84"/>
        <v>41.850000000034925</v>
      </c>
      <c r="L1850" s="19">
        <f t="shared" si="85"/>
        <v>143</v>
      </c>
      <c r="M1850" s="18" t="str">
        <f>IF(I1850&lt;&gt;"Sí","",IF(YEAR(F1850)&lt;&gt;2026,"",INDEX({"Enero","Febrero","Marzo","Abril","Mayo","Junio","Julio","Agosto","Septiembre","Octubre","Noviembre","Diciembre"},MONTH(F1850))))</f>
        <v>Agosto</v>
      </c>
      <c r="N1850" s="18" t="str">
        <f t="shared" si="86"/>
        <v>Agosto|143</v>
      </c>
    </row>
    <row r="1851" spans="1:14" ht="14.5" x14ac:dyDescent="0.25">
      <c r="A1851" s="19">
        <v>34</v>
      </c>
      <c r="B1851" s="18" t="s">
        <v>41</v>
      </c>
      <c r="C1851" s="18" t="s">
        <v>95</v>
      </c>
      <c r="D1851" s="18" t="s">
        <v>1807</v>
      </c>
      <c r="E1851" s="18" t="s">
        <v>2403</v>
      </c>
      <c r="F1851" s="101">
        <v>46256.759027777778</v>
      </c>
      <c r="G1851" s="101">
        <v>46258.513888888891</v>
      </c>
      <c r="H1851" s="18" t="s">
        <v>507</v>
      </c>
      <c r="I1851" s="18" t="s">
        <v>508</v>
      </c>
      <c r="J1851" s="18"/>
      <c r="K1851" s="21">
        <f t="shared" si="84"/>
        <v>42.116666666697711</v>
      </c>
      <c r="L1851" s="19">
        <f t="shared" si="85"/>
        <v>144</v>
      </c>
      <c r="M1851" s="18" t="str">
        <f>IF(I1851&lt;&gt;"Sí","",IF(YEAR(F1851)&lt;&gt;2026,"",INDEX({"Enero","Febrero","Marzo","Abril","Mayo","Junio","Julio","Agosto","Septiembre","Octubre","Noviembre","Diciembre"},MONTH(F1851))))</f>
        <v>Agosto</v>
      </c>
      <c r="N1851" s="18" t="str">
        <f t="shared" si="86"/>
        <v>Agosto|144</v>
      </c>
    </row>
    <row r="1852" spans="1:14" ht="14.5" x14ac:dyDescent="0.25">
      <c r="A1852" s="19">
        <v>34</v>
      </c>
      <c r="B1852" s="18" t="s">
        <v>41</v>
      </c>
      <c r="C1852" s="18" t="s">
        <v>95</v>
      </c>
      <c r="D1852" s="18" t="s">
        <v>1807</v>
      </c>
      <c r="E1852" s="18" t="s">
        <v>2404</v>
      </c>
      <c r="F1852" s="101">
        <v>46256.760416666664</v>
      </c>
      <c r="G1852" s="101">
        <v>46258.052083333336</v>
      </c>
      <c r="H1852" s="18" t="s">
        <v>507</v>
      </c>
      <c r="I1852" s="18" t="s">
        <v>508</v>
      </c>
      <c r="J1852" s="18"/>
      <c r="K1852" s="21">
        <f t="shared" si="84"/>
        <v>31.000000000116415</v>
      </c>
      <c r="L1852" s="19">
        <f t="shared" si="85"/>
        <v>145</v>
      </c>
      <c r="M1852" s="18" t="str">
        <f>IF(I1852&lt;&gt;"Sí","",IF(YEAR(F1852)&lt;&gt;2026,"",INDEX({"Enero","Febrero","Marzo","Abril","Mayo","Junio","Julio","Agosto","Septiembre","Octubre","Noviembre","Diciembre"},MONTH(F1852))))</f>
        <v>Agosto</v>
      </c>
      <c r="N1852" s="18" t="str">
        <f t="shared" si="86"/>
        <v>Agosto|145</v>
      </c>
    </row>
    <row r="1853" spans="1:14" ht="14.5" x14ac:dyDescent="0.25">
      <c r="A1853" s="19">
        <v>34</v>
      </c>
      <c r="B1853" s="18" t="s">
        <v>41</v>
      </c>
      <c r="C1853" s="18" t="s">
        <v>95</v>
      </c>
      <c r="D1853" s="18" t="s">
        <v>1807</v>
      </c>
      <c r="E1853" s="18" t="s">
        <v>2405</v>
      </c>
      <c r="F1853" s="101">
        <v>46256.763888888891</v>
      </c>
      <c r="G1853" s="101">
        <v>46258.052083333336</v>
      </c>
      <c r="H1853" s="18" t="s">
        <v>507</v>
      </c>
      <c r="I1853" s="18" t="s">
        <v>508</v>
      </c>
      <c r="J1853" s="18"/>
      <c r="K1853" s="21">
        <f t="shared" si="84"/>
        <v>30.916666666686069</v>
      </c>
      <c r="L1853" s="19">
        <f t="shared" si="85"/>
        <v>146</v>
      </c>
      <c r="M1853" s="18" t="str">
        <f>IF(I1853&lt;&gt;"Sí","",IF(YEAR(F1853)&lt;&gt;2026,"",INDEX({"Enero","Febrero","Marzo","Abril","Mayo","Junio","Julio","Agosto","Septiembre","Octubre","Noviembre","Diciembre"},MONTH(F1853))))</f>
        <v>Agosto</v>
      </c>
      <c r="N1853" s="18" t="str">
        <f t="shared" si="86"/>
        <v>Agosto|146</v>
      </c>
    </row>
    <row r="1854" spans="1:14" ht="14.5" x14ac:dyDescent="0.25">
      <c r="A1854" s="19">
        <v>34</v>
      </c>
      <c r="B1854" s="18" t="s">
        <v>41</v>
      </c>
      <c r="C1854" s="18" t="s">
        <v>95</v>
      </c>
      <c r="D1854" s="18" t="s">
        <v>1807</v>
      </c>
      <c r="E1854" s="18" t="s">
        <v>2406</v>
      </c>
      <c r="F1854" s="101">
        <v>46256.765277777777</v>
      </c>
      <c r="G1854" s="101">
        <v>46258.052083333336</v>
      </c>
      <c r="H1854" s="18" t="s">
        <v>507</v>
      </c>
      <c r="I1854" s="18" t="s">
        <v>508</v>
      </c>
      <c r="J1854" s="18"/>
      <c r="K1854" s="21">
        <f t="shared" si="84"/>
        <v>30.883333333418705</v>
      </c>
      <c r="L1854" s="19">
        <f t="shared" si="85"/>
        <v>147</v>
      </c>
      <c r="M1854" s="18" t="str">
        <f>IF(I1854&lt;&gt;"Sí","",IF(YEAR(F1854)&lt;&gt;2026,"",INDEX({"Enero","Febrero","Marzo","Abril","Mayo","Junio","Julio","Agosto","Septiembre","Octubre","Noviembre","Diciembre"},MONTH(F1854))))</f>
        <v>Agosto</v>
      </c>
      <c r="N1854" s="18" t="str">
        <f t="shared" si="86"/>
        <v>Agosto|147</v>
      </c>
    </row>
    <row r="1855" spans="1:14" ht="14.5" x14ac:dyDescent="0.25">
      <c r="A1855" s="19">
        <v>34</v>
      </c>
      <c r="B1855" s="18" t="s">
        <v>41</v>
      </c>
      <c r="C1855" s="18" t="s">
        <v>95</v>
      </c>
      <c r="D1855" s="18" t="s">
        <v>1807</v>
      </c>
      <c r="E1855" s="18" t="s">
        <v>2407</v>
      </c>
      <c r="F1855" s="101">
        <v>46256.76666666667</v>
      </c>
      <c r="G1855" s="101">
        <v>46258.052083333336</v>
      </c>
      <c r="H1855" s="18" t="s">
        <v>507</v>
      </c>
      <c r="I1855" s="18" t="s">
        <v>508</v>
      </c>
      <c r="J1855" s="18"/>
      <c r="K1855" s="21">
        <f t="shared" si="84"/>
        <v>30.849999999976717</v>
      </c>
      <c r="L1855" s="19">
        <f t="shared" si="85"/>
        <v>148</v>
      </c>
      <c r="M1855" s="18" t="str">
        <f>IF(I1855&lt;&gt;"Sí","",IF(YEAR(F1855)&lt;&gt;2026,"",INDEX({"Enero","Febrero","Marzo","Abril","Mayo","Junio","Julio","Agosto","Septiembre","Octubre","Noviembre","Diciembre"},MONTH(F1855))))</f>
        <v>Agosto</v>
      </c>
      <c r="N1855" s="18" t="str">
        <f t="shared" si="86"/>
        <v>Agosto|148</v>
      </c>
    </row>
    <row r="1856" spans="1:14" ht="14.5" x14ac:dyDescent="0.25">
      <c r="A1856" s="19">
        <v>34</v>
      </c>
      <c r="B1856" s="18" t="s">
        <v>41</v>
      </c>
      <c r="C1856" s="18" t="s">
        <v>95</v>
      </c>
      <c r="D1856" s="18" t="s">
        <v>1807</v>
      </c>
      <c r="E1856" s="18" t="s">
        <v>2408</v>
      </c>
      <c r="F1856" s="101">
        <v>46256.768055555556</v>
      </c>
      <c r="G1856" s="101">
        <v>46258.04583333333</v>
      </c>
      <c r="H1856" s="18" t="s">
        <v>507</v>
      </c>
      <c r="I1856" s="18" t="s">
        <v>508</v>
      </c>
      <c r="J1856" s="18"/>
      <c r="K1856" s="21">
        <f t="shared" si="84"/>
        <v>30.666666666569654</v>
      </c>
      <c r="L1856" s="19">
        <f t="shared" si="85"/>
        <v>149</v>
      </c>
      <c r="M1856" s="18" t="str">
        <f>IF(I1856&lt;&gt;"Sí","",IF(YEAR(F1856)&lt;&gt;2026,"",INDEX({"Enero","Febrero","Marzo","Abril","Mayo","Junio","Julio","Agosto","Septiembre","Octubre","Noviembre","Diciembre"},MONTH(F1856))))</f>
        <v>Agosto</v>
      </c>
      <c r="N1856" s="18" t="str">
        <f t="shared" si="86"/>
        <v>Agosto|149</v>
      </c>
    </row>
    <row r="1857" spans="1:14" ht="14.5" x14ac:dyDescent="0.25">
      <c r="A1857" s="19">
        <v>34</v>
      </c>
      <c r="B1857" s="18" t="s">
        <v>41</v>
      </c>
      <c r="C1857" s="18" t="s">
        <v>95</v>
      </c>
      <c r="D1857" s="18" t="s">
        <v>1807</v>
      </c>
      <c r="E1857" s="18" t="s">
        <v>2409</v>
      </c>
      <c r="F1857" s="101">
        <v>46256.770833333336</v>
      </c>
      <c r="G1857" s="101">
        <v>46258.052083333336</v>
      </c>
      <c r="H1857" s="18" t="s">
        <v>507</v>
      </c>
      <c r="I1857" s="18" t="s">
        <v>508</v>
      </c>
      <c r="J1857" s="18"/>
      <c r="K1857" s="21">
        <f t="shared" si="84"/>
        <v>30.75</v>
      </c>
      <c r="L1857" s="19">
        <f t="shared" si="85"/>
        <v>150</v>
      </c>
      <c r="M1857" s="18" t="str">
        <f>IF(I1857&lt;&gt;"Sí","",IF(YEAR(F1857)&lt;&gt;2026,"",INDEX({"Enero","Febrero","Marzo","Abril","Mayo","Junio","Julio","Agosto","Septiembre","Octubre","Noviembre","Diciembre"},MONTH(F1857))))</f>
        <v>Agosto</v>
      </c>
      <c r="N1857" s="18" t="str">
        <f t="shared" si="86"/>
        <v>Agosto|150</v>
      </c>
    </row>
    <row r="1858" spans="1:14" ht="14.5" x14ac:dyDescent="0.25">
      <c r="A1858" s="19">
        <v>34</v>
      </c>
      <c r="B1858" s="18" t="s">
        <v>41</v>
      </c>
      <c r="C1858" s="18" t="s">
        <v>95</v>
      </c>
      <c r="D1858" s="18" t="s">
        <v>1807</v>
      </c>
      <c r="E1858" s="18" t="s">
        <v>2410</v>
      </c>
      <c r="F1858" s="101">
        <v>46256.772916666669</v>
      </c>
      <c r="G1858" s="101">
        <v>46258.052083333336</v>
      </c>
      <c r="H1858" s="18" t="s">
        <v>507</v>
      </c>
      <c r="I1858" s="18" t="s">
        <v>508</v>
      </c>
      <c r="J1858" s="18"/>
      <c r="K1858" s="21">
        <f t="shared" si="84"/>
        <v>30.700000000011642</v>
      </c>
      <c r="L1858" s="19">
        <f t="shared" si="85"/>
        <v>151</v>
      </c>
      <c r="M1858" s="18" t="str">
        <f>IF(I1858&lt;&gt;"Sí","",IF(YEAR(F1858)&lt;&gt;2026,"",INDEX({"Enero","Febrero","Marzo","Abril","Mayo","Junio","Julio","Agosto","Septiembre","Octubre","Noviembre","Diciembre"},MONTH(F1858))))</f>
        <v>Agosto</v>
      </c>
      <c r="N1858" s="18" t="str">
        <f t="shared" si="86"/>
        <v>Agosto|151</v>
      </c>
    </row>
    <row r="1859" spans="1:14" ht="14.5" x14ac:dyDescent="0.25">
      <c r="A1859" s="19">
        <v>34</v>
      </c>
      <c r="B1859" s="18" t="s">
        <v>41</v>
      </c>
      <c r="C1859" s="18" t="s">
        <v>95</v>
      </c>
      <c r="D1859" s="18" t="s">
        <v>1807</v>
      </c>
      <c r="E1859" s="18" t="s">
        <v>2411</v>
      </c>
      <c r="F1859" s="101">
        <v>46256.774305555555</v>
      </c>
      <c r="G1859" s="101">
        <v>46258.052083333336</v>
      </c>
      <c r="H1859" s="18" t="s">
        <v>507</v>
      </c>
      <c r="I1859" s="18" t="s">
        <v>508</v>
      </c>
      <c r="J1859" s="18"/>
      <c r="K1859" s="21">
        <f t="shared" si="84"/>
        <v>30.666666666744277</v>
      </c>
      <c r="L1859" s="19">
        <f t="shared" si="85"/>
        <v>152</v>
      </c>
      <c r="M1859" s="18" t="str">
        <f>IF(I1859&lt;&gt;"Sí","",IF(YEAR(F1859)&lt;&gt;2026,"",INDEX({"Enero","Febrero","Marzo","Abril","Mayo","Junio","Julio","Agosto","Septiembre","Octubre","Noviembre","Diciembre"},MONTH(F1859))))</f>
        <v>Agosto</v>
      </c>
      <c r="N1859" s="18" t="str">
        <f t="shared" si="86"/>
        <v>Agosto|152</v>
      </c>
    </row>
    <row r="1860" spans="1:14" ht="14.5" x14ac:dyDescent="0.25">
      <c r="A1860" s="19">
        <v>34</v>
      </c>
      <c r="B1860" s="18" t="s">
        <v>41</v>
      </c>
      <c r="C1860" s="18" t="s">
        <v>95</v>
      </c>
      <c r="D1860" s="18" t="s">
        <v>1807</v>
      </c>
      <c r="E1860" s="18" t="s">
        <v>2412</v>
      </c>
      <c r="F1860" s="101">
        <v>46256.776388888888</v>
      </c>
      <c r="G1860" s="101">
        <v>46258.052083333336</v>
      </c>
      <c r="H1860" s="18" t="s">
        <v>507</v>
      </c>
      <c r="I1860" s="18" t="s">
        <v>508</v>
      </c>
      <c r="J1860" s="18"/>
      <c r="K1860" s="21">
        <f t="shared" si="84"/>
        <v>30.616666666755918</v>
      </c>
      <c r="L1860" s="19">
        <f t="shared" si="85"/>
        <v>153</v>
      </c>
      <c r="M1860" s="18" t="str">
        <f>IF(I1860&lt;&gt;"Sí","",IF(YEAR(F1860)&lt;&gt;2026,"",INDEX({"Enero","Febrero","Marzo","Abril","Mayo","Junio","Julio","Agosto","Septiembre","Octubre","Noviembre","Diciembre"},MONTH(F1860))))</f>
        <v>Agosto</v>
      </c>
      <c r="N1860" s="18" t="str">
        <f t="shared" si="86"/>
        <v>Agosto|153</v>
      </c>
    </row>
    <row r="1861" spans="1:14" ht="14.5" x14ac:dyDescent="0.25">
      <c r="A1861" s="19">
        <v>34</v>
      </c>
      <c r="B1861" s="18" t="s">
        <v>41</v>
      </c>
      <c r="C1861" s="18" t="s">
        <v>95</v>
      </c>
      <c r="D1861" s="18" t="s">
        <v>1807</v>
      </c>
      <c r="E1861" s="18" t="s">
        <v>2413</v>
      </c>
      <c r="F1861" s="101">
        <v>46256.779166666667</v>
      </c>
      <c r="G1861" s="101">
        <v>46258.032638888886</v>
      </c>
      <c r="H1861" s="18" t="s">
        <v>507</v>
      </c>
      <c r="I1861" s="18" t="s">
        <v>508</v>
      </c>
      <c r="J1861" s="18"/>
      <c r="K1861" s="21">
        <f t="shared" si="84"/>
        <v>30.083333333255723</v>
      </c>
      <c r="L1861" s="19">
        <f t="shared" si="85"/>
        <v>154</v>
      </c>
      <c r="M1861" s="18" t="str">
        <f>IF(I1861&lt;&gt;"Sí","",IF(YEAR(F1861)&lt;&gt;2026,"",INDEX({"Enero","Febrero","Marzo","Abril","Mayo","Junio","Julio","Agosto","Septiembre","Octubre","Noviembre","Diciembre"},MONTH(F1861))))</f>
        <v>Agosto</v>
      </c>
      <c r="N1861" s="18" t="str">
        <f t="shared" si="86"/>
        <v>Agosto|154</v>
      </c>
    </row>
    <row r="1862" spans="1:14" ht="14.5" x14ac:dyDescent="0.25">
      <c r="A1862" s="19">
        <v>34</v>
      </c>
      <c r="B1862" s="18" t="s">
        <v>41</v>
      </c>
      <c r="C1862" s="18" t="s">
        <v>95</v>
      </c>
      <c r="D1862" s="18" t="s">
        <v>1807</v>
      </c>
      <c r="E1862" s="18" t="s">
        <v>2414</v>
      </c>
      <c r="F1862" s="101">
        <v>46256.78125</v>
      </c>
      <c r="G1862" s="101">
        <v>46258.052083333336</v>
      </c>
      <c r="H1862" s="18" t="s">
        <v>507</v>
      </c>
      <c r="I1862" s="18" t="s">
        <v>508</v>
      </c>
      <c r="J1862" s="18"/>
      <c r="K1862" s="21">
        <f t="shared" si="84"/>
        <v>30.500000000058208</v>
      </c>
      <c r="L1862" s="19">
        <f t="shared" si="85"/>
        <v>155</v>
      </c>
      <c r="M1862" s="18" t="str">
        <f>IF(I1862&lt;&gt;"Sí","",IF(YEAR(F1862)&lt;&gt;2026,"",INDEX({"Enero","Febrero","Marzo","Abril","Mayo","Junio","Julio","Agosto","Septiembre","Octubre","Noviembre","Diciembre"},MONTH(F1862))))</f>
        <v>Agosto</v>
      </c>
      <c r="N1862" s="18" t="str">
        <f t="shared" si="86"/>
        <v>Agosto|155</v>
      </c>
    </row>
    <row r="1863" spans="1:14" ht="14.5" x14ac:dyDescent="0.25">
      <c r="A1863" s="19">
        <v>34</v>
      </c>
      <c r="B1863" s="18" t="s">
        <v>41</v>
      </c>
      <c r="C1863" s="18" t="s">
        <v>95</v>
      </c>
      <c r="D1863" s="18" t="s">
        <v>1807</v>
      </c>
      <c r="E1863" s="18" t="s">
        <v>2415</v>
      </c>
      <c r="F1863" s="101">
        <v>46256.782638888886</v>
      </c>
      <c r="G1863" s="101">
        <v>46258.052083333336</v>
      </c>
      <c r="H1863" s="18" t="s">
        <v>507</v>
      </c>
      <c r="I1863" s="18" t="s">
        <v>508</v>
      </c>
      <c r="J1863" s="18"/>
      <c r="K1863" s="21">
        <f t="shared" ref="K1863:K1926" si="87">IF(I1863="Sí",(G1863-F1863)*24,"")</f>
        <v>30.466666666790843</v>
      </c>
      <c r="L1863" s="19">
        <f t="shared" ref="L1863:L1926" si="88">IF(I1863="Sí",COUNTIFS($F$7:$F$4000,"&lt;="&amp;F1863,$G$7:$G$4000,"&gt;"&amp;F1863,$I$7:$I$4000,"Sí"),"")</f>
        <v>156</v>
      </c>
      <c r="M1863" s="18" t="str">
        <f>IF(I1863&lt;&gt;"Sí","",IF(YEAR(F1863)&lt;&gt;2026,"",INDEX({"Enero","Febrero","Marzo","Abril","Mayo","Junio","Julio","Agosto","Septiembre","Octubre","Noviembre","Diciembre"},MONTH(F1863))))</f>
        <v>Agosto</v>
      </c>
      <c r="N1863" s="18" t="str">
        <f t="shared" ref="N1863:N1926" si="89">IF(M1863="","",M1863&amp;"|"&amp;L1863)</f>
        <v>Agosto|156</v>
      </c>
    </row>
    <row r="1864" spans="1:14" ht="14.5" x14ac:dyDescent="0.25">
      <c r="A1864" s="19">
        <v>34</v>
      </c>
      <c r="B1864" s="18" t="s">
        <v>41</v>
      </c>
      <c r="C1864" s="18" t="s">
        <v>95</v>
      </c>
      <c r="D1864" s="18" t="s">
        <v>1807</v>
      </c>
      <c r="E1864" s="18" t="s">
        <v>2416</v>
      </c>
      <c r="F1864" s="101">
        <v>46256.784722222219</v>
      </c>
      <c r="G1864" s="101">
        <v>46258.052083333336</v>
      </c>
      <c r="H1864" s="18" t="s">
        <v>507</v>
      </c>
      <c r="I1864" s="18" t="s">
        <v>508</v>
      </c>
      <c r="J1864" s="18"/>
      <c r="K1864" s="21">
        <f t="shared" si="87"/>
        <v>30.416666666802485</v>
      </c>
      <c r="L1864" s="19">
        <f t="shared" si="88"/>
        <v>159</v>
      </c>
      <c r="M1864" s="18" t="str">
        <f>IF(I1864&lt;&gt;"Sí","",IF(YEAR(F1864)&lt;&gt;2026,"",INDEX({"Enero","Febrero","Marzo","Abril","Mayo","Junio","Julio","Agosto","Septiembre","Octubre","Noviembre","Diciembre"},MONTH(F1864))))</f>
        <v>Agosto</v>
      </c>
      <c r="N1864" s="18" t="str">
        <f t="shared" si="89"/>
        <v>Agosto|159</v>
      </c>
    </row>
    <row r="1865" spans="1:14" ht="14.5" x14ac:dyDescent="0.25">
      <c r="A1865" s="19">
        <v>34</v>
      </c>
      <c r="B1865" s="18" t="s">
        <v>41</v>
      </c>
      <c r="C1865" s="18" t="s">
        <v>95</v>
      </c>
      <c r="D1865" s="18" t="s">
        <v>1807</v>
      </c>
      <c r="E1865" s="18" t="s">
        <v>2417</v>
      </c>
      <c r="F1865" s="101">
        <v>46256.784722222219</v>
      </c>
      <c r="G1865" s="101">
        <v>46258.477083333331</v>
      </c>
      <c r="H1865" s="18" t="s">
        <v>507</v>
      </c>
      <c r="I1865" s="18" t="s">
        <v>508</v>
      </c>
      <c r="J1865" s="18"/>
      <c r="K1865" s="21">
        <f t="shared" si="87"/>
        <v>40.616666666697711</v>
      </c>
      <c r="L1865" s="19">
        <f t="shared" si="88"/>
        <v>159</v>
      </c>
      <c r="M1865" s="18" t="str">
        <f>IF(I1865&lt;&gt;"Sí","",IF(YEAR(F1865)&lt;&gt;2026,"",INDEX({"Enero","Febrero","Marzo","Abril","Mayo","Junio","Julio","Agosto","Septiembre","Octubre","Noviembre","Diciembre"},MONTH(F1865))))</f>
        <v>Agosto</v>
      </c>
      <c r="N1865" s="18" t="str">
        <f t="shared" si="89"/>
        <v>Agosto|159</v>
      </c>
    </row>
    <row r="1866" spans="1:14" ht="14.5" x14ac:dyDescent="0.25">
      <c r="A1866" s="19">
        <v>34</v>
      </c>
      <c r="B1866" s="18" t="s">
        <v>41</v>
      </c>
      <c r="C1866" s="18" t="s">
        <v>95</v>
      </c>
      <c r="D1866" s="18" t="s">
        <v>1807</v>
      </c>
      <c r="E1866" s="18" t="s">
        <v>2418</v>
      </c>
      <c r="F1866" s="101">
        <v>46256.784722222219</v>
      </c>
      <c r="G1866" s="101">
        <v>46258.477083333331</v>
      </c>
      <c r="H1866" s="18" t="s">
        <v>507</v>
      </c>
      <c r="I1866" s="18" t="s">
        <v>508</v>
      </c>
      <c r="J1866" s="18"/>
      <c r="K1866" s="21">
        <f t="shared" si="87"/>
        <v>40.616666666697711</v>
      </c>
      <c r="L1866" s="19">
        <f t="shared" si="88"/>
        <v>159</v>
      </c>
      <c r="M1866" s="18" t="str">
        <f>IF(I1866&lt;&gt;"Sí","",IF(YEAR(F1866)&lt;&gt;2026,"",INDEX({"Enero","Febrero","Marzo","Abril","Mayo","Junio","Julio","Agosto","Septiembre","Octubre","Noviembre","Diciembre"},MONTH(F1866))))</f>
        <v>Agosto</v>
      </c>
      <c r="N1866" s="18" t="str">
        <f t="shared" si="89"/>
        <v>Agosto|159</v>
      </c>
    </row>
    <row r="1867" spans="1:14" ht="14.5" x14ac:dyDescent="0.25">
      <c r="A1867" s="19">
        <v>34</v>
      </c>
      <c r="B1867" s="18" t="s">
        <v>41</v>
      </c>
      <c r="C1867" s="18" t="s">
        <v>95</v>
      </c>
      <c r="D1867" s="18" t="s">
        <v>1807</v>
      </c>
      <c r="E1867" s="18" t="s">
        <v>2419</v>
      </c>
      <c r="F1867" s="101">
        <v>46256.786111111112</v>
      </c>
      <c r="G1867" s="101">
        <v>46258.5</v>
      </c>
      <c r="H1867" s="18" t="s">
        <v>507</v>
      </c>
      <c r="I1867" s="18" t="s">
        <v>508</v>
      </c>
      <c r="J1867" s="18"/>
      <c r="K1867" s="21">
        <f t="shared" si="87"/>
        <v>41.133333333302289</v>
      </c>
      <c r="L1867" s="19">
        <f t="shared" si="88"/>
        <v>161</v>
      </c>
      <c r="M1867" s="18" t="str">
        <f>IF(I1867&lt;&gt;"Sí","",IF(YEAR(F1867)&lt;&gt;2026,"",INDEX({"Enero","Febrero","Marzo","Abril","Mayo","Junio","Julio","Agosto","Septiembre","Octubre","Noviembre","Diciembre"},MONTH(F1867))))</f>
        <v>Agosto</v>
      </c>
      <c r="N1867" s="18" t="str">
        <f t="shared" si="89"/>
        <v>Agosto|161</v>
      </c>
    </row>
    <row r="1868" spans="1:14" ht="14.5" x14ac:dyDescent="0.25">
      <c r="A1868" s="19">
        <v>34</v>
      </c>
      <c r="B1868" s="18" t="s">
        <v>41</v>
      </c>
      <c r="C1868" s="18" t="s">
        <v>95</v>
      </c>
      <c r="D1868" s="18" t="s">
        <v>1807</v>
      </c>
      <c r="E1868" s="18" t="s">
        <v>2420</v>
      </c>
      <c r="F1868" s="101">
        <v>46256.786111111112</v>
      </c>
      <c r="G1868" s="101">
        <v>46258.477083333331</v>
      </c>
      <c r="H1868" s="18" t="s">
        <v>507</v>
      </c>
      <c r="I1868" s="18" t="s">
        <v>508</v>
      </c>
      <c r="J1868" s="18"/>
      <c r="K1868" s="21">
        <f t="shared" si="87"/>
        <v>40.583333333255723</v>
      </c>
      <c r="L1868" s="19">
        <f t="shared" si="88"/>
        <v>161</v>
      </c>
      <c r="M1868" s="18" t="str">
        <f>IF(I1868&lt;&gt;"Sí","",IF(YEAR(F1868)&lt;&gt;2026,"",INDEX({"Enero","Febrero","Marzo","Abril","Mayo","Junio","Julio","Agosto","Septiembre","Octubre","Noviembre","Diciembre"},MONTH(F1868))))</f>
        <v>Agosto</v>
      </c>
      <c r="N1868" s="18" t="str">
        <f t="shared" si="89"/>
        <v>Agosto|161</v>
      </c>
    </row>
    <row r="1869" spans="1:14" ht="14.5" x14ac:dyDescent="0.25">
      <c r="A1869" s="19">
        <v>34</v>
      </c>
      <c r="B1869" s="18" t="s">
        <v>41</v>
      </c>
      <c r="C1869" s="18" t="s">
        <v>95</v>
      </c>
      <c r="D1869" s="18" t="s">
        <v>1807</v>
      </c>
      <c r="E1869" s="18" t="s">
        <v>2421</v>
      </c>
      <c r="F1869" s="101">
        <v>46256.795138888891</v>
      </c>
      <c r="G1869" s="101">
        <v>46258.477083333331</v>
      </c>
      <c r="H1869" s="18" t="s">
        <v>507</v>
      </c>
      <c r="I1869" s="18" t="s">
        <v>508</v>
      </c>
      <c r="J1869" s="18"/>
      <c r="K1869" s="21">
        <f t="shared" si="87"/>
        <v>40.366666666581295</v>
      </c>
      <c r="L1869" s="19">
        <f t="shared" si="88"/>
        <v>162</v>
      </c>
      <c r="M1869" s="18" t="str">
        <f>IF(I1869&lt;&gt;"Sí","",IF(YEAR(F1869)&lt;&gt;2026,"",INDEX({"Enero","Febrero","Marzo","Abril","Mayo","Junio","Julio","Agosto","Septiembre","Octubre","Noviembre","Diciembre"},MONTH(F1869))))</f>
        <v>Agosto</v>
      </c>
      <c r="N1869" s="18" t="str">
        <f t="shared" si="89"/>
        <v>Agosto|162</v>
      </c>
    </row>
    <row r="1870" spans="1:14" ht="14.5" x14ac:dyDescent="0.25">
      <c r="A1870" s="19">
        <v>34</v>
      </c>
      <c r="B1870" s="18" t="s">
        <v>41</v>
      </c>
      <c r="C1870" s="18" t="s">
        <v>95</v>
      </c>
      <c r="D1870" s="18" t="s">
        <v>1807</v>
      </c>
      <c r="E1870" s="18" t="s">
        <v>2422</v>
      </c>
      <c r="F1870" s="101">
        <v>46256.798611111109</v>
      </c>
      <c r="G1870" s="101">
        <v>46258.477083333331</v>
      </c>
      <c r="H1870" s="18" t="s">
        <v>507</v>
      </c>
      <c r="I1870" s="18" t="s">
        <v>508</v>
      </c>
      <c r="J1870" s="18"/>
      <c r="K1870" s="21">
        <f t="shared" si="87"/>
        <v>40.283333333325572</v>
      </c>
      <c r="L1870" s="19">
        <f t="shared" si="88"/>
        <v>163</v>
      </c>
      <c r="M1870" s="18" t="str">
        <f>IF(I1870&lt;&gt;"Sí","",IF(YEAR(F1870)&lt;&gt;2026,"",INDEX({"Enero","Febrero","Marzo","Abril","Mayo","Junio","Julio","Agosto","Septiembre","Octubre","Noviembre","Diciembre"},MONTH(F1870))))</f>
        <v>Agosto</v>
      </c>
      <c r="N1870" s="18" t="str">
        <f t="shared" si="89"/>
        <v>Agosto|163</v>
      </c>
    </row>
    <row r="1871" spans="1:14" ht="14.5" x14ac:dyDescent="0.25">
      <c r="A1871" s="19">
        <v>34</v>
      </c>
      <c r="B1871" s="18" t="s">
        <v>41</v>
      </c>
      <c r="C1871" s="18" t="s">
        <v>95</v>
      </c>
      <c r="D1871" s="18" t="s">
        <v>1807</v>
      </c>
      <c r="E1871" s="18" t="s">
        <v>2423</v>
      </c>
      <c r="F1871" s="101">
        <v>46256.802083333336</v>
      </c>
      <c r="G1871" s="101">
        <v>46258.477083333331</v>
      </c>
      <c r="H1871" s="18" t="s">
        <v>507</v>
      </c>
      <c r="I1871" s="18" t="s">
        <v>508</v>
      </c>
      <c r="J1871" s="18"/>
      <c r="K1871" s="21">
        <f t="shared" si="87"/>
        <v>40.199999999895226</v>
      </c>
      <c r="L1871" s="19">
        <f t="shared" si="88"/>
        <v>164</v>
      </c>
      <c r="M1871" s="18" t="str">
        <f>IF(I1871&lt;&gt;"Sí","",IF(YEAR(F1871)&lt;&gt;2026,"",INDEX({"Enero","Febrero","Marzo","Abril","Mayo","Junio","Julio","Agosto","Septiembre","Octubre","Noviembre","Diciembre"},MONTH(F1871))))</f>
        <v>Agosto</v>
      </c>
      <c r="N1871" s="18" t="str">
        <f t="shared" si="89"/>
        <v>Agosto|164</v>
      </c>
    </row>
    <row r="1872" spans="1:14" ht="14.5" x14ac:dyDescent="0.25">
      <c r="A1872" s="19">
        <v>34</v>
      </c>
      <c r="B1872" s="18" t="s">
        <v>41</v>
      </c>
      <c r="C1872" s="18" t="s">
        <v>95</v>
      </c>
      <c r="D1872" s="18" t="s">
        <v>1807</v>
      </c>
      <c r="E1872" s="18" t="s">
        <v>2424</v>
      </c>
      <c r="F1872" s="101">
        <v>46256.803472222222</v>
      </c>
      <c r="G1872" s="101">
        <v>46258.477083333331</v>
      </c>
      <c r="H1872" s="18" t="s">
        <v>507</v>
      </c>
      <c r="I1872" s="18" t="s">
        <v>508</v>
      </c>
      <c r="J1872" s="18"/>
      <c r="K1872" s="21">
        <f t="shared" si="87"/>
        <v>40.166666666627862</v>
      </c>
      <c r="L1872" s="19">
        <f t="shared" si="88"/>
        <v>165</v>
      </c>
      <c r="M1872" s="18" t="str">
        <f>IF(I1872&lt;&gt;"Sí","",IF(YEAR(F1872)&lt;&gt;2026,"",INDEX({"Enero","Febrero","Marzo","Abril","Mayo","Junio","Julio","Agosto","Septiembre","Octubre","Noviembre","Diciembre"},MONTH(F1872))))</f>
        <v>Agosto</v>
      </c>
      <c r="N1872" s="18" t="str">
        <f t="shared" si="89"/>
        <v>Agosto|165</v>
      </c>
    </row>
    <row r="1873" spans="1:14" ht="14.5" x14ac:dyDescent="0.25">
      <c r="A1873" s="19">
        <v>34</v>
      </c>
      <c r="B1873" s="18" t="s">
        <v>41</v>
      </c>
      <c r="C1873" s="18" t="s">
        <v>95</v>
      </c>
      <c r="D1873" s="18" t="s">
        <v>1807</v>
      </c>
      <c r="E1873" s="18" t="s">
        <v>2425</v>
      </c>
      <c r="F1873" s="101">
        <v>46256.804861111108</v>
      </c>
      <c r="G1873" s="101">
        <v>46258.477083333331</v>
      </c>
      <c r="H1873" s="18" t="s">
        <v>507</v>
      </c>
      <c r="I1873" s="18" t="s">
        <v>508</v>
      </c>
      <c r="J1873" s="18"/>
      <c r="K1873" s="21">
        <f t="shared" si="87"/>
        <v>40.133333333360497</v>
      </c>
      <c r="L1873" s="19">
        <f t="shared" si="88"/>
        <v>166</v>
      </c>
      <c r="M1873" s="18" t="str">
        <f>IF(I1873&lt;&gt;"Sí","",IF(YEAR(F1873)&lt;&gt;2026,"",INDEX({"Enero","Febrero","Marzo","Abril","Mayo","Junio","Julio","Agosto","Septiembre","Octubre","Noviembre","Diciembre"},MONTH(F1873))))</f>
        <v>Agosto</v>
      </c>
      <c r="N1873" s="18" t="str">
        <f t="shared" si="89"/>
        <v>Agosto|166</v>
      </c>
    </row>
    <row r="1874" spans="1:14" ht="14.5" x14ac:dyDescent="0.25">
      <c r="A1874" s="19">
        <v>34</v>
      </c>
      <c r="B1874" s="18" t="s">
        <v>41</v>
      </c>
      <c r="C1874" s="18" t="s">
        <v>95</v>
      </c>
      <c r="D1874" s="18" t="s">
        <v>1807</v>
      </c>
      <c r="E1874" s="18" t="s">
        <v>2426</v>
      </c>
      <c r="F1874" s="101">
        <v>46256.836805555555</v>
      </c>
      <c r="G1874" s="101">
        <v>46258.477083333331</v>
      </c>
      <c r="H1874" s="18" t="s">
        <v>507</v>
      </c>
      <c r="I1874" s="18" t="s">
        <v>508</v>
      </c>
      <c r="J1874" s="18"/>
      <c r="K1874" s="21">
        <f t="shared" si="87"/>
        <v>39.366666666639503</v>
      </c>
      <c r="L1874" s="19">
        <f t="shared" si="88"/>
        <v>167</v>
      </c>
      <c r="M1874" s="18" t="str">
        <f>IF(I1874&lt;&gt;"Sí","",IF(YEAR(F1874)&lt;&gt;2026,"",INDEX({"Enero","Febrero","Marzo","Abril","Mayo","Junio","Julio","Agosto","Septiembre","Octubre","Noviembre","Diciembre"},MONTH(F1874))))</f>
        <v>Agosto</v>
      </c>
      <c r="N1874" s="18" t="str">
        <f t="shared" si="89"/>
        <v>Agosto|167</v>
      </c>
    </row>
    <row r="1875" spans="1:14" ht="14.5" x14ac:dyDescent="0.25">
      <c r="A1875" s="19">
        <v>34</v>
      </c>
      <c r="B1875" s="18" t="s">
        <v>41</v>
      </c>
      <c r="C1875" s="18" t="s">
        <v>95</v>
      </c>
      <c r="D1875" s="18" t="s">
        <v>1807</v>
      </c>
      <c r="E1875" s="18" t="s">
        <v>2427</v>
      </c>
      <c r="F1875" s="101">
        <v>46256.839583333334</v>
      </c>
      <c r="G1875" s="101">
        <v>46258.470138888886</v>
      </c>
      <c r="H1875" s="18" t="s">
        <v>507</v>
      </c>
      <c r="I1875" s="18" t="s">
        <v>508</v>
      </c>
      <c r="J1875" s="18"/>
      <c r="K1875" s="21">
        <f t="shared" si="87"/>
        <v>39.133333333244082</v>
      </c>
      <c r="L1875" s="19">
        <f t="shared" si="88"/>
        <v>168</v>
      </c>
      <c r="M1875" s="18" t="str">
        <f>IF(I1875&lt;&gt;"Sí","",IF(YEAR(F1875)&lt;&gt;2026,"",INDEX({"Enero","Febrero","Marzo","Abril","Mayo","Junio","Julio","Agosto","Septiembre","Octubre","Noviembre","Diciembre"},MONTH(F1875))))</f>
        <v>Agosto</v>
      </c>
      <c r="N1875" s="18" t="str">
        <f t="shared" si="89"/>
        <v>Agosto|168</v>
      </c>
    </row>
    <row r="1876" spans="1:14" ht="14.5" x14ac:dyDescent="0.25">
      <c r="A1876" s="19">
        <v>34</v>
      </c>
      <c r="B1876" s="18" t="s">
        <v>41</v>
      </c>
      <c r="C1876" s="18" t="s">
        <v>95</v>
      </c>
      <c r="D1876" s="18" t="s">
        <v>1807</v>
      </c>
      <c r="E1876" s="18" t="s">
        <v>2428</v>
      </c>
      <c r="F1876" s="101">
        <v>46256.841666666667</v>
      </c>
      <c r="G1876" s="101">
        <v>46258.470138888886</v>
      </c>
      <c r="H1876" s="18" t="s">
        <v>507</v>
      </c>
      <c r="I1876" s="18" t="s">
        <v>508</v>
      </c>
      <c r="J1876" s="18"/>
      <c r="K1876" s="21">
        <f t="shared" si="87"/>
        <v>39.083333333255723</v>
      </c>
      <c r="L1876" s="19">
        <f t="shared" si="88"/>
        <v>170</v>
      </c>
      <c r="M1876" s="18" t="str">
        <f>IF(I1876&lt;&gt;"Sí","",IF(YEAR(F1876)&lt;&gt;2026,"",INDEX({"Enero","Febrero","Marzo","Abril","Mayo","Junio","Julio","Agosto","Septiembre","Octubre","Noviembre","Diciembre"},MONTH(F1876))))</f>
        <v>Agosto</v>
      </c>
      <c r="N1876" s="18" t="str">
        <f t="shared" si="89"/>
        <v>Agosto|170</v>
      </c>
    </row>
    <row r="1877" spans="1:14" ht="14.5" x14ac:dyDescent="0.25">
      <c r="A1877" s="19">
        <v>34</v>
      </c>
      <c r="B1877" s="18" t="s">
        <v>41</v>
      </c>
      <c r="C1877" s="18" t="s">
        <v>95</v>
      </c>
      <c r="D1877" s="18" t="s">
        <v>1807</v>
      </c>
      <c r="E1877" s="18" t="s">
        <v>2429</v>
      </c>
      <c r="F1877" s="101">
        <v>46256.841666666667</v>
      </c>
      <c r="G1877" s="101">
        <v>46258.470138888886</v>
      </c>
      <c r="H1877" s="18" t="s">
        <v>507</v>
      </c>
      <c r="I1877" s="18" t="s">
        <v>508</v>
      </c>
      <c r="J1877" s="18"/>
      <c r="K1877" s="21">
        <f t="shared" si="87"/>
        <v>39.083333333255723</v>
      </c>
      <c r="L1877" s="19">
        <f t="shared" si="88"/>
        <v>170</v>
      </c>
      <c r="M1877" s="18" t="str">
        <f>IF(I1877&lt;&gt;"Sí","",IF(YEAR(F1877)&lt;&gt;2026,"",INDEX({"Enero","Febrero","Marzo","Abril","Mayo","Junio","Julio","Agosto","Septiembre","Octubre","Noviembre","Diciembre"},MONTH(F1877))))</f>
        <v>Agosto</v>
      </c>
      <c r="N1877" s="18" t="str">
        <f t="shared" si="89"/>
        <v>Agosto|170</v>
      </c>
    </row>
    <row r="1878" spans="1:14" ht="14.5" x14ac:dyDescent="0.25">
      <c r="A1878" s="19">
        <v>34</v>
      </c>
      <c r="B1878" s="18" t="s">
        <v>41</v>
      </c>
      <c r="C1878" s="18" t="s">
        <v>95</v>
      </c>
      <c r="D1878" s="18" t="s">
        <v>1807</v>
      </c>
      <c r="E1878" s="18" t="s">
        <v>2430</v>
      </c>
      <c r="F1878" s="101">
        <v>46256.84375</v>
      </c>
      <c r="G1878" s="101">
        <v>46258.470138888886</v>
      </c>
      <c r="H1878" s="18" t="s">
        <v>507</v>
      </c>
      <c r="I1878" s="18" t="s">
        <v>508</v>
      </c>
      <c r="J1878" s="18"/>
      <c r="K1878" s="21">
        <f t="shared" si="87"/>
        <v>39.033333333267365</v>
      </c>
      <c r="L1878" s="19">
        <f t="shared" si="88"/>
        <v>171</v>
      </c>
      <c r="M1878" s="18" t="str">
        <f>IF(I1878&lt;&gt;"Sí","",IF(YEAR(F1878)&lt;&gt;2026,"",INDEX({"Enero","Febrero","Marzo","Abril","Mayo","Junio","Julio","Agosto","Septiembre","Octubre","Noviembre","Diciembre"},MONTH(F1878))))</f>
        <v>Agosto</v>
      </c>
      <c r="N1878" s="18" t="str">
        <f t="shared" si="89"/>
        <v>Agosto|171</v>
      </c>
    </row>
    <row r="1879" spans="1:14" ht="14.5" x14ac:dyDescent="0.25">
      <c r="A1879" s="19">
        <v>34</v>
      </c>
      <c r="B1879" s="18" t="s">
        <v>41</v>
      </c>
      <c r="C1879" s="18" t="s">
        <v>95</v>
      </c>
      <c r="D1879" s="18" t="s">
        <v>1807</v>
      </c>
      <c r="E1879" s="18" t="s">
        <v>2431</v>
      </c>
      <c r="F1879" s="101">
        <v>46256.845138888886</v>
      </c>
      <c r="G1879" s="101">
        <v>46258.470138888886</v>
      </c>
      <c r="H1879" s="18" t="s">
        <v>507</v>
      </c>
      <c r="I1879" s="18" t="s">
        <v>508</v>
      </c>
      <c r="J1879" s="18"/>
      <c r="K1879" s="21">
        <f t="shared" si="87"/>
        <v>39</v>
      </c>
      <c r="L1879" s="19">
        <f t="shared" si="88"/>
        <v>172</v>
      </c>
      <c r="M1879" s="18" t="str">
        <f>IF(I1879&lt;&gt;"Sí","",IF(YEAR(F1879)&lt;&gt;2026,"",INDEX({"Enero","Febrero","Marzo","Abril","Mayo","Junio","Julio","Agosto","Septiembre","Octubre","Noviembre","Diciembre"},MONTH(F1879))))</f>
        <v>Agosto</v>
      </c>
      <c r="N1879" s="18" t="str">
        <f t="shared" si="89"/>
        <v>Agosto|172</v>
      </c>
    </row>
    <row r="1880" spans="1:14" ht="14.5" x14ac:dyDescent="0.25">
      <c r="A1880" s="19">
        <v>34</v>
      </c>
      <c r="B1880" s="18" t="s">
        <v>41</v>
      </c>
      <c r="C1880" s="18" t="s">
        <v>95</v>
      </c>
      <c r="D1880" s="18" t="s">
        <v>1807</v>
      </c>
      <c r="E1880" s="18" t="s">
        <v>2432</v>
      </c>
      <c r="F1880" s="101">
        <v>46256.850694444445</v>
      </c>
      <c r="G1880" s="101">
        <v>46258.107638888891</v>
      </c>
      <c r="H1880" s="18" t="s">
        <v>507</v>
      </c>
      <c r="I1880" s="18" t="s">
        <v>508</v>
      </c>
      <c r="J1880" s="18"/>
      <c r="K1880" s="21">
        <f t="shared" si="87"/>
        <v>30.166666666686069</v>
      </c>
      <c r="L1880" s="19">
        <f t="shared" si="88"/>
        <v>173</v>
      </c>
      <c r="M1880" s="18" t="str">
        <f>IF(I1880&lt;&gt;"Sí","",IF(YEAR(F1880)&lt;&gt;2026,"",INDEX({"Enero","Febrero","Marzo","Abril","Mayo","Junio","Julio","Agosto","Septiembre","Octubre","Noviembre","Diciembre"},MONTH(F1880))))</f>
        <v>Agosto</v>
      </c>
      <c r="N1880" s="18" t="str">
        <f t="shared" si="89"/>
        <v>Agosto|173</v>
      </c>
    </row>
    <row r="1881" spans="1:14" ht="14.5" x14ac:dyDescent="0.25">
      <c r="A1881" s="19">
        <v>34</v>
      </c>
      <c r="B1881" s="18" t="s">
        <v>41</v>
      </c>
      <c r="C1881" s="18" t="s">
        <v>95</v>
      </c>
      <c r="D1881" s="18" t="s">
        <v>1807</v>
      </c>
      <c r="E1881" s="18" t="s">
        <v>2433</v>
      </c>
      <c r="F1881" s="101">
        <v>46256.851388888892</v>
      </c>
      <c r="G1881" s="101">
        <v>46258.106249999997</v>
      </c>
      <c r="H1881" s="18" t="s">
        <v>507</v>
      </c>
      <c r="I1881" s="18" t="s">
        <v>508</v>
      </c>
      <c r="J1881" s="18"/>
      <c r="K1881" s="21">
        <f t="shared" si="87"/>
        <v>30.116666666523088</v>
      </c>
      <c r="L1881" s="19">
        <f t="shared" si="88"/>
        <v>174</v>
      </c>
      <c r="M1881" s="18" t="str">
        <f>IF(I1881&lt;&gt;"Sí","",IF(YEAR(F1881)&lt;&gt;2026,"",INDEX({"Enero","Febrero","Marzo","Abril","Mayo","Junio","Julio","Agosto","Septiembre","Octubre","Noviembre","Diciembre"},MONTH(F1881))))</f>
        <v>Agosto</v>
      </c>
      <c r="N1881" s="18" t="str">
        <f t="shared" si="89"/>
        <v>Agosto|174</v>
      </c>
    </row>
    <row r="1882" spans="1:14" ht="14.5" x14ac:dyDescent="0.25">
      <c r="A1882" s="19">
        <v>34</v>
      </c>
      <c r="B1882" s="18" t="s">
        <v>41</v>
      </c>
      <c r="C1882" s="18" t="s">
        <v>95</v>
      </c>
      <c r="D1882" s="18" t="s">
        <v>1807</v>
      </c>
      <c r="E1882" s="18" t="s">
        <v>2434</v>
      </c>
      <c r="F1882" s="101">
        <v>46256.854166666664</v>
      </c>
      <c r="G1882" s="101">
        <v>46258.103472222225</v>
      </c>
      <c r="H1882" s="18" t="s">
        <v>507</v>
      </c>
      <c r="I1882" s="18" t="s">
        <v>508</v>
      </c>
      <c r="J1882" s="18"/>
      <c r="K1882" s="21">
        <f t="shared" si="87"/>
        <v>29.983333333453629</v>
      </c>
      <c r="L1882" s="19">
        <f t="shared" si="88"/>
        <v>175</v>
      </c>
      <c r="M1882" s="18" t="str">
        <f>IF(I1882&lt;&gt;"Sí","",IF(YEAR(F1882)&lt;&gt;2026,"",INDEX({"Enero","Febrero","Marzo","Abril","Mayo","Junio","Julio","Agosto","Septiembre","Octubre","Noviembre","Diciembre"},MONTH(F1882))))</f>
        <v>Agosto</v>
      </c>
      <c r="N1882" s="18" t="str">
        <f t="shared" si="89"/>
        <v>Agosto|175</v>
      </c>
    </row>
    <row r="1883" spans="1:14" ht="14.5" x14ac:dyDescent="0.25">
      <c r="A1883" s="19">
        <v>34</v>
      </c>
      <c r="B1883" s="18" t="s">
        <v>41</v>
      </c>
      <c r="C1883" s="18" t="s">
        <v>95</v>
      </c>
      <c r="D1883" s="18" t="s">
        <v>1807</v>
      </c>
      <c r="E1883" s="18" t="s">
        <v>2435</v>
      </c>
      <c r="F1883" s="101">
        <v>46256.855555555558</v>
      </c>
      <c r="G1883" s="101">
        <v>46258.101388888892</v>
      </c>
      <c r="H1883" s="18" t="s">
        <v>507</v>
      </c>
      <c r="I1883" s="18" t="s">
        <v>508</v>
      </c>
      <c r="J1883" s="18"/>
      <c r="K1883" s="21">
        <f t="shared" si="87"/>
        <v>29.900000000023283</v>
      </c>
      <c r="L1883" s="19">
        <f t="shared" si="88"/>
        <v>176</v>
      </c>
      <c r="M1883" s="18" t="str">
        <f>IF(I1883&lt;&gt;"Sí","",IF(YEAR(F1883)&lt;&gt;2026,"",INDEX({"Enero","Febrero","Marzo","Abril","Mayo","Junio","Julio","Agosto","Septiembre","Octubre","Noviembre","Diciembre"},MONTH(F1883))))</f>
        <v>Agosto</v>
      </c>
      <c r="N1883" s="18" t="str">
        <f t="shared" si="89"/>
        <v>Agosto|176</v>
      </c>
    </row>
    <row r="1884" spans="1:14" ht="14.5" x14ac:dyDescent="0.25">
      <c r="A1884" s="19">
        <v>34</v>
      </c>
      <c r="B1884" s="18" t="s">
        <v>41</v>
      </c>
      <c r="C1884" s="18" t="s">
        <v>95</v>
      </c>
      <c r="D1884" s="18" t="s">
        <v>1807</v>
      </c>
      <c r="E1884" s="18" t="s">
        <v>2436</v>
      </c>
      <c r="F1884" s="101">
        <v>46256.857638888891</v>
      </c>
      <c r="G1884" s="101">
        <v>46258.541666666664</v>
      </c>
      <c r="H1884" s="18" t="s">
        <v>507</v>
      </c>
      <c r="I1884" s="18" t="s">
        <v>508</v>
      </c>
      <c r="J1884" s="18"/>
      <c r="K1884" s="21">
        <f t="shared" si="87"/>
        <v>40.416666666569654</v>
      </c>
      <c r="L1884" s="19">
        <f t="shared" si="88"/>
        <v>178</v>
      </c>
      <c r="M1884" s="18" t="str">
        <f>IF(I1884&lt;&gt;"Sí","",IF(YEAR(F1884)&lt;&gt;2026,"",INDEX({"Enero","Febrero","Marzo","Abril","Mayo","Junio","Julio","Agosto","Septiembre","Octubre","Noviembre","Diciembre"},MONTH(F1884))))</f>
        <v>Agosto</v>
      </c>
      <c r="N1884" s="18" t="str">
        <f t="shared" si="89"/>
        <v>Agosto|178</v>
      </c>
    </row>
    <row r="1885" spans="1:14" ht="14.5" x14ac:dyDescent="0.25">
      <c r="A1885" s="19">
        <v>34</v>
      </c>
      <c r="B1885" s="18" t="s">
        <v>41</v>
      </c>
      <c r="C1885" s="18" t="s">
        <v>95</v>
      </c>
      <c r="D1885" s="18" t="s">
        <v>1807</v>
      </c>
      <c r="E1885" s="18" t="s">
        <v>2437</v>
      </c>
      <c r="F1885" s="101">
        <v>46256.857638888891</v>
      </c>
      <c r="G1885" s="101">
        <v>46258.541666666664</v>
      </c>
      <c r="H1885" s="18" t="s">
        <v>507</v>
      </c>
      <c r="I1885" s="18" t="s">
        <v>508</v>
      </c>
      <c r="J1885" s="18"/>
      <c r="K1885" s="21">
        <f t="shared" si="87"/>
        <v>40.416666666569654</v>
      </c>
      <c r="L1885" s="19">
        <f t="shared" si="88"/>
        <v>178</v>
      </c>
      <c r="M1885" s="18" t="str">
        <f>IF(I1885&lt;&gt;"Sí","",IF(YEAR(F1885)&lt;&gt;2026,"",INDEX({"Enero","Febrero","Marzo","Abril","Mayo","Junio","Julio","Agosto","Septiembre","Octubre","Noviembre","Diciembre"},MONTH(F1885))))</f>
        <v>Agosto</v>
      </c>
      <c r="N1885" s="18" t="str">
        <f t="shared" si="89"/>
        <v>Agosto|178</v>
      </c>
    </row>
    <row r="1886" spans="1:14" ht="14.5" x14ac:dyDescent="0.25">
      <c r="A1886" s="19">
        <v>34</v>
      </c>
      <c r="B1886" s="18" t="s">
        <v>41</v>
      </c>
      <c r="C1886" s="18" t="s">
        <v>95</v>
      </c>
      <c r="D1886" s="18" t="s">
        <v>1807</v>
      </c>
      <c r="E1886" s="18" t="s">
        <v>2438</v>
      </c>
      <c r="F1886" s="101">
        <v>46256.859722222223</v>
      </c>
      <c r="G1886" s="101">
        <v>46258.541666666664</v>
      </c>
      <c r="H1886" s="18" t="s">
        <v>507</v>
      </c>
      <c r="I1886" s="18" t="s">
        <v>508</v>
      </c>
      <c r="J1886" s="18"/>
      <c r="K1886" s="21">
        <f t="shared" si="87"/>
        <v>40.366666666581295</v>
      </c>
      <c r="L1886" s="19">
        <f t="shared" si="88"/>
        <v>179</v>
      </c>
      <c r="M1886" s="18" t="str">
        <f>IF(I1886&lt;&gt;"Sí","",IF(YEAR(F1886)&lt;&gt;2026,"",INDEX({"Enero","Febrero","Marzo","Abril","Mayo","Junio","Julio","Agosto","Septiembre","Octubre","Noviembre","Diciembre"},MONTH(F1886))))</f>
        <v>Agosto</v>
      </c>
      <c r="N1886" s="18" t="str">
        <f t="shared" si="89"/>
        <v>Agosto|179</v>
      </c>
    </row>
    <row r="1887" spans="1:14" ht="14.5" x14ac:dyDescent="0.25">
      <c r="A1887" s="19">
        <v>34</v>
      </c>
      <c r="B1887" s="18" t="s">
        <v>41</v>
      </c>
      <c r="C1887" s="18" t="s">
        <v>95</v>
      </c>
      <c r="D1887" s="18" t="s">
        <v>1807</v>
      </c>
      <c r="E1887" s="18" t="s">
        <v>2439</v>
      </c>
      <c r="F1887" s="101">
        <v>46256.861111111109</v>
      </c>
      <c r="G1887" s="101">
        <v>46258.541666666664</v>
      </c>
      <c r="H1887" s="18" t="s">
        <v>507</v>
      </c>
      <c r="I1887" s="18" t="s">
        <v>508</v>
      </c>
      <c r="J1887" s="18"/>
      <c r="K1887" s="21">
        <f t="shared" si="87"/>
        <v>40.333333333313931</v>
      </c>
      <c r="L1887" s="19">
        <f t="shared" si="88"/>
        <v>180</v>
      </c>
      <c r="M1887" s="18" t="str">
        <f>IF(I1887&lt;&gt;"Sí","",IF(YEAR(F1887)&lt;&gt;2026,"",INDEX({"Enero","Febrero","Marzo","Abril","Mayo","Junio","Julio","Agosto","Septiembre","Octubre","Noviembre","Diciembre"},MONTH(F1887))))</f>
        <v>Agosto</v>
      </c>
      <c r="N1887" s="18" t="str">
        <f t="shared" si="89"/>
        <v>Agosto|180</v>
      </c>
    </row>
    <row r="1888" spans="1:14" ht="14.5" x14ac:dyDescent="0.25">
      <c r="A1888" s="19">
        <v>34</v>
      </c>
      <c r="B1888" s="18" t="s">
        <v>41</v>
      </c>
      <c r="C1888" s="18" t="s">
        <v>95</v>
      </c>
      <c r="D1888" s="18" t="s">
        <v>1807</v>
      </c>
      <c r="E1888" s="18" t="s">
        <v>2440</v>
      </c>
      <c r="F1888" s="101">
        <v>46256.863888888889</v>
      </c>
      <c r="G1888" s="101">
        <v>46258.541666666664</v>
      </c>
      <c r="H1888" s="18" t="s">
        <v>507</v>
      </c>
      <c r="I1888" s="18" t="s">
        <v>508</v>
      </c>
      <c r="J1888" s="18"/>
      <c r="K1888" s="21">
        <f t="shared" si="87"/>
        <v>40.266666666604578</v>
      </c>
      <c r="L1888" s="19">
        <f t="shared" si="88"/>
        <v>181</v>
      </c>
      <c r="M1888" s="18" t="str">
        <f>IF(I1888&lt;&gt;"Sí","",IF(YEAR(F1888)&lt;&gt;2026,"",INDEX({"Enero","Febrero","Marzo","Abril","Mayo","Junio","Julio","Agosto","Septiembre","Octubre","Noviembre","Diciembre"},MONTH(F1888))))</f>
        <v>Agosto</v>
      </c>
      <c r="N1888" s="18" t="str">
        <f t="shared" si="89"/>
        <v>Agosto|181</v>
      </c>
    </row>
    <row r="1889" spans="1:14" ht="14.5" x14ac:dyDescent="0.25">
      <c r="A1889" s="19">
        <v>34</v>
      </c>
      <c r="B1889" s="18" t="s">
        <v>41</v>
      </c>
      <c r="C1889" s="18" t="s">
        <v>95</v>
      </c>
      <c r="D1889" s="18" t="s">
        <v>1807</v>
      </c>
      <c r="E1889" s="18" t="s">
        <v>2441</v>
      </c>
      <c r="F1889" s="101">
        <v>46256.865277777775</v>
      </c>
      <c r="G1889" s="101">
        <v>46258.541666666664</v>
      </c>
      <c r="H1889" s="18" t="s">
        <v>507</v>
      </c>
      <c r="I1889" s="18" t="s">
        <v>508</v>
      </c>
      <c r="J1889" s="18"/>
      <c r="K1889" s="21">
        <f t="shared" si="87"/>
        <v>40.233333333337214</v>
      </c>
      <c r="L1889" s="19">
        <f t="shared" si="88"/>
        <v>182</v>
      </c>
      <c r="M1889" s="18" t="str">
        <f>IF(I1889&lt;&gt;"Sí","",IF(YEAR(F1889)&lt;&gt;2026,"",INDEX({"Enero","Febrero","Marzo","Abril","Mayo","Junio","Julio","Agosto","Septiembre","Octubre","Noviembre","Diciembre"},MONTH(F1889))))</f>
        <v>Agosto</v>
      </c>
      <c r="N1889" s="18" t="str">
        <f t="shared" si="89"/>
        <v>Agosto|182</v>
      </c>
    </row>
    <row r="1890" spans="1:14" ht="14.5" x14ac:dyDescent="0.25">
      <c r="A1890" s="19">
        <v>34</v>
      </c>
      <c r="B1890" s="18" t="s">
        <v>41</v>
      </c>
      <c r="C1890" s="18" t="s">
        <v>95</v>
      </c>
      <c r="D1890" s="18" t="s">
        <v>1807</v>
      </c>
      <c r="E1890" s="18" t="s">
        <v>2442</v>
      </c>
      <c r="F1890" s="101">
        <v>46256.868055555555</v>
      </c>
      <c r="G1890" s="101">
        <v>46258.541666666664</v>
      </c>
      <c r="H1890" s="18" t="s">
        <v>507</v>
      </c>
      <c r="I1890" s="18" t="s">
        <v>508</v>
      </c>
      <c r="J1890" s="18"/>
      <c r="K1890" s="21">
        <f t="shared" si="87"/>
        <v>40.166666666627862</v>
      </c>
      <c r="L1890" s="19">
        <f t="shared" si="88"/>
        <v>183</v>
      </c>
      <c r="M1890" s="18" t="str">
        <f>IF(I1890&lt;&gt;"Sí","",IF(YEAR(F1890)&lt;&gt;2026,"",INDEX({"Enero","Febrero","Marzo","Abril","Mayo","Junio","Julio","Agosto","Septiembre","Octubre","Noviembre","Diciembre"},MONTH(F1890))))</f>
        <v>Agosto</v>
      </c>
      <c r="N1890" s="18" t="str">
        <f t="shared" si="89"/>
        <v>Agosto|183</v>
      </c>
    </row>
    <row r="1891" spans="1:14" ht="14.5" x14ac:dyDescent="0.25">
      <c r="A1891" s="19">
        <v>34</v>
      </c>
      <c r="B1891" s="18" t="s">
        <v>41</v>
      </c>
      <c r="C1891" s="18" t="s">
        <v>95</v>
      </c>
      <c r="D1891" s="18" t="s">
        <v>1807</v>
      </c>
      <c r="E1891" s="18" t="s">
        <v>2443</v>
      </c>
      <c r="F1891" s="101">
        <v>46256.871527777781</v>
      </c>
      <c r="G1891" s="101">
        <v>46258.541666666664</v>
      </c>
      <c r="H1891" s="18" t="s">
        <v>507</v>
      </c>
      <c r="I1891" s="18" t="s">
        <v>508</v>
      </c>
      <c r="J1891" s="18"/>
      <c r="K1891" s="21">
        <f t="shared" si="87"/>
        <v>40.083333333197515</v>
      </c>
      <c r="L1891" s="19">
        <f t="shared" si="88"/>
        <v>184</v>
      </c>
      <c r="M1891" s="18" t="str">
        <f>IF(I1891&lt;&gt;"Sí","",IF(YEAR(F1891)&lt;&gt;2026,"",INDEX({"Enero","Febrero","Marzo","Abril","Mayo","Junio","Julio","Agosto","Septiembre","Octubre","Noviembre","Diciembre"},MONTH(F1891))))</f>
        <v>Agosto</v>
      </c>
      <c r="N1891" s="18" t="str">
        <f t="shared" si="89"/>
        <v>Agosto|184</v>
      </c>
    </row>
    <row r="1892" spans="1:14" ht="14.5" x14ac:dyDescent="0.25">
      <c r="A1892" s="19">
        <v>34</v>
      </c>
      <c r="B1892" s="18" t="s">
        <v>41</v>
      </c>
      <c r="C1892" s="18" t="s">
        <v>95</v>
      </c>
      <c r="D1892" s="18" t="s">
        <v>1807</v>
      </c>
      <c r="E1892" s="18" t="s">
        <v>2444</v>
      </c>
      <c r="F1892" s="101">
        <v>46256.875</v>
      </c>
      <c r="G1892" s="101">
        <v>46258.541666666664</v>
      </c>
      <c r="H1892" s="18" t="s">
        <v>507</v>
      </c>
      <c r="I1892" s="18" t="s">
        <v>508</v>
      </c>
      <c r="J1892" s="18"/>
      <c r="K1892" s="21">
        <f t="shared" si="87"/>
        <v>39.999999999941792</v>
      </c>
      <c r="L1892" s="19">
        <f t="shared" si="88"/>
        <v>185</v>
      </c>
      <c r="M1892" s="18" t="str">
        <f>IF(I1892&lt;&gt;"Sí","",IF(YEAR(F1892)&lt;&gt;2026,"",INDEX({"Enero","Febrero","Marzo","Abril","Mayo","Junio","Julio","Agosto","Septiembre","Octubre","Noviembre","Diciembre"},MONTH(F1892))))</f>
        <v>Agosto</v>
      </c>
      <c r="N1892" s="18" t="str">
        <f t="shared" si="89"/>
        <v>Agosto|185</v>
      </c>
    </row>
    <row r="1893" spans="1:14" ht="14.5" x14ac:dyDescent="0.25">
      <c r="A1893" s="19">
        <v>34</v>
      </c>
      <c r="B1893" s="18" t="s">
        <v>41</v>
      </c>
      <c r="C1893" s="18" t="s">
        <v>95</v>
      </c>
      <c r="D1893" s="18" t="s">
        <v>1807</v>
      </c>
      <c r="E1893" s="18" t="s">
        <v>2445</v>
      </c>
      <c r="F1893" s="101">
        <v>46256.877083333333</v>
      </c>
      <c r="G1893" s="101">
        <v>46258.541666666664</v>
      </c>
      <c r="H1893" s="18" t="s">
        <v>507</v>
      </c>
      <c r="I1893" s="18" t="s">
        <v>508</v>
      </c>
      <c r="J1893" s="18"/>
      <c r="K1893" s="21">
        <f t="shared" si="87"/>
        <v>39.949999999953434</v>
      </c>
      <c r="L1893" s="19">
        <f t="shared" si="88"/>
        <v>186</v>
      </c>
      <c r="M1893" s="18" t="str">
        <f>IF(I1893&lt;&gt;"Sí","",IF(YEAR(F1893)&lt;&gt;2026,"",INDEX({"Enero","Febrero","Marzo","Abril","Mayo","Junio","Julio","Agosto","Septiembre","Octubre","Noviembre","Diciembre"},MONTH(F1893))))</f>
        <v>Agosto</v>
      </c>
      <c r="N1893" s="18" t="str">
        <f t="shared" si="89"/>
        <v>Agosto|186</v>
      </c>
    </row>
    <row r="1894" spans="1:14" ht="14.5" x14ac:dyDescent="0.25">
      <c r="A1894" s="19">
        <v>34</v>
      </c>
      <c r="B1894" s="18" t="s">
        <v>41</v>
      </c>
      <c r="C1894" s="18" t="s">
        <v>95</v>
      </c>
      <c r="D1894" s="18" t="s">
        <v>1807</v>
      </c>
      <c r="E1894" s="18" t="s">
        <v>2446</v>
      </c>
      <c r="F1894" s="101">
        <v>46256.881944444445</v>
      </c>
      <c r="G1894" s="101">
        <v>46258.541666666664</v>
      </c>
      <c r="H1894" s="18" t="s">
        <v>507</v>
      </c>
      <c r="I1894" s="18" t="s">
        <v>508</v>
      </c>
      <c r="J1894" s="18"/>
      <c r="K1894" s="21">
        <f t="shared" si="87"/>
        <v>39.833333333255723</v>
      </c>
      <c r="L1894" s="19">
        <f t="shared" si="88"/>
        <v>187</v>
      </c>
      <c r="M1894" s="18" t="str">
        <f>IF(I1894&lt;&gt;"Sí","",IF(YEAR(F1894)&lt;&gt;2026,"",INDEX({"Enero","Febrero","Marzo","Abril","Mayo","Junio","Julio","Agosto","Septiembre","Octubre","Noviembre","Diciembre"},MONTH(F1894))))</f>
        <v>Agosto</v>
      </c>
      <c r="N1894" s="18" t="str">
        <f t="shared" si="89"/>
        <v>Agosto|187</v>
      </c>
    </row>
    <row r="1895" spans="1:14" ht="14.5" x14ac:dyDescent="0.25">
      <c r="A1895" s="19">
        <v>34</v>
      </c>
      <c r="B1895" s="18" t="s">
        <v>41</v>
      </c>
      <c r="C1895" s="18" t="s">
        <v>95</v>
      </c>
      <c r="D1895" s="18" t="s">
        <v>1807</v>
      </c>
      <c r="E1895" s="18" t="s">
        <v>2447</v>
      </c>
      <c r="F1895" s="101">
        <v>46256.882638888892</v>
      </c>
      <c r="G1895" s="101">
        <v>46258.541666666664</v>
      </c>
      <c r="H1895" s="18" t="s">
        <v>507</v>
      </c>
      <c r="I1895" s="18" t="s">
        <v>508</v>
      </c>
      <c r="J1895" s="18"/>
      <c r="K1895" s="21">
        <f t="shared" si="87"/>
        <v>39.816666666534729</v>
      </c>
      <c r="L1895" s="19">
        <f t="shared" si="88"/>
        <v>188</v>
      </c>
      <c r="M1895" s="18" t="str">
        <f>IF(I1895&lt;&gt;"Sí","",IF(YEAR(F1895)&lt;&gt;2026,"",INDEX({"Enero","Febrero","Marzo","Abril","Mayo","Junio","Julio","Agosto","Septiembre","Octubre","Noviembre","Diciembre"},MONTH(F1895))))</f>
        <v>Agosto</v>
      </c>
      <c r="N1895" s="18" t="str">
        <f t="shared" si="89"/>
        <v>Agosto|188</v>
      </c>
    </row>
    <row r="1896" spans="1:14" ht="14.5" x14ac:dyDescent="0.25">
      <c r="A1896" s="19">
        <v>34</v>
      </c>
      <c r="B1896" s="18" t="s">
        <v>41</v>
      </c>
      <c r="C1896" s="18" t="s">
        <v>95</v>
      </c>
      <c r="D1896" s="18" t="s">
        <v>1807</v>
      </c>
      <c r="E1896" s="18" t="s">
        <v>2448</v>
      </c>
      <c r="F1896" s="101">
        <v>46256.884027777778</v>
      </c>
      <c r="G1896" s="101">
        <v>46258.5</v>
      </c>
      <c r="H1896" s="18" t="s">
        <v>507</v>
      </c>
      <c r="I1896" s="18" t="s">
        <v>508</v>
      </c>
      <c r="J1896" s="18"/>
      <c r="K1896" s="21">
        <f t="shared" si="87"/>
        <v>38.783333333325572</v>
      </c>
      <c r="L1896" s="19">
        <f t="shared" si="88"/>
        <v>189</v>
      </c>
      <c r="M1896" s="18" t="str">
        <f>IF(I1896&lt;&gt;"Sí","",IF(YEAR(F1896)&lt;&gt;2026,"",INDEX({"Enero","Febrero","Marzo","Abril","Mayo","Junio","Julio","Agosto","Septiembre","Octubre","Noviembre","Diciembre"},MONTH(F1896))))</f>
        <v>Agosto</v>
      </c>
      <c r="N1896" s="18" t="str">
        <f t="shared" si="89"/>
        <v>Agosto|189</v>
      </c>
    </row>
    <row r="1897" spans="1:14" ht="14.5" x14ac:dyDescent="0.25">
      <c r="A1897" s="19">
        <v>34</v>
      </c>
      <c r="B1897" s="18" t="s">
        <v>41</v>
      </c>
      <c r="C1897" s="18" t="s">
        <v>95</v>
      </c>
      <c r="D1897" s="18" t="s">
        <v>1807</v>
      </c>
      <c r="E1897" s="18" t="s">
        <v>2449</v>
      </c>
      <c r="F1897" s="101">
        <v>46256.885416666664</v>
      </c>
      <c r="G1897" s="101">
        <v>46258.5</v>
      </c>
      <c r="H1897" s="18" t="s">
        <v>507</v>
      </c>
      <c r="I1897" s="18" t="s">
        <v>508</v>
      </c>
      <c r="J1897" s="18"/>
      <c r="K1897" s="21">
        <f t="shared" si="87"/>
        <v>38.750000000058208</v>
      </c>
      <c r="L1897" s="19">
        <f t="shared" si="88"/>
        <v>190</v>
      </c>
      <c r="M1897" s="18" t="str">
        <f>IF(I1897&lt;&gt;"Sí","",IF(YEAR(F1897)&lt;&gt;2026,"",INDEX({"Enero","Febrero","Marzo","Abril","Mayo","Junio","Julio","Agosto","Septiembre","Octubre","Noviembre","Diciembre"},MONTH(F1897))))</f>
        <v>Agosto</v>
      </c>
      <c r="N1897" s="18" t="str">
        <f t="shared" si="89"/>
        <v>Agosto|190</v>
      </c>
    </row>
    <row r="1898" spans="1:14" ht="14.5" x14ac:dyDescent="0.25">
      <c r="A1898" s="19">
        <v>34</v>
      </c>
      <c r="B1898" s="18" t="s">
        <v>41</v>
      </c>
      <c r="C1898" s="18" t="s">
        <v>95</v>
      </c>
      <c r="D1898" s="18" t="s">
        <v>1807</v>
      </c>
      <c r="E1898" s="18" t="s">
        <v>2450</v>
      </c>
      <c r="F1898" s="101">
        <v>46256.886805555558</v>
      </c>
      <c r="G1898" s="101">
        <v>46258.5</v>
      </c>
      <c r="H1898" s="18" t="s">
        <v>507</v>
      </c>
      <c r="I1898" s="18" t="s">
        <v>508</v>
      </c>
      <c r="J1898" s="18"/>
      <c r="K1898" s="21">
        <f t="shared" si="87"/>
        <v>38.71666666661622</v>
      </c>
      <c r="L1898" s="19">
        <f t="shared" si="88"/>
        <v>191</v>
      </c>
      <c r="M1898" s="18" t="str">
        <f>IF(I1898&lt;&gt;"Sí","",IF(YEAR(F1898)&lt;&gt;2026,"",INDEX({"Enero","Febrero","Marzo","Abril","Mayo","Junio","Julio","Agosto","Septiembre","Octubre","Noviembre","Diciembre"},MONTH(F1898))))</f>
        <v>Agosto</v>
      </c>
      <c r="N1898" s="18" t="str">
        <f t="shared" si="89"/>
        <v>Agosto|191</v>
      </c>
    </row>
    <row r="1899" spans="1:14" ht="14.5" x14ac:dyDescent="0.25">
      <c r="A1899" s="19">
        <v>34</v>
      </c>
      <c r="B1899" s="18" t="s">
        <v>41</v>
      </c>
      <c r="C1899" s="18" t="s">
        <v>95</v>
      </c>
      <c r="D1899" s="18" t="s">
        <v>1807</v>
      </c>
      <c r="E1899" s="18" t="s">
        <v>2451</v>
      </c>
      <c r="F1899" s="101">
        <v>46256.892361111109</v>
      </c>
      <c r="G1899" s="101">
        <v>46258.5</v>
      </c>
      <c r="H1899" s="18" t="s">
        <v>507</v>
      </c>
      <c r="I1899" s="18" t="s">
        <v>508</v>
      </c>
      <c r="J1899" s="18"/>
      <c r="K1899" s="21">
        <f t="shared" si="87"/>
        <v>38.583333333372138</v>
      </c>
      <c r="L1899" s="19">
        <f t="shared" si="88"/>
        <v>192</v>
      </c>
      <c r="M1899" s="18" t="str">
        <f>IF(I1899&lt;&gt;"Sí","",IF(YEAR(F1899)&lt;&gt;2026,"",INDEX({"Enero","Febrero","Marzo","Abril","Mayo","Junio","Julio","Agosto","Septiembre","Octubre","Noviembre","Diciembre"},MONTH(F1899))))</f>
        <v>Agosto</v>
      </c>
      <c r="N1899" s="18" t="str">
        <f t="shared" si="89"/>
        <v>Agosto|192</v>
      </c>
    </row>
    <row r="1900" spans="1:14" ht="14.5" x14ac:dyDescent="0.25">
      <c r="A1900" s="19">
        <v>34</v>
      </c>
      <c r="B1900" s="18" t="s">
        <v>41</v>
      </c>
      <c r="C1900" s="18" t="s">
        <v>95</v>
      </c>
      <c r="D1900" s="18" t="s">
        <v>1807</v>
      </c>
      <c r="E1900" s="18" t="s">
        <v>2452</v>
      </c>
      <c r="F1900" s="101">
        <v>46256.893055555556</v>
      </c>
      <c r="G1900" s="101">
        <v>46258.5</v>
      </c>
      <c r="H1900" s="18" t="s">
        <v>507</v>
      </c>
      <c r="I1900" s="18" t="s">
        <v>508</v>
      </c>
      <c r="J1900" s="18"/>
      <c r="K1900" s="21">
        <f t="shared" si="87"/>
        <v>38.566666666651145</v>
      </c>
      <c r="L1900" s="19">
        <f t="shared" si="88"/>
        <v>193</v>
      </c>
      <c r="M1900" s="18" t="str">
        <f>IF(I1900&lt;&gt;"Sí","",IF(YEAR(F1900)&lt;&gt;2026,"",INDEX({"Enero","Febrero","Marzo","Abril","Mayo","Junio","Julio","Agosto","Septiembre","Octubre","Noviembre","Diciembre"},MONTH(F1900))))</f>
        <v>Agosto</v>
      </c>
      <c r="N1900" s="18" t="str">
        <f t="shared" si="89"/>
        <v>Agosto|193</v>
      </c>
    </row>
    <row r="1901" spans="1:14" ht="14.5" x14ac:dyDescent="0.25">
      <c r="A1901" s="19">
        <v>34</v>
      </c>
      <c r="B1901" s="18" t="s">
        <v>41</v>
      </c>
      <c r="C1901" s="18" t="s">
        <v>95</v>
      </c>
      <c r="D1901" s="18" t="s">
        <v>1807</v>
      </c>
      <c r="E1901" s="18" t="s">
        <v>2453</v>
      </c>
      <c r="F1901" s="101">
        <v>46256.897222222222</v>
      </c>
      <c r="G1901" s="101">
        <v>46258.5</v>
      </c>
      <c r="H1901" s="18" t="s">
        <v>507</v>
      </c>
      <c r="I1901" s="18" t="s">
        <v>508</v>
      </c>
      <c r="J1901" s="18"/>
      <c r="K1901" s="21">
        <f t="shared" si="87"/>
        <v>38.466666666674428</v>
      </c>
      <c r="L1901" s="19">
        <f t="shared" si="88"/>
        <v>194</v>
      </c>
      <c r="M1901" s="18" t="str">
        <f>IF(I1901&lt;&gt;"Sí","",IF(YEAR(F1901)&lt;&gt;2026,"",INDEX({"Enero","Febrero","Marzo","Abril","Mayo","Junio","Julio","Agosto","Septiembre","Octubre","Noviembre","Diciembre"},MONTH(F1901))))</f>
        <v>Agosto</v>
      </c>
      <c r="N1901" s="18" t="str">
        <f t="shared" si="89"/>
        <v>Agosto|194</v>
      </c>
    </row>
    <row r="1902" spans="1:14" ht="14.5" x14ac:dyDescent="0.25">
      <c r="A1902" s="19">
        <v>34</v>
      </c>
      <c r="B1902" s="18" t="s">
        <v>41</v>
      </c>
      <c r="C1902" s="18" t="s">
        <v>95</v>
      </c>
      <c r="D1902" s="18" t="s">
        <v>1807</v>
      </c>
      <c r="E1902" s="18" t="s">
        <v>2454</v>
      </c>
      <c r="F1902" s="101">
        <v>46256.901388888888</v>
      </c>
      <c r="G1902" s="101">
        <v>46258.5</v>
      </c>
      <c r="H1902" s="18" t="s">
        <v>507</v>
      </c>
      <c r="I1902" s="18" t="s">
        <v>508</v>
      </c>
      <c r="J1902" s="18"/>
      <c r="K1902" s="21">
        <f t="shared" si="87"/>
        <v>38.366666666697711</v>
      </c>
      <c r="L1902" s="19">
        <f t="shared" si="88"/>
        <v>195</v>
      </c>
      <c r="M1902" s="18" t="str">
        <f>IF(I1902&lt;&gt;"Sí","",IF(YEAR(F1902)&lt;&gt;2026,"",INDEX({"Enero","Febrero","Marzo","Abril","Mayo","Junio","Julio","Agosto","Septiembre","Octubre","Noviembre","Diciembre"},MONTH(F1902))))</f>
        <v>Agosto</v>
      </c>
      <c r="N1902" s="18" t="str">
        <f t="shared" si="89"/>
        <v>Agosto|195</v>
      </c>
    </row>
    <row r="1903" spans="1:14" ht="14.5" x14ac:dyDescent="0.25">
      <c r="A1903" s="19">
        <v>34</v>
      </c>
      <c r="B1903" s="18" t="s">
        <v>41</v>
      </c>
      <c r="C1903" s="18" t="s">
        <v>95</v>
      </c>
      <c r="D1903" s="18" t="s">
        <v>1807</v>
      </c>
      <c r="E1903" s="18" t="s">
        <v>2455</v>
      </c>
      <c r="F1903" s="101">
        <v>46256.902777777781</v>
      </c>
      <c r="G1903" s="101">
        <v>46258.5</v>
      </c>
      <c r="H1903" s="18" t="s">
        <v>507</v>
      </c>
      <c r="I1903" s="18" t="s">
        <v>508</v>
      </c>
      <c r="J1903" s="18"/>
      <c r="K1903" s="21">
        <f t="shared" si="87"/>
        <v>38.333333333255723</v>
      </c>
      <c r="L1903" s="19">
        <f t="shared" si="88"/>
        <v>196</v>
      </c>
      <c r="M1903" s="18" t="str">
        <f>IF(I1903&lt;&gt;"Sí","",IF(YEAR(F1903)&lt;&gt;2026,"",INDEX({"Enero","Febrero","Marzo","Abril","Mayo","Junio","Julio","Agosto","Septiembre","Octubre","Noviembre","Diciembre"},MONTH(F1903))))</f>
        <v>Agosto</v>
      </c>
      <c r="N1903" s="18" t="str">
        <f t="shared" si="89"/>
        <v>Agosto|196</v>
      </c>
    </row>
    <row r="1904" spans="1:14" ht="14.5" x14ac:dyDescent="0.25">
      <c r="A1904" s="19">
        <v>34</v>
      </c>
      <c r="B1904" s="18" t="s">
        <v>41</v>
      </c>
      <c r="C1904" s="18" t="s">
        <v>95</v>
      </c>
      <c r="D1904" s="18" t="s">
        <v>1807</v>
      </c>
      <c r="E1904" s="18" t="s">
        <v>2456</v>
      </c>
      <c r="F1904" s="101">
        <v>46256.904861111114</v>
      </c>
      <c r="G1904" s="101">
        <v>46258.422222222223</v>
      </c>
      <c r="H1904" s="18" t="s">
        <v>507</v>
      </c>
      <c r="I1904" s="18" t="s">
        <v>508</v>
      </c>
      <c r="J1904" s="18"/>
      <c r="K1904" s="21">
        <f t="shared" si="87"/>
        <v>36.416666666627862</v>
      </c>
      <c r="L1904" s="19">
        <f t="shared" si="88"/>
        <v>197</v>
      </c>
      <c r="M1904" s="18" t="str">
        <f>IF(I1904&lt;&gt;"Sí","",IF(YEAR(F1904)&lt;&gt;2026,"",INDEX({"Enero","Febrero","Marzo","Abril","Mayo","Junio","Julio","Agosto","Septiembre","Octubre","Noviembre","Diciembre"},MONTH(F1904))))</f>
        <v>Agosto</v>
      </c>
      <c r="N1904" s="18" t="str">
        <f t="shared" si="89"/>
        <v>Agosto|197</v>
      </c>
    </row>
    <row r="1905" spans="1:14" ht="14.5" x14ac:dyDescent="0.25">
      <c r="A1905" s="19">
        <v>34</v>
      </c>
      <c r="B1905" s="18" t="s">
        <v>41</v>
      </c>
      <c r="C1905" s="18" t="s">
        <v>95</v>
      </c>
      <c r="D1905" s="18" t="s">
        <v>1807</v>
      </c>
      <c r="E1905" s="18" t="s">
        <v>2457</v>
      </c>
      <c r="F1905" s="101">
        <v>46256.90625</v>
      </c>
      <c r="G1905" s="101">
        <v>46258.5</v>
      </c>
      <c r="H1905" s="18" t="s">
        <v>507</v>
      </c>
      <c r="I1905" s="18" t="s">
        <v>508</v>
      </c>
      <c r="J1905" s="18"/>
      <c r="K1905" s="21">
        <f t="shared" si="87"/>
        <v>38.25</v>
      </c>
      <c r="L1905" s="19">
        <f t="shared" si="88"/>
        <v>198</v>
      </c>
      <c r="M1905" s="18" t="str">
        <f>IF(I1905&lt;&gt;"Sí","",IF(YEAR(F1905)&lt;&gt;2026,"",INDEX({"Enero","Febrero","Marzo","Abril","Mayo","Junio","Julio","Agosto","Septiembre","Octubre","Noviembre","Diciembre"},MONTH(F1905))))</f>
        <v>Agosto</v>
      </c>
      <c r="N1905" s="18" t="str">
        <f t="shared" si="89"/>
        <v>Agosto|198</v>
      </c>
    </row>
    <row r="1906" spans="1:14" ht="14.5" x14ac:dyDescent="0.25">
      <c r="A1906" s="19">
        <v>34</v>
      </c>
      <c r="B1906" s="18" t="s">
        <v>41</v>
      </c>
      <c r="C1906" s="18" t="s">
        <v>95</v>
      </c>
      <c r="D1906" s="18" t="s">
        <v>1807</v>
      </c>
      <c r="E1906" s="18" t="s">
        <v>2458</v>
      </c>
      <c r="F1906" s="101">
        <v>46256.907638888886</v>
      </c>
      <c r="G1906" s="101">
        <v>46258.5</v>
      </c>
      <c r="H1906" s="18" t="s">
        <v>507</v>
      </c>
      <c r="I1906" s="18" t="s">
        <v>508</v>
      </c>
      <c r="J1906" s="18"/>
      <c r="K1906" s="21">
        <f t="shared" si="87"/>
        <v>38.216666666732635</v>
      </c>
      <c r="L1906" s="19">
        <f t="shared" si="88"/>
        <v>199</v>
      </c>
      <c r="M1906" s="18" t="str">
        <f>IF(I1906&lt;&gt;"Sí","",IF(YEAR(F1906)&lt;&gt;2026,"",INDEX({"Enero","Febrero","Marzo","Abril","Mayo","Junio","Julio","Agosto","Septiembre","Octubre","Noviembre","Diciembre"},MONTH(F1906))))</f>
        <v>Agosto</v>
      </c>
      <c r="N1906" s="18" t="str">
        <f t="shared" si="89"/>
        <v>Agosto|199</v>
      </c>
    </row>
    <row r="1907" spans="1:14" ht="14.5" x14ac:dyDescent="0.25">
      <c r="A1907" s="19">
        <v>34</v>
      </c>
      <c r="B1907" s="18" t="s">
        <v>41</v>
      </c>
      <c r="C1907" s="18" t="s">
        <v>95</v>
      </c>
      <c r="D1907" s="18" t="s">
        <v>1807</v>
      </c>
      <c r="E1907" s="18" t="s">
        <v>2459</v>
      </c>
      <c r="F1907" s="101">
        <v>46256.90902777778</v>
      </c>
      <c r="G1907" s="101">
        <v>46258.5</v>
      </c>
      <c r="H1907" s="18" t="s">
        <v>507</v>
      </c>
      <c r="I1907" s="18" t="s">
        <v>508</v>
      </c>
      <c r="J1907" s="18"/>
      <c r="K1907" s="21">
        <f t="shared" si="87"/>
        <v>38.183333333290648</v>
      </c>
      <c r="L1907" s="19">
        <f t="shared" si="88"/>
        <v>200</v>
      </c>
      <c r="M1907" s="18" t="str">
        <f>IF(I1907&lt;&gt;"Sí","",IF(YEAR(F1907)&lt;&gt;2026,"",INDEX({"Enero","Febrero","Marzo","Abril","Mayo","Junio","Julio","Agosto","Septiembre","Octubre","Noviembre","Diciembre"},MONTH(F1907))))</f>
        <v>Agosto</v>
      </c>
      <c r="N1907" s="18" t="str">
        <f t="shared" si="89"/>
        <v>Agosto|200</v>
      </c>
    </row>
    <row r="1908" spans="1:14" ht="14.5" x14ac:dyDescent="0.25">
      <c r="A1908" s="19">
        <v>34</v>
      </c>
      <c r="B1908" s="18" t="s">
        <v>41</v>
      </c>
      <c r="C1908" s="18" t="s">
        <v>95</v>
      </c>
      <c r="D1908" s="18" t="s">
        <v>1807</v>
      </c>
      <c r="E1908" s="18" t="s">
        <v>2460</v>
      </c>
      <c r="F1908" s="101">
        <v>46256.909722222219</v>
      </c>
      <c r="G1908" s="101">
        <v>46258.482638888891</v>
      </c>
      <c r="H1908" s="18" t="s">
        <v>507</v>
      </c>
      <c r="I1908" s="18" t="s">
        <v>508</v>
      </c>
      <c r="J1908" s="18"/>
      <c r="K1908" s="21">
        <f t="shared" si="87"/>
        <v>37.750000000116415</v>
      </c>
      <c r="L1908" s="19">
        <f t="shared" si="88"/>
        <v>201</v>
      </c>
      <c r="M1908" s="18" t="str">
        <f>IF(I1908&lt;&gt;"Sí","",IF(YEAR(F1908)&lt;&gt;2026,"",INDEX({"Enero","Febrero","Marzo","Abril","Mayo","Junio","Julio","Agosto","Septiembre","Octubre","Noviembre","Diciembre"},MONTH(F1908))))</f>
        <v>Agosto</v>
      </c>
      <c r="N1908" s="18" t="str">
        <f t="shared" si="89"/>
        <v>Agosto|201</v>
      </c>
    </row>
    <row r="1909" spans="1:14" ht="14.5" x14ac:dyDescent="0.25">
      <c r="A1909" s="19">
        <v>34</v>
      </c>
      <c r="B1909" s="18" t="s">
        <v>41</v>
      </c>
      <c r="C1909" s="18" t="s">
        <v>95</v>
      </c>
      <c r="D1909" s="18" t="s">
        <v>1807</v>
      </c>
      <c r="E1909" s="18" t="s">
        <v>2461</v>
      </c>
      <c r="F1909" s="101">
        <v>46256.913194444445</v>
      </c>
      <c r="G1909" s="101">
        <v>46258.482638888891</v>
      </c>
      <c r="H1909" s="18" t="s">
        <v>507</v>
      </c>
      <c r="I1909" s="18" t="s">
        <v>508</v>
      </c>
      <c r="J1909" s="18"/>
      <c r="K1909" s="21">
        <f t="shared" si="87"/>
        <v>37.666666666686069</v>
      </c>
      <c r="L1909" s="19">
        <f t="shared" si="88"/>
        <v>200</v>
      </c>
      <c r="M1909" s="18" t="str">
        <f>IF(I1909&lt;&gt;"Sí","",IF(YEAR(F1909)&lt;&gt;2026,"",INDEX({"Enero","Febrero","Marzo","Abril","Mayo","Junio","Julio","Agosto","Septiembre","Octubre","Noviembre","Diciembre"},MONTH(F1909))))</f>
        <v>Agosto</v>
      </c>
      <c r="N1909" s="18" t="str">
        <f t="shared" si="89"/>
        <v>Agosto|200</v>
      </c>
    </row>
    <row r="1910" spans="1:14" ht="14.5" x14ac:dyDescent="0.25">
      <c r="A1910" s="19">
        <v>34</v>
      </c>
      <c r="B1910" s="18" t="s">
        <v>41</v>
      </c>
      <c r="C1910" s="18" t="s">
        <v>95</v>
      </c>
      <c r="D1910" s="18" t="s">
        <v>1807</v>
      </c>
      <c r="E1910" s="18" t="s">
        <v>2462</v>
      </c>
      <c r="F1910" s="101">
        <v>46256.916666666664</v>
      </c>
      <c r="G1910" s="101">
        <v>46258.482638888891</v>
      </c>
      <c r="H1910" s="18" t="s">
        <v>507</v>
      </c>
      <c r="I1910" s="18" t="s">
        <v>508</v>
      </c>
      <c r="J1910" s="18"/>
      <c r="K1910" s="21">
        <f t="shared" si="87"/>
        <v>37.583333333430346</v>
      </c>
      <c r="L1910" s="19">
        <f t="shared" si="88"/>
        <v>201</v>
      </c>
      <c r="M1910" s="18" t="str">
        <f>IF(I1910&lt;&gt;"Sí","",IF(YEAR(F1910)&lt;&gt;2026,"",INDEX({"Enero","Febrero","Marzo","Abril","Mayo","Junio","Julio","Agosto","Septiembre","Octubre","Noviembre","Diciembre"},MONTH(F1910))))</f>
        <v>Agosto</v>
      </c>
      <c r="N1910" s="18" t="str">
        <f t="shared" si="89"/>
        <v>Agosto|201</v>
      </c>
    </row>
    <row r="1911" spans="1:14" ht="14.5" x14ac:dyDescent="0.25">
      <c r="A1911" s="19">
        <v>34</v>
      </c>
      <c r="B1911" s="18" t="s">
        <v>41</v>
      </c>
      <c r="C1911" s="18" t="s">
        <v>95</v>
      </c>
      <c r="D1911" s="18" t="s">
        <v>1807</v>
      </c>
      <c r="E1911" s="18" t="s">
        <v>2463</v>
      </c>
      <c r="F1911" s="101">
        <v>46256.917361111111</v>
      </c>
      <c r="G1911" s="101">
        <v>46258.482638888891</v>
      </c>
      <c r="H1911" s="18" t="s">
        <v>507</v>
      </c>
      <c r="I1911" s="18" t="s">
        <v>508</v>
      </c>
      <c r="J1911" s="18"/>
      <c r="K1911" s="21">
        <f t="shared" si="87"/>
        <v>37.566666666709352</v>
      </c>
      <c r="L1911" s="19">
        <f t="shared" si="88"/>
        <v>202</v>
      </c>
      <c r="M1911" s="18" t="str">
        <f>IF(I1911&lt;&gt;"Sí","",IF(YEAR(F1911)&lt;&gt;2026,"",INDEX({"Enero","Febrero","Marzo","Abril","Mayo","Junio","Julio","Agosto","Septiembre","Octubre","Noviembre","Diciembre"},MONTH(F1911))))</f>
        <v>Agosto</v>
      </c>
      <c r="N1911" s="18" t="str">
        <f t="shared" si="89"/>
        <v>Agosto|202</v>
      </c>
    </row>
    <row r="1912" spans="1:14" ht="14.5" x14ac:dyDescent="0.25">
      <c r="A1912" s="19">
        <v>34</v>
      </c>
      <c r="B1912" s="18" t="s">
        <v>41</v>
      </c>
      <c r="C1912" s="18" t="s">
        <v>95</v>
      </c>
      <c r="D1912" s="18" t="s">
        <v>1807</v>
      </c>
      <c r="E1912" s="18" t="s">
        <v>2464</v>
      </c>
      <c r="F1912" s="101">
        <v>46256.920138888891</v>
      </c>
      <c r="G1912" s="101">
        <v>46258.482638888891</v>
      </c>
      <c r="H1912" s="18" t="s">
        <v>507</v>
      </c>
      <c r="I1912" s="18" t="s">
        <v>508</v>
      </c>
      <c r="J1912" s="18"/>
      <c r="K1912" s="21">
        <f t="shared" si="87"/>
        <v>37.5</v>
      </c>
      <c r="L1912" s="19">
        <f t="shared" si="88"/>
        <v>203</v>
      </c>
      <c r="M1912" s="18" t="str">
        <f>IF(I1912&lt;&gt;"Sí","",IF(YEAR(F1912)&lt;&gt;2026,"",INDEX({"Enero","Febrero","Marzo","Abril","Mayo","Junio","Julio","Agosto","Septiembre","Octubre","Noviembre","Diciembre"},MONTH(F1912))))</f>
        <v>Agosto</v>
      </c>
      <c r="N1912" s="18" t="str">
        <f t="shared" si="89"/>
        <v>Agosto|203</v>
      </c>
    </row>
    <row r="1913" spans="1:14" ht="14.5" x14ac:dyDescent="0.25">
      <c r="A1913" s="19">
        <v>34</v>
      </c>
      <c r="B1913" s="18" t="s">
        <v>41</v>
      </c>
      <c r="C1913" s="18" t="s">
        <v>95</v>
      </c>
      <c r="D1913" s="18" t="s">
        <v>1807</v>
      </c>
      <c r="E1913" s="18" t="s">
        <v>2465</v>
      </c>
      <c r="F1913" s="101">
        <v>46256.982638888891</v>
      </c>
      <c r="G1913" s="101">
        <v>46258.477083333331</v>
      </c>
      <c r="H1913" s="18" t="s">
        <v>507</v>
      </c>
      <c r="I1913" s="18" t="s">
        <v>508</v>
      </c>
      <c r="J1913" s="18"/>
      <c r="K1913" s="21">
        <f t="shared" si="87"/>
        <v>35.866666666581295</v>
      </c>
      <c r="L1913" s="19">
        <f t="shared" si="88"/>
        <v>200</v>
      </c>
      <c r="M1913" s="18" t="str">
        <f>IF(I1913&lt;&gt;"Sí","",IF(YEAR(F1913)&lt;&gt;2026,"",INDEX({"Enero","Febrero","Marzo","Abril","Mayo","Junio","Julio","Agosto","Septiembre","Octubre","Noviembre","Diciembre"},MONTH(F1913))))</f>
        <v>Agosto</v>
      </c>
      <c r="N1913" s="18" t="str">
        <f t="shared" si="89"/>
        <v>Agosto|200</v>
      </c>
    </row>
    <row r="1914" spans="1:14" ht="14.5" x14ac:dyDescent="0.25">
      <c r="A1914" s="19">
        <v>34</v>
      </c>
      <c r="B1914" s="18" t="s">
        <v>41</v>
      </c>
      <c r="C1914" s="18" t="s">
        <v>95</v>
      </c>
      <c r="D1914" s="18" t="s">
        <v>1807</v>
      </c>
      <c r="E1914" s="18" t="s">
        <v>2466</v>
      </c>
      <c r="F1914" s="101">
        <v>46256.984722222223</v>
      </c>
      <c r="G1914" s="101">
        <v>46258.193749999999</v>
      </c>
      <c r="H1914" s="18" t="s">
        <v>507</v>
      </c>
      <c r="I1914" s="18" t="s">
        <v>508</v>
      </c>
      <c r="J1914" s="18"/>
      <c r="K1914" s="21">
        <f t="shared" si="87"/>
        <v>29.016666666604578</v>
      </c>
      <c r="L1914" s="19">
        <f t="shared" si="88"/>
        <v>201</v>
      </c>
      <c r="M1914" s="18" t="str">
        <f>IF(I1914&lt;&gt;"Sí","",IF(YEAR(F1914)&lt;&gt;2026,"",INDEX({"Enero","Febrero","Marzo","Abril","Mayo","Junio","Julio","Agosto","Septiembre","Octubre","Noviembre","Diciembre"},MONTH(F1914))))</f>
        <v>Agosto</v>
      </c>
      <c r="N1914" s="18" t="str">
        <f t="shared" si="89"/>
        <v>Agosto|201</v>
      </c>
    </row>
    <row r="1915" spans="1:14" ht="14.5" x14ac:dyDescent="0.25">
      <c r="A1915" s="19">
        <v>34</v>
      </c>
      <c r="B1915" s="18" t="s">
        <v>41</v>
      </c>
      <c r="C1915" s="18" t="s">
        <v>95</v>
      </c>
      <c r="D1915" s="18" t="s">
        <v>1807</v>
      </c>
      <c r="E1915" s="18" t="s">
        <v>2467</v>
      </c>
      <c r="F1915" s="101">
        <v>46256.986111111109</v>
      </c>
      <c r="G1915" s="101">
        <v>46258.193749999999</v>
      </c>
      <c r="H1915" s="18" t="s">
        <v>507</v>
      </c>
      <c r="I1915" s="18" t="s">
        <v>508</v>
      </c>
      <c r="J1915" s="18"/>
      <c r="K1915" s="21">
        <f t="shared" si="87"/>
        <v>28.983333333337214</v>
      </c>
      <c r="L1915" s="19">
        <f t="shared" si="88"/>
        <v>202</v>
      </c>
      <c r="M1915" s="18" t="str">
        <f>IF(I1915&lt;&gt;"Sí","",IF(YEAR(F1915)&lt;&gt;2026,"",INDEX({"Enero","Febrero","Marzo","Abril","Mayo","Junio","Julio","Agosto","Septiembre","Octubre","Noviembre","Diciembre"},MONTH(F1915))))</f>
        <v>Agosto</v>
      </c>
      <c r="N1915" s="18" t="str">
        <f t="shared" si="89"/>
        <v>Agosto|202</v>
      </c>
    </row>
    <row r="1916" spans="1:14" ht="14.5" x14ac:dyDescent="0.25">
      <c r="A1916" s="19">
        <v>34</v>
      </c>
      <c r="B1916" s="18" t="s">
        <v>41</v>
      </c>
      <c r="C1916" s="18" t="s">
        <v>95</v>
      </c>
      <c r="D1916" s="18" t="s">
        <v>1807</v>
      </c>
      <c r="E1916" s="18" t="s">
        <v>2468</v>
      </c>
      <c r="F1916" s="101">
        <v>46256.996527777781</v>
      </c>
      <c r="G1916" s="101">
        <v>46258.193749999999</v>
      </c>
      <c r="H1916" s="18" t="s">
        <v>507</v>
      </c>
      <c r="I1916" s="18" t="s">
        <v>508</v>
      </c>
      <c r="J1916" s="18"/>
      <c r="K1916" s="21">
        <f t="shared" si="87"/>
        <v>28.733333333220799</v>
      </c>
      <c r="L1916" s="19">
        <f t="shared" si="88"/>
        <v>203</v>
      </c>
      <c r="M1916" s="18" t="str">
        <f>IF(I1916&lt;&gt;"Sí","",IF(YEAR(F1916)&lt;&gt;2026,"",INDEX({"Enero","Febrero","Marzo","Abril","Mayo","Junio","Julio","Agosto","Septiembre","Octubre","Noviembre","Diciembre"},MONTH(F1916))))</f>
        <v>Agosto</v>
      </c>
      <c r="N1916" s="18" t="str">
        <f t="shared" si="89"/>
        <v>Agosto|203</v>
      </c>
    </row>
    <row r="1917" spans="1:14" ht="14.5" x14ac:dyDescent="0.25">
      <c r="A1917" s="19">
        <v>34</v>
      </c>
      <c r="B1917" s="18" t="s">
        <v>41</v>
      </c>
      <c r="C1917" s="18" t="s">
        <v>95</v>
      </c>
      <c r="D1917" s="18" t="s">
        <v>1807</v>
      </c>
      <c r="E1917" s="18" t="s">
        <v>2469</v>
      </c>
      <c r="F1917" s="101">
        <v>46256.99722222222</v>
      </c>
      <c r="G1917" s="101">
        <v>46258.5</v>
      </c>
      <c r="H1917" s="18" t="s">
        <v>507</v>
      </c>
      <c r="I1917" s="18" t="s">
        <v>508</v>
      </c>
      <c r="J1917" s="18"/>
      <c r="K1917" s="21">
        <f t="shared" si="87"/>
        <v>36.066666666709352</v>
      </c>
      <c r="L1917" s="19">
        <f t="shared" si="88"/>
        <v>204</v>
      </c>
      <c r="M1917" s="18" t="str">
        <f>IF(I1917&lt;&gt;"Sí","",IF(YEAR(F1917)&lt;&gt;2026,"",INDEX({"Enero","Febrero","Marzo","Abril","Mayo","Junio","Julio","Agosto","Septiembre","Octubre","Noviembre","Diciembre"},MONTH(F1917))))</f>
        <v>Agosto</v>
      </c>
      <c r="N1917" s="18" t="str">
        <f t="shared" si="89"/>
        <v>Agosto|204</v>
      </c>
    </row>
    <row r="1918" spans="1:14" ht="14.5" x14ac:dyDescent="0.25">
      <c r="A1918" s="19">
        <v>34</v>
      </c>
      <c r="B1918" s="18" t="s">
        <v>41</v>
      </c>
      <c r="C1918" s="18" t="s">
        <v>95</v>
      </c>
      <c r="D1918" s="18" t="s">
        <v>1807</v>
      </c>
      <c r="E1918" s="18" t="s">
        <v>2470</v>
      </c>
      <c r="F1918" s="101">
        <v>46256.997916666667</v>
      </c>
      <c r="G1918" s="101">
        <v>46258.193749999999</v>
      </c>
      <c r="H1918" s="18" t="s">
        <v>507</v>
      </c>
      <c r="I1918" s="18" t="s">
        <v>508</v>
      </c>
      <c r="J1918" s="18"/>
      <c r="K1918" s="21">
        <f t="shared" si="87"/>
        <v>28.699999999953434</v>
      </c>
      <c r="L1918" s="19">
        <f t="shared" si="88"/>
        <v>205</v>
      </c>
      <c r="M1918" s="18" t="str">
        <f>IF(I1918&lt;&gt;"Sí","",IF(YEAR(F1918)&lt;&gt;2026,"",INDEX({"Enero","Febrero","Marzo","Abril","Mayo","Junio","Julio","Agosto","Septiembre","Octubre","Noviembre","Diciembre"},MONTH(F1918))))</f>
        <v>Agosto</v>
      </c>
      <c r="N1918" s="18" t="str">
        <f t="shared" si="89"/>
        <v>Agosto|205</v>
      </c>
    </row>
    <row r="1919" spans="1:14" ht="14.5" x14ac:dyDescent="0.25">
      <c r="A1919" s="19">
        <v>34</v>
      </c>
      <c r="B1919" s="18" t="s">
        <v>41</v>
      </c>
      <c r="C1919" s="18" t="s">
        <v>95</v>
      </c>
      <c r="D1919" s="18" t="s">
        <v>1807</v>
      </c>
      <c r="E1919" s="18" t="s">
        <v>2471</v>
      </c>
      <c r="F1919" s="101">
        <v>46256.999305555553</v>
      </c>
      <c r="G1919" s="101">
        <v>46258.180555555555</v>
      </c>
      <c r="H1919" s="18" t="s">
        <v>507</v>
      </c>
      <c r="I1919" s="18" t="s">
        <v>508</v>
      </c>
      <c r="J1919" s="18"/>
      <c r="K1919" s="21">
        <f t="shared" si="87"/>
        <v>28.350000000034925</v>
      </c>
      <c r="L1919" s="19">
        <f t="shared" si="88"/>
        <v>206</v>
      </c>
      <c r="M1919" s="18" t="str">
        <f>IF(I1919&lt;&gt;"Sí","",IF(YEAR(F1919)&lt;&gt;2026,"",INDEX({"Enero","Febrero","Marzo","Abril","Mayo","Junio","Julio","Agosto","Septiembre","Octubre","Noviembre","Diciembre"},MONTH(F1919))))</f>
        <v>Agosto</v>
      </c>
      <c r="N1919" s="18" t="str">
        <f t="shared" si="89"/>
        <v>Agosto|206</v>
      </c>
    </row>
    <row r="1920" spans="1:14" ht="14.5" x14ac:dyDescent="0.25">
      <c r="A1920" s="19">
        <v>34</v>
      </c>
      <c r="B1920" s="18" t="s">
        <v>41</v>
      </c>
      <c r="C1920" s="18" t="s">
        <v>95</v>
      </c>
      <c r="D1920" s="18" t="s">
        <v>1807</v>
      </c>
      <c r="E1920" s="18" t="s">
        <v>2472</v>
      </c>
      <c r="F1920" s="101">
        <v>46257.000694444447</v>
      </c>
      <c r="G1920" s="101">
        <v>46258.180555555555</v>
      </c>
      <c r="H1920" s="18" t="s">
        <v>507</v>
      </c>
      <c r="I1920" s="18" t="s">
        <v>508</v>
      </c>
      <c r="J1920" s="18"/>
      <c r="K1920" s="21">
        <f t="shared" si="87"/>
        <v>28.316666666592937</v>
      </c>
      <c r="L1920" s="19">
        <f t="shared" si="88"/>
        <v>207</v>
      </c>
      <c r="M1920" s="18" t="str">
        <f>IF(I1920&lt;&gt;"Sí","",IF(YEAR(F1920)&lt;&gt;2026,"",INDEX({"Enero","Febrero","Marzo","Abril","Mayo","Junio","Julio","Agosto","Septiembre","Octubre","Noviembre","Diciembre"},MONTH(F1920))))</f>
        <v>Agosto</v>
      </c>
      <c r="N1920" s="18" t="str">
        <f t="shared" si="89"/>
        <v>Agosto|207</v>
      </c>
    </row>
    <row r="1921" spans="1:14" ht="14.5" x14ac:dyDescent="0.25">
      <c r="A1921" s="19">
        <v>34</v>
      </c>
      <c r="B1921" s="18" t="s">
        <v>41</v>
      </c>
      <c r="C1921" s="18" t="s">
        <v>95</v>
      </c>
      <c r="D1921" s="18" t="s">
        <v>1807</v>
      </c>
      <c r="E1921" s="18" t="s">
        <v>2473</v>
      </c>
      <c r="F1921" s="101">
        <v>46257.003472222219</v>
      </c>
      <c r="G1921" s="101">
        <v>46258.180555555555</v>
      </c>
      <c r="H1921" s="18" t="s">
        <v>507</v>
      </c>
      <c r="I1921" s="18" t="s">
        <v>508</v>
      </c>
      <c r="J1921" s="18"/>
      <c r="K1921" s="21">
        <f t="shared" si="87"/>
        <v>28.250000000058208</v>
      </c>
      <c r="L1921" s="19">
        <f t="shared" si="88"/>
        <v>208</v>
      </c>
      <c r="M1921" s="18" t="str">
        <f>IF(I1921&lt;&gt;"Sí","",IF(YEAR(F1921)&lt;&gt;2026,"",INDEX({"Enero","Febrero","Marzo","Abril","Mayo","Junio","Julio","Agosto","Septiembre","Octubre","Noviembre","Diciembre"},MONTH(F1921))))</f>
        <v>Agosto</v>
      </c>
      <c r="N1921" s="18" t="str">
        <f t="shared" si="89"/>
        <v>Agosto|208</v>
      </c>
    </row>
    <row r="1922" spans="1:14" ht="14.5" x14ac:dyDescent="0.25">
      <c r="A1922" s="19">
        <v>34</v>
      </c>
      <c r="B1922" s="18" t="s">
        <v>41</v>
      </c>
      <c r="C1922" s="18" t="s">
        <v>95</v>
      </c>
      <c r="D1922" s="18" t="s">
        <v>1807</v>
      </c>
      <c r="E1922" s="18" t="s">
        <v>2474</v>
      </c>
      <c r="F1922" s="101">
        <v>46257.005555555559</v>
      </c>
      <c r="G1922" s="101">
        <v>46258.180555555555</v>
      </c>
      <c r="H1922" s="18" t="s">
        <v>507</v>
      </c>
      <c r="I1922" s="18" t="s">
        <v>508</v>
      </c>
      <c r="J1922" s="18"/>
      <c r="K1922" s="21">
        <f t="shared" si="87"/>
        <v>28.199999999895226</v>
      </c>
      <c r="L1922" s="19">
        <f t="shared" si="88"/>
        <v>209</v>
      </c>
      <c r="M1922" s="18" t="str">
        <f>IF(I1922&lt;&gt;"Sí","",IF(YEAR(F1922)&lt;&gt;2026,"",INDEX({"Enero","Febrero","Marzo","Abril","Mayo","Junio","Julio","Agosto","Septiembre","Octubre","Noviembre","Diciembre"},MONTH(F1922))))</f>
        <v>Agosto</v>
      </c>
      <c r="N1922" s="18" t="str">
        <f t="shared" si="89"/>
        <v>Agosto|209</v>
      </c>
    </row>
    <row r="1923" spans="1:14" ht="14.5" x14ac:dyDescent="0.25">
      <c r="A1923" s="19">
        <v>34</v>
      </c>
      <c r="B1923" s="18" t="s">
        <v>41</v>
      </c>
      <c r="C1923" s="18" t="s">
        <v>95</v>
      </c>
      <c r="D1923" s="18" t="s">
        <v>1807</v>
      </c>
      <c r="E1923" s="18" t="s">
        <v>2475</v>
      </c>
      <c r="F1923" s="101">
        <v>46257.006944444445</v>
      </c>
      <c r="G1923" s="101">
        <v>46258.095138888886</v>
      </c>
      <c r="H1923" s="18" t="s">
        <v>507</v>
      </c>
      <c r="I1923" s="18" t="s">
        <v>508</v>
      </c>
      <c r="J1923" s="18"/>
      <c r="K1923" s="21">
        <f t="shared" si="87"/>
        <v>26.116666666581295</v>
      </c>
      <c r="L1923" s="19">
        <f t="shared" si="88"/>
        <v>210</v>
      </c>
      <c r="M1923" s="18" t="str">
        <f>IF(I1923&lt;&gt;"Sí","",IF(YEAR(F1923)&lt;&gt;2026,"",INDEX({"Enero","Febrero","Marzo","Abril","Mayo","Junio","Julio","Agosto","Septiembre","Octubre","Noviembre","Diciembre"},MONTH(F1923))))</f>
        <v>Agosto</v>
      </c>
      <c r="N1923" s="18" t="str">
        <f t="shared" si="89"/>
        <v>Agosto|210</v>
      </c>
    </row>
    <row r="1924" spans="1:14" ht="14.5" x14ac:dyDescent="0.25">
      <c r="A1924" s="19">
        <v>34</v>
      </c>
      <c r="B1924" s="18" t="s">
        <v>41</v>
      </c>
      <c r="C1924" s="18" t="s">
        <v>95</v>
      </c>
      <c r="D1924" s="18" t="s">
        <v>1807</v>
      </c>
      <c r="E1924" s="18" t="s">
        <v>2476</v>
      </c>
      <c r="F1924" s="101">
        <v>46257.010416666664</v>
      </c>
      <c r="G1924" s="101">
        <v>46258.07916666667</v>
      </c>
      <c r="H1924" s="18" t="s">
        <v>507</v>
      </c>
      <c r="I1924" s="18" t="s">
        <v>508</v>
      </c>
      <c r="J1924" s="18"/>
      <c r="K1924" s="21">
        <f t="shared" si="87"/>
        <v>25.650000000139698</v>
      </c>
      <c r="L1924" s="19">
        <f t="shared" si="88"/>
        <v>211</v>
      </c>
      <c r="M1924" s="18" t="str">
        <f>IF(I1924&lt;&gt;"Sí","",IF(YEAR(F1924)&lt;&gt;2026,"",INDEX({"Enero","Febrero","Marzo","Abril","Mayo","Junio","Julio","Agosto","Septiembre","Octubre","Noviembre","Diciembre"},MONTH(F1924))))</f>
        <v>Agosto</v>
      </c>
      <c r="N1924" s="18" t="str">
        <f t="shared" si="89"/>
        <v>Agosto|211</v>
      </c>
    </row>
    <row r="1925" spans="1:14" ht="14.5" x14ac:dyDescent="0.25">
      <c r="A1925" s="19">
        <v>34</v>
      </c>
      <c r="B1925" s="18" t="s">
        <v>41</v>
      </c>
      <c r="C1925" s="18" t="s">
        <v>95</v>
      </c>
      <c r="D1925" s="18" t="s">
        <v>1807</v>
      </c>
      <c r="E1925" s="18" t="s">
        <v>2477</v>
      </c>
      <c r="F1925" s="101">
        <v>46257.015277777777</v>
      </c>
      <c r="G1925" s="101">
        <v>46258.070833333331</v>
      </c>
      <c r="H1925" s="18" t="s">
        <v>507</v>
      </c>
      <c r="I1925" s="18" t="s">
        <v>508</v>
      </c>
      <c r="J1925" s="18"/>
      <c r="K1925" s="21">
        <f t="shared" si="87"/>
        <v>25.333333333313931</v>
      </c>
      <c r="L1925" s="19">
        <f t="shared" si="88"/>
        <v>212</v>
      </c>
      <c r="M1925" s="18" t="str">
        <f>IF(I1925&lt;&gt;"Sí","",IF(YEAR(F1925)&lt;&gt;2026,"",INDEX({"Enero","Febrero","Marzo","Abril","Mayo","Junio","Julio","Agosto","Septiembre","Octubre","Noviembre","Diciembre"},MONTH(F1925))))</f>
        <v>Agosto</v>
      </c>
      <c r="N1925" s="18" t="str">
        <f t="shared" si="89"/>
        <v>Agosto|212</v>
      </c>
    </row>
    <row r="1926" spans="1:14" ht="14.5" x14ac:dyDescent="0.25">
      <c r="A1926" s="19">
        <v>34</v>
      </c>
      <c r="B1926" s="18" t="s">
        <v>41</v>
      </c>
      <c r="C1926" s="18" t="s">
        <v>95</v>
      </c>
      <c r="D1926" s="18" t="s">
        <v>1807</v>
      </c>
      <c r="E1926" s="18" t="s">
        <v>2478</v>
      </c>
      <c r="F1926" s="101">
        <v>46257.017361111109</v>
      </c>
      <c r="G1926" s="101">
        <v>46258.070833333331</v>
      </c>
      <c r="H1926" s="18" t="s">
        <v>507</v>
      </c>
      <c r="I1926" s="18" t="s">
        <v>508</v>
      </c>
      <c r="J1926" s="18"/>
      <c r="K1926" s="21">
        <f t="shared" si="87"/>
        <v>25.283333333325572</v>
      </c>
      <c r="L1926" s="19">
        <f t="shared" si="88"/>
        <v>213</v>
      </c>
      <c r="M1926" s="18" t="str">
        <f>IF(I1926&lt;&gt;"Sí","",IF(YEAR(F1926)&lt;&gt;2026,"",INDEX({"Enero","Febrero","Marzo","Abril","Mayo","Junio","Julio","Agosto","Septiembre","Octubre","Noviembre","Diciembre"},MONTH(F1926))))</f>
        <v>Agosto</v>
      </c>
      <c r="N1926" s="18" t="str">
        <f t="shared" si="89"/>
        <v>Agosto|213</v>
      </c>
    </row>
    <row r="1927" spans="1:14" ht="14.5" x14ac:dyDescent="0.25">
      <c r="A1927" s="19">
        <v>34</v>
      </c>
      <c r="B1927" s="18" t="s">
        <v>41</v>
      </c>
      <c r="C1927" s="18" t="s">
        <v>95</v>
      </c>
      <c r="D1927" s="18" t="s">
        <v>1807</v>
      </c>
      <c r="E1927" s="18" t="s">
        <v>2479</v>
      </c>
      <c r="F1927" s="101">
        <v>46257.020833333336</v>
      </c>
      <c r="G1927" s="101">
        <v>46258.070833333331</v>
      </c>
      <c r="H1927" s="18" t="s">
        <v>507</v>
      </c>
      <c r="I1927" s="18" t="s">
        <v>508</v>
      </c>
      <c r="J1927" s="18"/>
      <c r="K1927" s="21">
        <f t="shared" ref="K1927:K1990" si="90">IF(I1927="Sí",(G1927-F1927)*24,"")</f>
        <v>25.199999999895226</v>
      </c>
      <c r="L1927" s="19">
        <f t="shared" ref="L1927:L1990" si="91">IF(I1927="Sí",COUNTIFS($F$7:$F$4000,"&lt;="&amp;F1927,$G$7:$G$4000,"&gt;"&amp;F1927,$I$7:$I$4000,"Sí"),"")</f>
        <v>214</v>
      </c>
      <c r="M1927" s="18" t="str">
        <f>IF(I1927&lt;&gt;"Sí","",IF(YEAR(F1927)&lt;&gt;2026,"",INDEX({"Enero","Febrero","Marzo","Abril","Mayo","Junio","Julio","Agosto","Septiembre","Octubre","Noviembre","Diciembre"},MONTH(F1927))))</f>
        <v>Agosto</v>
      </c>
      <c r="N1927" s="18" t="str">
        <f t="shared" ref="N1927:N1990" si="92">IF(M1927="","",M1927&amp;"|"&amp;L1927)</f>
        <v>Agosto|214</v>
      </c>
    </row>
    <row r="1928" spans="1:14" ht="14.5" x14ac:dyDescent="0.25">
      <c r="A1928" s="19">
        <v>34</v>
      </c>
      <c r="B1928" s="18" t="s">
        <v>41</v>
      </c>
      <c r="C1928" s="18" t="s">
        <v>95</v>
      </c>
      <c r="D1928" s="18" t="s">
        <v>1807</v>
      </c>
      <c r="E1928" s="18" t="s">
        <v>2480</v>
      </c>
      <c r="F1928" s="101">
        <v>46257.022222222222</v>
      </c>
      <c r="G1928" s="101">
        <v>46258.070833333331</v>
      </c>
      <c r="H1928" s="18" t="s">
        <v>507</v>
      </c>
      <c r="I1928" s="18" t="s">
        <v>508</v>
      </c>
      <c r="J1928" s="18"/>
      <c r="K1928" s="21">
        <f t="shared" si="90"/>
        <v>25.166666666627862</v>
      </c>
      <c r="L1928" s="19">
        <f t="shared" si="91"/>
        <v>215</v>
      </c>
      <c r="M1928" s="18" t="str">
        <f>IF(I1928&lt;&gt;"Sí","",IF(YEAR(F1928)&lt;&gt;2026,"",INDEX({"Enero","Febrero","Marzo","Abril","Mayo","Junio","Julio","Agosto","Septiembre","Octubre","Noviembre","Diciembre"},MONTH(F1928))))</f>
        <v>Agosto</v>
      </c>
      <c r="N1928" s="18" t="str">
        <f t="shared" si="92"/>
        <v>Agosto|215</v>
      </c>
    </row>
    <row r="1929" spans="1:14" ht="14.5" x14ac:dyDescent="0.25">
      <c r="A1929" s="19">
        <v>34</v>
      </c>
      <c r="B1929" s="18" t="s">
        <v>41</v>
      </c>
      <c r="C1929" s="18" t="s">
        <v>95</v>
      </c>
      <c r="D1929" s="18" t="s">
        <v>1807</v>
      </c>
      <c r="E1929" s="18" t="s">
        <v>2481</v>
      </c>
      <c r="F1929" s="101">
        <v>46257.025694444441</v>
      </c>
      <c r="G1929" s="101">
        <v>46258.031944444447</v>
      </c>
      <c r="H1929" s="18" t="s">
        <v>507</v>
      </c>
      <c r="I1929" s="18" t="s">
        <v>508</v>
      </c>
      <c r="J1929" s="18"/>
      <c r="K1929" s="21">
        <f t="shared" si="90"/>
        <v>24.150000000139698</v>
      </c>
      <c r="L1929" s="19">
        <f t="shared" si="91"/>
        <v>216</v>
      </c>
      <c r="M1929" s="18" t="str">
        <f>IF(I1929&lt;&gt;"Sí","",IF(YEAR(F1929)&lt;&gt;2026,"",INDEX({"Enero","Febrero","Marzo","Abril","Mayo","Junio","Julio","Agosto","Septiembre","Octubre","Noviembre","Diciembre"},MONTH(F1929))))</f>
        <v>Agosto</v>
      </c>
      <c r="N1929" s="18" t="str">
        <f t="shared" si="92"/>
        <v>Agosto|216</v>
      </c>
    </row>
    <row r="1930" spans="1:14" ht="14.5" x14ac:dyDescent="0.25">
      <c r="A1930" s="19">
        <v>34</v>
      </c>
      <c r="B1930" s="18" t="s">
        <v>41</v>
      </c>
      <c r="C1930" s="18" t="s">
        <v>95</v>
      </c>
      <c r="D1930" s="18" t="s">
        <v>1807</v>
      </c>
      <c r="E1930" s="18" t="s">
        <v>2482</v>
      </c>
      <c r="F1930" s="101">
        <v>46257.027777777781</v>
      </c>
      <c r="G1930" s="101">
        <v>46258.031944444447</v>
      </c>
      <c r="H1930" s="18" t="s">
        <v>507</v>
      </c>
      <c r="I1930" s="18" t="s">
        <v>508</v>
      </c>
      <c r="J1930" s="18"/>
      <c r="K1930" s="21">
        <f t="shared" si="90"/>
        <v>24.099999999976717</v>
      </c>
      <c r="L1930" s="19">
        <f t="shared" si="91"/>
        <v>217</v>
      </c>
      <c r="M1930" s="18" t="str">
        <f>IF(I1930&lt;&gt;"Sí","",IF(YEAR(F1930)&lt;&gt;2026,"",INDEX({"Enero","Febrero","Marzo","Abril","Mayo","Junio","Julio","Agosto","Septiembre","Octubre","Noviembre","Diciembre"},MONTH(F1930))))</f>
        <v>Agosto</v>
      </c>
      <c r="N1930" s="18" t="str">
        <f t="shared" si="92"/>
        <v>Agosto|217</v>
      </c>
    </row>
    <row r="1931" spans="1:14" ht="14.5" x14ac:dyDescent="0.25">
      <c r="A1931" s="19">
        <v>34</v>
      </c>
      <c r="B1931" s="18" t="s">
        <v>41</v>
      </c>
      <c r="C1931" s="18" t="s">
        <v>95</v>
      </c>
      <c r="D1931" s="18" t="s">
        <v>1807</v>
      </c>
      <c r="E1931" s="18" t="s">
        <v>2483</v>
      </c>
      <c r="F1931" s="101">
        <v>46257.03125</v>
      </c>
      <c r="G1931" s="101">
        <v>46258.9375</v>
      </c>
      <c r="H1931" s="18" t="s">
        <v>507</v>
      </c>
      <c r="I1931" s="18" t="s">
        <v>508</v>
      </c>
      <c r="J1931" s="18"/>
      <c r="K1931" s="21">
        <f t="shared" si="90"/>
        <v>45.75</v>
      </c>
      <c r="L1931" s="19">
        <f t="shared" si="91"/>
        <v>218</v>
      </c>
      <c r="M1931" s="18" t="str">
        <f>IF(I1931&lt;&gt;"Sí","",IF(YEAR(F1931)&lt;&gt;2026,"",INDEX({"Enero","Febrero","Marzo","Abril","Mayo","Junio","Julio","Agosto","Septiembre","Octubre","Noviembre","Diciembre"},MONTH(F1931))))</f>
        <v>Agosto</v>
      </c>
      <c r="N1931" s="18" t="str">
        <f t="shared" si="92"/>
        <v>Agosto|218</v>
      </c>
    </row>
    <row r="1932" spans="1:14" ht="14.5" x14ac:dyDescent="0.25">
      <c r="A1932" s="19">
        <v>34</v>
      </c>
      <c r="B1932" s="18" t="s">
        <v>41</v>
      </c>
      <c r="C1932" s="18" t="s">
        <v>95</v>
      </c>
      <c r="D1932" s="18" t="s">
        <v>1807</v>
      </c>
      <c r="E1932" s="18" t="s">
        <v>2484</v>
      </c>
      <c r="F1932" s="101">
        <v>46257.033333333333</v>
      </c>
      <c r="G1932" s="101">
        <v>46258.9375</v>
      </c>
      <c r="H1932" s="18" t="s">
        <v>507</v>
      </c>
      <c r="I1932" s="18" t="s">
        <v>508</v>
      </c>
      <c r="J1932" s="18"/>
      <c r="K1932" s="21">
        <f t="shared" si="90"/>
        <v>45.700000000011642</v>
      </c>
      <c r="L1932" s="19">
        <f t="shared" si="91"/>
        <v>219</v>
      </c>
      <c r="M1932" s="18" t="str">
        <f>IF(I1932&lt;&gt;"Sí","",IF(YEAR(F1932)&lt;&gt;2026,"",INDEX({"Enero","Febrero","Marzo","Abril","Mayo","Junio","Julio","Agosto","Septiembre","Octubre","Noviembre","Diciembre"},MONTH(F1932))))</f>
        <v>Agosto</v>
      </c>
      <c r="N1932" s="18" t="str">
        <f t="shared" si="92"/>
        <v>Agosto|219</v>
      </c>
    </row>
    <row r="1933" spans="1:14" ht="14.5" x14ac:dyDescent="0.25">
      <c r="A1933" s="19">
        <v>34</v>
      </c>
      <c r="B1933" s="18" t="s">
        <v>41</v>
      </c>
      <c r="C1933" s="18" t="s">
        <v>95</v>
      </c>
      <c r="D1933" s="18" t="s">
        <v>1807</v>
      </c>
      <c r="E1933" s="18" t="s">
        <v>2485</v>
      </c>
      <c r="F1933" s="101">
        <v>46257.034722222219</v>
      </c>
      <c r="G1933" s="101">
        <v>46258.9375</v>
      </c>
      <c r="H1933" s="18" t="s">
        <v>507</v>
      </c>
      <c r="I1933" s="18" t="s">
        <v>508</v>
      </c>
      <c r="J1933" s="18"/>
      <c r="K1933" s="21">
        <f t="shared" si="90"/>
        <v>45.666666666744277</v>
      </c>
      <c r="L1933" s="19">
        <f t="shared" si="91"/>
        <v>220</v>
      </c>
      <c r="M1933" s="18" t="str">
        <f>IF(I1933&lt;&gt;"Sí","",IF(YEAR(F1933)&lt;&gt;2026,"",INDEX({"Enero","Febrero","Marzo","Abril","Mayo","Junio","Julio","Agosto","Septiembre","Octubre","Noviembre","Diciembre"},MONTH(F1933))))</f>
        <v>Agosto</v>
      </c>
      <c r="N1933" s="18" t="str">
        <f t="shared" si="92"/>
        <v>Agosto|220</v>
      </c>
    </row>
    <row r="1934" spans="1:14" ht="14.5" x14ac:dyDescent="0.25">
      <c r="A1934" s="19">
        <v>34</v>
      </c>
      <c r="B1934" s="18" t="s">
        <v>41</v>
      </c>
      <c r="C1934" s="18" t="s">
        <v>95</v>
      </c>
      <c r="D1934" s="18" t="s">
        <v>1807</v>
      </c>
      <c r="E1934" s="18" t="s">
        <v>2486</v>
      </c>
      <c r="F1934" s="101">
        <v>46257.036805555559</v>
      </c>
      <c r="G1934" s="101">
        <v>46258.9375</v>
      </c>
      <c r="H1934" s="18" t="s">
        <v>507</v>
      </c>
      <c r="I1934" s="18" t="s">
        <v>508</v>
      </c>
      <c r="J1934" s="18"/>
      <c r="K1934" s="21">
        <f t="shared" si="90"/>
        <v>45.616666666581295</v>
      </c>
      <c r="L1934" s="19">
        <f t="shared" si="91"/>
        <v>221</v>
      </c>
      <c r="M1934" s="18" t="str">
        <f>IF(I1934&lt;&gt;"Sí","",IF(YEAR(F1934)&lt;&gt;2026,"",INDEX({"Enero","Febrero","Marzo","Abril","Mayo","Junio","Julio","Agosto","Septiembre","Octubre","Noviembre","Diciembre"},MONTH(F1934))))</f>
        <v>Agosto</v>
      </c>
      <c r="N1934" s="18" t="str">
        <f t="shared" si="92"/>
        <v>Agosto|221</v>
      </c>
    </row>
    <row r="1935" spans="1:14" ht="14.5" x14ac:dyDescent="0.25">
      <c r="A1935" s="19">
        <v>34</v>
      </c>
      <c r="B1935" s="18" t="s">
        <v>41</v>
      </c>
      <c r="C1935" s="18" t="s">
        <v>95</v>
      </c>
      <c r="D1935" s="18" t="s">
        <v>1807</v>
      </c>
      <c r="E1935" s="18" t="s">
        <v>2487</v>
      </c>
      <c r="F1935" s="101">
        <v>46257.038194444445</v>
      </c>
      <c r="G1935" s="101">
        <v>46258.9375</v>
      </c>
      <c r="H1935" s="18" t="s">
        <v>507</v>
      </c>
      <c r="I1935" s="18" t="s">
        <v>508</v>
      </c>
      <c r="J1935" s="18"/>
      <c r="K1935" s="21">
        <f t="shared" si="90"/>
        <v>45.583333333313931</v>
      </c>
      <c r="L1935" s="19">
        <f t="shared" si="91"/>
        <v>222</v>
      </c>
      <c r="M1935" s="18" t="str">
        <f>IF(I1935&lt;&gt;"Sí","",IF(YEAR(F1935)&lt;&gt;2026,"",INDEX({"Enero","Febrero","Marzo","Abril","Mayo","Junio","Julio","Agosto","Septiembre","Octubre","Noviembre","Diciembre"},MONTH(F1935))))</f>
        <v>Agosto</v>
      </c>
      <c r="N1935" s="18" t="str">
        <f t="shared" si="92"/>
        <v>Agosto|222</v>
      </c>
    </row>
    <row r="1936" spans="1:14" ht="14.5" x14ac:dyDescent="0.25">
      <c r="A1936" s="19">
        <v>34</v>
      </c>
      <c r="B1936" s="18" t="s">
        <v>41</v>
      </c>
      <c r="C1936" s="18" t="s">
        <v>95</v>
      </c>
      <c r="D1936" s="18" t="s">
        <v>1807</v>
      </c>
      <c r="E1936" s="18" t="s">
        <v>2488</v>
      </c>
      <c r="F1936" s="101">
        <v>46257.040277777778</v>
      </c>
      <c r="G1936" s="101">
        <v>46258.9375</v>
      </c>
      <c r="H1936" s="18" t="s">
        <v>507</v>
      </c>
      <c r="I1936" s="18" t="s">
        <v>508</v>
      </c>
      <c r="J1936" s="18"/>
      <c r="K1936" s="21">
        <f t="shared" si="90"/>
        <v>45.533333333325572</v>
      </c>
      <c r="L1936" s="19">
        <f t="shared" si="91"/>
        <v>223</v>
      </c>
      <c r="M1936" s="18" t="str">
        <f>IF(I1936&lt;&gt;"Sí","",IF(YEAR(F1936)&lt;&gt;2026,"",INDEX({"Enero","Febrero","Marzo","Abril","Mayo","Junio","Julio","Agosto","Septiembre","Octubre","Noviembre","Diciembre"},MONTH(F1936))))</f>
        <v>Agosto</v>
      </c>
      <c r="N1936" s="18" t="str">
        <f t="shared" si="92"/>
        <v>Agosto|223</v>
      </c>
    </row>
    <row r="1937" spans="1:14" ht="14.5" x14ac:dyDescent="0.25">
      <c r="A1937" s="19">
        <v>34</v>
      </c>
      <c r="B1937" s="18" t="s">
        <v>41</v>
      </c>
      <c r="C1937" s="18" t="s">
        <v>95</v>
      </c>
      <c r="D1937" s="18" t="s">
        <v>1807</v>
      </c>
      <c r="E1937" s="18" t="s">
        <v>2489</v>
      </c>
      <c r="F1937" s="101">
        <v>46257.040972222225</v>
      </c>
      <c r="G1937" s="101">
        <v>46258.9375</v>
      </c>
      <c r="H1937" s="18" t="s">
        <v>507</v>
      </c>
      <c r="I1937" s="18" t="s">
        <v>508</v>
      </c>
      <c r="J1937" s="18"/>
      <c r="K1937" s="21">
        <f t="shared" si="90"/>
        <v>45.516666666604578</v>
      </c>
      <c r="L1937" s="19">
        <f t="shared" si="91"/>
        <v>224</v>
      </c>
      <c r="M1937" s="18" t="str">
        <f>IF(I1937&lt;&gt;"Sí","",IF(YEAR(F1937)&lt;&gt;2026,"",INDEX({"Enero","Febrero","Marzo","Abril","Mayo","Junio","Julio","Agosto","Septiembre","Octubre","Noviembre","Diciembre"},MONTH(F1937))))</f>
        <v>Agosto</v>
      </c>
      <c r="N1937" s="18" t="str">
        <f t="shared" si="92"/>
        <v>Agosto|224</v>
      </c>
    </row>
    <row r="1938" spans="1:14" ht="14.5" x14ac:dyDescent="0.25">
      <c r="A1938" s="19">
        <v>34</v>
      </c>
      <c r="B1938" s="18" t="s">
        <v>41</v>
      </c>
      <c r="C1938" s="18" t="s">
        <v>95</v>
      </c>
      <c r="D1938" s="18" t="s">
        <v>1807</v>
      </c>
      <c r="E1938" s="18" t="s">
        <v>2490</v>
      </c>
      <c r="F1938" s="101">
        <v>46257.043749999997</v>
      </c>
      <c r="G1938" s="101">
        <v>46258.9375</v>
      </c>
      <c r="H1938" s="18" t="s">
        <v>507</v>
      </c>
      <c r="I1938" s="18" t="s">
        <v>508</v>
      </c>
      <c r="J1938" s="18"/>
      <c r="K1938" s="21">
        <f t="shared" si="90"/>
        <v>45.450000000069849</v>
      </c>
      <c r="L1938" s="19">
        <f t="shared" si="91"/>
        <v>225</v>
      </c>
      <c r="M1938" s="18" t="str">
        <f>IF(I1938&lt;&gt;"Sí","",IF(YEAR(F1938)&lt;&gt;2026,"",INDEX({"Enero","Febrero","Marzo","Abril","Mayo","Junio","Julio","Agosto","Septiembre","Octubre","Noviembre","Diciembre"},MONTH(F1938))))</f>
        <v>Agosto</v>
      </c>
      <c r="N1938" s="18" t="str">
        <f t="shared" si="92"/>
        <v>Agosto|225</v>
      </c>
    </row>
    <row r="1939" spans="1:14" ht="14.5" x14ac:dyDescent="0.25">
      <c r="A1939" s="19">
        <v>34</v>
      </c>
      <c r="B1939" s="18" t="s">
        <v>41</v>
      </c>
      <c r="C1939" s="18" t="s">
        <v>95</v>
      </c>
      <c r="D1939" s="18" t="s">
        <v>1807</v>
      </c>
      <c r="E1939" s="18" t="s">
        <v>2491</v>
      </c>
      <c r="F1939" s="101">
        <v>46257.047222222223</v>
      </c>
      <c r="G1939" s="101">
        <v>46258.9375</v>
      </c>
      <c r="H1939" s="18" t="s">
        <v>507</v>
      </c>
      <c r="I1939" s="18" t="s">
        <v>508</v>
      </c>
      <c r="J1939" s="18"/>
      <c r="K1939" s="21">
        <f t="shared" si="90"/>
        <v>45.366666666639503</v>
      </c>
      <c r="L1939" s="19">
        <f t="shared" si="91"/>
        <v>226</v>
      </c>
      <c r="M1939" s="18" t="str">
        <f>IF(I1939&lt;&gt;"Sí","",IF(YEAR(F1939)&lt;&gt;2026,"",INDEX({"Enero","Febrero","Marzo","Abril","Mayo","Junio","Julio","Agosto","Septiembre","Octubre","Noviembre","Diciembre"},MONTH(F1939))))</f>
        <v>Agosto</v>
      </c>
      <c r="N1939" s="18" t="str">
        <f t="shared" si="92"/>
        <v>Agosto|226</v>
      </c>
    </row>
    <row r="1940" spans="1:14" ht="14.5" x14ac:dyDescent="0.25">
      <c r="A1940" s="19">
        <v>34</v>
      </c>
      <c r="B1940" s="18" t="s">
        <v>41</v>
      </c>
      <c r="C1940" s="18" t="s">
        <v>95</v>
      </c>
      <c r="D1940" s="18" t="s">
        <v>1807</v>
      </c>
      <c r="E1940" s="18" t="s">
        <v>2492</v>
      </c>
      <c r="F1940" s="101">
        <v>46257.049305555556</v>
      </c>
      <c r="G1940" s="101">
        <v>46258.9375</v>
      </c>
      <c r="H1940" s="18" t="s">
        <v>507</v>
      </c>
      <c r="I1940" s="18" t="s">
        <v>508</v>
      </c>
      <c r="J1940" s="18"/>
      <c r="K1940" s="21">
        <f t="shared" si="90"/>
        <v>45.316666666651145</v>
      </c>
      <c r="L1940" s="19">
        <f t="shared" si="91"/>
        <v>227</v>
      </c>
      <c r="M1940" s="18" t="str">
        <f>IF(I1940&lt;&gt;"Sí","",IF(YEAR(F1940)&lt;&gt;2026,"",INDEX({"Enero","Febrero","Marzo","Abril","Mayo","Junio","Julio","Agosto","Septiembre","Octubre","Noviembre","Diciembre"},MONTH(F1940))))</f>
        <v>Agosto</v>
      </c>
      <c r="N1940" s="18" t="str">
        <f t="shared" si="92"/>
        <v>Agosto|227</v>
      </c>
    </row>
    <row r="1941" spans="1:14" ht="14.5" x14ac:dyDescent="0.25">
      <c r="A1941" s="19">
        <v>34</v>
      </c>
      <c r="B1941" s="18" t="s">
        <v>41</v>
      </c>
      <c r="C1941" s="18" t="s">
        <v>95</v>
      </c>
      <c r="D1941" s="18" t="s">
        <v>1807</v>
      </c>
      <c r="E1941" s="18" t="s">
        <v>2493</v>
      </c>
      <c r="F1941" s="101">
        <v>46257.050694444442</v>
      </c>
      <c r="G1941" s="101">
        <v>46258.9375</v>
      </c>
      <c r="H1941" s="18" t="s">
        <v>507</v>
      </c>
      <c r="I1941" s="18" t="s">
        <v>508</v>
      </c>
      <c r="J1941" s="18"/>
      <c r="K1941" s="21">
        <f t="shared" si="90"/>
        <v>45.28333333338378</v>
      </c>
      <c r="L1941" s="19">
        <f t="shared" si="91"/>
        <v>228</v>
      </c>
      <c r="M1941" s="18" t="str">
        <f>IF(I1941&lt;&gt;"Sí","",IF(YEAR(F1941)&lt;&gt;2026,"",INDEX({"Enero","Febrero","Marzo","Abril","Mayo","Junio","Julio","Agosto","Septiembre","Octubre","Noviembre","Diciembre"},MONTH(F1941))))</f>
        <v>Agosto</v>
      </c>
      <c r="N1941" s="18" t="str">
        <f t="shared" si="92"/>
        <v>Agosto|228</v>
      </c>
    </row>
    <row r="1942" spans="1:14" ht="14.5" x14ac:dyDescent="0.25">
      <c r="A1942" s="19">
        <v>34</v>
      </c>
      <c r="B1942" s="18" t="s">
        <v>41</v>
      </c>
      <c r="C1942" s="18" t="s">
        <v>95</v>
      </c>
      <c r="D1942" s="18" t="s">
        <v>1807</v>
      </c>
      <c r="E1942" s="18" t="s">
        <v>2494</v>
      </c>
      <c r="F1942" s="101">
        <v>46257.052777777775</v>
      </c>
      <c r="G1942" s="101">
        <v>46258.9375</v>
      </c>
      <c r="H1942" s="18" t="s">
        <v>507</v>
      </c>
      <c r="I1942" s="18" t="s">
        <v>508</v>
      </c>
      <c r="J1942" s="18"/>
      <c r="K1942" s="21">
        <f t="shared" si="90"/>
        <v>45.233333333395422</v>
      </c>
      <c r="L1942" s="19">
        <f t="shared" si="91"/>
        <v>229</v>
      </c>
      <c r="M1942" s="18" t="str">
        <f>IF(I1942&lt;&gt;"Sí","",IF(YEAR(F1942)&lt;&gt;2026,"",INDEX({"Enero","Febrero","Marzo","Abril","Mayo","Junio","Julio","Agosto","Septiembre","Octubre","Noviembre","Diciembre"},MONTH(F1942))))</f>
        <v>Agosto</v>
      </c>
      <c r="N1942" s="18" t="str">
        <f t="shared" si="92"/>
        <v>Agosto|229</v>
      </c>
    </row>
    <row r="1943" spans="1:14" ht="14.5" x14ac:dyDescent="0.25">
      <c r="A1943" s="19">
        <v>34</v>
      </c>
      <c r="B1943" s="18" t="s">
        <v>41</v>
      </c>
      <c r="C1943" s="18" t="s">
        <v>95</v>
      </c>
      <c r="D1943" s="18" t="s">
        <v>1807</v>
      </c>
      <c r="E1943" s="18" t="s">
        <v>2495</v>
      </c>
      <c r="F1943" s="101">
        <v>46257.059027777781</v>
      </c>
      <c r="G1943" s="101">
        <v>46258.9375</v>
      </c>
      <c r="H1943" s="18" t="s">
        <v>507</v>
      </c>
      <c r="I1943" s="18" t="s">
        <v>508</v>
      </c>
      <c r="J1943" s="18"/>
      <c r="K1943" s="21">
        <f t="shared" si="90"/>
        <v>45.083333333255723</v>
      </c>
      <c r="L1943" s="19">
        <f t="shared" si="91"/>
        <v>230</v>
      </c>
      <c r="M1943" s="18" t="str">
        <f>IF(I1943&lt;&gt;"Sí","",IF(YEAR(F1943)&lt;&gt;2026,"",INDEX({"Enero","Febrero","Marzo","Abril","Mayo","Junio","Julio","Agosto","Septiembre","Octubre","Noviembre","Diciembre"},MONTH(F1943))))</f>
        <v>Agosto</v>
      </c>
      <c r="N1943" s="18" t="str">
        <f t="shared" si="92"/>
        <v>Agosto|230</v>
      </c>
    </row>
    <row r="1944" spans="1:14" ht="14.5" x14ac:dyDescent="0.25">
      <c r="A1944" s="19">
        <v>34</v>
      </c>
      <c r="B1944" s="18" t="s">
        <v>41</v>
      </c>
      <c r="C1944" s="18" t="s">
        <v>95</v>
      </c>
      <c r="D1944" s="18" t="s">
        <v>1807</v>
      </c>
      <c r="E1944" s="18" t="s">
        <v>2496</v>
      </c>
      <c r="F1944" s="101">
        <v>46257.060416666667</v>
      </c>
      <c r="G1944" s="101">
        <v>46258.9375</v>
      </c>
      <c r="H1944" s="18" t="s">
        <v>507</v>
      </c>
      <c r="I1944" s="18" t="s">
        <v>508</v>
      </c>
      <c r="J1944" s="18"/>
      <c r="K1944" s="21">
        <f t="shared" si="90"/>
        <v>45.049999999988358</v>
      </c>
      <c r="L1944" s="19">
        <f t="shared" si="91"/>
        <v>231</v>
      </c>
      <c r="M1944" s="18" t="str">
        <f>IF(I1944&lt;&gt;"Sí","",IF(YEAR(F1944)&lt;&gt;2026,"",INDEX({"Enero","Febrero","Marzo","Abril","Mayo","Junio","Julio","Agosto","Septiembre","Octubre","Noviembre","Diciembre"},MONTH(F1944))))</f>
        <v>Agosto</v>
      </c>
      <c r="N1944" s="18" t="str">
        <f t="shared" si="92"/>
        <v>Agosto|231</v>
      </c>
    </row>
    <row r="1945" spans="1:14" ht="14.5" x14ac:dyDescent="0.25">
      <c r="A1945" s="19">
        <v>34</v>
      </c>
      <c r="B1945" s="18" t="s">
        <v>41</v>
      </c>
      <c r="C1945" s="18" t="s">
        <v>95</v>
      </c>
      <c r="D1945" s="18" t="s">
        <v>1807</v>
      </c>
      <c r="E1945" s="18" t="s">
        <v>2497</v>
      </c>
      <c r="F1945" s="101">
        <v>46257.061805555553</v>
      </c>
      <c r="G1945" s="101">
        <v>46258.9375</v>
      </c>
      <c r="H1945" s="18" t="s">
        <v>507</v>
      </c>
      <c r="I1945" s="18" t="s">
        <v>508</v>
      </c>
      <c r="J1945" s="18"/>
      <c r="K1945" s="21">
        <f t="shared" si="90"/>
        <v>45.016666666720994</v>
      </c>
      <c r="L1945" s="19">
        <f t="shared" si="91"/>
        <v>232</v>
      </c>
      <c r="M1945" s="18" t="str">
        <f>IF(I1945&lt;&gt;"Sí","",IF(YEAR(F1945)&lt;&gt;2026,"",INDEX({"Enero","Febrero","Marzo","Abril","Mayo","Junio","Julio","Agosto","Septiembre","Octubre","Noviembre","Diciembre"},MONTH(F1945))))</f>
        <v>Agosto</v>
      </c>
      <c r="N1945" s="18" t="str">
        <f t="shared" si="92"/>
        <v>Agosto|232</v>
      </c>
    </row>
    <row r="1946" spans="1:14" ht="14.5" x14ac:dyDescent="0.25">
      <c r="A1946" s="19">
        <v>34</v>
      </c>
      <c r="B1946" s="18" t="s">
        <v>41</v>
      </c>
      <c r="C1946" s="18" t="s">
        <v>95</v>
      </c>
      <c r="D1946" s="18" t="s">
        <v>1807</v>
      </c>
      <c r="E1946" s="18" t="s">
        <v>2498</v>
      </c>
      <c r="F1946" s="101">
        <v>46257.068749999999</v>
      </c>
      <c r="G1946" s="101">
        <v>46258.905555555553</v>
      </c>
      <c r="H1946" s="18" t="s">
        <v>507</v>
      </c>
      <c r="I1946" s="18" t="s">
        <v>508</v>
      </c>
      <c r="J1946" s="18"/>
      <c r="K1946" s="21">
        <f t="shared" si="90"/>
        <v>44.083333333313931</v>
      </c>
      <c r="L1946" s="19">
        <f t="shared" si="91"/>
        <v>233</v>
      </c>
      <c r="M1946" s="18" t="str">
        <f>IF(I1946&lt;&gt;"Sí","",IF(YEAR(F1946)&lt;&gt;2026,"",INDEX({"Enero","Febrero","Marzo","Abril","Mayo","Junio","Julio","Agosto","Septiembre","Octubre","Noviembre","Diciembre"},MONTH(F1946))))</f>
        <v>Agosto</v>
      </c>
      <c r="N1946" s="18" t="str">
        <f t="shared" si="92"/>
        <v>Agosto|233</v>
      </c>
    </row>
    <row r="1947" spans="1:14" ht="14.5" x14ac:dyDescent="0.25">
      <c r="A1947" s="19">
        <v>34</v>
      </c>
      <c r="B1947" s="18" t="s">
        <v>41</v>
      </c>
      <c r="C1947" s="18" t="s">
        <v>95</v>
      </c>
      <c r="D1947" s="18" t="s">
        <v>1807</v>
      </c>
      <c r="E1947" s="18" t="s">
        <v>2499</v>
      </c>
      <c r="F1947" s="101">
        <v>46257.072916666664</v>
      </c>
      <c r="G1947" s="101">
        <v>46258.454861111109</v>
      </c>
      <c r="H1947" s="18" t="s">
        <v>507</v>
      </c>
      <c r="I1947" s="18" t="s">
        <v>508</v>
      </c>
      <c r="J1947" s="18"/>
      <c r="K1947" s="21">
        <f t="shared" si="90"/>
        <v>33.166666666686069</v>
      </c>
      <c r="L1947" s="19">
        <f t="shared" si="91"/>
        <v>232</v>
      </c>
      <c r="M1947" s="18" t="str">
        <f>IF(I1947&lt;&gt;"Sí","",IF(YEAR(F1947)&lt;&gt;2026,"",INDEX({"Enero","Febrero","Marzo","Abril","Mayo","Junio","Julio","Agosto","Septiembre","Octubre","Noviembre","Diciembre"},MONTH(F1947))))</f>
        <v>Agosto</v>
      </c>
      <c r="N1947" s="18" t="str">
        <f t="shared" si="92"/>
        <v>Agosto|232</v>
      </c>
    </row>
    <row r="1948" spans="1:14" ht="14.5" x14ac:dyDescent="0.25">
      <c r="A1948" s="19">
        <v>34</v>
      </c>
      <c r="B1948" s="18" t="s">
        <v>41</v>
      </c>
      <c r="C1948" s="18" t="s">
        <v>95</v>
      </c>
      <c r="D1948" s="18" t="s">
        <v>1807</v>
      </c>
      <c r="E1948" s="18" t="s">
        <v>2500</v>
      </c>
      <c r="F1948" s="101">
        <v>46257.076388888891</v>
      </c>
      <c r="G1948" s="101">
        <v>46258.45208333333</v>
      </c>
      <c r="H1948" s="18" t="s">
        <v>507</v>
      </c>
      <c r="I1948" s="18" t="s">
        <v>508</v>
      </c>
      <c r="J1948" s="18"/>
      <c r="K1948" s="21">
        <f t="shared" si="90"/>
        <v>33.016666666546371</v>
      </c>
      <c r="L1948" s="19">
        <f t="shared" si="91"/>
        <v>233</v>
      </c>
      <c r="M1948" s="18" t="str">
        <f>IF(I1948&lt;&gt;"Sí","",IF(YEAR(F1948)&lt;&gt;2026,"",INDEX({"Enero","Febrero","Marzo","Abril","Mayo","Junio","Julio","Agosto","Septiembre","Octubre","Noviembre","Diciembre"},MONTH(F1948))))</f>
        <v>Agosto</v>
      </c>
      <c r="N1948" s="18" t="str">
        <f t="shared" si="92"/>
        <v>Agosto|233</v>
      </c>
    </row>
    <row r="1949" spans="1:14" ht="14.5" x14ac:dyDescent="0.25">
      <c r="A1949" s="19">
        <v>34</v>
      </c>
      <c r="B1949" s="18" t="s">
        <v>41</v>
      </c>
      <c r="C1949" s="18" t="s">
        <v>95</v>
      </c>
      <c r="D1949" s="18" t="s">
        <v>1807</v>
      </c>
      <c r="E1949" s="18" t="s">
        <v>2501</v>
      </c>
      <c r="F1949" s="101">
        <v>46257.077777777777</v>
      </c>
      <c r="G1949" s="101">
        <v>46258.45</v>
      </c>
      <c r="H1949" s="18" t="s">
        <v>507</v>
      </c>
      <c r="I1949" s="18" t="s">
        <v>508</v>
      </c>
      <c r="J1949" s="18"/>
      <c r="K1949" s="21">
        <f t="shared" si="90"/>
        <v>32.933333333290648</v>
      </c>
      <c r="L1949" s="19">
        <f t="shared" si="91"/>
        <v>231</v>
      </c>
      <c r="M1949" s="18" t="str">
        <f>IF(I1949&lt;&gt;"Sí","",IF(YEAR(F1949)&lt;&gt;2026,"",INDEX({"Enero","Febrero","Marzo","Abril","Mayo","Junio","Julio","Agosto","Septiembre","Octubre","Noviembre","Diciembre"},MONTH(F1949))))</f>
        <v>Agosto</v>
      </c>
      <c r="N1949" s="18" t="str">
        <f t="shared" si="92"/>
        <v>Agosto|231</v>
      </c>
    </row>
    <row r="1950" spans="1:14" ht="14.5" x14ac:dyDescent="0.25">
      <c r="A1950" s="19">
        <v>34</v>
      </c>
      <c r="B1950" s="18" t="s">
        <v>41</v>
      </c>
      <c r="C1950" s="18" t="s">
        <v>95</v>
      </c>
      <c r="D1950" s="18" t="s">
        <v>1807</v>
      </c>
      <c r="E1950" s="18" t="s">
        <v>2502</v>
      </c>
      <c r="F1950" s="101">
        <v>46257.079861111109</v>
      </c>
      <c r="G1950" s="101">
        <v>46258.447222222225</v>
      </c>
      <c r="H1950" s="18" t="s">
        <v>507</v>
      </c>
      <c r="I1950" s="18" t="s">
        <v>508</v>
      </c>
      <c r="J1950" s="18"/>
      <c r="K1950" s="21">
        <f t="shared" si="90"/>
        <v>32.81666666676756</v>
      </c>
      <c r="L1950" s="19">
        <f t="shared" si="91"/>
        <v>232</v>
      </c>
      <c r="M1950" s="18" t="str">
        <f>IF(I1950&lt;&gt;"Sí","",IF(YEAR(F1950)&lt;&gt;2026,"",INDEX({"Enero","Febrero","Marzo","Abril","Mayo","Junio","Julio","Agosto","Septiembre","Octubre","Noviembre","Diciembre"},MONTH(F1950))))</f>
        <v>Agosto</v>
      </c>
      <c r="N1950" s="18" t="str">
        <f t="shared" si="92"/>
        <v>Agosto|232</v>
      </c>
    </row>
    <row r="1951" spans="1:14" ht="14.5" x14ac:dyDescent="0.25">
      <c r="A1951" s="19">
        <v>34</v>
      </c>
      <c r="B1951" s="18" t="s">
        <v>41</v>
      </c>
      <c r="C1951" s="18" t="s">
        <v>95</v>
      </c>
      <c r="D1951" s="18" t="s">
        <v>1807</v>
      </c>
      <c r="E1951" s="18" t="s">
        <v>2503</v>
      </c>
      <c r="F1951" s="101">
        <v>46257.084027777775</v>
      </c>
      <c r="G1951" s="101">
        <v>46258.445833333331</v>
      </c>
      <c r="H1951" s="18" t="s">
        <v>507</v>
      </c>
      <c r="I1951" s="18" t="s">
        <v>508</v>
      </c>
      <c r="J1951" s="18"/>
      <c r="K1951" s="21">
        <f t="shared" si="90"/>
        <v>32.683333333348855</v>
      </c>
      <c r="L1951" s="19">
        <f t="shared" si="91"/>
        <v>232</v>
      </c>
      <c r="M1951" s="18" t="str">
        <f>IF(I1951&lt;&gt;"Sí","",IF(YEAR(F1951)&lt;&gt;2026,"",INDEX({"Enero","Febrero","Marzo","Abril","Mayo","Junio","Julio","Agosto","Septiembre","Octubre","Noviembre","Diciembre"},MONTH(F1951))))</f>
        <v>Agosto</v>
      </c>
      <c r="N1951" s="18" t="str">
        <f t="shared" si="92"/>
        <v>Agosto|232</v>
      </c>
    </row>
    <row r="1952" spans="1:14" ht="14.5" x14ac:dyDescent="0.25">
      <c r="A1952" s="19">
        <v>34</v>
      </c>
      <c r="B1952" s="18" t="s">
        <v>41</v>
      </c>
      <c r="C1952" s="18" t="s">
        <v>95</v>
      </c>
      <c r="D1952" s="18" t="s">
        <v>1807</v>
      </c>
      <c r="E1952" s="18" t="s">
        <v>2504</v>
      </c>
      <c r="F1952" s="101">
        <v>46257.085416666669</v>
      </c>
      <c r="G1952" s="101">
        <v>46258.443055555559</v>
      </c>
      <c r="H1952" s="18" t="s">
        <v>507</v>
      </c>
      <c r="I1952" s="18" t="s">
        <v>508</v>
      </c>
      <c r="J1952" s="18"/>
      <c r="K1952" s="21">
        <f t="shared" si="90"/>
        <v>32.583333333372138</v>
      </c>
      <c r="L1952" s="19">
        <f t="shared" si="91"/>
        <v>232</v>
      </c>
      <c r="M1952" s="18" t="str">
        <f>IF(I1952&lt;&gt;"Sí","",IF(YEAR(F1952)&lt;&gt;2026,"",INDEX({"Enero","Febrero","Marzo","Abril","Mayo","Junio","Julio","Agosto","Septiembre","Octubre","Noviembre","Diciembre"},MONTH(F1952))))</f>
        <v>Agosto</v>
      </c>
      <c r="N1952" s="18" t="str">
        <f t="shared" si="92"/>
        <v>Agosto|232</v>
      </c>
    </row>
    <row r="1953" spans="1:14" ht="14.5" x14ac:dyDescent="0.25">
      <c r="A1953" s="19">
        <v>34</v>
      </c>
      <c r="B1953" s="18" t="s">
        <v>41</v>
      </c>
      <c r="C1953" s="18" t="s">
        <v>95</v>
      </c>
      <c r="D1953" s="18" t="s">
        <v>1807</v>
      </c>
      <c r="E1953" s="18" t="s">
        <v>2505</v>
      </c>
      <c r="F1953" s="101">
        <v>46257.086805555555</v>
      </c>
      <c r="G1953" s="101">
        <v>46258.441666666666</v>
      </c>
      <c r="H1953" s="18" t="s">
        <v>507</v>
      </c>
      <c r="I1953" s="18" t="s">
        <v>508</v>
      </c>
      <c r="J1953" s="18"/>
      <c r="K1953" s="21">
        <f t="shared" si="90"/>
        <v>32.516666666662786</v>
      </c>
      <c r="L1953" s="19">
        <f t="shared" si="91"/>
        <v>232</v>
      </c>
      <c r="M1953" s="18" t="str">
        <f>IF(I1953&lt;&gt;"Sí","",IF(YEAR(F1953)&lt;&gt;2026,"",INDEX({"Enero","Febrero","Marzo","Abril","Mayo","Junio","Julio","Agosto","Septiembre","Octubre","Noviembre","Diciembre"},MONTH(F1953))))</f>
        <v>Agosto</v>
      </c>
      <c r="N1953" s="18" t="str">
        <f t="shared" si="92"/>
        <v>Agosto|232</v>
      </c>
    </row>
    <row r="1954" spans="1:14" ht="14.5" x14ac:dyDescent="0.25">
      <c r="A1954" s="19">
        <v>34</v>
      </c>
      <c r="B1954" s="18" t="s">
        <v>41</v>
      </c>
      <c r="C1954" s="18" t="s">
        <v>95</v>
      </c>
      <c r="D1954" s="18" t="s">
        <v>1807</v>
      </c>
      <c r="E1954" s="18" t="s">
        <v>2506</v>
      </c>
      <c r="F1954" s="101">
        <v>46257.088194444441</v>
      </c>
      <c r="G1954" s="101">
        <v>46258.438888888886</v>
      </c>
      <c r="H1954" s="18" t="s">
        <v>507</v>
      </c>
      <c r="I1954" s="18" t="s">
        <v>508</v>
      </c>
      <c r="J1954" s="18"/>
      <c r="K1954" s="21">
        <f t="shared" si="90"/>
        <v>32.416666666686069</v>
      </c>
      <c r="L1954" s="19">
        <f t="shared" si="91"/>
        <v>233</v>
      </c>
      <c r="M1954" s="18" t="str">
        <f>IF(I1954&lt;&gt;"Sí","",IF(YEAR(F1954)&lt;&gt;2026,"",INDEX({"Enero","Febrero","Marzo","Abril","Mayo","Junio","Julio","Agosto","Septiembre","Octubre","Noviembre","Diciembre"},MONTH(F1954))))</f>
        <v>Agosto</v>
      </c>
      <c r="N1954" s="18" t="str">
        <f t="shared" si="92"/>
        <v>Agosto|233</v>
      </c>
    </row>
    <row r="1955" spans="1:14" ht="14.5" x14ac:dyDescent="0.25">
      <c r="A1955" s="19">
        <v>34</v>
      </c>
      <c r="B1955" s="18" t="s">
        <v>41</v>
      </c>
      <c r="C1955" s="18" t="s">
        <v>95</v>
      </c>
      <c r="D1955" s="18" t="s">
        <v>1807</v>
      </c>
      <c r="E1955" s="18" t="s">
        <v>2507</v>
      </c>
      <c r="F1955" s="101">
        <v>46257.088888888888</v>
      </c>
      <c r="G1955" s="101">
        <v>46258.436111111114</v>
      </c>
      <c r="H1955" s="18" t="s">
        <v>507</v>
      </c>
      <c r="I1955" s="18" t="s">
        <v>508</v>
      </c>
      <c r="J1955" s="18"/>
      <c r="K1955" s="21">
        <f t="shared" si="90"/>
        <v>32.333333333430346</v>
      </c>
      <c r="L1955" s="19">
        <f t="shared" si="91"/>
        <v>234</v>
      </c>
      <c r="M1955" s="18" t="str">
        <f>IF(I1955&lt;&gt;"Sí","",IF(YEAR(F1955)&lt;&gt;2026,"",INDEX({"Enero","Febrero","Marzo","Abril","Mayo","Junio","Julio","Agosto","Septiembre","Octubre","Noviembre","Diciembre"},MONTH(F1955))))</f>
        <v>Agosto</v>
      </c>
      <c r="N1955" s="18" t="str">
        <f t="shared" si="92"/>
        <v>Agosto|234</v>
      </c>
    </row>
    <row r="1956" spans="1:14" ht="14.5" x14ac:dyDescent="0.25">
      <c r="A1956" s="19">
        <v>34</v>
      </c>
      <c r="B1956" s="18" t="s">
        <v>41</v>
      </c>
      <c r="C1956" s="18" t="s">
        <v>95</v>
      </c>
      <c r="D1956" s="18" t="s">
        <v>1807</v>
      </c>
      <c r="E1956" s="18" t="s">
        <v>2508</v>
      </c>
      <c r="F1956" s="101">
        <v>46257.09097222222</v>
      </c>
      <c r="G1956" s="101">
        <v>46258.433333333334</v>
      </c>
      <c r="H1956" s="18" t="s">
        <v>507</v>
      </c>
      <c r="I1956" s="18" t="s">
        <v>508</v>
      </c>
      <c r="J1956" s="18"/>
      <c r="K1956" s="21">
        <f t="shared" si="90"/>
        <v>32.216666666732635</v>
      </c>
      <c r="L1956" s="19">
        <f t="shared" si="91"/>
        <v>235</v>
      </c>
      <c r="M1956" s="18" t="str">
        <f>IF(I1956&lt;&gt;"Sí","",IF(YEAR(F1956)&lt;&gt;2026,"",INDEX({"Enero","Febrero","Marzo","Abril","Mayo","Junio","Julio","Agosto","Septiembre","Octubre","Noviembre","Diciembre"},MONTH(F1956))))</f>
        <v>Agosto</v>
      </c>
      <c r="N1956" s="18" t="str">
        <f t="shared" si="92"/>
        <v>Agosto|235</v>
      </c>
    </row>
    <row r="1957" spans="1:14" ht="14.5" x14ac:dyDescent="0.25">
      <c r="A1957" s="19">
        <v>34</v>
      </c>
      <c r="B1957" s="18" t="s">
        <v>41</v>
      </c>
      <c r="C1957" s="18" t="s">
        <v>95</v>
      </c>
      <c r="D1957" s="18" t="s">
        <v>1807</v>
      </c>
      <c r="E1957" s="18" t="s">
        <v>2509</v>
      </c>
      <c r="F1957" s="101">
        <v>46257.09375</v>
      </c>
      <c r="G1957" s="101">
        <v>46258.431250000001</v>
      </c>
      <c r="H1957" s="18" t="s">
        <v>507</v>
      </c>
      <c r="I1957" s="18" t="s">
        <v>508</v>
      </c>
      <c r="J1957" s="18"/>
      <c r="K1957" s="21">
        <f t="shared" si="90"/>
        <v>32.100000000034925</v>
      </c>
      <c r="L1957" s="19">
        <f t="shared" si="91"/>
        <v>236</v>
      </c>
      <c r="M1957" s="18" t="str">
        <f>IF(I1957&lt;&gt;"Sí","",IF(YEAR(F1957)&lt;&gt;2026,"",INDEX({"Enero","Febrero","Marzo","Abril","Mayo","Junio","Julio","Agosto","Septiembre","Octubre","Noviembre","Diciembre"},MONTH(F1957))))</f>
        <v>Agosto</v>
      </c>
      <c r="N1957" s="18" t="str">
        <f t="shared" si="92"/>
        <v>Agosto|236</v>
      </c>
    </row>
    <row r="1958" spans="1:14" ht="14.5" x14ac:dyDescent="0.25">
      <c r="A1958" s="19">
        <v>34</v>
      </c>
      <c r="B1958" s="18" t="s">
        <v>41</v>
      </c>
      <c r="C1958" s="18" t="s">
        <v>95</v>
      </c>
      <c r="D1958" s="18" t="s">
        <v>1807</v>
      </c>
      <c r="E1958" s="18" t="s">
        <v>2510</v>
      </c>
      <c r="F1958" s="101">
        <v>46257.095138888886</v>
      </c>
      <c r="G1958" s="101">
        <v>46258.428472222222</v>
      </c>
      <c r="H1958" s="18" t="s">
        <v>507</v>
      </c>
      <c r="I1958" s="18" t="s">
        <v>508</v>
      </c>
      <c r="J1958" s="18"/>
      <c r="K1958" s="21">
        <f t="shared" si="90"/>
        <v>32.000000000058208</v>
      </c>
      <c r="L1958" s="19">
        <f t="shared" si="91"/>
        <v>237</v>
      </c>
      <c r="M1958" s="18" t="str">
        <f>IF(I1958&lt;&gt;"Sí","",IF(YEAR(F1958)&lt;&gt;2026,"",INDEX({"Enero","Febrero","Marzo","Abril","Mayo","Junio","Julio","Agosto","Septiembre","Octubre","Noviembre","Diciembre"},MONTH(F1958))))</f>
        <v>Agosto</v>
      </c>
      <c r="N1958" s="18" t="str">
        <f t="shared" si="92"/>
        <v>Agosto|237</v>
      </c>
    </row>
    <row r="1959" spans="1:14" ht="14.5" x14ac:dyDescent="0.25">
      <c r="A1959" s="19">
        <v>34</v>
      </c>
      <c r="B1959" s="18" t="s">
        <v>41</v>
      </c>
      <c r="C1959" s="18" t="s">
        <v>95</v>
      </c>
      <c r="D1959" s="18" t="s">
        <v>1807</v>
      </c>
      <c r="E1959" s="18" t="s">
        <v>2511</v>
      </c>
      <c r="F1959" s="101">
        <v>46257.09652777778</v>
      </c>
      <c r="G1959" s="101">
        <v>46258.427083333336</v>
      </c>
      <c r="H1959" s="18" t="s">
        <v>507</v>
      </c>
      <c r="I1959" s="18" t="s">
        <v>508</v>
      </c>
      <c r="J1959" s="18"/>
      <c r="K1959" s="21">
        <f t="shared" si="90"/>
        <v>31.933333333348855</v>
      </c>
      <c r="L1959" s="19">
        <f t="shared" si="91"/>
        <v>238</v>
      </c>
      <c r="M1959" s="18" t="str">
        <f>IF(I1959&lt;&gt;"Sí","",IF(YEAR(F1959)&lt;&gt;2026,"",INDEX({"Enero","Febrero","Marzo","Abril","Mayo","Junio","Julio","Agosto","Septiembre","Octubre","Noviembre","Diciembre"},MONTH(F1959))))</f>
        <v>Agosto</v>
      </c>
      <c r="N1959" s="18" t="str">
        <f t="shared" si="92"/>
        <v>Agosto|238</v>
      </c>
    </row>
    <row r="1960" spans="1:14" ht="14.5" x14ac:dyDescent="0.25">
      <c r="A1960" s="19">
        <v>34</v>
      </c>
      <c r="B1960" s="18" t="s">
        <v>41</v>
      </c>
      <c r="C1960" s="18" t="s">
        <v>95</v>
      </c>
      <c r="D1960" s="18" t="s">
        <v>1807</v>
      </c>
      <c r="E1960" s="18" t="s">
        <v>2512</v>
      </c>
      <c r="F1960" s="101">
        <v>46257.098611111112</v>
      </c>
      <c r="G1960" s="101">
        <v>46258.424305555556</v>
      </c>
      <c r="H1960" s="18" t="s">
        <v>507</v>
      </c>
      <c r="I1960" s="18" t="s">
        <v>508</v>
      </c>
      <c r="J1960" s="18"/>
      <c r="K1960" s="21">
        <f t="shared" si="90"/>
        <v>31.816666666651145</v>
      </c>
      <c r="L1960" s="19">
        <f t="shared" si="91"/>
        <v>239</v>
      </c>
      <c r="M1960" s="18" t="str">
        <f>IF(I1960&lt;&gt;"Sí","",IF(YEAR(F1960)&lt;&gt;2026,"",INDEX({"Enero","Febrero","Marzo","Abril","Mayo","Junio","Julio","Agosto","Septiembre","Octubre","Noviembre","Diciembre"},MONTH(F1960))))</f>
        <v>Agosto</v>
      </c>
      <c r="N1960" s="18" t="str">
        <f t="shared" si="92"/>
        <v>Agosto|239</v>
      </c>
    </row>
    <row r="1961" spans="1:14" ht="14.5" x14ac:dyDescent="0.25">
      <c r="A1961" s="19">
        <v>34</v>
      </c>
      <c r="B1961" s="18" t="s">
        <v>41</v>
      </c>
      <c r="C1961" s="18" t="s">
        <v>95</v>
      </c>
      <c r="D1961" s="18" t="s">
        <v>1807</v>
      </c>
      <c r="E1961" s="18" t="s">
        <v>2513</v>
      </c>
      <c r="F1961" s="101">
        <v>46257.100694444445</v>
      </c>
      <c r="G1961" s="101">
        <v>46258.419444444444</v>
      </c>
      <c r="H1961" s="18" t="s">
        <v>507</v>
      </c>
      <c r="I1961" s="18" t="s">
        <v>508</v>
      </c>
      <c r="J1961" s="18"/>
      <c r="K1961" s="21">
        <f t="shared" si="90"/>
        <v>31.649999999965075</v>
      </c>
      <c r="L1961" s="19">
        <f t="shared" si="91"/>
        <v>240</v>
      </c>
      <c r="M1961" s="18" t="str">
        <f>IF(I1961&lt;&gt;"Sí","",IF(YEAR(F1961)&lt;&gt;2026,"",INDEX({"Enero","Febrero","Marzo","Abril","Mayo","Junio","Julio","Agosto","Septiembre","Octubre","Noviembre","Diciembre"},MONTH(F1961))))</f>
        <v>Agosto</v>
      </c>
      <c r="N1961" s="18" t="str">
        <f t="shared" si="92"/>
        <v>Agosto|240</v>
      </c>
    </row>
    <row r="1962" spans="1:14" ht="14.5" x14ac:dyDescent="0.25">
      <c r="A1962" s="19">
        <v>34</v>
      </c>
      <c r="B1962" s="18" t="s">
        <v>41</v>
      </c>
      <c r="C1962" s="18" t="s">
        <v>95</v>
      </c>
      <c r="D1962" s="18" t="s">
        <v>1807</v>
      </c>
      <c r="E1962" s="18" t="s">
        <v>2514</v>
      </c>
      <c r="F1962" s="101">
        <v>46257.104166666664</v>
      </c>
      <c r="G1962" s="101">
        <v>46258.418055555558</v>
      </c>
      <c r="H1962" s="18" t="s">
        <v>507</v>
      </c>
      <c r="I1962" s="18" t="s">
        <v>508</v>
      </c>
      <c r="J1962" s="18"/>
      <c r="K1962" s="21">
        <f t="shared" si="90"/>
        <v>31.533333333441988</v>
      </c>
      <c r="L1962" s="19">
        <f t="shared" si="91"/>
        <v>241</v>
      </c>
      <c r="M1962" s="18" t="str">
        <f>IF(I1962&lt;&gt;"Sí","",IF(YEAR(F1962)&lt;&gt;2026,"",INDEX({"Enero","Febrero","Marzo","Abril","Mayo","Junio","Julio","Agosto","Septiembre","Octubre","Noviembre","Diciembre"},MONTH(F1962))))</f>
        <v>Agosto</v>
      </c>
      <c r="N1962" s="18" t="str">
        <f t="shared" si="92"/>
        <v>Agosto|241</v>
      </c>
    </row>
    <row r="1963" spans="1:14" ht="14.5" x14ac:dyDescent="0.25">
      <c r="A1963" s="19">
        <v>34</v>
      </c>
      <c r="B1963" s="18" t="s">
        <v>41</v>
      </c>
      <c r="C1963" s="18" t="s">
        <v>95</v>
      </c>
      <c r="D1963" s="18" t="s">
        <v>1807</v>
      </c>
      <c r="E1963" s="18" t="s">
        <v>2515</v>
      </c>
      <c r="F1963" s="101">
        <v>46257.107638888891</v>
      </c>
      <c r="G1963" s="101">
        <v>46258.540277777778</v>
      </c>
      <c r="H1963" s="18" t="s">
        <v>507</v>
      </c>
      <c r="I1963" s="18" t="s">
        <v>508</v>
      </c>
      <c r="J1963" s="18"/>
      <c r="K1963" s="21">
        <f t="shared" si="90"/>
        <v>34.383333333302289</v>
      </c>
      <c r="L1963" s="19">
        <f t="shared" si="91"/>
        <v>242</v>
      </c>
      <c r="M1963" s="18" t="str">
        <f>IF(I1963&lt;&gt;"Sí","",IF(YEAR(F1963)&lt;&gt;2026,"",INDEX({"Enero","Febrero","Marzo","Abril","Mayo","Junio","Julio","Agosto","Septiembre","Octubre","Noviembre","Diciembre"},MONTH(F1963))))</f>
        <v>Agosto</v>
      </c>
      <c r="N1963" s="18" t="str">
        <f t="shared" si="92"/>
        <v>Agosto|242</v>
      </c>
    </row>
    <row r="1964" spans="1:14" ht="14.5" x14ac:dyDescent="0.25">
      <c r="A1964" s="19">
        <v>34</v>
      </c>
      <c r="B1964" s="18" t="s">
        <v>41</v>
      </c>
      <c r="C1964" s="18" t="s">
        <v>95</v>
      </c>
      <c r="D1964" s="18" t="s">
        <v>1807</v>
      </c>
      <c r="E1964" s="18" t="s">
        <v>2516</v>
      </c>
      <c r="F1964" s="101">
        <v>46257.111111111109</v>
      </c>
      <c r="G1964" s="101">
        <v>46258.540277777778</v>
      </c>
      <c r="H1964" s="18" t="s">
        <v>507</v>
      </c>
      <c r="I1964" s="18" t="s">
        <v>508</v>
      </c>
      <c r="J1964" s="18"/>
      <c r="K1964" s="21">
        <f t="shared" si="90"/>
        <v>34.300000000046566</v>
      </c>
      <c r="L1964" s="19">
        <f t="shared" si="91"/>
        <v>243</v>
      </c>
      <c r="M1964" s="18" t="str">
        <f>IF(I1964&lt;&gt;"Sí","",IF(YEAR(F1964)&lt;&gt;2026,"",INDEX({"Enero","Febrero","Marzo","Abril","Mayo","Junio","Julio","Agosto","Septiembre","Octubre","Noviembre","Diciembre"},MONTH(F1964))))</f>
        <v>Agosto</v>
      </c>
      <c r="N1964" s="18" t="str">
        <f t="shared" si="92"/>
        <v>Agosto|243</v>
      </c>
    </row>
    <row r="1965" spans="1:14" ht="14.5" x14ac:dyDescent="0.25">
      <c r="A1965" s="19">
        <v>34</v>
      </c>
      <c r="B1965" s="18" t="s">
        <v>41</v>
      </c>
      <c r="C1965" s="18" t="s">
        <v>95</v>
      </c>
      <c r="D1965" s="18" t="s">
        <v>1807</v>
      </c>
      <c r="E1965" s="18" t="s">
        <v>2517</v>
      </c>
      <c r="F1965" s="101">
        <v>46257.112500000003</v>
      </c>
      <c r="G1965" s="101">
        <v>46258.415277777778</v>
      </c>
      <c r="H1965" s="18" t="s">
        <v>507</v>
      </c>
      <c r="I1965" s="18" t="s">
        <v>508</v>
      </c>
      <c r="J1965" s="18"/>
      <c r="K1965" s="21">
        <f t="shared" si="90"/>
        <v>31.266666666604578</v>
      </c>
      <c r="L1965" s="19">
        <f t="shared" si="91"/>
        <v>244</v>
      </c>
      <c r="M1965" s="18" t="str">
        <f>IF(I1965&lt;&gt;"Sí","",IF(YEAR(F1965)&lt;&gt;2026,"",INDEX({"Enero","Febrero","Marzo","Abril","Mayo","Junio","Julio","Agosto","Septiembre","Octubre","Noviembre","Diciembre"},MONTH(F1965))))</f>
        <v>Agosto</v>
      </c>
      <c r="N1965" s="18" t="str">
        <f t="shared" si="92"/>
        <v>Agosto|244</v>
      </c>
    </row>
    <row r="1966" spans="1:14" ht="14.5" x14ac:dyDescent="0.25">
      <c r="A1966" s="19">
        <v>34</v>
      </c>
      <c r="B1966" s="18" t="s">
        <v>41</v>
      </c>
      <c r="C1966" s="18" t="s">
        <v>95</v>
      </c>
      <c r="D1966" s="18" t="s">
        <v>1807</v>
      </c>
      <c r="E1966" s="18" t="s">
        <v>2518</v>
      </c>
      <c r="F1966" s="101">
        <v>46257.114583333336</v>
      </c>
      <c r="G1966" s="101">
        <v>46258.540277777778</v>
      </c>
      <c r="H1966" s="18" t="s">
        <v>507</v>
      </c>
      <c r="I1966" s="18" t="s">
        <v>508</v>
      </c>
      <c r="J1966" s="18"/>
      <c r="K1966" s="21">
        <f t="shared" si="90"/>
        <v>34.21666666661622</v>
      </c>
      <c r="L1966" s="19">
        <f t="shared" si="91"/>
        <v>245</v>
      </c>
      <c r="M1966" s="18" t="str">
        <f>IF(I1966&lt;&gt;"Sí","",IF(YEAR(F1966)&lt;&gt;2026,"",INDEX({"Enero","Febrero","Marzo","Abril","Mayo","Junio","Julio","Agosto","Septiembre","Octubre","Noviembre","Diciembre"},MONTH(F1966))))</f>
        <v>Agosto</v>
      </c>
      <c r="N1966" s="18" t="str">
        <f t="shared" si="92"/>
        <v>Agosto|245</v>
      </c>
    </row>
    <row r="1967" spans="1:14" ht="14.5" x14ac:dyDescent="0.25">
      <c r="A1967" s="19">
        <v>34</v>
      </c>
      <c r="B1967" s="18" t="s">
        <v>41</v>
      </c>
      <c r="C1967" s="18" t="s">
        <v>95</v>
      </c>
      <c r="D1967" s="18" t="s">
        <v>1807</v>
      </c>
      <c r="E1967" s="18" t="s">
        <v>2519</v>
      </c>
      <c r="F1967" s="101">
        <v>46257.116666666669</v>
      </c>
      <c r="G1967" s="101">
        <v>46258.414583333331</v>
      </c>
      <c r="H1967" s="18" t="s">
        <v>507</v>
      </c>
      <c r="I1967" s="18" t="s">
        <v>508</v>
      </c>
      <c r="J1967" s="18"/>
      <c r="K1967" s="21">
        <f t="shared" si="90"/>
        <v>31.149999999906868</v>
      </c>
      <c r="L1967" s="19">
        <f t="shared" si="91"/>
        <v>246</v>
      </c>
      <c r="M1967" s="18" t="str">
        <f>IF(I1967&lt;&gt;"Sí","",IF(YEAR(F1967)&lt;&gt;2026,"",INDEX({"Enero","Febrero","Marzo","Abril","Mayo","Junio","Julio","Agosto","Septiembre","Octubre","Noviembre","Diciembre"},MONTH(F1967))))</f>
        <v>Agosto</v>
      </c>
      <c r="N1967" s="18" t="str">
        <f t="shared" si="92"/>
        <v>Agosto|246</v>
      </c>
    </row>
    <row r="1968" spans="1:14" ht="14.5" x14ac:dyDescent="0.25">
      <c r="A1968" s="19">
        <v>34</v>
      </c>
      <c r="B1968" s="18" t="s">
        <v>41</v>
      </c>
      <c r="C1968" s="18" t="s">
        <v>95</v>
      </c>
      <c r="D1968" s="18" t="s">
        <v>1807</v>
      </c>
      <c r="E1968" s="18" t="s">
        <v>2520</v>
      </c>
      <c r="F1968" s="101">
        <v>46257.118055555555</v>
      </c>
      <c r="G1968" s="101">
        <v>46258.215277777781</v>
      </c>
      <c r="H1968" s="18" t="s">
        <v>507</v>
      </c>
      <c r="I1968" s="18" t="s">
        <v>508</v>
      </c>
      <c r="J1968" s="18"/>
      <c r="K1968" s="21">
        <f t="shared" si="90"/>
        <v>26.333333333430346</v>
      </c>
      <c r="L1968" s="19">
        <f t="shared" si="91"/>
        <v>247</v>
      </c>
      <c r="M1968" s="18" t="str">
        <f>IF(I1968&lt;&gt;"Sí","",IF(YEAR(F1968)&lt;&gt;2026,"",INDEX({"Enero","Febrero","Marzo","Abril","Mayo","Junio","Julio","Agosto","Septiembre","Octubre","Noviembre","Diciembre"},MONTH(F1968))))</f>
        <v>Agosto</v>
      </c>
      <c r="N1968" s="18" t="str">
        <f t="shared" si="92"/>
        <v>Agosto|247</v>
      </c>
    </row>
    <row r="1969" spans="1:14" ht="14.5" x14ac:dyDescent="0.25">
      <c r="A1969" s="19">
        <v>34</v>
      </c>
      <c r="B1969" s="18" t="s">
        <v>41</v>
      </c>
      <c r="C1969" s="18" t="s">
        <v>95</v>
      </c>
      <c r="D1969" s="18" t="s">
        <v>1807</v>
      </c>
      <c r="E1969" s="18" t="s">
        <v>2521</v>
      </c>
      <c r="F1969" s="101">
        <v>46257.120833333334</v>
      </c>
      <c r="G1969" s="101">
        <v>46258.482638888891</v>
      </c>
      <c r="H1969" s="18" t="s">
        <v>507</v>
      </c>
      <c r="I1969" s="18" t="s">
        <v>508</v>
      </c>
      <c r="J1969" s="18"/>
      <c r="K1969" s="21">
        <f t="shared" si="90"/>
        <v>32.683333333348855</v>
      </c>
      <c r="L1969" s="19">
        <f t="shared" si="91"/>
        <v>248</v>
      </c>
      <c r="M1969" s="18" t="str">
        <f>IF(I1969&lt;&gt;"Sí","",IF(YEAR(F1969)&lt;&gt;2026,"",INDEX({"Enero","Febrero","Marzo","Abril","Mayo","Junio","Julio","Agosto","Septiembre","Octubre","Noviembre","Diciembre"},MONTH(F1969))))</f>
        <v>Agosto</v>
      </c>
      <c r="N1969" s="18" t="str">
        <f t="shared" si="92"/>
        <v>Agosto|248</v>
      </c>
    </row>
    <row r="1970" spans="1:14" ht="14.5" x14ac:dyDescent="0.25">
      <c r="A1970" s="19">
        <v>34</v>
      </c>
      <c r="B1970" s="18" t="s">
        <v>41</v>
      </c>
      <c r="C1970" s="18" t="s">
        <v>95</v>
      </c>
      <c r="D1970" s="18" t="s">
        <v>1807</v>
      </c>
      <c r="E1970" s="18" t="s">
        <v>2522</v>
      </c>
      <c r="F1970" s="101">
        <v>46257.122916666667</v>
      </c>
      <c r="G1970" s="101">
        <v>46258.401388888888</v>
      </c>
      <c r="H1970" s="18" t="s">
        <v>507</v>
      </c>
      <c r="I1970" s="18" t="s">
        <v>508</v>
      </c>
      <c r="J1970" s="18"/>
      <c r="K1970" s="21">
        <f t="shared" si="90"/>
        <v>30.683333333290648</v>
      </c>
      <c r="L1970" s="19">
        <f t="shared" si="91"/>
        <v>249</v>
      </c>
      <c r="M1970" s="18" t="str">
        <f>IF(I1970&lt;&gt;"Sí","",IF(YEAR(F1970)&lt;&gt;2026,"",INDEX({"Enero","Febrero","Marzo","Abril","Mayo","Junio","Julio","Agosto","Septiembre","Octubre","Noviembre","Diciembre"},MONTH(F1970))))</f>
        <v>Agosto</v>
      </c>
      <c r="N1970" s="18" t="str">
        <f t="shared" si="92"/>
        <v>Agosto|249</v>
      </c>
    </row>
    <row r="1971" spans="1:14" ht="14.5" x14ac:dyDescent="0.25">
      <c r="A1971" s="19">
        <v>34</v>
      </c>
      <c r="B1971" s="18" t="s">
        <v>41</v>
      </c>
      <c r="C1971" s="18" t="s">
        <v>95</v>
      </c>
      <c r="D1971" s="18" t="s">
        <v>1807</v>
      </c>
      <c r="E1971" s="18" t="s">
        <v>2523</v>
      </c>
      <c r="F1971" s="101">
        <v>46257.125</v>
      </c>
      <c r="G1971" s="101">
        <v>46258.215277777781</v>
      </c>
      <c r="H1971" s="18" t="s">
        <v>507</v>
      </c>
      <c r="I1971" s="18" t="s">
        <v>508</v>
      </c>
      <c r="J1971" s="18"/>
      <c r="K1971" s="21">
        <f t="shared" si="90"/>
        <v>26.166666666744277</v>
      </c>
      <c r="L1971" s="19">
        <f t="shared" si="91"/>
        <v>250</v>
      </c>
      <c r="M1971" s="18" t="str">
        <f>IF(I1971&lt;&gt;"Sí","",IF(YEAR(F1971)&lt;&gt;2026,"",INDEX({"Enero","Febrero","Marzo","Abril","Mayo","Junio","Julio","Agosto","Septiembre","Octubre","Noviembre","Diciembre"},MONTH(F1971))))</f>
        <v>Agosto</v>
      </c>
      <c r="N1971" s="18" t="str">
        <f t="shared" si="92"/>
        <v>Agosto|250</v>
      </c>
    </row>
    <row r="1972" spans="1:14" ht="14.5" x14ac:dyDescent="0.25">
      <c r="A1972" s="19">
        <v>34</v>
      </c>
      <c r="B1972" s="18" t="s">
        <v>41</v>
      </c>
      <c r="C1972" s="18" t="s">
        <v>95</v>
      </c>
      <c r="D1972" s="18" t="s">
        <v>1807</v>
      </c>
      <c r="E1972" s="18" t="s">
        <v>2524</v>
      </c>
      <c r="F1972" s="101">
        <v>46257.127083333333</v>
      </c>
      <c r="G1972" s="101">
        <v>46258.540277777778</v>
      </c>
      <c r="H1972" s="18" t="s">
        <v>507</v>
      </c>
      <c r="I1972" s="18" t="s">
        <v>508</v>
      </c>
      <c r="J1972" s="18"/>
      <c r="K1972" s="21">
        <f t="shared" si="90"/>
        <v>33.916666666686069</v>
      </c>
      <c r="L1972" s="19">
        <f t="shared" si="91"/>
        <v>251</v>
      </c>
      <c r="M1972" s="18" t="str">
        <f>IF(I1972&lt;&gt;"Sí","",IF(YEAR(F1972)&lt;&gt;2026,"",INDEX({"Enero","Febrero","Marzo","Abril","Mayo","Junio","Julio","Agosto","Septiembre","Octubre","Noviembre","Diciembre"},MONTH(F1972))))</f>
        <v>Agosto</v>
      </c>
      <c r="N1972" s="18" t="str">
        <f t="shared" si="92"/>
        <v>Agosto|251</v>
      </c>
    </row>
    <row r="1973" spans="1:14" ht="14.5" x14ac:dyDescent="0.25">
      <c r="A1973" s="19">
        <v>34</v>
      </c>
      <c r="B1973" s="18" t="s">
        <v>41</v>
      </c>
      <c r="C1973" s="18" t="s">
        <v>95</v>
      </c>
      <c r="D1973" s="18" t="s">
        <v>1807</v>
      </c>
      <c r="E1973" s="18" t="s">
        <v>2525</v>
      </c>
      <c r="F1973" s="101">
        <v>46257.129166666666</v>
      </c>
      <c r="G1973" s="101">
        <v>46258.540277777778</v>
      </c>
      <c r="H1973" s="18" t="s">
        <v>507</v>
      </c>
      <c r="I1973" s="18" t="s">
        <v>508</v>
      </c>
      <c r="J1973" s="18"/>
      <c r="K1973" s="21">
        <f t="shared" si="90"/>
        <v>33.866666666697711</v>
      </c>
      <c r="L1973" s="19">
        <f t="shared" si="91"/>
        <v>252</v>
      </c>
      <c r="M1973" s="18" t="str">
        <f>IF(I1973&lt;&gt;"Sí","",IF(YEAR(F1973)&lt;&gt;2026,"",INDEX({"Enero","Febrero","Marzo","Abril","Mayo","Junio","Julio","Agosto","Septiembre","Octubre","Noviembre","Diciembre"},MONTH(F1973))))</f>
        <v>Agosto</v>
      </c>
      <c r="N1973" s="18" t="str">
        <f t="shared" si="92"/>
        <v>Agosto|252</v>
      </c>
    </row>
    <row r="1974" spans="1:14" ht="14.5" x14ac:dyDescent="0.25">
      <c r="A1974" s="19">
        <v>34</v>
      </c>
      <c r="B1974" s="18" t="s">
        <v>41</v>
      </c>
      <c r="C1974" s="18" t="s">
        <v>95</v>
      </c>
      <c r="D1974" s="18" t="s">
        <v>1807</v>
      </c>
      <c r="E1974" s="18" t="s">
        <v>2526</v>
      </c>
      <c r="F1974" s="101">
        <v>46257.131944444445</v>
      </c>
      <c r="G1974" s="101">
        <v>46258.215277777781</v>
      </c>
      <c r="H1974" s="18" t="s">
        <v>507</v>
      </c>
      <c r="I1974" s="18" t="s">
        <v>508</v>
      </c>
      <c r="J1974" s="18"/>
      <c r="K1974" s="21">
        <f t="shared" si="90"/>
        <v>26.000000000058208</v>
      </c>
      <c r="L1974" s="19">
        <f t="shared" si="91"/>
        <v>253</v>
      </c>
      <c r="M1974" s="18" t="str">
        <f>IF(I1974&lt;&gt;"Sí","",IF(YEAR(F1974)&lt;&gt;2026,"",INDEX({"Enero","Febrero","Marzo","Abril","Mayo","Junio","Julio","Agosto","Septiembre","Octubre","Noviembre","Diciembre"},MONTH(F1974))))</f>
        <v>Agosto</v>
      </c>
      <c r="N1974" s="18" t="str">
        <f t="shared" si="92"/>
        <v>Agosto|253</v>
      </c>
    </row>
    <row r="1975" spans="1:14" ht="14.5" x14ac:dyDescent="0.25">
      <c r="A1975" s="19">
        <v>34</v>
      </c>
      <c r="B1975" s="18" t="s">
        <v>41</v>
      </c>
      <c r="C1975" s="18" t="s">
        <v>95</v>
      </c>
      <c r="D1975" s="18" t="s">
        <v>1807</v>
      </c>
      <c r="E1975" s="18" t="s">
        <v>2527</v>
      </c>
      <c r="F1975" s="101">
        <v>46257.135416666664</v>
      </c>
      <c r="G1975" s="101">
        <v>46258.215277777781</v>
      </c>
      <c r="H1975" s="18" t="s">
        <v>507</v>
      </c>
      <c r="I1975" s="18" t="s">
        <v>508</v>
      </c>
      <c r="J1975" s="18"/>
      <c r="K1975" s="21">
        <f t="shared" si="90"/>
        <v>25.916666666802485</v>
      </c>
      <c r="L1975" s="19">
        <f t="shared" si="91"/>
        <v>254</v>
      </c>
      <c r="M1975" s="18" t="str">
        <f>IF(I1975&lt;&gt;"Sí","",IF(YEAR(F1975)&lt;&gt;2026,"",INDEX({"Enero","Febrero","Marzo","Abril","Mayo","Junio","Julio","Agosto","Septiembre","Octubre","Noviembre","Diciembre"},MONTH(F1975))))</f>
        <v>Agosto</v>
      </c>
      <c r="N1975" s="18" t="str">
        <f t="shared" si="92"/>
        <v>Agosto|254</v>
      </c>
    </row>
    <row r="1976" spans="1:14" ht="14.5" x14ac:dyDescent="0.25">
      <c r="A1976" s="19">
        <v>34</v>
      </c>
      <c r="B1976" s="18" t="s">
        <v>41</v>
      </c>
      <c r="C1976" s="18" t="s">
        <v>95</v>
      </c>
      <c r="D1976" s="18" t="s">
        <v>1807</v>
      </c>
      <c r="E1976" s="18" t="s">
        <v>2528</v>
      </c>
      <c r="F1976" s="101">
        <v>46257.137499999997</v>
      </c>
      <c r="G1976" s="101">
        <v>46258.215277777781</v>
      </c>
      <c r="H1976" s="18" t="s">
        <v>507</v>
      </c>
      <c r="I1976" s="18" t="s">
        <v>508</v>
      </c>
      <c r="J1976" s="18"/>
      <c r="K1976" s="21">
        <f t="shared" si="90"/>
        <v>25.866666666814126</v>
      </c>
      <c r="L1976" s="19">
        <f t="shared" si="91"/>
        <v>255</v>
      </c>
      <c r="M1976" s="18" t="str">
        <f>IF(I1976&lt;&gt;"Sí","",IF(YEAR(F1976)&lt;&gt;2026,"",INDEX({"Enero","Febrero","Marzo","Abril","Mayo","Junio","Julio","Agosto","Septiembre","Octubre","Noviembre","Diciembre"},MONTH(F1976))))</f>
        <v>Agosto</v>
      </c>
      <c r="N1976" s="18" t="str">
        <f t="shared" si="92"/>
        <v>Agosto|255</v>
      </c>
    </row>
    <row r="1977" spans="1:14" ht="14.5" x14ac:dyDescent="0.25">
      <c r="A1977" s="19">
        <v>34</v>
      </c>
      <c r="B1977" s="18" t="s">
        <v>41</v>
      </c>
      <c r="C1977" s="18" t="s">
        <v>95</v>
      </c>
      <c r="D1977" s="18" t="s">
        <v>1807</v>
      </c>
      <c r="E1977" s="18" t="s">
        <v>2529</v>
      </c>
      <c r="F1977" s="101">
        <v>46257.160416666666</v>
      </c>
      <c r="G1977" s="101">
        <v>46258.215277777781</v>
      </c>
      <c r="H1977" s="18" t="s">
        <v>507</v>
      </c>
      <c r="I1977" s="18" t="s">
        <v>508</v>
      </c>
      <c r="J1977" s="18"/>
      <c r="K1977" s="21">
        <f t="shared" si="90"/>
        <v>25.31666666676756</v>
      </c>
      <c r="L1977" s="19">
        <f t="shared" si="91"/>
        <v>256</v>
      </c>
      <c r="M1977" s="18" t="str">
        <f>IF(I1977&lt;&gt;"Sí","",IF(YEAR(F1977)&lt;&gt;2026,"",INDEX({"Enero","Febrero","Marzo","Abril","Mayo","Junio","Julio","Agosto","Septiembre","Octubre","Noviembre","Diciembre"},MONTH(F1977))))</f>
        <v>Agosto</v>
      </c>
      <c r="N1977" s="18" t="str">
        <f t="shared" si="92"/>
        <v>Agosto|256</v>
      </c>
    </row>
    <row r="1978" spans="1:14" ht="14.5" x14ac:dyDescent="0.25">
      <c r="A1978" s="19">
        <v>34</v>
      </c>
      <c r="B1978" s="18" t="s">
        <v>41</v>
      </c>
      <c r="C1978" s="18" t="s">
        <v>95</v>
      </c>
      <c r="D1978" s="18" t="s">
        <v>1807</v>
      </c>
      <c r="E1978" s="18" t="s">
        <v>2530</v>
      </c>
      <c r="F1978" s="101">
        <v>46257.165972222225</v>
      </c>
      <c r="G1978" s="101">
        <v>46258.220833333333</v>
      </c>
      <c r="H1978" s="18" t="s">
        <v>507</v>
      </c>
      <c r="I1978" s="18" t="s">
        <v>508</v>
      </c>
      <c r="J1978" s="18"/>
      <c r="K1978" s="21">
        <f t="shared" si="90"/>
        <v>25.316666666592937</v>
      </c>
      <c r="L1978" s="19">
        <f t="shared" si="91"/>
        <v>257</v>
      </c>
      <c r="M1978" s="18" t="str">
        <f>IF(I1978&lt;&gt;"Sí","",IF(YEAR(F1978)&lt;&gt;2026,"",INDEX({"Enero","Febrero","Marzo","Abril","Mayo","Junio","Julio","Agosto","Septiembre","Octubre","Noviembre","Diciembre"},MONTH(F1978))))</f>
        <v>Agosto</v>
      </c>
      <c r="N1978" s="18" t="str">
        <f t="shared" si="92"/>
        <v>Agosto|257</v>
      </c>
    </row>
    <row r="1979" spans="1:14" ht="14.5" x14ac:dyDescent="0.25">
      <c r="A1979" s="19">
        <v>34</v>
      </c>
      <c r="B1979" s="18" t="s">
        <v>41</v>
      </c>
      <c r="C1979" s="18" t="s">
        <v>95</v>
      </c>
      <c r="D1979" s="18" t="s">
        <v>1807</v>
      </c>
      <c r="E1979" s="18" t="s">
        <v>2531</v>
      </c>
      <c r="F1979" s="101">
        <v>46257.168749999997</v>
      </c>
      <c r="G1979" s="101">
        <v>46258.540277777778</v>
      </c>
      <c r="H1979" s="18" t="s">
        <v>507</v>
      </c>
      <c r="I1979" s="18" t="s">
        <v>508</v>
      </c>
      <c r="J1979" s="18"/>
      <c r="K1979" s="21">
        <f t="shared" si="90"/>
        <v>32.916666666744277</v>
      </c>
      <c r="L1979" s="19">
        <f t="shared" si="91"/>
        <v>258</v>
      </c>
      <c r="M1979" s="18" t="str">
        <f>IF(I1979&lt;&gt;"Sí","",IF(YEAR(F1979)&lt;&gt;2026,"",INDEX({"Enero","Febrero","Marzo","Abril","Mayo","Junio","Julio","Agosto","Septiembre","Octubre","Noviembre","Diciembre"},MONTH(F1979))))</f>
        <v>Agosto</v>
      </c>
      <c r="N1979" s="18" t="str">
        <f t="shared" si="92"/>
        <v>Agosto|258</v>
      </c>
    </row>
    <row r="1980" spans="1:14" ht="14.5" x14ac:dyDescent="0.25">
      <c r="A1980" s="19">
        <v>34</v>
      </c>
      <c r="B1980" s="18" t="s">
        <v>41</v>
      </c>
      <c r="C1980" s="18" t="s">
        <v>95</v>
      </c>
      <c r="D1980" s="18" t="s">
        <v>1807</v>
      </c>
      <c r="E1980" s="18" t="s">
        <v>2532</v>
      </c>
      <c r="F1980" s="101">
        <v>46257.171527777777</v>
      </c>
      <c r="G1980" s="101">
        <v>46258.401388888888</v>
      </c>
      <c r="H1980" s="18" t="s">
        <v>507</v>
      </c>
      <c r="I1980" s="18" t="s">
        <v>508</v>
      </c>
      <c r="J1980" s="18"/>
      <c r="K1980" s="21">
        <f t="shared" si="90"/>
        <v>29.516666666662786</v>
      </c>
      <c r="L1980" s="19">
        <f t="shared" si="91"/>
        <v>259</v>
      </c>
      <c r="M1980" s="18" t="str">
        <f>IF(I1980&lt;&gt;"Sí","",IF(YEAR(F1980)&lt;&gt;2026,"",INDEX({"Enero","Febrero","Marzo","Abril","Mayo","Junio","Julio","Agosto","Septiembre","Octubre","Noviembre","Diciembre"},MONTH(F1980))))</f>
        <v>Agosto</v>
      </c>
      <c r="N1980" s="18" t="str">
        <f t="shared" si="92"/>
        <v>Agosto|259</v>
      </c>
    </row>
    <row r="1981" spans="1:14" ht="14.5" x14ac:dyDescent="0.25">
      <c r="A1981" s="19">
        <v>34</v>
      </c>
      <c r="B1981" s="18" t="s">
        <v>41</v>
      </c>
      <c r="C1981" s="18" t="s">
        <v>95</v>
      </c>
      <c r="D1981" s="18" t="s">
        <v>1807</v>
      </c>
      <c r="E1981" s="18" t="s">
        <v>2533</v>
      </c>
      <c r="F1981" s="101">
        <v>46257.173611111109</v>
      </c>
      <c r="G1981" s="101">
        <v>46258.215277777781</v>
      </c>
      <c r="H1981" s="18" t="s">
        <v>507</v>
      </c>
      <c r="I1981" s="18" t="s">
        <v>508</v>
      </c>
      <c r="J1981" s="18"/>
      <c r="K1981" s="21">
        <f t="shared" si="90"/>
        <v>25.000000000116415</v>
      </c>
      <c r="L1981" s="19">
        <f t="shared" si="91"/>
        <v>260</v>
      </c>
      <c r="M1981" s="18" t="str">
        <f>IF(I1981&lt;&gt;"Sí","",IF(YEAR(F1981)&lt;&gt;2026,"",INDEX({"Enero","Febrero","Marzo","Abril","Mayo","Junio","Julio","Agosto","Septiembre","Octubre","Noviembre","Diciembre"},MONTH(F1981))))</f>
        <v>Agosto</v>
      </c>
      <c r="N1981" s="18" t="str">
        <f t="shared" si="92"/>
        <v>Agosto|260</v>
      </c>
    </row>
    <row r="1982" spans="1:14" ht="14.5" x14ac:dyDescent="0.25">
      <c r="A1982" s="19">
        <v>34</v>
      </c>
      <c r="B1982" s="18" t="s">
        <v>41</v>
      </c>
      <c r="C1982" s="18" t="s">
        <v>95</v>
      </c>
      <c r="D1982" s="18" t="s">
        <v>1807</v>
      </c>
      <c r="E1982" s="18" t="s">
        <v>2534</v>
      </c>
      <c r="F1982" s="101">
        <v>46257.175000000003</v>
      </c>
      <c r="G1982" s="101">
        <v>46258.215277777781</v>
      </c>
      <c r="H1982" s="18" t="s">
        <v>507</v>
      </c>
      <c r="I1982" s="18" t="s">
        <v>508</v>
      </c>
      <c r="J1982" s="18"/>
      <c r="K1982" s="21">
        <f t="shared" si="90"/>
        <v>24.966666666674428</v>
      </c>
      <c r="L1982" s="19">
        <f t="shared" si="91"/>
        <v>261</v>
      </c>
      <c r="M1982" s="18" t="str">
        <f>IF(I1982&lt;&gt;"Sí","",IF(YEAR(F1982)&lt;&gt;2026,"",INDEX({"Enero","Febrero","Marzo","Abril","Mayo","Junio","Julio","Agosto","Septiembre","Octubre","Noviembre","Diciembre"},MONTH(F1982))))</f>
        <v>Agosto</v>
      </c>
      <c r="N1982" s="18" t="str">
        <f t="shared" si="92"/>
        <v>Agosto|261</v>
      </c>
    </row>
    <row r="1983" spans="1:14" ht="14.5" x14ac:dyDescent="0.25">
      <c r="A1983" s="19">
        <v>34</v>
      </c>
      <c r="B1983" s="18" t="s">
        <v>41</v>
      </c>
      <c r="C1983" s="18" t="s">
        <v>95</v>
      </c>
      <c r="D1983" s="18" t="s">
        <v>1807</v>
      </c>
      <c r="E1983" s="18" t="s">
        <v>2535</v>
      </c>
      <c r="F1983" s="101">
        <v>46257.19027777778</v>
      </c>
      <c r="G1983" s="101">
        <v>46258.401388888888</v>
      </c>
      <c r="H1983" s="18" t="s">
        <v>507</v>
      </c>
      <c r="I1983" s="18" t="s">
        <v>508</v>
      </c>
      <c r="J1983" s="18"/>
      <c r="K1983" s="21">
        <f t="shared" si="90"/>
        <v>29.066666666592937</v>
      </c>
      <c r="L1983" s="19">
        <f t="shared" si="91"/>
        <v>262</v>
      </c>
      <c r="M1983" s="18" t="str">
        <f>IF(I1983&lt;&gt;"Sí","",IF(YEAR(F1983)&lt;&gt;2026,"",INDEX({"Enero","Febrero","Marzo","Abril","Mayo","Junio","Julio","Agosto","Septiembre","Octubre","Noviembre","Diciembre"},MONTH(F1983))))</f>
        <v>Agosto</v>
      </c>
      <c r="N1983" s="18" t="str">
        <f t="shared" si="92"/>
        <v>Agosto|262</v>
      </c>
    </row>
    <row r="1984" spans="1:14" ht="14.5" x14ac:dyDescent="0.25">
      <c r="A1984" s="19">
        <v>34</v>
      </c>
      <c r="B1984" s="18" t="s">
        <v>41</v>
      </c>
      <c r="C1984" s="18" t="s">
        <v>95</v>
      </c>
      <c r="D1984" s="18" t="s">
        <v>1807</v>
      </c>
      <c r="E1984" s="18" t="s">
        <v>2536</v>
      </c>
      <c r="F1984" s="101">
        <v>46257.191666666666</v>
      </c>
      <c r="G1984" s="101">
        <v>46258.401388888888</v>
      </c>
      <c r="H1984" s="18" t="s">
        <v>507</v>
      </c>
      <c r="I1984" s="18" t="s">
        <v>508</v>
      </c>
      <c r="J1984" s="18"/>
      <c r="K1984" s="21">
        <f t="shared" si="90"/>
        <v>29.033333333325572</v>
      </c>
      <c r="L1984" s="19">
        <f t="shared" si="91"/>
        <v>263</v>
      </c>
      <c r="M1984" s="18" t="str">
        <f>IF(I1984&lt;&gt;"Sí","",IF(YEAR(F1984)&lt;&gt;2026,"",INDEX({"Enero","Febrero","Marzo","Abril","Mayo","Junio","Julio","Agosto","Septiembre","Octubre","Noviembre","Diciembre"},MONTH(F1984))))</f>
        <v>Agosto</v>
      </c>
      <c r="N1984" s="18" t="str">
        <f t="shared" si="92"/>
        <v>Agosto|263</v>
      </c>
    </row>
    <row r="1985" spans="1:14" ht="14.5" x14ac:dyDescent="0.25">
      <c r="A1985" s="19">
        <v>34</v>
      </c>
      <c r="B1985" s="18" t="s">
        <v>41</v>
      </c>
      <c r="C1985" s="18" t="s">
        <v>95</v>
      </c>
      <c r="D1985" s="18" t="s">
        <v>1807</v>
      </c>
      <c r="E1985" s="18" t="s">
        <v>2537</v>
      </c>
      <c r="F1985" s="101">
        <v>46257.194444444445</v>
      </c>
      <c r="G1985" s="101">
        <v>46258.401388888888</v>
      </c>
      <c r="H1985" s="18" t="s">
        <v>507</v>
      </c>
      <c r="I1985" s="18" t="s">
        <v>508</v>
      </c>
      <c r="J1985" s="18"/>
      <c r="K1985" s="21">
        <f t="shared" si="90"/>
        <v>28.96666666661622</v>
      </c>
      <c r="L1985" s="19">
        <f t="shared" si="91"/>
        <v>264</v>
      </c>
      <c r="M1985" s="18" t="str">
        <f>IF(I1985&lt;&gt;"Sí","",IF(YEAR(F1985)&lt;&gt;2026,"",INDEX({"Enero","Febrero","Marzo","Abril","Mayo","Junio","Julio","Agosto","Septiembre","Octubre","Noviembre","Diciembre"},MONTH(F1985))))</f>
        <v>Agosto</v>
      </c>
      <c r="N1985" s="18" t="str">
        <f t="shared" si="92"/>
        <v>Agosto|264</v>
      </c>
    </row>
    <row r="1986" spans="1:14" ht="14.5" x14ac:dyDescent="0.25">
      <c r="A1986" s="19">
        <v>34</v>
      </c>
      <c r="B1986" s="18" t="s">
        <v>41</v>
      </c>
      <c r="C1986" s="18" t="s">
        <v>95</v>
      </c>
      <c r="D1986" s="18" t="s">
        <v>1807</v>
      </c>
      <c r="E1986" s="18" t="s">
        <v>2538</v>
      </c>
      <c r="F1986" s="101">
        <v>46257.196527777778</v>
      </c>
      <c r="G1986" s="101">
        <v>46258.401388888888</v>
      </c>
      <c r="H1986" s="18" t="s">
        <v>507</v>
      </c>
      <c r="I1986" s="18" t="s">
        <v>508</v>
      </c>
      <c r="J1986" s="18"/>
      <c r="K1986" s="21">
        <f t="shared" si="90"/>
        <v>28.916666666627862</v>
      </c>
      <c r="L1986" s="19">
        <f t="shared" si="91"/>
        <v>265</v>
      </c>
      <c r="M1986" s="18" t="str">
        <f>IF(I1986&lt;&gt;"Sí","",IF(YEAR(F1986)&lt;&gt;2026,"",INDEX({"Enero","Febrero","Marzo","Abril","Mayo","Junio","Julio","Agosto","Septiembre","Octubre","Noviembre","Diciembre"},MONTH(F1986))))</f>
        <v>Agosto</v>
      </c>
      <c r="N1986" s="18" t="str">
        <f t="shared" si="92"/>
        <v>Agosto|265</v>
      </c>
    </row>
    <row r="1987" spans="1:14" ht="14.5" x14ac:dyDescent="0.25">
      <c r="A1987" s="19">
        <v>34</v>
      </c>
      <c r="B1987" s="18" t="s">
        <v>41</v>
      </c>
      <c r="C1987" s="18" t="s">
        <v>95</v>
      </c>
      <c r="D1987" s="18" t="s">
        <v>1807</v>
      </c>
      <c r="E1987" s="18" t="s">
        <v>2539</v>
      </c>
      <c r="F1987" s="101">
        <v>46257.2</v>
      </c>
      <c r="G1987" s="101">
        <v>46258.401388888888</v>
      </c>
      <c r="H1987" s="18" t="s">
        <v>507</v>
      </c>
      <c r="I1987" s="18" t="s">
        <v>508</v>
      </c>
      <c r="J1987" s="18"/>
      <c r="K1987" s="21">
        <f t="shared" si="90"/>
        <v>28.833333333372138</v>
      </c>
      <c r="L1987" s="19">
        <f t="shared" si="91"/>
        <v>266</v>
      </c>
      <c r="M1987" s="18" t="str">
        <f>IF(I1987&lt;&gt;"Sí","",IF(YEAR(F1987)&lt;&gt;2026,"",INDEX({"Enero","Febrero","Marzo","Abril","Mayo","Junio","Julio","Agosto","Septiembre","Octubre","Noviembre","Diciembre"},MONTH(F1987))))</f>
        <v>Agosto</v>
      </c>
      <c r="N1987" s="18" t="str">
        <f t="shared" si="92"/>
        <v>Agosto|266</v>
      </c>
    </row>
    <row r="1988" spans="1:14" ht="14.5" x14ac:dyDescent="0.25">
      <c r="A1988" s="19">
        <v>34</v>
      </c>
      <c r="B1988" s="18" t="s">
        <v>41</v>
      </c>
      <c r="C1988" s="18" t="s">
        <v>95</v>
      </c>
      <c r="D1988" s="18" t="s">
        <v>1807</v>
      </c>
      <c r="E1988" s="18" t="s">
        <v>2540</v>
      </c>
      <c r="F1988" s="101">
        <v>46257.201388888891</v>
      </c>
      <c r="G1988" s="101">
        <v>46258.401388888888</v>
      </c>
      <c r="H1988" s="18" t="s">
        <v>507</v>
      </c>
      <c r="I1988" s="18" t="s">
        <v>508</v>
      </c>
      <c r="J1988" s="18"/>
      <c r="K1988" s="21">
        <f t="shared" si="90"/>
        <v>28.799999999930151</v>
      </c>
      <c r="L1988" s="19">
        <f t="shared" si="91"/>
        <v>267</v>
      </c>
      <c r="M1988" s="18" t="str">
        <f>IF(I1988&lt;&gt;"Sí","",IF(YEAR(F1988)&lt;&gt;2026,"",INDEX({"Enero","Febrero","Marzo","Abril","Mayo","Junio","Julio","Agosto","Septiembre","Octubre","Noviembre","Diciembre"},MONTH(F1988))))</f>
        <v>Agosto</v>
      </c>
      <c r="N1988" s="18" t="str">
        <f t="shared" si="92"/>
        <v>Agosto|267</v>
      </c>
    </row>
    <row r="1989" spans="1:14" ht="14.5" x14ac:dyDescent="0.25">
      <c r="A1989" s="19">
        <v>34</v>
      </c>
      <c r="B1989" s="18" t="s">
        <v>41</v>
      </c>
      <c r="C1989" s="18" t="s">
        <v>95</v>
      </c>
      <c r="D1989" s="18" t="s">
        <v>1807</v>
      </c>
      <c r="E1989" s="18" t="s">
        <v>2541</v>
      </c>
      <c r="F1989" s="101">
        <v>46257.203472222223</v>
      </c>
      <c r="G1989" s="101">
        <v>46258.401388888888</v>
      </c>
      <c r="H1989" s="18" t="s">
        <v>507</v>
      </c>
      <c r="I1989" s="18" t="s">
        <v>508</v>
      </c>
      <c r="J1989" s="18"/>
      <c r="K1989" s="21">
        <f t="shared" si="90"/>
        <v>28.749999999941792</v>
      </c>
      <c r="L1989" s="19">
        <f t="shared" si="91"/>
        <v>268</v>
      </c>
      <c r="M1989" s="18" t="str">
        <f>IF(I1989&lt;&gt;"Sí","",IF(YEAR(F1989)&lt;&gt;2026,"",INDEX({"Enero","Febrero","Marzo","Abril","Mayo","Junio","Julio","Agosto","Septiembre","Octubre","Noviembre","Diciembre"},MONTH(F1989))))</f>
        <v>Agosto</v>
      </c>
      <c r="N1989" s="18" t="str">
        <f t="shared" si="92"/>
        <v>Agosto|268</v>
      </c>
    </row>
    <row r="1990" spans="1:14" ht="14.5" x14ac:dyDescent="0.25">
      <c r="A1990" s="19">
        <v>34</v>
      </c>
      <c r="B1990" s="18" t="s">
        <v>41</v>
      </c>
      <c r="C1990" s="18" t="s">
        <v>95</v>
      </c>
      <c r="D1990" s="18" t="s">
        <v>1807</v>
      </c>
      <c r="E1990" s="18" t="s">
        <v>2542</v>
      </c>
      <c r="F1990" s="101">
        <v>46257.204861111109</v>
      </c>
      <c r="G1990" s="101">
        <v>46258.401388888888</v>
      </c>
      <c r="H1990" s="18" t="s">
        <v>507</v>
      </c>
      <c r="I1990" s="18" t="s">
        <v>508</v>
      </c>
      <c r="J1990" s="18"/>
      <c r="K1990" s="21">
        <f t="shared" si="90"/>
        <v>28.716666666674428</v>
      </c>
      <c r="L1990" s="19">
        <f t="shared" si="91"/>
        <v>269</v>
      </c>
      <c r="M1990" s="18" t="str">
        <f>IF(I1990&lt;&gt;"Sí","",IF(YEAR(F1990)&lt;&gt;2026,"",INDEX({"Enero","Febrero","Marzo","Abril","Mayo","Junio","Julio","Agosto","Septiembre","Octubre","Noviembre","Diciembre"},MONTH(F1990))))</f>
        <v>Agosto</v>
      </c>
      <c r="N1990" s="18" t="str">
        <f t="shared" si="92"/>
        <v>Agosto|269</v>
      </c>
    </row>
    <row r="1991" spans="1:14" ht="14.5" x14ac:dyDescent="0.25">
      <c r="A1991" s="19">
        <v>34</v>
      </c>
      <c r="B1991" s="18" t="s">
        <v>41</v>
      </c>
      <c r="C1991" s="18" t="s">
        <v>95</v>
      </c>
      <c r="D1991" s="18" t="s">
        <v>1807</v>
      </c>
      <c r="E1991" s="18" t="s">
        <v>2543</v>
      </c>
      <c r="F1991" s="101">
        <v>46257.207638888889</v>
      </c>
      <c r="G1991" s="101">
        <v>46258.401388888888</v>
      </c>
      <c r="H1991" s="18" t="s">
        <v>507</v>
      </c>
      <c r="I1991" s="18" t="s">
        <v>508</v>
      </c>
      <c r="J1991" s="18"/>
      <c r="K1991" s="21">
        <f t="shared" ref="K1991:K2054" si="93">IF(I1991="Sí",(G1991-F1991)*24,"")</f>
        <v>28.649999999965075</v>
      </c>
      <c r="L1991" s="19">
        <f t="shared" ref="L1991:L2054" si="94">IF(I1991="Sí",COUNTIFS($F$7:$F$4000,"&lt;="&amp;F1991,$G$7:$G$4000,"&gt;"&amp;F1991,$I$7:$I$4000,"Sí"),"")</f>
        <v>271</v>
      </c>
      <c r="M1991" s="18" t="str">
        <f>IF(I1991&lt;&gt;"Sí","",IF(YEAR(F1991)&lt;&gt;2026,"",INDEX({"Enero","Febrero","Marzo","Abril","Mayo","Junio","Julio","Agosto","Septiembre","Octubre","Noviembre","Diciembre"},MONTH(F1991))))</f>
        <v>Agosto</v>
      </c>
      <c r="N1991" s="18" t="str">
        <f t="shared" ref="N1991:N2054" si="95">IF(M1991="","",M1991&amp;"|"&amp;L1991)</f>
        <v>Agosto|271</v>
      </c>
    </row>
    <row r="1992" spans="1:14" ht="14.5" x14ac:dyDescent="0.25">
      <c r="A1992" s="19">
        <v>34</v>
      </c>
      <c r="B1992" s="18" t="s">
        <v>41</v>
      </c>
      <c r="C1992" s="18" t="s">
        <v>95</v>
      </c>
      <c r="D1992" s="18" t="s">
        <v>1807</v>
      </c>
      <c r="E1992" s="18" t="s">
        <v>2544</v>
      </c>
      <c r="F1992" s="101">
        <v>46257.207638888889</v>
      </c>
      <c r="G1992" s="101">
        <v>46258.118055555555</v>
      </c>
      <c r="H1992" s="18" t="s">
        <v>507</v>
      </c>
      <c r="I1992" s="18" t="s">
        <v>508</v>
      </c>
      <c r="J1992" s="18"/>
      <c r="K1992" s="21">
        <f t="shared" si="93"/>
        <v>21.849999999976717</v>
      </c>
      <c r="L1992" s="19">
        <f t="shared" si="94"/>
        <v>271</v>
      </c>
      <c r="M1992" s="18" t="str">
        <f>IF(I1992&lt;&gt;"Sí","",IF(YEAR(F1992)&lt;&gt;2026,"",INDEX({"Enero","Febrero","Marzo","Abril","Mayo","Junio","Julio","Agosto","Septiembre","Octubre","Noviembre","Diciembre"},MONTH(F1992))))</f>
        <v>Agosto</v>
      </c>
      <c r="N1992" s="18" t="str">
        <f t="shared" si="95"/>
        <v>Agosto|271</v>
      </c>
    </row>
    <row r="1993" spans="1:14" ht="14.5" x14ac:dyDescent="0.25">
      <c r="A1993" s="19">
        <v>34</v>
      </c>
      <c r="B1993" s="18" t="s">
        <v>41</v>
      </c>
      <c r="C1993" s="18" t="s">
        <v>95</v>
      </c>
      <c r="D1993" s="18" t="s">
        <v>1807</v>
      </c>
      <c r="E1993" s="18" t="s">
        <v>2545</v>
      </c>
      <c r="F1993" s="101">
        <v>46257.209027777775</v>
      </c>
      <c r="G1993" s="101">
        <v>46258.401388888888</v>
      </c>
      <c r="H1993" s="18" t="s">
        <v>507</v>
      </c>
      <c r="I1993" s="18" t="s">
        <v>508</v>
      </c>
      <c r="J1993" s="18"/>
      <c r="K1993" s="21">
        <f t="shared" si="93"/>
        <v>28.616666666697711</v>
      </c>
      <c r="L1993" s="19">
        <f t="shared" si="94"/>
        <v>272</v>
      </c>
      <c r="M1993" s="18" t="str">
        <f>IF(I1993&lt;&gt;"Sí","",IF(YEAR(F1993)&lt;&gt;2026,"",INDEX({"Enero","Febrero","Marzo","Abril","Mayo","Junio","Julio","Agosto","Septiembre","Octubre","Noviembre","Diciembre"},MONTH(F1993))))</f>
        <v>Agosto</v>
      </c>
      <c r="N1993" s="18" t="str">
        <f t="shared" si="95"/>
        <v>Agosto|272</v>
      </c>
    </row>
    <row r="1994" spans="1:14" ht="14.5" x14ac:dyDescent="0.25">
      <c r="A1994" s="19">
        <v>34</v>
      </c>
      <c r="B1994" s="18" t="s">
        <v>41</v>
      </c>
      <c r="C1994" s="18" t="s">
        <v>95</v>
      </c>
      <c r="D1994" s="18" t="s">
        <v>1807</v>
      </c>
      <c r="E1994" s="18" t="s">
        <v>2546</v>
      </c>
      <c r="F1994" s="101">
        <v>46257.211111111108</v>
      </c>
      <c r="G1994" s="101">
        <v>46258.401388888888</v>
      </c>
      <c r="H1994" s="18" t="s">
        <v>507</v>
      </c>
      <c r="I1994" s="18" t="s">
        <v>508</v>
      </c>
      <c r="J1994" s="18"/>
      <c r="K1994" s="21">
        <f t="shared" si="93"/>
        <v>28.566666666709352</v>
      </c>
      <c r="L1994" s="19">
        <f t="shared" si="94"/>
        <v>273</v>
      </c>
      <c r="M1994" s="18" t="str">
        <f>IF(I1994&lt;&gt;"Sí","",IF(YEAR(F1994)&lt;&gt;2026,"",INDEX({"Enero","Febrero","Marzo","Abril","Mayo","Junio","Julio","Agosto","Septiembre","Octubre","Noviembre","Diciembre"},MONTH(F1994))))</f>
        <v>Agosto</v>
      </c>
      <c r="N1994" s="18" t="str">
        <f t="shared" si="95"/>
        <v>Agosto|273</v>
      </c>
    </row>
    <row r="1995" spans="1:14" ht="14.5" x14ac:dyDescent="0.25">
      <c r="A1995" s="19">
        <v>34</v>
      </c>
      <c r="B1995" s="18" t="s">
        <v>41</v>
      </c>
      <c r="C1995" s="18" t="s">
        <v>95</v>
      </c>
      <c r="D1995" s="18" t="s">
        <v>1807</v>
      </c>
      <c r="E1995" s="18" t="s">
        <v>2547</v>
      </c>
      <c r="F1995" s="101">
        <v>46257.212500000001</v>
      </c>
      <c r="G1995" s="101">
        <v>46258.262499999997</v>
      </c>
      <c r="H1995" s="18" t="s">
        <v>507</v>
      </c>
      <c r="I1995" s="18" t="s">
        <v>508</v>
      </c>
      <c r="J1995" s="18"/>
      <c r="K1995" s="21">
        <f t="shared" si="93"/>
        <v>25.199999999895226</v>
      </c>
      <c r="L1995" s="19">
        <f t="shared" si="94"/>
        <v>274</v>
      </c>
      <c r="M1995" s="18" t="str">
        <f>IF(I1995&lt;&gt;"Sí","",IF(YEAR(F1995)&lt;&gt;2026,"",INDEX({"Enero","Febrero","Marzo","Abril","Mayo","Junio","Julio","Agosto","Septiembre","Octubre","Noviembre","Diciembre"},MONTH(F1995))))</f>
        <v>Agosto</v>
      </c>
      <c r="N1995" s="18" t="str">
        <f t="shared" si="95"/>
        <v>Agosto|274</v>
      </c>
    </row>
    <row r="1996" spans="1:14" ht="14.5" x14ac:dyDescent="0.25">
      <c r="A1996" s="19">
        <v>34</v>
      </c>
      <c r="B1996" s="18" t="s">
        <v>41</v>
      </c>
      <c r="C1996" s="18" t="s">
        <v>95</v>
      </c>
      <c r="D1996" s="18" t="s">
        <v>1807</v>
      </c>
      <c r="E1996" s="18" t="s">
        <v>2548</v>
      </c>
      <c r="F1996" s="101">
        <v>46257.215277777781</v>
      </c>
      <c r="G1996" s="101">
        <v>46258.262499999997</v>
      </c>
      <c r="H1996" s="18" t="s">
        <v>507</v>
      </c>
      <c r="I1996" s="18" t="s">
        <v>508</v>
      </c>
      <c r="J1996" s="18"/>
      <c r="K1996" s="21">
        <f t="shared" si="93"/>
        <v>25.133333333185874</v>
      </c>
      <c r="L1996" s="19">
        <f t="shared" si="94"/>
        <v>275</v>
      </c>
      <c r="M1996" s="18" t="str">
        <f>IF(I1996&lt;&gt;"Sí","",IF(YEAR(F1996)&lt;&gt;2026,"",INDEX({"Enero","Febrero","Marzo","Abril","Mayo","Junio","Julio","Agosto","Septiembre","Octubre","Noviembre","Diciembre"},MONTH(F1996))))</f>
        <v>Agosto</v>
      </c>
      <c r="N1996" s="18" t="str">
        <f t="shared" si="95"/>
        <v>Agosto|275</v>
      </c>
    </row>
    <row r="1997" spans="1:14" ht="14.5" x14ac:dyDescent="0.25">
      <c r="A1997" s="19">
        <v>34</v>
      </c>
      <c r="B1997" s="18" t="s">
        <v>41</v>
      </c>
      <c r="C1997" s="18" t="s">
        <v>95</v>
      </c>
      <c r="D1997" s="18" t="s">
        <v>1807</v>
      </c>
      <c r="E1997" s="18" t="s">
        <v>2549</v>
      </c>
      <c r="F1997" s="101">
        <v>46257.217361111114</v>
      </c>
      <c r="G1997" s="101">
        <v>46258.262499999997</v>
      </c>
      <c r="H1997" s="18" t="s">
        <v>507</v>
      </c>
      <c r="I1997" s="18" t="s">
        <v>508</v>
      </c>
      <c r="J1997" s="18"/>
      <c r="K1997" s="21">
        <f t="shared" si="93"/>
        <v>25.083333333197515</v>
      </c>
      <c r="L1997" s="19">
        <f t="shared" si="94"/>
        <v>276</v>
      </c>
      <c r="M1997" s="18" t="str">
        <f>IF(I1997&lt;&gt;"Sí","",IF(YEAR(F1997)&lt;&gt;2026,"",INDEX({"Enero","Febrero","Marzo","Abril","Mayo","Junio","Julio","Agosto","Septiembre","Octubre","Noviembre","Diciembre"},MONTH(F1997))))</f>
        <v>Agosto</v>
      </c>
      <c r="N1997" s="18" t="str">
        <f t="shared" si="95"/>
        <v>Agosto|276</v>
      </c>
    </row>
    <row r="1998" spans="1:14" ht="14.5" x14ac:dyDescent="0.25">
      <c r="A1998" s="19">
        <v>34</v>
      </c>
      <c r="B1998" s="18" t="s">
        <v>41</v>
      </c>
      <c r="C1998" s="18" t="s">
        <v>95</v>
      </c>
      <c r="D1998" s="18" t="s">
        <v>1807</v>
      </c>
      <c r="E1998" s="18" t="s">
        <v>2550</v>
      </c>
      <c r="F1998" s="101">
        <v>46257.21875</v>
      </c>
      <c r="G1998" s="101">
        <v>46258.262499999997</v>
      </c>
      <c r="H1998" s="18" t="s">
        <v>507</v>
      </c>
      <c r="I1998" s="18" t="s">
        <v>508</v>
      </c>
      <c r="J1998" s="18"/>
      <c r="K1998" s="21">
        <f t="shared" si="93"/>
        <v>25.049999999930151</v>
      </c>
      <c r="L1998" s="19">
        <f t="shared" si="94"/>
        <v>277</v>
      </c>
      <c r="M1998" s="18" t="str">
        <f>IF(I1998&lt;&gt;"Sí","",IF(YEAR(F1998)&lt;&gt;2026,"",INDEX({"Enero","Febrero","Marzo","Abril","Mayo","Junio","Julio","Agosto","Septiembre","Octubre","Noviembre","Diciembre"},MONTH(F1998))))</f>
        <v>Agosto</v>
      </c>
      <c r="N1998" s="18" t="str">
        <f t="shared" si="95"/>
        <v>Agosto|277</v>
      </c>
    </row>
    <row r="1999" spans="1:14" ht="14.5" x14ac:dyDescent="0.25">
      <c r="A1999" s="19">
        <v>34</v>
      </c>
      <c r="B1999" s="18" t="s">
        <v>41</v>
      </c>
      <c r="C1999" s="18" t="s">
        <v>95</v>
      </c>
      <c r="D1999" s="18" t="s">
        <v>1807</v>
      </c>
      <c r="E1999" s="18" t="s">
        <v>2551</v>
      </c>
      <c r="F1999" s="101">
        <v>46257.222222222219</v>
      </c>
      <c r="G1999" s="101">
        <v>46258.262499999997</v>
      </c>
      <c r="H1999" s="18" t="s">
        <v>507</v>
      </c>
      <c r="I1999" s="18" t="s">
        <v>508</v>
      </c>
      <c r="J1999" s="18"/>
      <c r="K1999" s="21">
        <f t="shared" si="93"/>
        <v>24.966666666674428</v>
      </c>
      <c r="L1999" s="19">
        <f t="shared" si="94"/>
        <v>278</v>
      </c>
      <c r="M1999" s="18" t="str">
        <f>IF(I1999&lt;&gt;"Sí","",IF(YEAR(F1999)&lt;&gt;2026,"",INDEX({"Enero","Febrero","Marzo","Abril","Mayo","Junio","Julio","Agosto","Septiembre","Octubre","Noviembre","Diciembre"},MONTH(F1999))))</f>
        <v>Agosto</v>
      </c>
      <c r="N1999" s="18" t="str">
        <f t="shared" si="95"/>
        <v>Agosto|278</v>
      </c>
    </row>
    <row r="2000" spans="1:14" ht="14.5" x14ac:dyDescent="0.25">
      <c r="A2000" s="19">
        <v>34</v>
      </c>
      <c r="B2000" s="18" t="s">
        <v>41</v>
      </c>
      <c r="C2000" s="18" t="s">
        <v>95</v>
      </c>
      <c r="D2000" s="18" t="s">
        <v>1807</v>
      </c>
      <c r="E2000" s="18" t="s">
        <v>2552</v>
      </c>
      <c r="F2000" s="101">
        <v>46257.224999999999</v>
      </c>
      <c r="G2000" s="101">
        <v>46258.262499999997</v>
      </c>
      <c r="H2000" s="18" t="s">
        <v>507</v>
      </c>
      <c r="I2000" s="18" t="s">
        <v>508</v>
      </c>
      <c r="J2000" s="18"/>
      <c r="K2000" s="21">
        <f t="shared" si="93"/>
        <v>24.899999999965075</v>
      </c>
      <c r="L2000" s="19">
        <f t="shared" si="94"/>
        <v>280</v>
      </c>
      <c r="M2000" s="18" t="str">
        <f>IF(I2000&lt;&gt;"Sí","",IF(YEAR(F2000)&lt;&gt;2026,"",INDEX({"Enero","Febrero","Marzo","Abril","Mayo","Junio","Julio","Agosto","Septiembre","Octubre","Noviembre","Diciembre"},MONTH(F2000))))</f>
        <v>Agosto</v>
      </c>
      <c r="N2000" s="18" t="str">
        <f t="shared" si="95"/>
        <v>Agosto|280</v>
      </c>
    </row>
    <row r="2001" spans="1:14" ht="14.5" x14ac:dyDescent="0.25">
      <c r="A2001" s="19">
        <v>34</v>
      </c>
      <c r="B2001" s="18" t="s">
        <v>41</v>
      </c>
      <c r="C2001" s="18" t="s">
        <v>95</v>
      </c>
      <c r="D2001" s="18" t="s">
        <v>1807</v>
      </c>
      <c r="E2001" s="18" t="s">
        <v>2553</v>
      </c>
      <c r="F2001" s="101">
        <v>46257.224999999999</v>
      </c>
      <c r="G2001" s="101">
        <v>46258.262499999997</v>
      </c>
      <c r="H2001" s="18" t="s">
        <v>507</v>
      </c>
      <c r="I2001" s="18" t="s">
        <v>508</v>
      </c>
      <c r="J2001" s="18"/>
      <c r="K2001" s="21">
        <f t="shared" si="93"/>
        <v>24.899999999965075</v>
      </c>
      <c r="L2001" s="19">
        <f t="shared" si="94"/>
        <v>280</v>
      </c>
      <c r="M2001" s="18" t="str">
        <f>IF(I2001&lt;&gt;"Sí","",IF(YEAR(F2001)&lt;&gt;2026,"",INDEX({"Enero","Febrero","Marzo","Abril","Mayo","Junio","Julio","Agosto","Septiembre","Octubre","Noviembre","Diciembre"},MONTH(F2001))))</f>
        <v>Agosto</v>
      </c>
      <c r="N2001" s="18" t="str">
        <f t="shared" si="95"/>
        <v>Agosto|280</v>
      </c>
    </row>
    <row r="2002" spans="1:14" ht="14.5" x14ac:dyDescent="0.25">
      <c r="A2002" s="19">
        <v>34</v>
      </c>
      <c r="B2002" s="18" t="s">
        <v>41</v>
      </c>
      <c r="C2002" s="18" t="s">
        <v>95</v>
      </c>
      <c r="D2002" s="18" t="s">
        <v>1807</v>
      </c>
      <c r="E2002" s="18" t="s">
        <v>2554</v>
      </c>
      <c r="F2002" s="101">
        <v>46257.229166666664</v>
      </c>
      <c r="G2002" s="101">
        <v>46258.262499999997</v>
      </c>
      <c r="H2002" s="18" t="s">
        <v>507</v>
      </c>
      <c r="I2002" s="18" t="s">
        <v>508</v>
      </c>
      <c r="J2002" s="18"/>
      <c r="K2002" s="21">
        <f t="shared" si="93"/>
        <v>24.799999999988358</v>
      </c>
      <c r="L2002" s="19">
        <f t="shared" si="94"/>
        <v>282</v>
      </c>
      <c r="M2002" s="18" t="str">
        <f>IF(I2002&lt;&gt;"Sí","",IF(YEAR(F2002)&lt;&gt;2026,"",INDEX({"Enero","Febrero","Marzo","Abril","Mayo","Junio","Julio","Agosto","Septiembre","Octubre","Noviembre","Diciembre"},MONTH(F2002))))</f>
        <v>Agosto</v>
      </c>
      <c r="N2002" s="18" t="str">
        <f t="shared" si="95"/>
        <v>Agosto|282</v>
      </c>
    </row>
    <row r="2003" spans="1:14" ht="14.5" x14ac:dyDescent="0.25">
      <c r="A2003" s="19">
        <v>34</v>
      </c>
      <c r="B2003" s="18" t="s">
        <v>41</v>
      </c>
      <c r="C2003" s="18" t="s">
        <v>95</v>
      </c>
      <c r="D2003" s="18" t="s">
        <v>1807</v>
      </c>
      <c r="E2003" s="18" t="s">
        <v>2555</v>
      </c>
      <c r="F2003" s="101">
        <v>46257.229166666664</v>
      </c>
      <c r="G2003" s="101">
        <v>46258.262499999997</v>
      </c>
      <c r="H2003" s="18" t="s">
        <v>507</v>
      </c>
      <c r="I2003" s="18" t="s">
        <v>508</v>
      </c>
      <c r="J2003" s="18"/>
      <c r="K2003" s="21">
        <f t="shared" si="93"/>
        <v>24.799999999988358</v>
      </c>
      <c r="L2003" s="19">
        <f t="shared" si="94"/>
        <v>282</v>
      </c>
      <c r="M2003" s="18" t="str">
        <f>IF(I2003&lt;&gt;"Sí","",IF(YEAR(F2003)&lt;&gt;2026,"",INDEX({"Enero","Febrero","Marzo","Abril","Mayo","Junio","Julio","Agosto","Septiembre","Octubre","Noviembre","Diciembre"},MONTH(F2003))))</f>
        <v>Agosto</v>
      </c>
      <c r="N2003" s="18" t="str">
        <f t="shared" si="95"/>
        <v>Agosto|282</v>
      </c>
    </row>
    <row r="2004" spans="1:14" ht="14.5" x14ac:dyDescent="0.25">
      <c r="A2004" s="19">
        <v>34</v>
      </c>
      <c r="B2004" s="18" t="s">
        <v>41</v>
      </c>
      <c r="C2004" s="18" t="s">
        <v>95</v>
      </c>
      <c r="D2004" s="18" t="s">
        <v>1807</v>
      </c>
      <c r="E2004" s="18" t="s">
        <v>2556</v>
      </c>
      <c r="F2004" s="101">
        <v>46257.231249999997</v>
      </c>
      <c r="G2004" s="101">
        <v>46258.262499999997</v>
      </c>
      <c r="H2004" s="18" t="s">
        <v>507</v>
      </c>
      <c r="I2004" s="18" t="s">
        <v>508</v>
      </c>
      <c r="J2004" s="18"/>
      <c r="K2004" s="21">
        <f t="shared" si="93"/>
        <v>24.75</v>
      </c>
      <c r="L2004" s="19">
        <f t="shared" si="94"/>
        <v>283</v>
      </c>
      <c r="M2004" s="18" t="str">
        <f>IF(I2004&lt;&gt;"Sí","",IF(YEAR(F2004)&lt;&gt;2026,"",INDEX({"Enero","Febrero","Marzo","Abril","Mayo","Junio","Julio","Agosto","Septiembre","Octubre","Noviembre","Diciembre"},MONTH(F2004))))</f>
        <v>Agosto</v>
      </c>
      <c r="N2004" s="18" t="str">
        <f t="shared" si="95"/>
        <v>Agosto|283</v>
      </c>
    </row>
    <row r="2005" spans="1:14" ht="14.5" x14ac:dyDescent="0.25">
      <c r="A2005" s="19">
        <v>34</v>
      </c>
      <c r="B2005" s="18" t="s">
        <v>41</v>
      </c>
      <c r="C2005" s="18" t="s">
        <v>95</v>
      </c>
      <c r="D2005" s="18" t="s">
        <v>1807</v>
      </c>
      <c r="E2005" s="18" t="s">
        <v>2557</v>
      </c>
      <c r="F2005" s="101">
        <v>46257.232638888891</v>
      </c>
      <c r="G2005" s="101">
        <v>46258.262499999997</v>
      </c>
      <c r="H2005" s="18" t="s">
        <v>507</v>
      </c>
      <c r="I2005" s="18" t="s">
        <v>508</v>
      </c>
      <c r="J2005" s="18"/>
      <c r="K2005" s="21">
        <f t="shared" si="93"/>
        <v>24.716666666558012</v>
      </c>
      <c r="L2005" s="19">
        <f t="shared" si="94"/>
        <v>284</v>
      </c>
      <c r="M2005" s="18" t="str">
        <f>IF(I2005&lt;&gt;"Sí","",IF(YEAR(F2005)&lt;&gt;2026,"",INDEX({"Enero","Febrero","Marzo","Abril","Mayo","Junio","Julio","Agosto","Septiembre","Octubre","Noviembre","Diciembre"},MONTH(F2005))))</f>
        <v>Agosto</v>
      </c>
      <c r="N2005" s="18" t="str">
        <f t="shared" si="95"/>
        <v>Agosto|284</v>
      </c>
    </row>
    <row r="2006" spans="1:14" ht="14.5" x14ac:dyDescent="0.25">
      <c r="A2006" s="19">
        <v>34</v>
      </c>
      <c r="B2006" s="18" t="s">
        <v>41</v>
      </c>
      <c r="C2006" s="18" t="s">
        <v>95</v>
      </c>
      <c r="D2006" s="18" t="s">
        <v>1807</v>
      </c>
      <c r="E2006" s="18" t="s">
        <v>2558</v>
      </c>
      <c r="F2006" s="101">
        <v>46257.23541666667</v>
      </c>
      <c r="G2006" s="101">
        <v>46258.262499999997</v>
      </c>
      <c r="H2006" s="18" t="s">
        <v>507</v>
      </c>
      <c r="I2006" s="18" t="s">
        <v>508</v>
      </c>
      <c r="J2006" s="18"/>
      <c r="K2006" s="21">
        <f t="shared" si="93"/>
        <v>24.64999999984866</v>
      </c>
      <c r="L2006" s="19">
        <f t="shared" si="94"/>
        <v>286</v>
      </c>
      <c r="M2006" s="18" t="str">
        <f>IF(I2006&lt;&gt;"Sí","",IF(YEAR(F2006)&lt;&gt;2026,"",INDEX({"Enero","Febrero","Marzo","Abril","Mayo","Junio","Julio","Agosto","Septiembre","Octubre","Noviembre","Diciembre"},MONTH(F2006))))</f>
        <v>Agosto</v>
      </c>
      <c r="N2006" s="18" t="str">
        <f t="shared" si="95"/>
        <v>Agosto|286</v>
      </c>
    </row>
    <row r="2007" spans="1:14" ht="14.5" x14ac:dyDescent="0.25">
      <c r="A2007" s="19">
        <v>34</v>
      </c>
      <c r="B2007" s="18" t="s">
        <v>41</v>
      </c>
      <c r="C2007" s="18" t="s">
        <v>95</v>
      </c>
      <c r="D2007" s="18" t="s">
        <v>1807</v>
      </c>
      <c r="E2007" s="18" t="s">
        <v>2559</v>
      </c>
      <c r="F2007" s="101">
        <v>46257.23541666667</v>
      </c>
      <c r="G2007" s="101">
        <v>46258.262499999997</v>
      </c>
      <c r="H2007" s="18" t="s">
        <v>507</v>
      </c>
      <c r="I2007" s="18" t="s">
        <v>508</v>
      </c>
      <c r="J2007" s="18"/>
      <c r="K2007" s="21">
        <f t="shared" si="93"/>
        <v>24.64999999984866</v>
      </c>
      <c r="L2007" s="19">
        <f t="shared" si="94"/>
        <v>286</v>
      </c>
      <c r="M2007" s="18" t="str">
        <f>IF(I2007&lt;&gt;"Sí","",IF(YEAR(F2007)&lt;&gt;2026,"",INDEX({"Enero","Febrero","Marzo","Abril","Mayo","Junio","Julio","Agosto","Septiembre","Octubre","Noviembre","Diciembre"},MONTH(F2007))))</f>
        <v>Agosto</v>
      </c>
      <c r="N2007" s="18" t="str">
        <f t="shared" si="95"/>
        <v>Agosto|286</v>
      </c>
    </row>
    <row r="2008" spans="1:14" ht="14.5" x14ac:dyDescent="0.25">
      <c r="A2008" s="19">
        <v>34</v>
      </c>
      <c r="B2008" s="18" t="s">
        <v>41</v>
      </c>
      <c r="C2008" s="18" t="s">
        <v>95</v>
      </c>
      <c r="D2008" s="18" t="s">
        <v>1807</v>
      </c>
      <c r="E2008" s="18" t="s">
        <v>2560</v>
      </c>
      <c r="F2008" s="101">
        <v>46257.236111111109</v>
      </c>
      <c r="G2008" s="101">
        <v>46258.262499999997</v>
      </c>
      <c r="H2008" s="18" t="s">
        <v>507</v>
      </c>
      <c r="I2008" s="18" t="s">
        <v>508</v>
      </c>
      <c r="J2008" s="18"/>
      <c r="K2008" s="21">
        <f t="shared" si="93"/>
        <v>24.633333333302289</v>
      </c>
      <c r="L2008" s="19">
        <f t="shared" si="94"/>
        <v>289</v>
      </c>
      <c r="M2008" s="18" t="str">
        <f>IF(I2008&lt;&gt;"Sí","",IF(YEAR(F2008)&lt;&gt;2026,"",INDEX({"Enero","Febrero","Marzo","Abril","Mayo","Junio","Julio","Agosto","Septiembre","Octubre","Noviembre","Diciembre"},MONTH(F2008))))</f>
        <v>Agosto</v>
      </c>
      <c r="N2008" s="18" t="str">
        <f t="shared" si="95"/>
        <v>Agosto|289</v>
      </c>
    </row>
    <row r="2009" spans="1:14" ht="14.5" x14ac:dyDescent="0.25">
      <c r="A2009" s="19">
        <v>34</v>
      </c>
      <c r="B2009" s="18" t="s">
        <v>41</v>
      </c>
      <c r="C2009" s="18" t="s">
        <v>95</v>
      </c>
      <c r="D2009" s="18" t="s">
        <v>1807</v>
      </c>
      <c r="E2009" s="18" t="s">
        <v>2561</v>
      </c>
      <c r="F2009" s="101">
        <v>46257.236111111109</v>
      </c>
      <c r="G2009" s="101">
        <v>46258.262499999997</v>
      </c>
      <c r="H2009" s="18" t="s">
        <v>507</v>
      </c>
      <c r="I2009" s="18" t="s">
        <v>508</v>
      </c>
      <c r="J2009" s="18"/>
      <c r="K2009" s="21">
        <f t="shared" si="93"/>
        <v>24.633333333302289</v>
      </c>
      <c r="L2009" s="19">
        <f t="shared" si="94"/>
        <v>289</v>
      </c>
      <c r="M2009" s="18" t="str">
        <f>IF(I2009&lt;&gt;"Sí","",IF(YEAR(F2009)&lt;&gt;2026,"",INDEX({"Enero","Febrero","Marzo","Abril","Mayo","Junio","Julio","Agosto","Septiembre","Octubre","Noviembre","Diciembre"},MONTH(F2009))))</f>
        <v>Agosto</v>
      </c>
      <c r="N2009" s="18" t="str">
        <f t="shared" si="95"/>
        <v>Agosto|289</v>
      </c>
    </row>
    <row r="2010" spans="1:14" ht="14.5" x14ac:dyDescent="0.25">
      <c r="A2010" s="19">
        <v>34</v>
      </c>
      <c r="B2010" s="18" t="s">
        <v>41</v>
      </c>
      <c r="C2010" s="18" t="s">
        <v>95</v>
      </c>
      <c r="D2010" s="18" t="s">
        <v>1807</v>
      </c>
      <c r="E2010" s="18" t="s">
        <v>2562</v>
      </c>
      <c r="F2010" s="101">
        <v>46257.236111111109</v>
      </c>
      <c r="G2010" s="101">
        <v>46258.209027777775</v>
      </c>
      <c r="H2010" s="18" t="s">
        <v>507</v>
      </c>
      <c r="I2010" s="18" t="s">
        <v>508</v>
      </c>
      <c r="J2010" s="18"/>
      <c r="K2010" s="21">
        <f t="shared" si="93"/>
        <v>23.349999999976717</v>
      </c>
      <c r="L2010" s="19">
        <f t="shared" si="94"/>
        <v>289</v>
      </c>
      <c r="M2010" s="18" t="str">
        <f>IF(I2010&lt;&gt;"Sí","",IF(YEAR(F2010)&lt;&gt;2026,"",INDEX({"Enero","Febrero","Marzo","Abril","Mayo","Junio","Julio","Agosto","Septiembre","Octubre","Noviembre","Diciembre"},MONTH(F2010))))</f>
        <v>Agosto</v>
      </c>
      <c r="N2010" s="18" t="str">
        <f t="shared" si="95"/>
        <v>Agosto|289</v>
      </c>
    </row>
    <row r="2011" spans="1:14" ht="14.5" x14ac:dyDescent="0.25">
      <c r="A2011" s="19">
        <v>34</v>
      </c>
      <c r="B2011" s="18" t="s">
        <v>41</v>
      </c>
      <c r="C2011" s="18" t="s">
        <v>95</v>
      </c>
      <c r="D2011" s="18" t="s">
        <v>1807</v>
      </c>
      <c r="E2011" s="18" t="s">
        <v>2563</v>
      </c>
      <c r="F2011" s="101">
        <v>46257.240277777775</v>
      </c>
      <c r="G2011" s="101">
        <v>46258.262499999997</v>
      </c>
      <c r="H2011" s="18" t="s">
        <v>507</v>
      </c>
      <c r="I2011" s="18" t="s">
        <v>508</v>
      </c>
      <c r="J2011" s="18"/>
      <c r="K2011" s="21">
        <f t="shared" si="93"/>
        <v>24.533333333325572</v>
      </c>
      <c r="L2011" s="19">
        <f t="shared" si="94"/>
        <v>291</v>
      </c>
      <c r="M2011" s="18" t="str">
        <f>IF(I2011&lt;&gt;"Sí","",IF(YEAR(F2011)&lt;&gt;2026,"",INDEX({"Enero","Febrero","Marzo","Abril","Mayo","Junio","Julio","Agosto","Septiembre","Octubre","Noviembre","Diciembre"},MONTH(F2011))))</f>
        <v>Agosto</v>
      </c>
      <c r="N2011" s="18" t="str">
        <f t="shared" si="95"/>
        <v>Agosto|291</v>
      </c>
    </row>
    <row r="2012" spans="1:14" ht="14.5" x14ac:dyDescent="0.25">
      <c r="A2012" s="19">
        <v>34</v>
      </c>
      <c r="B2012" s="18" t="s">
        <v>41</v>
      </c>
      <c r="C2012" s="18" t="s">
        <v>95</v>
      </c>
      <c r="D2012" s="18" t="s">
        <v>1807</v>
      </c>
      <c r="E2012" s="18" t="s">
        <v>2564</v>
      </c>
      <c r="F2012" s="101">
        <v>46257.240277777775</v>
      </c>
      <c r="G2012" s="101">
        <v>46258.262499999997</v>
      </c>
      <c r="H2012" s="18" t="s">
        <v>507</v>
      </c>
      <c r="I2012" s="18" t="s">
        <v>508</v>
      </c>
      <c r="J2012" s="18"/>
      <c r="K2012" s="21">
        <f t="shared" si="93"/>
        <v>24.533333333325572</v>
      </c>
      <c r="L2012" s="19">
        <f t="shared" si="94"/>
        <v>291</v>
      </c>
      <c r="M2012" s="18" t="str">
        <f>IF(I2012&lt;&gt;"Sí","",IF(YEAR(F2012)&lt;&gt;2026,"",INDEX({"Enero","Febrero","Marzo","Abril","Mayo","Junio","Julio","Agosto","Septiembre","Octubre","Noviembre","Diciembre"},MONTH(F2012))))</f>
        <v>Agosto</v>
      </c>
      <c r="N2012" s="18" t="str">
        <f t="shared" si="95"/>
        <v>Agosto|291</v>
      </c>
    </row>
    <row r="2013" spans="1:14" ht="14.5" x14ac:dyDescent="0.25">
      <c r="A2013" s="19">
        <v>34</v>
      </c>
      <c r="B2013" s="18" t="s">
        <v>41</v>
      </c>
      <c r="C2013" s="18" t="s">
        <v>95</v>
      </c>
      <c r="D2013" s="18" t="s">
        <v>1807</v>
      </c>
      <c r="E2013" s="18" t="s">
        <v>2565</v>
      </c>
      <c r="F2013" s="101">
        <v>46257.245138888888</v>
      </c>
      <c r="G2013" s="101">
        <v>46258.262499999997</v>
      </c>
      <c r="H2013" s="18" t="s">
        <v>507</v>
      </c>
      <c r="I2013" s="18" t="s">
        <v>508</v>
      </c>
      <c r="J2013" s="18"/>
      <c r="K2013" s="21">
        <f t="shared" si="93"/>
        <v>24.416666666627862</v>
      </c>
      <c r="L2013" s="19">
        <f t="shared" si="94"/>
        <v>292</v>
      </c>
      <c r="M2013" s="18" t="str">
        <f>IF(I2013&lt;&gt;"Sí","",IF(YEAR(F2013)&lt;&gt;2026,"",INDEX({"Enero","Febrero","Marzo","Abril","Mayo","Junio","Julio","Agosto","Septiembre","Octubre","Noviembre","Diciembre"},MONTH(F2013))))</f>
        <v>Agosto</v>
      </c>
      <c r="N2013" s="18" t="str">
        <f t="shared" si="95"/>
        <v>Agosto|292</v>
      </c>
    </row>
    <row r="2014" spans="1:14" ht="14.5" x14ac:dyDescent="0.25">
      <c r="A2014" s="19">
        <v>34</v>
      </c>
      <c r="B2014" s="18" t="s">
        <v>41</v>
      </c>
      <c r="C2014" s="18" t="s">
        <v>95</v>
      </c>
      <c r="D2014" s="18" t="s">
        <v>1807</v>
      </c>
      <c r="E2014" s="18" t="s">
        <v>2566</v>
      </c>
      <c r="F2014" s="101">
        <v>46257.24722222222</v>
      </c>
      <c r="G2014" s="101">
        <v>46258.262499999997</v>
      </c>
      <c r="H2014" s="18" t="s">
        <v>507</v>
      </c>
      <c r="I2014" s="18" t="s">
        <v>508</v>
      </c>
      <c r="J2014" s="18"/>
      <c r="K2014" s="21">
        <f t="shared" si="93"/>
        <v>24.366666666639503</v>
      </c>
      <c r="L2014" s="19">
        <f t="shared" si="94"/>
        <v>293</v>
      </c>
      <c r="M2014" s="18" t="str">
        <f>IF(I2014&lt;&gt;"Sí","",IF(YEAR(F2014)&lt;&gt;2026,"",INDEX({"Enero","Febrero","Marzo","Abril","Mayo","Junio","Julio","Agosto","Septiembre","Octubre","Noviembre","Diciembre"},MONTH(F2014))))</f>
        <v>Agosto</v>
      </c>
      <c r="N2014" s="18" t="str">
        <f t="shared" si="95"/>
        <v>Agosto|293</v>
      </c>
    </row>
    <row r="2015" spans="1:14" ht="14.5" x14ac:dyDescent="0.25">
      <c r="A2015" s="19">
        <v>34</v>
      </c>
      <c r="B2015" s="18" t="s">
        <v>41</v>
      </c>
      <c r="C2015" s="18" t="s">
        <v>95</v>
      </c>
      <c r="D2015" s="18" t="s">
        <v>1807</v>
      </c>
      <c r="E2015" s="18" t="s">
        <v>2567</v>
      </c>
      <c r="F2015" s="101">
        <v>46257.720138888886</v>
      </c>
      <c r="G2015" s="101">
        <v>46258.45416666667</v>
      </c>
      <c r="H2015" s="18" t="s">
        <v>507</v>
      </c>
      <c r="I2015" s="18" t="s">
        <v>508</v>
      </c>
      <c r="J2015" s="18"/>
      <c r="K2015" s="21">
        <f t="shared" si="93"/>
        <v>17.616666666814126</v>
      </c>
      <c r="L2015" s="19">
        <f t="shared" si="94"/>
        <v>294</v>
      </c>
      <c r="M2015" s="18" t="str">
        <f>IF(I2015&lt;&gt;"Sí","",IF(YEAR(F2015)&lt;&gt;2026,"",INDEX({"Enero","Febrero","Marzo","Abril","Mayo","Junio","Julio","Agosto","Septiembre","Octubre","Noviembre","Diciembre"},MONTH(F2015))))</f>
        <v>Agosto</v>
      </c>
      <c r="N2015" s="18" t="str">
        <f t="shared" si="95"/>
        <v>Agosto|294</v>
      </c>
    </row>
    <row r="2016" spans="1:14" ht="14.5" x14ac:dyDescent="0.25">
      <c r="A2016" s="19">
        <v>34</v>
      </c>
      <c r="B2016" s="18" t="s">
        <v>41</v>
      </c>
      <c r="C2016" s="18" t="s">
        <v>95</v>
      </c>
      <c r="D2016" s="18" t="s">
        <v>1807</v>
      </c>
      <c r="E2016" s="18" t="s">
        <v>2568</v>
      </c>
      <c r="F2016" s="101">
        <v>46257.731249999997</v>
      </c>
      <c r="G2016" s="101">
        <v>46258.45416666667</v>
      </c>
      <c r="H2016" s="18" t="s">
        <v>507</v>
      </c>
      <c r="I2016" s="18" t="s">
        <v>508</v>
      </c>
      <c r="J2016" s="18"/>
      <c r="K2016" s="21">
        <f t="shared" si="93"/>
        <v>17.35000000015134</v>
      </c>
      <c r="L2016" s="19">
        <f t="shared" si="94"/>
        <v>295</v>
      </c>
      <c r="M2016" s="18" t="str">
        <f>IF(I2016&lt;&gt;"Sí","",IF(YEAR(F2016)&lt;&gt;2026,"",INDEX({"Enero","Febrero","Marzo","Abril","Mayo","Junio","Julio","Agosto","Septiembre","Octubre","Noviembre","Diciembre"},MONTH(F2016))))</f>
        <v>Agosto</v>
      </c>
      <c r="N2016" s="18" t="str">
        <f t="shared" si="95"/>
        <v>Agosto|295</v>
      </c>
    </row>
    <row r="2017" spans="1:14" ht="14.5" x14ac:dyDescent="0.25">
      <c r="A2017" s="19">
        <v>34</v>
      </c>
      <c r="B2017" s="18" t="s">
        <v>41</v>
      </c>
      <c r="C2017" s="18" t="s">
        <v>95</v>
      </c>
      <c r="D2017" s="18" t="s">
        <v>1807</v>
      </c>
      <c r="E2017" s="18" t="s">
        <v>2569</v>
      </c>
      <c r="F2017" s="101">
        <v>46257.731944444444</v>
      </c>
      <c r="G2017" s="101">
        <v>46258.45416666667</v>
      </c>
      <c r="H2017" s="18" t="s">
        <v>507</v>
      </c>
      <c r="I2017" s="18" t="s">
        <v>508</v>
      </c>
      <c r="J2017" s="18"/>
      <c r="K2017" s="21">
        <f t="shared" si="93"/>
        <v>17.333333333430346</v>
      </c>
      <c r="L2017" s="19">
        <f t="shared" si="94"/>
        <v>296</v>
      </c>
      <c r="M2017" s="18" t="str">
        <f>IF(I2017&lt;&gt;"Sí","",IF(YEAR(F2017)&lt;&gt;2026,"",INDEX({"Enero","Febrero","Marzo","Abril","Mayo","Junio","Julio","Agosto","Septiembre","Octubre","Noviembre","Diciembre"},MONTH(F2017))))</f>
        <v>Agosto</v>
      </c>
      <c r="N2017" s="18" t="str">
        <f t="shared" si="95"/>
        <v>Agosto|296</v>
      </c>
    </row>
    <row r="2018" spans="1:14" ht="14.5" x14ac:dyDescent="0.25">
      <c r="A2018" s="19">
        <v>34</v>
      </c>
      <c r="B2018" s="18" t="s">
        <v>41</v>
      </c>
      <c r="C2018" s="18" t="s">
        <v>95</v>
      </c>
      <c r="D2018" s="18" t="s">
        <v>1807</v>
      </c>
      <c r="E2018" s="18" t="s">
        <v>2570</v>
      </c>
      <c r="F2018" s="101">
        <v>46257.732638888891</v>
      </c>
      <c r="G2018" s="101">
        <v>46258.45416666667</v>
      </c>
      <c r="H2018" s="18" t="s">
        <v>507</v>
      </c>
      <c r="I2018" s="18" t="s">
        <v>508</v>
      </c>
      <c r="J2018" s="18"/>
      <c r="K2018" s="21">
        <f t="shared" si="93"/>
        <v>17.316666666709352</v>
      </c>
      <c r="L2018" s="19">
        <f t="shared" si="94"/>
        <v>297</v>
      </c>
      <c r="M2018" s="18" t="str">
        <f>IF(I2018&lt;&gt;"Sí","",IF(YEAR(F2018)&lt;&gt;2026,"",INDEX({"Enero","Febrero","Marzo","Abril","Mayo","Junio","Julio","Agosto","Septiembre","Octubre","Noviembre","Diciembre"},MONTH(F2018))))</f>
        <v>Agosto</v>
      </c>
      <c r="N2018" s="18" t="str">
        <f t="shared" si="95"/>
        <v>Agosto|297</v>
      </c>
    </row>
    <row r="2019" spans="1:14" ht="14.5" x14ac:dyDescent="0.25">
      <c r="A2019" s="19">
        <v>34</v>
      </c>
      <c r="B2019" s="18" t="s">
        <v>41</v>
      </c>
      <c r="C2019" s="18" t="s">
        <v>95</v>
      </c>
      <c r="D2019" s="18" t="s">
        <v>1807</v>
      </c>
      <c r="E2019" s="18" t="s">
        <v>2571</v>
      </c>
      <c r="F2019" s="101">
        <v>46257.734027777777</v>
      </c>
      <c r="G2019" s="101">
        <v>46258.45416666667</v>
      </c>
      <c r="H2019" s="18" t="s">
        <v>507</v>
      </c>
      <c r="I2019" s="18" t="s">
        <v>508</v>
      </c>
      <c r="J2019" s="18"/>
      <c r="K2019" s="21">
        <f t="shared" si="93"/>
        <v>17.283333333441988</v>
      </c>
      <c r="L2019" s="19">
        <f t="shared" si="94"/>
        <v>298</v>
      </c>
      <c r="M2019" s="18" t="str">
        <f>IF(I2019&lt;&gt;"Sí","",IF(YEAR(F2019)&lt;&gt;2026,"",INDEX({"Enero","Febrero","Marzo","Abril","Mayo","Junio","Julio","Agosto","Septiembre","Octubre","Noviembre","Diciembre"},MONTH(F2019))))</f>
        <v>Agosto</v>
      </c>
      <c r="N2019" s="18" t="str">
        <f t="shared" si="95"/>
        <v>Agosto|298</v>
      </c>
    </row>
    <row r="2020" spans="1:14" ht="14.5" x14ac:dyDescent="0.25">
      <c r="A2020" s="19">
        <v>34</v>
      </c>
      <c r="B2020" s="18" t="s">
        <v>41</v>
      </c>
      <c r="C2020" s="18" t="s">
        <v>95</v>
      </c>
      <c r="D2020" s="18" t="s">
        <v>1807</v>
      </c>
      <c r="E2020" s="18" t="s">
        <v>2572</v>
      </c>
      <c r="F2020" s="101">
        <v>46257.734722222223</v>
      </c>
      <c r="G2020" s="101">
        <v>46258.45416666667</v>
      </c>
      <c r="H2020" s="18" t="s">
        <v>507</v>
      </c>
      <c r="I2020" s="18" t="s">
        <v>508</v>
      </c>
      <c r="J2020" s="18"/>
      <c r="K2020" s="21">
        <f t="shared" si="93"/>
        <v>17.266666666720994</v>
      </c>
      <c r="L2020" s="19">
        <f t="shared" si="94"/>
        <v>299</v>
      </c>
      <c r="M2020" s="18" t="str">
        <f>IF(I2020&lt;&gt;"Sí","",IF(YEAR(F2020)&lt;&gt;2026,"",INDEX({"Enero","Febrero","Marzo","Abril","Mayo","Junio","Julio","Agosto","Septiembre","Octubre","Noviembre","Diciembre"},MONTH(F2020))))</f>
        <v>Agosto</v>
      </c>
      <c r="N2020" s="18" t="str">
        <f t="shared" si="95"/>
        <v>Agosto|299</v>
      </c>
    </row>
    <row r="2021" spans="1:14" ht="14.5" x14ac:dyDescent="0.25">
      <c r="A2021" s="19">
        <v>34</v>
      </c>
      <c r="B2021" s="18" t="s">
        <v>41</v>
      </c>
      <c r="C2021" s="18" t="s">
        <v>95</v>
      </c>
      <c r="D2021" s="18" t="s">
        <v>1807</v>
      </c>
      <c r="E2021" s="18" t="s">
        <v>2573</v>
      </c>
      <c r="F2021" s="101">
        <v>46257.73541666667</v>
      </c>
      <c r="G2021" s="101">
        <v>46258.45416666667</v>
      </c>
      <c r="H2021" s="18" t="s">
        <v>507</v>
      </c>
      <c r="I2021" s="18" t="s">
        <v>508</v>
      </c>
      <c r="J2021" s="18"/>
      <c r="K2021" s="21">
        <f t="shared" si="93"/>
        <v>17.25</v>
      </c>
      <c r="L2021" s="19">
        <f t="shared" si="94"/>
        <v>300</v>
      </c>
      <c r="M2021" s="18" t="str">
        <f>IF(I2021&lt;&gt;"Sí","",IF(YEAR(F2021)&lt;&gt;2026,"",INDEX({"Enero","Febrero","Marzo","Abril","Mayo","Junio","Julio","Agosto","Septiembre","Octubre","Noviembre","Diciembre"},MONTH(F2021))))</f>
        <v>Agosto</v>
      </c>
      <c r="N2021" s="18" t="str">
        <f t="shared" si="95"/>
        <v>Agosto|300</v>
      </c>
    </row>
    <row r="2022" spans="1:14" ht="14.5" x14ac:dyDescent="0.25">
      <c r="A2022" s="19">
        <v>34</v>
      </c>
      <c r="B2022" s="18" t="s">
        <v>41</v>
      </c>
      <c r="C2022" s="18" t="s">
        <v>95</v>
      </c>
      <c r="D2022" s="18" t="s">
        <v>1807</v>
      </c>
      <c r="E2022" s="18" t="s">
        <v>2574</v>
      </c>
      <c r="F2022" s="101">
        <v>46257.740972222222</v>
      </c>
      <c r="G2022" s="101">
        <v>46258.45416666667</v>
      </c>
      <c r="H2022" s="18" t="s">
        <v>507</v>
      </c>
      <c r="I2022" s="18" t="s">
        <v>508</v>
      </c>
      <c r="J2022" s="18"/>
      <c r="K2022" s="21">
        <f t="shared" si="93"/>
        <v>17.116666666755918</v>
      </c>
      <c r="L2022" s="19">
        <f t="shared" si="94"/>
        <v>301</v>
      </c>
      <c r="M2022" s="18" t="str">
        <f>IF(I2022&lt;&gt;"Sí","",IF(YEAR(F2022)&lt;&gt;2026,"",INDEX({"Enero","Febrero","Marzo","Abril","Mayo","Junio","Julio","Agosto","Septiembre","Octubre","Noviembre","Diciembre"},MONTH(F2022))))</f>
        <v>Agosto</v>
      </c>
      <c r="N2022" s="18" t="str">
        <f t="shared" si="95"/>
        <v>Agosto|301</v>
      </c>
    </row>
    <row r="2023" spans="1:14" ht="14.5" x14ac:dyDescent="0.25">
      <c r="A2023" s="19">
        <v>34</v>
      </c>
      <c r="B2023" s="18" t="s">
        <v>41</v>
      </c>
      <c r="C2023" s="18" t="s">
        <v>95</v>
      </c>
      <c r="D2023" s="18" t="s">
        <v>1807</v>
      </c>
      <c r="E2023" s="18" t="s">
        <v>2575</v>
      </c>
      <c r="F2023" s="101">
        <v>46257.741666666669</v>
      </c>
      <c r="G2023" s="101">
        <v>46258.45416666667</v>
      </c>
      <c r="H2023" s="18" t="s">
        <v>507</v>
      </c>
      <c r="I2023" s="18" t="s">
        <v>508</v>
      </c>
      <c r="J2023" s="18"/>
      <c r="K2023" s="21">
        <f t="shared" si="93"/>
        <v>17.100000000034925</v>
      </c>
      <c r="L2023" s="19">
        <f t="shared" si="94"/>
        <v>302</v>
      </c>
      <c r="M2023" s="18" t="str">
        <f>IF(I2023&lt;&gt;"Sí","",IF(YEAR(F2023)&lt;&gt;2026,"",INDEX({"Enero","Febrero","Marzo","Abril","Mayo","Junio","Julio","Agosto","Septiembre","Octubre","Noviembre","Diciembre"},MONTH(F2023))))</f>
        <v>Agosto</v>
      </c>
      <c r="N2023" s="18" t="str">
        <f t="shared" si="95"/>
        <v>Agosto|302</v>
      </c>
    </row>
    <row r="2024" spans="1:14" ht="14.5" x14ac:dyDescent="0.25">
      <c r="A2024" s="19">
        <v>34</v>
      </c>
      <c r="B2024" s="18" t="s">
        <v>41</v>
      </c>
      <c r="C2024" s="18" t="s">
        <v>95</v>
      </c>
      <c r="D2024" s="18" t="s">
        <v>1807</v>
      </c>
      <c r="E2024" s="18" t="s">
        <v>2576</v>
      </c>
      <c r="F2024" s="101">
        <v>46257.743750000001</v>
      </c>
      <c r="G2024" s="101">
        <v>46258.541666666664</v>
      </c>
      <c r="H2024" s="18" t="s">
        <v>507</v>
      </c>
      <c r="I2024" s="18" t="s">
        <v>508</v>
      </c>
      <c r="J2024" s="18"/>
      <c r="K2024" s="21">
        <f t="shared" si="93"/>
        <v>19.149999999906868</v>
      </c>
      <c r="L2024" s="19">
        <f t="shared" si="94"/>
        <v>303</v>
      </c>
      <c r="M2024" s="18" t="str">
        <f>IF(I2024&lt;&gt;"Sí","",IF(YEAR(F2024)&lt;&gt;2026,"",INDEX({"Enero","Febrero","Marzo","Abril","Mayo","Junio","Julio","Agosto","Septiembre","Octubre","Noviembre","Diciembre"},MONTH(F2024))))</f>
        <v>Agosto</v>
      </c>
      <c r="N2024" s="18" t="str">
        <f t="shared" si="95"/>
        <v>Agosto|303</v>
      </c>
    </row>
    <row r="2025" spans="1:14" ht="14.5" x14ac:dyDescent="0.25">
      <c r="A2025" s="19">
        <v>34</v>
      </c>
      <c r="B2025" s="18" t="s">
        <v>41</v>
      </c>
      <c r="C2025" s="18" t="s">
        <v>95</v>
      </c>
      <c r="D2025" s="18" t="s">
        <v>1807</v>
      </c>
      <c r="E2025" s="18" t="s">
        <v>2577</v>
      </c>
      <c r="F2025" s="101">
        <v>46257.745138888888</v>
      </c>
      <c r="G2025" s="101">
        <v>46258.402777777781</v>
      </c>
      <c r="H2025" s="18" t="s">
        <v>507</v>
      </c>
      <c r="I2025" s="18" t="s">
        <v>508</v>
      </c>
      <c r="J2025" s="18"/>
      <c r="K2025" s="21">
        <f t="shared" si="93"/>
        <v>15.783333333441988</v>
      </c>
      <c r="L2025" s="19">
        <f t="shared" si="94"/>
        <v>304</v>
      </c>
      <c r="M2025" s="18" t="str">
        <f>IF(I2025&lt;&gt;"Sí","",IF(YEAR(F2025)&lt;&gt;2026,"",INDEX({"Enero","Febrero","Marzo","Abril","Mayo","Junio","Julio","Agosto","Septiembre","Octubre","Noviembre","Diciembre"},MONTH(F2025))))</f>
        <v>Agosto</v>
      </c>
      <c r="N2025" s="18" t="str">
        <f t="shared" si="95"/>
        <v>Agosto|304</v>
      </c>
    </row>
    <row r="2026" spans="1:14" ht="14.5" x14ac:dyDescent="0.25">
      <c r="A2026" s="19">
        <v>34</v>
      </c>
      <c r="B2026" s="18" t="s">
        <v>41</v>
      </c>
      <c r="C2026" s="18" t="s">
        <v>95</v>
      </c>
      <c r="D2026" s="18" t="s">
        <v>1807</v>
      </c>
      <c r="E2026" s="18" t="s">
        <v>2578</v>
      </c>
      <c r="F2026" s="101">
        <v>46257.745833333334</v>
      </c>
      <c r="G2026" s="101">
        <v>46258.45416666667</v>
      </c>
      <c r="H2026" s="18" t="s">
        <v>507</v>
      </c>
      <c r="I2026" s="18" t="s">
        <v>508</v>
      </c>
      <c r="J2026" s="18"/>
      <c r="K2026" s="21">
        <f t="shared" si="93"/>
        <v>17.000000000058208</v>
      </c>
      <c r="L2026" s="19">
        <f t="shared" si="94"/>
        <v>305</v>
      </c>
      <c r="M2026" s="18" t="str">
        <f>IF(I2026&lt;&gt;"Sí","",IF(YEAR(F2026)&lt;&gt;2026,"",INDEX({"Enero","Febrero","Marzo","Abril","Mayo","Junio","Julio","Agosto","Septiembre","Octubre","Noviembre","Diciembre"},MONTH(F2026))))</f>
        <v>Agosto</v>
      </c>
      <c r="N2026" s="18" t="str">
        <f t="shared" si="95"/>
        <v>Agosto|305</v>
      </c>
    </row>
    <row r="2027" spans="1:14" ht="14.5" x14ac:dyDescent="0.25">
      <c r="A2027" s="19">
        <v>34</v>
      </c>
      <c r="B2027" s="18" t="s">
        <v>41</v>
      </c>
      <c r="C2027" s="18" t="s">
        <v>95</v>
      </c>
      <c r="D2027" s="18" t="s">
        <v>1807</v>
      </c>
      <c r="E2027" s="18" t="s">
        <v>2579</v>
      </c>
      <c r="F2027" s="101">
        <v>46257.748611111114</v>
      </c>
      <c r="G2027" s="101">
        <v>46258.45416666667</v>
      </c>
      <c r="H2027" s="18" t="s">
        <v>507</v>
      </c>
      <c r="I2027" s="18" t="s">
        <v>508</v>
      </c>
      <c r="J2027" s="18"/>
      <c r="K2027" s="21">
        <f t="shared" si="93"/>
        <v>16.933333333348855</v>
      </c>
      <c r="L2027" s="19">
        <f t="shared" si="94"/>
        <v>306</v>
      </c>
      <c r="M2027" s="18" t="str">
        <f>IF(I2027&lt;&gt;"Sí","",IF(YEAR(F2027)&lt;&gt;2026,"",INDEX({"Enero","Febrero","Marzo","Abril","Mayo","Junio","Julio","Agosto","Septiembre","Octubre","Noviembre","Diciembre"},MONTH(F2027))))</f>
        <v>Agosto</v>
      </c>
      <c r="N2027" s="18" t="str">
        <f t="shared" si="95"/>
        <v>Agosto|306</v>
      </c>
    </row>
    <row r="2028" spans="1:14" ht="14.5" x14ac:dyDescent="0.25">
      <c r="A2028" s="19">
        <v>34</v>
      </c>
      <c r="B2028" s="18" t="s">
        <v>41</v>
      </c>
      <c r="C2028" s="18" t="s">
        <v>95</v>
      </c>
      <c r="D2028" s="18" t="s">
        <v>1807</v>
      </c>
      <c r="E2028" s="18" t="s">
        <v>2580</v>
      </c>
      <c r="F2028" s="101">
        <v>46257.759027777778</v>
      </c>
      <c r="G2028" s="101">
        <v>46258.118055555555</v>
      </c>
      <c r="H2028" s="18" t="s">
        <v>507</v>
      </c>
      <c r="I2028" s="18" t="s">
        <v>508</v>
      </c>
      <c r="J2028" s="18"/>
      <c r="K2028" s="21">
        <f t="shared" si="93"/>
        <v>8.6166666666395031</v>
      </c>
      <c r="L2028" s="19">
        <f t="shared" si="94"/>
        <v>307</v>
      </c>
      <c r="M2028" s="18" t="str">
        <f>IF(I2028&lt;&gt;"Sí","",IF(YEAR(F2028)&lt;&gt;2026,"",INDEX({"Enero","Febrero","Marzo","Abril","Mayo","Junio","Julio","Agosto","Septiembre","Octubre","Noviembre","Diciembre"},MONTH(F2028))))</f>
        <v>Agosto</v>
      </c>
      <c r="N2028" s="18" t="str">
        <f t="shared" si="95"/>
        <v>Agosto|307</v>
      </c>
    </row>
    <row r="2029" spans="1:14" ht="14.5" x14ac:dyDescent="0.25">
      <c r="A2029" s="19">
        <v>34</v>
      </c>
      <c r="B2029" s="18" t="s">
        <v>41</v>
      </c>
      <c r="C2029" s="18" t="s">
        <v>95</v>
      </c>
      <c r="D2029" s="18" t="s">
        <v>1807</v>
      </c>
      <c r="E2029" s="18" t="s">
        <v>2581</v>
      </c>
      <c r="F2029" s="101">
        <v>46257.760416666664</v>
      </c>
      <c r="G2029" s="101">
        <v>46258.45416666667</v>
      </c>
      <c r="H2029" s="18" t="s">
        <v>507</v>
      </c>
      <c r="I2029" s="18" t="s">
        <v>508</v>
      </c>
      <c r="J2029" s="18"/>
      <c r="K2029" s="21">
        <f t="shared" si="93"/>
        <v>16.650000000139698</v>
      </c>
      <c r="L2029" s="19">
        <f t="shared" si="94"/>
        <v>308</v>
      </c>
      <c r="M2029" s="18" t="str">
        <f>IF(I2029&lt;&gt;"Sí","",IF(YEAR(F2029)&lt;&gt;2026,"",INDEX({"Enero","Febrero","Marzo","Abril","Mayo","Junio","Julio","Agosto","Septiembre","Octubre","Noviembre","Diciembre"},MONTH(F2029))))</f>
        <v>Agosto</v>
      </c>
      <c r="N2029" s="18" t="str">
        <f t="shared" si="95"/>
        <v>Agosto|308</v>
      </c>
    </row>
    <row r="2030" spans="1:14" ht="14.5" x14ac:dyDescent="0.25">
      <c r="A2030" s="19">
        <v>34</v>
      </c>
      <c r="B2030" s="18" t="s">
        <v>41</v>
      </c>
      <c r="C2030" s="18" t="s">
        <v>95</v>
      </c>
      <c r="D2030" s="18" t="s">
        <v>1807</v>
      </c>
      <c r="E2030" s="18" t="s">
        <v>2582</v>
      </c>
      <c r="F2030" s="101">
        <v>46257.761111111111</v>
      </c>
      <c r="G2030" s="101">
        <v>46258.262499999997</v>
      </c>
      <c r="H2030" s="18" t="s">
        <v>507</v>
      </c>
      <c r="I2030" s="18" t="s">
        <v>508</v>
      </c>
      <c r="J2030" s="18"/>
      <c r="K2030" s="21">
        <f t="shared" si="93"/>
        <v>12.033333333267365</v>
      </c>
      <c r="L2030" s="19">
        <f t="shared" si="94"/>
        <v>309</v>
      </c>
      <c r="M2030" s="18" t="str">
        <f>IF(I2030&lt;&gt;"Sí","",IF(YEAR(F2030)&lt;&gt;2026,"",INDEX({"Enero","Febrero","Marzo","Abril","Mayo","Junio","Julio","Agosto","Septiembre","Octubre","Noviembre","Diciembre"},MONTH(F2030))))</f>
        <v>Agosto</v>
      </c>
      <c r="N2030" s="18" t="str">
        <f t="shared" si="95"/>
        <v>Agosto|309</v>
      </c>
    </row>
    <row r="2031" spans="1:14" ht="14.5" x14ac:dyDescent="0.25">
      <c r="A2031" s="19">
        <v>34</v>
      </c>
      <c r="B2031" s="18" t="s">
        <v>41</v>
      </c>
      <c r="C2031" s="18" t="s">
        <v>95</v>
      </c>
      <c r="D2031" s="18" t="s">
        <v>1807</v>
      </c>
      <c r="E2031" s="18" t="s">
        <v>2583</v>
      </c>
      <c r="F2031" s="101">
        <v>46257.763888888891</v>
      </c>
      <c r="G2031" s="101">
        <v>46258.45416666667</v>
      </c>
      <c r="H2031" s="18" t="s">
        <v>507</v>
      </c>
      <c r="I2031" s="18" t="s">
        <v>508</v>
      </c>
      <c r="J2031" s="18"/>
      <c r="K2031" s="21">
        <f t="shared" si="93"/>
        <v>16.566666666709352</v>
      </c>
      <c r="L2031" s="19">
        <f t="shared" si="94"/>
        <v>310</v>
      </c>
      <c r="M2031" s="18" t="str">
        <f>IF(I2031&lt;&gt;"Sí","",IF(YEAR(F2031)&lt;&gt;2026,"",INDEX({"Enero","Febrero","Marzo","Abril","Mayo","Junio","Julio","Agosto","Septiembre","Octubre","Noviembre","Diciembre"},MONTH(F2031))))</f>
        <v>Agosto</v>
      </c>
      <c r="N2031" s="18" t="str">
        <f t="shared" si="95"/>
        <v>Agosto|310</v>
      </c>
    </row>
    <row r="2032" spans="1:14" ht="14.5" x14ac:dyDescent="0.25">
      <c r="A2032" s="19">
        <v>34</v>
      </c>
      <c r="B2032" s="18" t="s">
        <v>41</v>
      </c>
      <c r="C2032" s="18" t="s">
        <v>95</v>
      </c>
      <c r="D2032" s="18" t="s">
        <v>1807</v>
      </c>
      <c r="E2032" s="18" t="s">
        <v>2584</v>
      </c>
      <c r="F2032" s="101">
        <v>46257.76666666667</v>
      </c>
      <c r="G2032" s="101">
        <v>46258.45416666667</v>
      </c>
      <c r="H2032" s="18" t="s">
        <v>507</v>
      </c>
      <c r="I2032" s="18" t="s">
        <v>508</v>
      </c>
      <c r="J2032" s="18"/>
      <c r="K2032" s="21">
        <f t="shared" si="93"/>
        <v>16.5</v>
      </c>
      <c r="L2032" s="19">
        <f t="shared" si="94"/>
        <v>312</v>
      </c>
      <c r="M2032" s="18" t="str">
        <f>IF(I2032&lt;&gt;"Sí","",IF(YEAR(F2032)&lt;&gt;2026,"",INDEX({"Enero","Febrero","Marzo","Abril","Mayo","Junio","Julio","Agosto","Septiembre","Octubre","Noviembre","Diciembre"},MONTH(F2032))))</f>
        <v>Agosto</v>
      </c>
      <c r="N2032" s="18" t="str">
        <f t="shared" si="95"/>
        <v>Agosto|312</v>
      </c>
    </row>
    <row r="2033" spans="1:14" ht="14.5" x14ac:dyDescent="0.25">
      <c r="A2033" s="19">
        <v>34</v>
      </c>
      <c r="B2033" s="18" t="s">
        <v>41</v>
      </c>
      <c r="C2033" s="18" t="s">
        <v>95</v>
      </c>
      <c r="D2033" s="18" t="s">
        <v>1807</v>
      </c>
      <c r="E2033" s="18" t="s">
        <v>2585</v>
      </c>
      <c r="F2033" s="101">
        <v>46257.76666666667</v>
      </c>
      <c r="G2033" s="101">
        <v>46258.45416666667</v>
      </c>
      <c r="H2033" s="18" t="s">
        <v>507</v>
      </c>
      <c r="I2033" s="18" t="s">
        <v>508</v>
      </c>
      <c r="J2033" s="18"/>
      <c r="K2033" s="21">
        <f t="shared" si="93"/>
        <v>16.5</v>
      </c>
      <c r="L2033" s="19">
        <f t="shared" si="94"/>
        <v>312</v>
      </c>
      <c r="M2033" s="18" t="str">
        <f>IF(I2033&lt;&gt;"Sí","",IF(YEAR(F2033)&lt;&gt;2026,"",INDEX({"Enero","Febrero","Marzo","Abril","Mayo","Junio","Julio","Agosto","Septiembre","Octubre","Noviembre","Diciembre"},MONTH(F2033))))</f>
        <v>Agosto</v>
      </c>
      <c r="N2033" s="18" t="str">
        <f t="shared" si="95"/>
        <v>Agosto|312</v>
      </c>
    </row>
    <row r="2034" spans="1:14" ht="14.5" x14ac:dyDescent="0.25">
      <c r="A2034" s="19">
        <v>34</v>
      </c>
      <c r="B2034" s="18" t="s">
        <v>41</v>
      </c>
      <c r="C2034" s="18" t="s">
        <v>95</v>
      </c>
      <c r="D2034" s="18" t="s">
        <v>1807</v>
      </c>
      <c r="E2034" s="18" t="s">
        <v>2586</v>
      </c>
      <c r="F2034" s="101">
        <v>46257.770833333336</v>
      </c>
      <c r="G2034" s="101">
        <v>46258.45416666667</v>
      </c>
      <c r="H2034" s="18" t="s">
        <v>507</v>
      </c>
      <c r="I2034" s="18" t="s">
        <v>508</v>
      </c>
      <c r="J2034" s="18"/>
      <c r="K2034" s="21">
        <f t="shared" si="93"/>
        <v>16.400000000023283</v>
      </c>
      <c r="L2034" s="19">
        <f t="shared" si="94"/>
        <v>313</v>
      </c>
      <c r="M2034" s="18" t="str">
        <f>IF(I2034&lt;&gt;"Sí","",IF(YEAR(F2034)&lt;&gt;2026,"",INDEX({"Enero","Febrero","Marzo","Abril","Mayo","Junio","Julio","Agosto","Septiembre","Octubre","Noviembre","Diciembre"},MONTH(F2034))))</f>
        <v>Agosto</v>
      </c>
      <c r="N2034" s="18" t="str">
        <f t="shared" si="95"/>
        <v>Agosto|313</v>
      </c>
    </row>
    <row r="2035" spans="1:14" ht="14.5" x14ac:dyDescent="0.25">
      <c r="A2035" s="19">
        <v>34</v>
      </c>
      <c r="B2035" s="18" t="s">
        <v>41</v>
      </c>
      <c r="C2035" s="18" t="s">
        <v>95</v>
      </c>
      <c r="D2035" s="18" t="s">
        <v>1807</v>
      </c>
      <c r="E2035" s="18" t="s">
        <v>2587</v>
      </c>
      <c r="F2035" s="101">
        <v>46257.772222222222</v>
      </c>
      <c r="G2035" s="101">
        <v>46258.45416666667</v>
      </c>
      <c r="H2035" s="18" t="s">
        <v>507</v>
      </c>
      <c r="I2035" s="18" t="s">
        <v>508</v>
      </c>
      <c r="J2035" s="18"/>
      <c r="K2035" s="21">
        <f t="shared" si="93"/>
        <v>16.366666666755918</v>
      </c>
      <c r="L2035" s="19">
        <f t="shared" si="94"/>
        <v>314</v>
      </c>
      <c r="M2035" s="18" t="str">
        <f>IF(I2035&lt;&gt;"Sí","",IF(YEAR(F2035)&lt;&gt;2026,"",INDEX({"Enero","Febrero","Marzo","Abril","Mayo","Junio","Julio","Agosto","Septiembre","Octubre","Noviembre","Diciembre"},MONTH(F2035))))</f>
        <v>Agosto</v>
      </c>
      <c r="N2035" s="18" t="str">
        <f t="shared" si="95"/>
        <v>Agosto|314</v>
      </c>
    </row>
    <row r="2036" spans="1:14" ht="14.5" x14ac:dyDescent="0.25">
      <c r="A2036" s="19">
        <v>34</v>
      </c>
      <c r="B2036" s="18" t="s">
        <v>41</v>
      </c>
      <c r="C2036" s="18" t="s">
        <v>95</v>
      </c>
      <c r="D2036" s="18" t="s">
        <v>1807</v>
      </c>
      <c r="E2036" s="18" t="s">
        <v>2588</v>
      </c>
      <c r="F2036" s="101">
        <v>46257.773611111108</v>
      </c>
      <c r="G2036" s="101">
        <v>46258.45416666667</v>
      </c>
      <c r="H2036" s="18" t="s">
        <v>507</v>
      </c>
      <c r="I2036" s="18" t="s">
        <v>508</v>
      </c>
      <c r="J2036" s="18"/>
      <c r="K2036" s="21">
        <f t="shared" si="93"/>
        <v>16.333333333488554</v>
      </c>
      <c r="L2036" s="19">
        <f t="shared" si="94"/>
        <v>315</v>
      </c>
      <c r="M2036" s="18" t="str">
        <f>IF(I2036&lt;&gt;"Sí","",IF(YEAR(F2036)&lt;&gt;2026,"",INDEX({"Enero","Febrero","Marzo","Abril","Mayo","Junio","Julio","Agosto","Septiembre","Octubre","Noviembre","Diciembre"},MONTH(F2036))))</f>
        <v>Agosto</v>
      </c>
      <c r="N2036" s="18" t="str">
        <f t="shared" si="95"/>
        <v>Agosto|315</v>
      </c>
    </row>
    <row r="2037" spans="1:14" ht="14.5" x14ac:dyDescent="0.25">
      <c r="A2037" s="19">
        <v>34</v>
      </c>
      <c r="B2037" s="18" t="s">
        <v>41</v>
      </c>
      <c r="C2037" s="18" t="s">
        <v>95</v>
      </c>
      <c r="D2037" s="18" t="s">
        <v>1807</v>
      </c>
      <c r="E2037" s="18" t="s">
        <v>2589</v>
      </c>
      <c r="F2037" s="101">
        <v>46257.774305555555</v>
      </c>
      <c r="G2037" s="101">
        <v>46258.262499999997</v>
      </c>
      <c r="H2037" s="18" t="s">
        <v>507</v>
      </c>
      <c r="I2037" s="18" t="s">
        <v>508</v>
      </c>
      <c r="J2037" s="18"/>
      <c r="K2037" s="21">
        <f t="shared" si="93"/>
        <v>11.71666666661622</v>
      </c>
      <c r="L2037" s="19">
        <f t="shared" si="94"/>
        <v>316</v>
      </c>
      <c r="M2037" s="18" t="str">
        <f>IF(I2037&lt;&gt;"Sí","",IF(YEAR(F2037)&lt;&gt;2026,"",INDEX({"Enero","Febrero","Marzo","Abril","Mayo","Junio","Julio","Agosto","Septiembre","Octubre","Noviembre","Diciembre"},MONTH(F2037))))</f>
        <v>Agosto</v>
      </c>
      <c r="N2037" s="18" t="str">
        <f t="shared" si="95"/>
        <v>Agosto|316</v>
      </c>
    </row>
    <row r="2038" spans="1:14" ht="14.5" x14ac:dyDescent="0.25">
      <c r="A2038" s="19">
        <v>34</v>
      </c>
      <c r="B2038" s="18" t="s">
        <v>41</v>
      </c>
      <c r="C2038" s="18" t="s">
        <v>95</v>
      </c>
      <c r="D2038" s="18" t="s">
        <v>1807</v>
      </c>
      <c r="E2038" s="18" t="s">
        <v>2590</v>
      </c>
      <c r="F2038" s="101">
        <v>46257.78402777778</v>
      </c>
      <c r="G2038" s="101">
        <v>46258.262499999997</v>
      </c>
      <c r="H2038" s="18" t="s">
        <v>507</v>
      </c>
      <c r="I2038" s="18" t="s">
        <v>508</v>
      </c>
      <c r="J2038" s="18"/>
      <c r="K2038" s="21">
        <f t="shared" si="93"/>
        <v>11.483333333220799</v>
      </c>
      <c r="L2038" s="19">
        <f t="shared" si="94"/>
        <v>317</v>
      </c>
      <c r="M2038" s="18" t="str">
        <f>IF(I2038&lt;&gt;"Sí","",IF(YEAR(F2038)&lt;&gt;2026,"",INDEX({"Enero","Febrero","Marzo","Abril","Mayo","Junio","Julio","Agosto","Septiembre","Octubre","Noviembre","Diciembre"},MONTH(F2038))))</f>
        <v>Agosto</v>
      </c>
      <c r="N2038" s="18" t="str">
        <f t="shared" si="95"/>
        <v>Agosto|317</v>
      </c>
    </row>
    <row r="2039" spans="1:14" ht="14.5" x14ac:dyDescent="0.25">
      <c r="A2039" s="19">
        <v>34</v>
      </c>
      <c r="B2039" s="18" t="s">
        <v>41</v>
      </c>
      <c r="C2039" s="18" t="s">
        <v>95</v>
      </c>
      <c r="D2039" s="18" t="s">
        <v>1807</v>
      </c>
      <c r="E2039" s="18" t="s">
        <v>2591</v>
      </c>
      <c r="F2039" s="101">
        <v>46257.785416666666</v>
      </c>
      <c r="G2039" s="101">
        <v>46258.262499999997</v>
      </c>
      <c r="H2039" s="18" t="s">
        <v>507</v>
      </c>
      <c r="I2039" s="18" t="s">
        <v>508</v>
      </c>
      <c r="J2039" s="18"/>
      <c r="K2039" s="21">
        <f t="shared" si="93"/>
        <v>11.449999999953434</v>
      </c>
      <c r="L2039" s="19">
        <f t="shared" si="94"/>
        <v>318</v>
      </c>
      <c r="M2039" s="18" t="str">
        <f>IF(I2039&lt;&gt;"Sí","",IF(YEAR(F2039)&lt;&gt;2026,"",INDEX({"Enero","Febrero","Marzo","Abril","Mayo","Junio","Julio","Agosto","Septiembre","Octubre","Noviembre","Diciembre"},MONTH(F2039))))</f>
        <v>Agosto</v>
      </c>
      <c r="N2039" s="18" t="str">
        <f t="shared" si="95"/>
        <v>Agosto|318</v>
      </c>
    </row>
    <row r="2040" spans="1:14" ht="14.5" x14ac:dyDescent="0.25">
      <c r="A2040" s="19">
        <v>34</v>
      </c>
      <c r="B2040" s="18" t="s">
        <v>41</v>
      </c>
      <c r="C2040" s="18" t="s">
        <v>95</v>
      </c>
      <c r="D2040" s="18" t="s">
        <v>1807</v>
      </c>
      <c r="E2040" s="18" t="s">
        <v>2592</v>
      </c>
      <c r="F2040" s="101">
        <v>46257.796527777777</v>
      </c>
      <c r="G2040" s="101">
        <v>46258.262499999997</v>
      </c>
      <c r="H2040" s="18" t="s">
        <v>507</v>
      </c>
      <c r="I2040" s="18" t="s">
        <v>508</v>
      </c>
      <c r="J2040" s="18"/>
      <c r="K2040" s="21">
        <f t="shared" si="93"/>
        <v>11.183333333290648</v>
      </c>
      <c r="L2040" s="19">
        <f t="shared" si="94"/>
        <v>319</v>
      </c>
      <c r="M2040" s="18" t="str">
        <f>IF(I2040&lt;&gt;"Sí","",IF(YEAR(F2040)&lt;&gt;2026,"",INDEX({"Enero","Febrero","Marzo","Abril","Mayo","Junio","Julio","Agosto","Septiembre","Octubre","Noviembre","Diciembre"},MONTH(F2040))))</f>
        <v>Agosto</v>
      </c>
      <c r="N2040" s="18" t="str">
        <f t="shared" si="95"/>
        <v>Agosto|319</v>
      </c>
    </row>
    <row r="2041" spans="1:14" ht="14.5" x14ac:dyDescent="0.25">
      <c r="A2041" s="19">
        <v>34</v>
      </c>
      <c r="B2041" s="18" t="s">
        <v>41</v>
      </c>
      <c r="C2041" s="18" t="s">
        <v>95</v>
      </c>
      <c r="D2041" s="18" t="s">
        <v>1807</v>
      </c>
      <c r="E2041" s="18" t="s">
        <v>2593</v>
      </c>
      <c r="F2041" s="101">
        <v>46257.797222222223</v>
      </c>
      <c r="G2041" s="101">
        <v>46258.262499999997</v>
      </c>
      <c r="H2041" s="18" t="s">
        <v>507</v>
      </c>
      <c r="I2041" s="18" t="s">
        <v>508</v>
      </c>
      <c r="J2041" s="18"/>
      <c r="K2041" s="21">
        <f t="shared" si="93"/>
        <v>11.166666666569654</v>
      </c>
      <c r="L2041" s="19">
        <f t="shared" si="94"/>
        <v>320</v>
      </c>
      <c r="M2041" s="18" t="str">
        <f>IF(I2041&lt;&gt;"Sí","",IF(YEAR(F2041)&lt;&gt;2026,"",INDEX({"Enero","Febrero","Marzo","Abril","Mayo","Junio","Julio","Agosto","Septiembre","Octubre","Noviembre","Diciembre"},MONTH(F2041))))</f>
        <v>Agosto</v>
      </c>
      <c r="N2041" s="18" t="str">
        <f t="shared" si="95"/>
        <v>Agosto|320</v>
      </c>
    </row>
    <row r="2042" spans="1:14" ht="14.5" x14ac:dyDescent="0.25">
      <c r="A2042" s="19">
        <v>34</v>
      </c>
      <c r="B2042" s="18" t="s">
        <v>41</v>
      </c>
      <c r="C2042" s="18" t="s">
        <v>95</v>
      </c>
      <c r="D2042" s="18" t="s">
        <v>1807</v>
      </c>
      <c r="E2042" s="18" t="s">
        <v>2594</v>
      </c>
      <c r="F2042" s="101">
        <v>46257.79791666667</v>
      </c>
      <c r="G2042" s="101">
        <v>46258.262499999997</v>
      </c>
      <c r="H2042" s="18" t="s">
        <v>507</v>
      </c>
      <c r="I2042" s="18" t="s">
        <v>508</v>
      </c>
      <c r="J2042" s="18"/>
      <c r="K2042" s="21">
        <f t="shared" si="93"/>
        <v>11.14999999984866</v>
      </c>
      <c r="L2042" s="19">
        <f t="shared" si="94"/>
        <v>321</v>
      </c>
      <c r="M2042" s="18" t="str">
        <f>IF(I2042&lt;&gt;"Sí","",IF(YEAR(F2042)&lt;&gt;2026,"",INDEX({"Enero","Febrero","Marzo","Abril","Mayo","Junio","Julio","Agosto","Septiembre","Octubre","Noviembre","Diciembre"},MONTH(F2042))))</f>
        <v>Agosto</v>
      </c>
      <c r="N2042" s="18" t="str">
        <f t="shared" si="95"/>
        <v>Agosto|321</v>
      </c>
    </row>
    <row r="2043" spans="1:14" ht="14.5" x14ac:dyDescent="0.25">
      <c r="A2043" s="19">
        <v>34</v>
      </c>
      <c r="B2043" s="18" t="s">
        <v>41</v>
      </c>
      <c r="C2043" s="18" t="s">
        <v>95</v>
      </c>
      <c r="D2043" s="18" t="s">
        <v>1807</v>
      </c>
      <c r="E2043" s="18" t="s">
        <v>2595</v>
      </c>
      <c r="F2043" s="101">
        <v>46257.799305555556</v>
      </c>
      <c r="G2043" s="101">
        <v>46258.070833333331</v>
      </c>
      <c r="H2043" s="18" t="s">
        <v>507</v>
      </c>
      <c r="I2043" s="18" t="s">
        <v>508</v>
      </c>
      <c r="J2043" s="18"/>
      <c r="K2043" s="21">
        <f t="shared" si="93"/>
        <v>6.5166666666045785</v>
      </c>
      <c r="L2043" s="19">
        <f t="shared" si="94"/>
        <v>322</v>
      </c>
      <c r="M2043" s="18" t="str">
        <f>IF(I2043&lt;&gt;"Sí","",IF(YEAR(F2043)&lt;&gt;2026,"",INDEX({"Enero","Febrero","Marzo","Abril","Mayo","Junio","Julio","Agosto","Septiembre","Octubre","Noviembre","Diciembre"},MONTH(F2043))))</f>
        <v>Agosto</v>
      </c>
      <c r="N2043" s="18" t="str">
        <f t="shared" si="95"/>
        <v>Agosto|322</v>
      </c>
    </row>
    <row r="2044" spans="1:14" ht="14.5" x14ac:dyDescent="0.25">
      <c r="A2044" s="19">
        <v>34</v>
      </c>
      <c r="B2044" s="18" t="s">
        <v>41</v>
      </c>
      <c r="C2044" s="18" t="s">
        <v>95</v>
      </c>
      <c r="D2044" s="18" t="s">
        <v>1807</v>
      </c>
      <c r="E2044" s="18" t="s">
        <v>2596</v>
      </c>
      <c r="F2044" s="101">
        <v>46257.802083333336</v>
      </c>
      <c r="G2044" s="101">
        <v>46258.070833333331</v>
      </c>
      <c r="H2044" s="18" t="s">
        <v>507</v>
      </c>
      <c r="I2044" s="18" t="s">
        <v>508</v>
      </c>
      <c r="J2044" s="18"/>
      <c r="K2044" s="21">
        <f t="shared" si="93"/>
        <v>6.4499999998952262</v>
      </c>
      <c r="L2044" s="19">
        <f t="shared" si="94"/>
        <v>323</v>
      </c>
      <c r="M2044" s="18" t="str">
        <f>IF(I2044&lt;&gt;"Sí","",IF(YEAR(F2044)&lt;&gt;2026,"",INDEX({"Enero","Febrero","Marzo","Abril","Mayo","Junio","Julio","Agosto","Septiembre","Octubre","Noviembre","Diciembre"},MONTH(F2044))))</f>
        <v>Agosto</v>
      </c>
      <c r="N2044" s="18" t="str">
        <f t="shared" si="95"/>
        <v>Agosto|323</v>
      </c>
    </row>
    <row r="2045" spans="1:14" ht="14.5" x14ac:dyDescent="0.25">
      <c r="A2045" s="19">
        <v>34</v>
      </c>
      <c r="B2045" s="18" t="s">
        <v>41</v>
      </c>
      <c r="C2045" s="18" t="s">
        <v>95</v>
      </c>
      <c r="D2045" s="18" t="s">
        <v>1807</v>
      </c>
      <c r="E2045" s="18" t="s">
        <v>2597</v>
      </c>
      <c r="F2045" s="101">
        <v>46257.802777777775</v>
      </c>
      <c r="G2045" s="101">
        <v>46258.070833333331</v>
      </c>
      <c r="H2045" s="18" t="s">
        <v>507</v>
      </c>
      <c r="I2045" s="18" t="s">
        <v>508</v>
      </c>
      <c r="J2045" s="18"/>
      <c r="K2045" s="21">
        <f t="shared" si="93"/>
        <v>6.4333333333488554</v>
      </c>
      <c r="L2045" s="19">
        <f t="shared" si="94"/>
        <v>324</v>
      </c>
      <c r="M2045" s="18" t="str">
        <f>IF(I2045&lt;&gt;"Sí","",IF(YEAR(F2045)&lt;&gt;2026,"",INDEX({"Enero","Febrero","Marzo","Abril","Mayo","Junio","Julio","Agosto","Septiembre","Octubre","Noviembre","Diciembre"},MONTH(F2045))))</f>
        <v>Agosto</v>
      </c>
      <c r="N2045" s="18" t="str">
        <f t="shared" si="95"/>
        <v>Agosto|324</v>
      </c>
    </row>
    <row r="2046" spans="1:14" ht="14.5" x14ac:dyDescent="0.25">
      <c r="A2046" s="19">
        <v>34</v>
      </c>
      <c r="B2046" s="18" t="s">
        <v>41</v>
      </c>
      <c r="C2046" s="18" t="s">
        <v>95</v>
      </c>
      <c r="D2046" s="18" t="s">
        <v>1807</v>
      </c>
      <c r="E2046" s="18" t="s">
        <v>2598</v>
      </c>
      <c r="F2046" s="101">
        <v>46257.820138888892</v>
      </c>
      <c r="G2046" s="101">
        <v>46258.070833333331</v>
      </c>
      <c r="H2046" s="18" t="s">
        <v>507</v>
      </c>
      <c r="I2046" s="18" t="s">
        <v>508</v>
      </c>
      <c r="J2046" s="18"/>
      <c r="K2046" s="21">
        <f t="shared" si="93"/>
        <v>6.0166666665463708</v>
      </c>
      <c r="L2046" s="19">
        <f t="shared" si="94"/>
        <v>325</v>
      </c>
      <c r="M2046" s="18" t="str">
        <f>IF(I2046&lt;&gt;"Sí","",IF(YEAR(F2046)&lt;&gt;2026,"",INDEX({"Enero","Febrero","Marzo","Abril","Mayo","Junio","Julio","Agosto","Septiembre","Octubre","Noviembre","Diciembre"},MONTH(F2046))))</f>
        <v>Agosto</v>
      </c>
      <c r="N2046" s="18" t="str">
        <f t="shared" si="95"/>
        <v>Agosto|325</v>
      </c>
    </row>
    <row r="2047" spans="1:14" ht="14.5" x14ac:dyDescent="0.25">
      <c r="A2047" s="19">
        <v>34</v>
      </c>
      <c r="B2047" s="18" t="s">
        <v>41</v>
      </c>
      <c r="C2047" s="18" t="s">
        <v>95</v>
      </c>
      <c r="D2047" s="18" t="s">
        <v>1807</v>
      </c>
      <c r="E2047" s="18" t="s">
        <v>2599</v>
      </c>
      <c r="F2047" s="101">
        <v>46257.822222222225</v>
      </c>
      <c r="G2047" s="101">
        <v>46258.070833333331</v>
      </c>
      <c r="H2047" s="18" t="s">
        <v>507</v>
      </c>
      <c r="I2047" s="18" t="s">
        <v>508</v>
      </c>
      <c r="J2047" s="18"/>
      <c r="K2047" s="21">
        <f t="shared" si="93"/>
        <v>5.9666666665580124</v>
      </c>
      <c r="L2047" s="19">
        <f t="shared" si="94"/>
        <v>326</v>
      </c>
      <c r="M2047" s="18" t="str">
        <f>IF(I2047&lt;&gt;"Sí","",IF(YEAR(F2047)&lt;&gt;2026,"",INDEX({"Enero","Febrero","Marzo","Abril","Mayo","Junio","Julio","Agosto","Septiembre","Octubre","Noviembre","Diciembre"},MONTH(F2047))))</f>
        <v>Agosto</v>
      </c>
      <c r="N2047" s="18" t="str">
        <f t="shared" si="95"/>
        <v>Agosto|326</v>
      </c>
    </row>
    <row r="2048" spans="1:14" ht="14.5" x14ac:dyDescent="0.25">
      <c r="A2048" s="19">
        <v>34</v>
      </c>
      <c r="B2048" s="18" t="s">
        <v>41</v>
      </c>
      <c r="C2048" s="18" t="s">
        <v>95</v>
      </c>
      <c r="D2048" s="18" t="s">
        <v>1807</v>
      </c>
      <c r="E2048" s="18" t="s">
        <v>2600</v>
      </c>
      <c r="F2048" s="101">
        <v>46257.822916666664</v>
      </c>
      <c r="G2048" s="101">
        <v>46258.070833333331</v>
      </c>
      <c r="H2048" s="18" t="s">
        <v>507</v>
      </c>
      <c r="I2048" s="18" t="s">
        <v>508</v>
      </c>
      <c r="J2048" s="18"/>
      <c r="K2048" s="21">
        <f t="shared" si="93"/>
        <v>5.9500000000116415</v>
      </c>
      <c r="L2048" s="19">
        <f t="shared" si="94"/>
        <v>327</v>
      </c>
      <c r="M2048" s="18" t="str">
        <f>IF(I2048&lt;&gt;"Sí","",IF(YEAR(F2048)&lt;&gt;2026,"",INDEX({"Enero","Febrero","Marzo","Abril","Mayo","Junio","Julio","Agosto","Septiembre","Octubre","Noviembre","Diciembre"},MONTH(F2048))))</f>
        <v>Agosto</v>
      </c>
      <c r="N2048" s="18" t="str">
        <f t="shared" si="95"/>
        <v>Agosto|327</v>
      </c>
    </row>
    <row r="2049" spans="1:14" ht="14.5" x14ac:dyDescent="0.25">
      <c r="A2049" s="19">
        <v>34</v>
      </c>
      <c r="B2049" s="18" t="s">
        <v>41</v>
      </c>
      <c r="C2049" s="18" t="s">
        <v>95</v>
      </c>
      <c r="D2049" s="18" t="s">
        <v>1807</v>
      </c>
      <c r="E2049" s="18" t="s">
        <v>2218</v>
      </c>
      <c r="F2049" s="101">
        <v>46257.823611111111</v>
      </c>
      <c r="G2049" s="101">
        <v>46258.070833333331</v>
      </c>
      <c r="H2049" s="18" t="s">
        <v>507</v>
      </c>
      <c r="I2049" s="18" t="s">
        <v>508</v>
      </c>
      <c r="J2049" s="18"/>
      <c r="K2049" s="21">
        <f t="shared" si="93"/>
        <v>5.9333333332906477</v>
      </c>
      <c r="L2049" s="19">
        <f t="shared" si="94"/>
        <v>328</v>
      </c>
      <c r="M2049" s="18" t="str">
        <f>IF(I2049&lt;&gt;"Sí","",IF(YEAR(F2049)&lt;&gt;2026,"",INDEX({"Enero","Febrero","Marzo","Abril","Mayo","Junio","Julio","Agosto","Septiembre","Octubre","Noviembre","Diciembre"},MONTH(F2049))))</f>
        <v>Agosto</v>
      </c>
      <c r="N2049" s="18" t="str">
        <f t="shared" si="95"/>
        <v>Agosto|328</v>
      </c>
    </row>
    <row r="2050" spans="1:14" ht="14.5" x14ac:dyDescent="0.25">
      <c r="A2050" s="19">
        <v>34</v>
      </c>
      <c r="B2050" s="18" t="s">
        <v>41</v>
      </c>
      <c r="C2050" s="18" t="s">
        <v>95</v>
      </c>
      <c r="D2050" s="18" t="s">
        <v>1807</v>
      </c>
      <c r="E2050" s="18" t="s">
        <v>2601</v>
      </c>
      <c r="F2050" s="101">
        <v>46257.824305555558</v>
      </c>
      <c r="G2050" s="101">
        <v>46258.070833333331</v>
      </c>
      <c r="H2050" s="18" t="s">
        <v>507</v>
      </c>
      <c r="I2050" s="18" t="s">
        <v>508</v>
      </c>
      <c r="J2050" s="18"/>
      <c r="K2050" s="21">
        <f t="shared" si="93"/>
        <v>5.9166666665696539</v>
      </c>
      <c r="L2050" s="19">
        <f t="shared" si="94"/>
        <v>329</v>
      </c>
      <c r="M2050" s="18" t="str">
        <f>IF(I2050&lt;&gt;"Sí","",IF(YEAR(F2050)&lt;&gt;2026,"",INDEX({"Enero","Febrero","Marzo","Abril","Mayo","Junio","Julio","Agosto","Septiembre","Octubre","Noviembre","Diciembre"},MONTH(F2050))))</f>
        <v>Agosto</v>
      </c>
      <c r="N2050" s="18" t="str">
        <f t="shared" si="95"/>
        <v>Agosto|329</v>
      </c>
    </row>
    <row r="2051" spans="1:14" ht="14.5" x14ac:dyDescent="0.25">
      <c r="A2051" s="19">
        <v>34</v>
      </c>
      <c r="B2051" s="18" t="s">
        <v>41</v>
      </c>
      <c r="C2051" s="18" t="s">
        <v>95</v>
      </c>
      <c r="D2051" s="18" t="s">
        <v>1807</v>
      </c>
      <c r="E2051" s="18" t="s">
        <v>2602</v>
      </c>
      <c r="F2051" s="101">
        <v>46257.824999999997</v>
      </c>
      <c r="G2051" s="101">
        <v>46258.262499999997</v>
      </c>
      <c r="H2051" s="18" t="s">
        <v>507</v>
      </c>
      <c r="I2051" s="18" t="s">
        <v>508</v>
      </c>
      <c r="J2051" s="18"/>
      <c r="K2051" s="21">
        <f t="shared" si="93"/>
        <v>10.5</v>
      </c>
      <c r="L2051" s="19">
        <f t="shared" si="94"/>
        <v>330</v>
      </c>
      <c r="M2051" s="18" t="str">
        <f>IF(I2051&lt;&gt;"Sí","",IF(YEAR(F2051)&lt;&gt;2026,"",INDEX({"Enero","Febrero","Marzo","Abril","Mayo","Junio","Julio","Agosto","Septiembre","Octubre","Noviembre","Diciembre"},MONTH(F2051))))</f>
        <v>Agosto</v>
      </c>
      <c r="N2051" s="18" t="str">
        <f t="shared" si="95"/>
        <v>Agosto|330</v>
      </c>
    </row>
    <row r="2052" spans="1:14" ht="14.5" x14ac:dyDescent="0.25">
      <c r="A2052" s="19">
        <v>34</v>
      </c>
      <c r="B2052" s="18" t="s">
        <v>41</v>
      </c>
      <c r="C2052" s="18" t="s">
        <v>95</v>
      </c>
      <c r="D2052" s="18" t="s">
        <v>1807</v>
      </c>
      <c r="E2052" s="18" t="s">
        <v>2603</v>
      </c>
      <c r="F2052" s="101">
        <v>46257.826388888891</v>
      </c>
      <c r="G2052" s="101">
        <v>46258.262499999997</v>
      </c>
      <c r="H2052" s="18" t="s">
        <v>507</v>
      </c>
      <c r="I2052" s="18" t="s">
        <v>508</v>
      </c>
      <c r="J2052" s="18"/>
      <c r="K2052" s="21">
        <f t="shared" si="93"/>
        <v>10.466666666558012</v>
      </c>
      <c r="L2052" s="19">
        <f t="shared" si="94"/>
        <v>331</v>
      </c>
      <c r="M2052" s="18" t="str">
        <f>IF(I2052&lt;&gt;"Sí","",IF(YEAR(F2052)&lt;&gt;2026,"",INDEX({"Enero","Febrero","Marzo","Abril","Mayo","Junio","Julio","Agosto","Septiembre","Octubre","Noviembre","Diciembre"},MONTH(F2052))))</f>
        <v>Agosto</v>
      </c>
      <c r="N2052" s="18" t="str">
        <f t="shared" si="95"/>
        <v>Agosto|331</v>
      </c>
    </row>
    <row r="2053" spans="1:14" ht="14.5" x14ac:dyDescent="0.25">
      <c r="A2053" s="19">
        <v>34</v>
      </c>
      <c r="B2053" s="18" t="s">
        <v>41</v>
      </c>
      <c r="C2053" s="18" t="s">
        <v>95</v>
      </c>
      <c r="D2053" s="18" t="s">
        <v>1807</v>
      </c>
      <c r="E2053" s="18" t="s">
        <v>2604</v>
      </c>
      <c r="F2053" s="101">
        <v>46257.827777777777</v>
      </c>
      <c r="G2053" s="101">
        <v>46258.262499999997</v>
      </c>
      <c r="H2053" s="18" t="s">
        <v>507</v>
      </c>
      <c r="I2053" s="18" t="s">
        <v>508</v>
      </c>
      <c r="J2053" s="18"/>
      <c r="K2053" s="21">
        <f t="shared" si="93"/>
        <v>10.433333333290648</v>
      </c>
      <c r="L2053" s="19">
        <f t="shared" si="94"/>
        <v>332</v>
      </c>
      <c r="M2053" s="18" t="str">
        <f>IF(I2053&lt;&gt;"Sí","",IF(YEAR(F2053)&lt;&gt;2026,"",INDEX({"Enero","Febrero","Marzo","Abril","Mayo","Junio","Julio","Agosto","Septiembre","Octubre","Noviembre","Diciembre"},MONTH(F2053))))</f>
        <v>Agosto</v>
      </c>
      <c r="N2053" s="18" t="str">
        <f t="shared" si="95"/>
        <v>Agosto|332</v>
      </c>
    </row>
    <row r="2054" spans="1:14" ht="14.5" x14ac:dyDescent="0.25">
      <c r="A2054" s="19">
        <v>34</v>
      </c>
      <c r="B2054" s="18" t="s">
        <v>41</v>
      </c>
      <c r="C2054" s="18" t="s">
        <v>95</v>
      </c>
      <c r="D2054" s="18" t="s">
        <v>1807</v>
      </c>
      <c r="E2054" s="18" t="s">
        <v>2219</v>
      </c>
      <c r="F2054" s="101">
        <v>46257.834722222222</v>
      </c>
      <c r="G2054" s="101">
        <v>46258.463194444441</v>
      </c>
      <c r="H2054" s="18" t="s">
        <v>507</v>
      </c>
      <c r="I2054" s="18" t="s">
        <v>508</v>
      </c>
      <c r="J2054" s="18"/>
      <c r="K2054" s="21">
        <f t="shared" si="93"/>
        <v>15.083333333255723</v>
      </c>
      <c r="L2054" s="19">
        <f t="shared" si="94"/>
        <v>333</v>
      </c>
      <c r="M2054" s="18" t="str">
        <f>IF(I2054&lt;&gt;"Sí","",IF(YEAR(F2054)&lt;&gt;2026,"",INDEX({"Enero","Febrero","Marzo","Abril","Mayo","Junio","Julio","Agosto","Septiembre","Octubre","Noviembre","Diciembre"},MONTH(F2054))))</f>
        <v>Agosto</v>
      </c>
      <c r="N2054" s="18" t="str">
        <f t="shared" si="95"/>
        <v>Agosto|333</v>
      </c>
    </row>
    <row r="2055" spans="1:14" ht="14.5" x14ac:dyDescent="0.25">
      <c r="A2055" s="19">
        <v>34</v>
      </c>
      <c r="B2055" s="18" t="s">
        <v>41</v>
      </c>
      <c r="C2055" s="18" t="s">
        <v>95</v>
      </c>
      <c r="D2055" s="18" t="s">
        <v>1807</v>
      </c>
      <c r="E2055" s="18" t="s">
        <v>2605</v>
      </c>
      <c r="F2055" s="101">
        <v>46257.835416666669</v>
      </c>
      <c r="G2055" s="101">
        <v>46258.461111111108</v>
      </c>
      <c r="H2055" s="18" t="s">
        <v>507</v>
      </c>
      <c r="I2055" s="18" t="s">
        <v>508</v>
      </c>
      <c r="J2055" s="18"/>
      <c r="K2055" s="21">
        <f t="shared" ref="K2055:K2118" si="96">IF(I2055="Sí",(G2055-F2055)*24,"")</f>
        <v>15.016666666546371</v>
      </c>
      <c r="L2055" s="19">
        <f t="shared" ref="L2055:L2118" si="97">IF(I2055="Sí",COUNTIFS($F$7:$F$4000,"&lt;="&amp;F2055,$G$7:$G$4000,"&gt;"&amp;F2055,$I$7:$I$4000,"Sí"),"")</f>
        <v>334</v>
      </c>
      <c r="M2055" s="18" t="str">
        <f>IF(I2055&lt;&gt;"Sí","",IF(YEAR(F2055)&lt;&gt;2026,"",INDEX({"Enero","Febrero","Marzo","Abril","Mayo","Junio","Julio","Agosto","Septiembre","Octubre","Noviembre","Diciembre"},MONTH(F2055))))</f>
        <v>Agosto</v>
      </c>
      <c r="N2055" s="18" t="str">
        <f t="shared" ref="N2055:N2118" si="98">IF(M2055="","",M2055&amp;"|"&amp;L2055)</f>
        <v>Agosto|334</v>
      </c>
    </row>
    <row r="2056" spans="1:14" ht="14.5" x14ac:dyDescent="0.25">
      <c r="A2056" s="19">
        <v>34</v>
      </c>
      <c r="B2056" s="18" t="s">
        <v>41</v>
      </c>
      <c r="C2056" s="18" t="s">
        <v>95</v>
      </c>
      <c r="D2056" s="18" t="s">
        <v>1807</v>
      </c>
      <c r="E2056" s="18" t="s">
        <v>2606</v>
      </c>
      <c r="F2056" s="101">
        <v>46257.836111111108</v>
      </c>
      <c r="G2056" s="101">
        <v>46258.459027777775</v>
      </c>
      <c r="H2056" s="18" t="s">
        <v>507</v>
      </c>
      <c r="I2056" s="18" t="s">
        <v>508</v>
      </c>
      <c r="J2056" s="18"/>
      <c r="K2056" s="21">
        <f t="shared" si="96"/>
        <v>14.950000000011642</v>
      </c>
      <c r="L2056" s="19">
        <f t="shared" si="97"/>
        <v>335</v>
      </c>
      <c r="M2056" s="18" t="str">
        <f>IF(I2056&lt;&gt;"Sí","",IF(YEAR(F2056)&lt;&gt;2026,"",INDEX({"Enero","Febrero","Marzo","Abril","Mayo","Junio","Julio","Agosto","Septiembre","Octubre","Noviembre","Diciembre"},MONTH(F2056))))</f>
        <v>Agosto</v>
      </c>
      <c r="N2056" s="18" t="str">
        <f t="shared" si="98"/>
        <v>Agosto|335</v>
      </c>
    </row>
    <row r="2057" spans="1:14" ht="14.5" x14ac:dyDescent="0.25">
      <c r="A2057" s="19">
        <v>34</v>
      </c>
      <c r="B2057" s="18" t="s">
        <v>41</v>
      </c>
      <c r="C2057" s="18" t="s">
        <v>95</v>
      </c>
      <c r="D2057" s="18" t="s">
        <v>1807</v>
      </c>
      <c r="E2057" s="18" t="s">
        <v>2607</v>
      </c>
      <c r="F2057" s="101">
        <v>46257.837500000001</v>
      </c>
      <c r="G2057" s="101">
        <v>46258.555555555555</v>
      </c>
      <c r="H2057" s="18" t="s">
        <v>507</v>
      </c>
      <c r="I2057" s="18" t="s">
        <v>508</v>
      </c>
      <c r="J2057" s="18"/>
      <c r="K2057" s="21">
        <f t="shared" si="96"/>
        <v>17.233333333279006</v>
      </c>
      <c r="L2057" s="19">
        <f t="shared" si="97"/>
        <v>336</v>
      </c>
      <c r="M2057" s="18" t="str">
        <f>IF(I2057&lt;&gt;"Sí","",IF(YEAR(F2057)&lt;&gt;2026,"",INDEX({"Enero","Febrero","Marzo","Abril","Mayo","Junio","Julio","Agosto","Septiembre","Octubre","Noviembre","Diciembre"},MONTH(F2057))))</f>
        <v>Agosto</v>
      </c>
      <c r="N2057" s="18" t="str">
        <f t="shared" si="98"/>
        <v>Agosto|336</v>
      </c>
    </row>
    <row r="2058" spans="1:14" ht="14.5" x14ac:dyDescent="0.25">
      <c r="A2058" s="19">
        <v>34</v>
      </c>
      <c r="B2058" s="18" t="s">
        <v>41</v>
      </c>
      <c r="C2058" s="18" t="s">
        <v>95</v>
      </c>
      <c r="D2058" s="18" t="s">
        <v>1807</v>
      </c>
      <c r="E2058" s="18" t="s">
        <v>2608</v>
      </c>
      <c r="F2058" s="101">
        <v>46257.852083333331</v>
      </c>
      <c r="G2058" s="101">
        <v>46258.555555555555</v>
      </c>
      <c r="H2058" s="18" t="s">
        <v>507</v>
      </c>
      <c r="I2058" s="18" t="s">
        <v>508</v>
      </c>
      <c r="J2058" s="18"/>
      <c r="K2058" s="21">
        <f t="shared" si="96"/>
        <v>16.883333333360497</v>
      </c>
      <c r="L2058" s="19">
        <f t="shared" si="97"/>
        <v>337</v>
      </c>
      <c r="M2058" s="18" t="str">
        <f>IF(I2058&lt;&gt;"Sí","",IF(YEAR(F2058)&lt;&gt;2026,"",INDEX({"Enero","Febrero","Marzo","Abril","Mayo","Junio","Julio","Agosto","Septiembre","Octubre","Noviembre","Diciembre"},MONTH(F2058))))</f>
        <v>Agosto</v>
      </c>
      <c r="N2058" s="18" t="str">
        <f t="shared" si="98"/>
        <v>Agosto|337</v>
      </c>
    </row>
    <row r="2059" spans="1:14" ht="14.5" x14ac:dyDescent="0.25">
      <c r="A2059" s="19">
        <v>34</v>
      </c>
      <c r="B2059" s="18" t="s">
        <v>41</v>
      </c>
      <c r="C2059" s="18" t="s">
        <v>95</v>
      </c>
      <c r="D2059" s="18" t="s">
        <v>1807</v>
      </c>
      <c r="E2059" s="18" t="s">
        <v>2609</v>
      </c>
      <c r="F2059" s="101">
        <v>46257.852777777778</v>
      </c>
      <c r="G2059" s="101">
        <v>46258.555555555555</v>
      </c>
      <c r="H2059" s="18" t="s">
        <v>507</v>
      </c>
      <c r="I2059" s="18" t="s">
        <v>508</v>
      </c>
      <c r="J2059" s="18"/>
      <c r="K2059" s="21">
        <f t="shared" si="96"/>
        <v>16.866666666639503</v>
      </c>
      <c r="L2059" s="19">
        <f t="shared" si="97"/>
        <v>338</v>
      </c>
      <c r="M2059" s="18" t="str">
        <f>IF(I2059&lt;&gt;"Sí","",IF(YEAR(F2059)&lt;&gt;2026,"",INDEX({"Enero","Febrero","Marzo","Abril","Mayo","Junio","Julio","Agosto","Septiembre","Octubre","Noviembre","Diciembre"},MONTH(F2059))))</f>
        <v>Agosto</v>
      </c>
      <c r="N2059" s="18" t="str">
        <f t="shared" si="98"/>
        <v>Agosto|338</v>
      </c>
    </row>
    <row r="2060" spans="1:14" ht="14.5" x14ac:dyDescent="0.25">
      <c r="A2060" s="19">
        <v>34</v>
      </c>
      <c r="B2060" s="18" t="s">
        <v>41</v>
      </c>
      <c r="C2060" s="18" t="s">
        <v>95</v>
      </c>
      <c r="D2060" s="18" t="s">
        <v>1807</v>
      </c>
      <c r="E2060" s="18" t="s">
        <v>2610</v>
      </c>
      <c r="F2060" s="101">
        <v>46257.853472222225</v>
      </c>
      <c r="G2060" s="101">
        <v>46258.458333333336</v>
      </c>
      <c r="H2060" s="18" t="s">
        <v>507</v>
      </c>
      <c r="I2060" s="18" t="s">
        <v>508</v>
      </c>
      <c r="J2060" s="18"/>
      <c r="K2060" s="21">
        <f t="shared" si="96"/>
        <v>14.516666666662786</v>
      </c>
      <c r="L2060" s="19">
        <f t="shared" si="97"/>
        <v>339</v>
      </c>
      <c r="M2060" s="18" t="str">
        <f>IF(I2060&lt;&gt;"Sí","",IF(YEAR(F2060)&lt;&gt;2026,"",INDEX({"Enero","Febrero","Marzo","Abril","Mayo","Junio","Julio","Agosto","Septiembre","Octubre","Noviembre","Diciembre"},MONTH(F2060))))</f>
        <v>Agosto</v>
      </c>
      <c r="N2060" s="18" t="str">
        <f t="shared" si="98"/>
        <v>Agosto|339</v>
      </c>
    </row>
    <row r="2061" spans="1:14" ht="14.5" x14ac:dyDescent="0.25">
      <c r="A2061" s="19">
        <v>34</v>
      </c>
      <c r="B2061" s="18" t="s">
        <v>41</v>
      </c>
      <c r="C2061" s="18" t="s">
        <v>95</v>
      </c>
      <c r="D2061" s="18" t="s">
        <v>1807</v>
      </c>
      <c r="E2061" s="18" t="s">
        <v>2611</v>
      </c>
      <c r="F2061" s="101">
        <v>46257.861805555556</v>
      </c>
      <c r="G2061" s="101">
        <v>46258.555555555555</v>
      </c>
      <c r="H2061" s="18" t="s">
        <v>507</v>
      </c>
      <c r="I2061" s="18" t="s">
        <v>508</v>
      </c>
      <c r="J2061" s="18"/>
      <c r="K2061" s="21">
        <f t="shared" si="96"/>
        <v>16.649999999965075</v>
      </c>
      <c r="L2061" s="19">
        <f t="shared" si="97"/>
        <v>340</v>
      </c>
      <c r="M2061" s="18" t="str">
        <f>IF(I2061&lt;&gt;"Sí","",IF(YEAR(F2061)&lt;&gt;2026,"",INDEX({"Enero","Febrero","Marzo","Abril","Mayo","Junio","Julio","Agosto","Septiembre","Octubre","Noviembre","Diciembre"},MONTH(F2061))))</f>
        <v>Agosto</v>
      </c>
      <c r="N2061" s="18" t="str">
        <f t="shared" si="98"/>
        <v>Agosto|340</v>
      </c>
    </row>
    <row r="2062" spans="1:14" ht="14.5" x14ac:dyDescent="0.25">
      <c r="A2062" s="19">
        <v>34</v>
      </c>
      <c r="B2062" s="18" t="s">
        <v>41</v>
      </c>
      <c r="C2062" s="18" t="s">
        <v>95</v>
      </c>
      <c r="D2062" s="18" t="s">
        <v>1807</v>
      </c>
      <c r="E2062" s="18" t="s">
        <v>2612</v>
      </c>
      <c r="F2062" s="101">
        <v>46257.863194444442</v>
      </c>
      <c r="G2062" s="101">
        <v>46258.555555555555</v>
      </c>
      <c r="H2062" s="18" t="s">
        <v>507</v>
      </c>
      <c r="I2062" s="18" t="s">
        <v>508</v>
      </c>
      <c r="J2062" s="18"/>
      <c r="K2062" s="21">
        <f t="shared" si="96"/>
        <v>16.616666666697711</v>
      </c>
      <c r="L2062" s="19">
        <f t="shared" si="97"/>
        <v>341</v>
      </c>
      <c r="M2062" s="18" t="str">
        <f>IF(I2062&lt;&gt;"Sí","",IF(YEAR(F2062)&lt;&gt;2026,"",INDEX({"Enero","Febrero","Marzo","Abril","Mayo","Junio","Julio","Agosto","Septiembre","Octubre","Noviembre","Diciembre"},MONTH(F2062))))</f>
        <v>Agosto</v>
      </c>
      <c r="N2062" s="18" t="str">
        <f t="shared" si="98"/>
        <v>Agosto|341</v>
      </c>
    </row>
    <row r="2063" spans="1:14" ht="14.5" x14ac:dyDescent="0.25">
      <c r="A2063" s="19">
        <v>34</v>
      </c>
      <c r="B2063" s="18" t="s">
        <v>41</v>
      </c>
      <c r="C2063" s="18" t="s">
        <v>95</v>
      </c>
      <c r="D2063" s="18" t="s">
        <v>1807</v>
      </c>
      <c r="E2063" s="18" t="s">
        <v>2613</v>
      </c>
      <c r="F2063" s="101">
        <v>46257.865972222222</v>
      </c>
      <c r="G2063" s="101">
        <v>46258.555555555555</v>
      </c>
      <c r="H2063" s="18" t="s">
        <v>507</v>
      </c>
      <c r="I2063" s="18" t="s">
        <v>508</v>
      </c>
      <c r="J2063" s="18"/>
      <c r="K2063" s="21">
        <f t="shared" si="96"/>
        <v>16.549999999988358</v>
      </c>
      <c r="L2063" s="19">
        <f t="shared" si="97"/>
        <v>342</v>
      </c>
      <c r="M2063" s="18" t="str">
        <f>IF(I2063&lt;&gt;"Sí","",IF(YEAR(F2063)&lt;&gt;2026,"",INDEX({"Enero","Febrero","Marzo","Abril","Mayo","Junio","Julio","Agosto","Septiembre","Octubre","Noviembre","Diciembre"},MONTH(F2063))))</f>
        <v>Agosto</v>
      </c>
      <c r="N2063" s="18" t="str">
        <f t="shared" si="98"/>
        <v>Agosto|342</v>
      </c>
    </row>
    <row r="2064" spans="1:14" ht="14.5" x14ac:dyDescent="0.25">
      <c r="A2064" s="19">
        <v>34</v>
      </c>
      <c r="B2064" s="18" t="s">
        <v>41</v>
      </c>
      <c r="C2064" s="18" t="s">
        <v>95</v>
      </c>
      <c r="D2064" s="18" t="s">
        <v>1807</v>
      </c>
      <c r="E2064" s="18" t="s">
        <v>2614</v>
      </c>
      <c r="F2064" s="101">
        <v>46257.868055555555</v>
      </c>
      <c r="G2064" s="101">
        <v>46258.555555555555</v>
      </c>
      <c r="H2064" s="18" t="s">
        <v>507</v>
      </c>
      <c r="I2064" s="18" t="s">
        <v>508</v>
      </c>
      <c r="J2064" s="18"/>
      <c r="K2064" s="21">
        <f t="shared" si="96"/>
        <v>16.5</v>
      </c>
      <c r="L2064" s="19">
        <f t="shared" si="97"/>
        <v>343</v>
      </c>
      <c r="M2064" s="18" t="str">
        <f>IF(I2064&lt;&gt;"Sí","",IF(YEAR(F2064)&lt;&gt;2026,"",INDEX({"Enero","Febrero","Marzo","Abril","Mayo","Junio","Julio","Agosto","Septiembre","Octubre","Noviembre","Diciembre"},MONTH(F2064))))</f>
        <v>Agosto</v>
      </c>
      <c r="N2064" s="18" t="str">
        <f t="shared" si="98"/>
        <v>Agosto|343</v>
      </c>
    </row>
    <row r="2065" spans="1:14" ht="14.5" x14ac:dyDescent="0.25">
      <c r="A2065" s="19">
        <v>34</v>
      </c>
      <c r="B2065" s="18" t="s">
        <v>41</v>
      </c>
      <c r="C2065" s="18" t="s">
        <v>95</v>
      </c>
      <c r="D2065" s="18" t="s">
        <v>1807</v>
      </c>
      <c r="E2065" s="18" t="s">
        <v>2615</v>
      </c>
      <c r="F2065" s="101">
        <v>46257.869444444441</v>
      </c>
      <c r="G2065" s="101">
        <v>46258.555555555555</v>
      </c>
      <c r="H2065" s="18" t="s">
        <v>507</v>
      </c>
      <c r="I2065" s="18" t="s">
        <v>508</v>
      </c>
      <c r="J2065" s="18"/>
      <c r="K2065" s="21">
        <f t="shared" si="96"/>
        <v>16.466666666732635</v>
      </c>
      <c r="L2065" s="19">
        <f t="shared" si="97"/>
        <v>344</v>
      </c>
      <c r="M2065" s="18" t="str">
        <f>IF(I2065&lt;&gt;"Sí","",IF(YEAR(F2065)&lt;&gt;2026,"",INDEX({"Enero","Febrero","Marzo","Abril","Mayo","Junio","Julio","Agosto","Septiembre","Octubre","Noviembre","Diciembre"},MONTH(F2065))))</f>
        <v>Agosto</v>
      </c>
      <c r="N2065" s="18" t="str">
        <f t="shared" si="98"/>
        <v>Agosto|344</v>
      </c>
    </row>
    <row r="2066" spans="1:14" ht="14.5" x14ac:dyDescent="0.25">
      <c r="A2066" s="19">
        <v>34</v>
      </c>
      <c r="B2066" s="18" t="s">
        <v>41</v>
      </c>
      <c r="C2066" s="18" t="s">
        <v>153</v>
      </c>
      <c r="D2066" s="18" t="s">
        <v>2285</v>
      </c>
      <c r="E2066" s="18" t="s">
        <v>2616</v>
      </c>
      <c r="F2066" s="101">
        <v>46258.59375</v>
      </c>
      <c r="G2066" s="101">
        <v>46263.615972222222</v>
      </c>
      <c r="H2066" s="18" t="s">
        <v>507</v>
      </c>
      <c r="I2066" s="18" t="s">
        <v>508</v>
      </c>
      <c r="J2066" s="18"/>
      <c r="K2066" s="21">
        <f t="shared" si="96"/>
        <v>120.53333333332557</v>
      </c>
      <c r="L2066" s="19">
        <f t="shared" si="97"/>
        <v>56</v>
      </c>
      <c r="M2066" s="18" t="str">
        <f>IF(I2066&lt;&gt;"Sí","",IF(YEAR(F2066)&lt;&gt;2026,"",INDEX({"Enero","Febrero","Marzo","Abril","Mayo","Junio","Julio","Agosto","Septiembre","Octubre","Noviembre","Diciembre"},MONTH(F2066))))</f>
        <v>Agosto</v>
      </c>
      <c r="N2066" s="18" t="str">
        <f t="shared" si="98"/>
        <v>Agosto|56</v>
      </c>
    </row>
    <row r="2067" spans="1:14" ht="14.5" x14ac:dyDescent="0.25">
      <c r="A2067" s="19">
        <v>34</v>
      </c>
      <c r="B2067" s="18" t="s">
        <v>41</v>
      </c>
      <c r="C2067" s="18" t="s">
        <v>153</v>
      </c>
      <c r="D2067" s="18" t="s">
        <v>2285</v>
      </c>
      <c r="E2067" s="18" t="s">
        <v>2617</v>
      </c>
      <c r="F2067" s="101">
        <v>46258.59375</v>
      </c>
      <c r="G2067" s="101">
        <v>46263.615972222222</v>
      </c>
      <c r="H2067" s="18" t="s">
        <v>507</v>
      </c>
      <c r="I2067" s="18" t="s">
        <v>508</v>
      </c>
      <c r="J2067" s="18"/>
      <c r="K2067" s="21">
        <f t="shared" si="96"/>
        <v>120.53333333332557</v>
      </c>
      <c r="L2067" s="19">
        <f t="shared" si="97"/>
        <v>56</v>
      </c>
      <c r="M2067" s="18" t="str">
        <f>IF(I2067&lt;&gt;"Sí","",IF(YEAR(F2067)&lt;&gt;2026,"",INDEX({"Enero","Febrero","Marzo","Abril","Mayo","Junio","Julio","Agosto","Septiembre","Octubre","Noviembre","Diciembre"},MONTH(F2067))))</f>
        <v>Agosto</v>
      </c>
      <c r="N2067" s="18" t="str">
        <f t="shared" si="98"/>
        <v>Agosto|56</v>
      </c>
    </row>
    <row r="2068" spans="1:14" ht="14.5" x14ac:dyDescent="0.25">
      <c r="A2068" s="19">
        <v>34</v>
      </c>
      <c r="B2068" s="18" t="s">
        <v>41</v>
      </c>
      <c r="C2068" s="18" t="s">
        <v>97</v>
      </c>
      <c r="D2068" s="18" t="s">
        <v>2290</v>
      </c>
      <c r="E2068" s="18" t="s">
        <v>2618</v>
      </c>
      <c r="F2068" s="101">
        <v>46258.59375</v>
      </c>
      <c r="G2068" s="101">
        <v>46265.13958333333</v>
      </c>
      <c r="H2068" s="18" t="s">
        <v>507</v>
      </c>
      <c r="I2068" s="18" t="s">
        <v>508</v>
      </c>
      <c r="J2068" s="18"/>
      <c r="K2068" s="21">
        <f t="shared" si="96"/>
        <v>157.09999999991851</v>
      </c>
      <c r="L2068" s="19">
        <f t="shared" si="97"/>
        <v>56</v>
      </c>
      <c r="M2068" s="18" t="str">
        <f>IF(I2068&lt;&gt;"Sí","",IF(YEAR(F2068)&lt;&gt;2026,"",INDEX({"Enero","Febrero","Marzo","Abril","Mayo","Junio","Julio","Agosto","Septiembre","Octubre","Noviembre","Diciembre"},MONTH(F2068))))</f>
        <v>Agosto</v>
      </c>
      <c r="N2068" s="18" t="str">
        <f t="shared" si="98"/>
        <v>Agosto|56</v>
      </c>
    </row>
    <row r="2069" spans="1:14" ht="14.5" x14ac:dyDescent="0.25">
      <c r="A2069" s="19">
        <v>34</v>
      </c>
      <c r="B2069" s="18" t="s">
        <v>41</v>
      </c>
      <c r="C2069" s="18" t="s">
        <v>153</v>
      </c>
      <c r="D2069" s="18" t="s">
        <v>2285</v>
      </c>
      <c r="E2069" s="18" t="s">
        <v>2619</v>
      </c>
      <c r="F2069" s="101">
        <v>46258.667361111111</v>
      </c>
      <c r="G2069" s="101">
        <v>46263.615972222222</v>
      </c>
      <c r="H2069" s="18" t="s">
        <v>507</v>
      </c>
      <c r="I2069" s="18" t="s">
        <v>508</v>
      </c>
      <c r="J2069" s="18"/>
      <c r="K2069" s="21">
        <f t="shared" si="96"/>
        <v>118.76666666666279</v>
      </c>
      <c r="L2069" s="19">
        <f t="shared" si="97"/>
        <v>58</v>
      </c>
      <c r="M2069" s="18" t="str">
        <f>IF(I2069&lt;&gt;"Sí","",IF(YEAR(F2069)&lt;&gt;2026,"",INDEX({"Enero","Febrero","Marzo","Abril","Mayo","Junio","Julio","Agosto","Septiembre","Octubre","Noviembre","Diciembre"},MONTH(F2069))))</f>
        <v>Agosto</v>
      </c>
      <c r="N2069" s="18" t="str">
        <f t="shared" si="98"/>
        <v>Agosto|58</v>
      </c>
    </row>
    <row r="2070" spans="1:14" ht="14.5" x14ac:dyDescent="0.25">
      <c r="A2070" s="19">
        <v>34</v>
      </c>
      <c r="B2070" s="18" t="s">
        <v>41</v>
      </c>
      <c r="C2070" s="18" t="s">
        <v>153</v>
      </c>
      <c r="D2070" s="18" t="s">
        <v>2285</v>
      </c>
      <c r="E2070" s="18" t="s">
        <v>2620</v>
      </c>
      <c r="F2070" s="101">
        <v>46258.667361111111</v>
      </c>
      <c r="G2070" s="101">
        <v>46263.615972222222</v>
      </c>
      <c r="H2070" s="18" t="s">
        <v>507</v>
      </c>
      <c r="I2070" s="18" t="s">
        <v>508</v>
      </c>
      <c r="J2070" s="18"/>
      <c r="K2070" s="21">
        <f t="shared" si="96"/>
        <v>118.76666666666279</v>
      </c>
      <c r="L2070" s="19">
        <f t="shared" si="97"/>
        <v>58</v>
      </c>
      <c r="M2070" s="18" t="str">
        <f>IF(I2070&lt;&gt;"Sí","",IF(YEAR(F2070)&lt;&gt;2026,"",INDEX({"Enero","Febrero","Marzo","Abril","Mayo","Junio","Julio","Agosto","Septiembre","Octubre","Noviembre","Diciembre"},MONTH(F2070))))</f>
        <v>Agosto</v>
      </c>
      <c r="N2070" s="18" t="str">
        <f t="shared" si="98"/>
        <v>Agosto|58</v>
      </c>
    </row>
    <row r="2071" spans="1:14" ht="14.5" x14ac:dyDescent="0.25">
      <c r="A2071" s="19">
        <v>34</v>
      </c>
      <c r="B2071" s="18" t="s">
        <v>41</v>
      </c>
      <c r="C2071" s="18" t="s">
        <v>153</v>
      </c>
      <c r="D2071" s="18" t="s">
        <v>2285</v>
      </c>
      <c r="E2071" s="18" t="s">
        <v>2621</v>
      </c>
      <c r="F2071" s="101">
        <v>46259.561111111114</v>
      </c>
      <c r="G2071" s="101">
        <v>46264.175694444442</v>
      </c>
      <c r="H2071" s="18" t="s">
        <v>507</v>
      </c>
      <c r="I2071" s="18" t="s">
        <v>508</v>
      </c>
      <c r="J2071" s="18"/>
      <c r="K2071" s="21">
        <f t="shared" si="96"/>
        <v>110.74999999988358</v>
      </c>
      <c r="L2071" s="19">
        <f t="shared" si="97"/>
        <v>32</v>
      </c>
      <c r="M2071" s="18" t="str">
        <f>IF(I2071&lt;&gt;"Sí","",IF(YEAR(F2071)&lt;&gt;2026,"",INDEX({"Enero","Febrero","Marzo","Abril","Mayo","Junio","Julio","Agosto","Septiembre","Octubre","Noviembre","Diciembre"},MONTH(F2071))))</f>
        <v>Agosto</v>
      </c>
      <c r="N2071" s="18" t="str">
        <f t="shared" si="98"/>
        <v>Agosto|32</v>
      </c>
    </row>
    <row r="2072" spans="1:14" ht="14.5" x14ac:dyDescent="0.25">
      <c r="A2072" s="19">
        <v>34</v>
      </c>
      <c r="B2072" s="18" t="s">
        <v>41</v>
      </c>
      <c r="C2072" s="18" t="s">
        <v>153</v>
      </c>
      <c r="D2072" s="18" t="s">
        <v>2285</v>
      </c>
      <c r="E2072" s="18" t="s">
        <v>2622</v>
      </c>
      <c r="F2072" s="101">
        <v>46259.561111111114</v>
      </c>
      <c r="G2072" s="101">
        <v>46264.070833333331</v>
      </c>
      <c r="H2072" s="18" t="s">
        <v>507</v>
      </c>
      <c r="I2072" s="18" t="s">
        <v>508</v>
      </c>
      <c r="J2072" s="18"/>
      <c r="K2072" s="21">
        <f t="shared" si="96"/>
        <v>108.2333333332208</v>
      </c>
      <c r="L2072" s="19">
        <f t="shared" si="97"/>
        <v>32</v>
      </c>
      <c r="M2072" s="18" t="str">
        <f>IF(I2072&lt;&gt;"Sí","",IF(YEAR(F2072)&lt;&gt;2026,"",INDEX({"Enero","Febrero","Marzo","Abril","Mayo","Junio","Julio","Agosto","Septiembre","Octubre","Noviembre","Diciembre"},MONTH(F2072))))</f>
        <v>Agosto</v>
      </c>
      <c r="N2072" s="18" t="str">
        <f t="shared" si="98"/>
        <v>Agosto|32</v>
      </c>
    </row>
    <row r="2073" spans="1:14" ht="14.5" x14ac:dyDescent="0.25">
      <c r="A2073" s="19">
        <v>34</v>
      </c>
      <c r="B2073" s="18" t="s">
        <v>41</v>
      </c>
      <c r="C2073" s="18" t="s">
        <v>153</v>
      </c>
      <c r="D2073" s="18" t="s">
        <v>2285</v>
      </c>
      <c r="E2073" s="18" t="s">
        <v>2623</v>
      </c>
      <c r="F2073" s="101">
        <v>46259.561111111114</v>
      </c>
      <c r="G2073" s="101">
        <v>46263.615972222222</v>
      </c>
      <c r="H2073" s="18" t="s">
        <v>507</v>
      </c>
      <c r="I2073" s="18" t="s">
        <v>508</v>
      </c>
      <c r="J2073" s="18"/>
      <c r="K2073" s="21">
        <f t="shared" si="96"/>
        <v>97.316666666592937</v>
      </c>
      <c r="L2073" s="19">
        <f t="shared" si="97"/>
        <v>32</v>
      </c>
      <c r="M2073" s="18" t="str">
        <f>IF(I2073&lt;&gt;"Sí","",IF(YEAR(F2073)&lt;&gt;2026,"",INDEX({"Enero","Febrero","Marzo","Abril","Mayo","Junio","Julio","Agosto","Septiembre","Octubre","Noviembre","Diciembre"},MONTH(F2073))))</f>
        <v>Agosto</v>
      </c>
      <c r="N2073" s="18" t="str">
        <f t="shared" si="98"/>
        <v>Agosto|32</v>
      </c>
    </row>
    <row r="2074" spans="1:14" ht="14.5" x14ac:dyDescent="0.25">
      <c r="A2074" s="19">
        <v>34</v>
      </c>
      <c r="B2074" s="18" t="s">
        <v>41</v>
      </c>
      <c r="C2074" s="18" t="s">
        <v>153</v>
      </c>
      <c r="D2074" s="18" t="s">
        <v>2285</v>
      </c>
      <c r="E2074" s="18" t="s">
        <v>2624</v>
      </c>
      <c r="F2074" s="101">
        <v>46259.561111111114</v>
      </c>
      <c r="G2074" s="101">
        <v>46263.615972222222</v>
      </c>
      <c r="H2074" s="18" t="s">
        <v>507</v>
      </c>
      <c r="I2074" s="18" t="s">
        <v>508</v>
      </c>
      <c r="J2074" s="18"/>
      <c r="K2074" s="21">
        <f t="shared" si="96"/>
        <v>97.316666666592937</v>
      </c>
      <c r="L2074" s="19">
        <f t="shared" si="97"/>
        <v>32</v>
      </c>
      <c r="M2074" s="18" t="str">
        <f>IF(I2074&lt;&gt;"Sí","",IF(YEAR(F2074)&lt;&gt;2026,"",INDEX({"Enero","Febrero","Marzo","Abril","Mayo","Junio","Julio","Agosto","Septiembre","Octubre","Noviembre","Diciembre"},MONTH(F2074))))</f>
        <v>Agosto</v>
      </c>
      <c r="N2074" s="18" t="str">
        <f t="shared" si="98"/>
        <v>Agosto|32</v>
      </c>
    </row>
    <row r="2075" spans="1:14" ht="14.5" x14ac:dyDescent="0.25">
      <c r="A2075" s="19">
        <v>34</v>
      </c>
      <c r="B2075" s="18" t="s">
        <v>41</v>
      </c>
      <c r="C2075" s="18" t="s">
        <v>153</v>
      </c>
      <c r="D2075" s="18" t="s">
        <v>2285</v>
      </c>
      <c r="E2075" s="18" t="s">
        <v>2625</v>
      </c>
      <c r="F2075" s="101">
        <v>46259.561111111114</v>
      </c>
      <c r="G2075" s="101">
        <v>46263.615972222222</v>
      </c>
      <c r="H2075" s="18" t="s">
        <v>507</v>
      </c>
      <c r="I2075" s="18" t="s">
        <v>508</v>
      </c>
      <c r="J2075" s="18"/>
      <c r="K2075" s="21">
        <f t="shared" si="96"/>
        <v>97.316666666592937</v>
      </c>
      <c r="L2075" s="19">
        <f t="shared" si="97"/>
        <v>32</v>
      </c>
      <c r="M2075" s="18" t="str">
        <f>IF(I2075&lt;&gt;"Sí","",IF(YEAR(F2075)&lt;&gt;2026,"",INDEX({"Enero","Febrero","Marzo","Abril","Mayo","Junio","Julio","Agosto","Septiembre","Octubre","Noviembre","Diciembre"},MONTH(F2075))))</f>
        <v>Agosto</v>
      </c>
      <c r="N2075" s="18" t="str">
        <f t="shared" si="98"/>
        <v>Agosto|32</v>
      </c>
    </row>
    <row r="2076" spans="1:14" ht="14.5" x14ac:dyDescent="0.25">
      <c r="A2076" s="19">
        <v>34</v>
      </c>
      <c r="B2076" s="18" t="s">
        <v>41</v>
      </c>
      <c r="C2076" s="18" t="s">
        <v>153</v>
      </c>
      <c r="D2076" s="18" t="s">
        <v>2285</v>
      </c>
      <c r="E2076" s="18" t="s">
        <v>2626</v>
      </c>
      <c r="F2076" s="101">
        <v>46259.561111111114</v>
      </c>
      <c r="G2076" s="101">
        <v>46264.175694444442</v>
      </c>
      <c r="H2076" s="18" t="s">
        <v>507</v>
      </c>
      <c r="I2076" s="18" t="s">
        <v>508</v>
      </c>
      <c r="J2076" s="18"/>
      <c r="K2076" s="21">
        <f t="shared" si="96"/>
        <v>110.74999999988358</v>
      </c>
      <c r="L2076" s="19">
        <f t="shared" si="97"/>
        <v>32</v>
      </c>
      <c r="M2076" s="18" t="str">
        <f>IF(I2076&lt;&gt;"Sí","",IF(YEAR(F2076)&lt;&gt;2026,"",INDEX({"Enero","Febrero","Marzo","Abril","Mayo","Junio","Julio","Agosto","Septiembre","Octubre","Noviembre","Diciembre"},MONTH(F2076))))</f>
        <v>Agosto</v>
      </c>
      <c r="N2076" s="18" t="str">
        <f t="shared" si="98"/>
        <v>Agosto|32</v>
      </c>
    </row>
    <row r="2077" spans="1:14" ht="14.5" x14ac:dyDescent="0.25">
      <c r="A2077" s="19">
        <v>34</v>
      </c>
      <c r="B2077" s="18" t="s">
        <v>41</v>
      </c>
      <c r="C2077" s="18" t="s">
        <v>153</v>
      </c>
      <c r="D2077" s="18" t="s">
        <v>2285</v>
      </c>
      <c r="E2077" s="18" t="s">
        <v>2627</v>
      </c>
      <c r="F2077" s="101">
        <v>46259.561111111114</v>
      </c>
      <c r="G2077" s="101">
        <v>46263.615972222222</v>
      </c>
      <c r="H2077" s="18" t="s">
        <v>507</v>
      </c>
      <c r="I2077" s="18" t="s">
        <v>508</v>
      </c>
      <c r="J2077" s="18"/>
      <c r="K2077" s="21">
        <f t="shared" si="96"/>
        <v>97.316666666592937</v>
      </c>
      <c r="L2077" s="19">
        <f t="shared" si="97"/>
        <v>32</v>
      </c>
      <c r="M2077" s="18" t="str">
        <f>IF(I2077&lt;&gt;"Sí","",IF(YEAR(F2077)&lt;&gt;2026,"",INDEX({"Enero","Febrero","Marzo","Abril","Mayo","Junio","Julio","Agosto","Septiembre","Octubre","Noviembre","Diciembre"},MONTH(F2077))))</f>
        <v>Agosto</v>
      </c>
      <c r="N2077" s="18" t="str">
        <f t="shared" si="98"/>
        <v>Agosto|32</v>
      </c>
    </row>
    <row r="2078" spans="1:14" ht="14.5" x14ac:dyDescent="0.25">
      <c r="A2078" s="19">
        <v>34</v>
      </c>
      <c r="B2078" s="18" t="s">
        <v>41</v>
      </c>
      <c r="C2078" s="18" t="s">
        <v>97</v>
      </c>
      <c r="D2078" s="18" t="s">
        <v>2290</v>
      </c>
      <c r="E2078" s="18" t="s">
        <v>2628</v>
      </c>
      <c r="F2078" s="101">
        <v>46259.561111111114</v>
      </c>
      <c r="G2078" s="101">
        <v>46265.14166666667</v>
      </c>
      <c r="H2078" s="18" t="s">
        <v>507</v>
      </c>
      <c r="I2078" s="18" t="s">
        <v>508</v>
      </c>
      <c r="J2078" s="18"/>
      <c r="K2078" s="21">
        <f t="shared" si="96"/>
        <v>133.93333333334886</v>
      </c>
      <c r="L2078" s="19">
        <f t="shared" si="97"/>
        <v>32</v>
      </c>
      <c r="M2078" s="18" t="str">
        <f>IF(I2078&lt;&gt;"Sí","",IF(YEAR(F2078)&lt;&gt;2026,"",INDEX({"Enero","Febrero","Marzo","Abril","Mayo","Junio","Julio","Agosto","Septiembre","Octubre","Noviembre","Diciembre"},MONTH(F2078))))</f>
        <v>Agosto</v>
      </c>
      <c r="N2078" s="18" t="str">
        <f t="shared" si="98"/>
        <v>Agosto|32</v>
      </c>
    </row>
    <row r="2079" spans="1:14" ht="14.5" x14ac:dyDescent="0.25">
      <c r="A2079" s="19">
        <v>34</v>
      </c>
      <c r="B2079" s="18" t="s">
        <v>41</v>
      </c>
      <c r="C2079" s="18" t="s">
        <v>97</v>
      </c>
      <c r="D2079" s="18" t="s">
        <v>2290</v>
      </c>
      <c r="E2079" s="18" t="s">
        <v>2629</v>
      </c>
      <c r="F2079" s="101">
        <v>46259.561111111114</v>
      </c>
      <c r="G2079" s="101">
        <v>46265.144444444442</v>
      </c>
      <c r="H2079" s="18" t="s">
        <v>507</v>
      </c>
      <c r="I2079" s="18" t="s">
        <v>508</v>
      </c>
      <c r="J2079" s="18"/>
      <c r="K2079" s="21">
        <f t="shared" si="96"/>
        <v>133.99999999988358</v>
      </c>
      <c r="L2079" s="19">
        <f t="shared" si="97"/>
        <v>32</v>
      </c>
      <c r="M2079" s="18" t="str">
        <f>IF(I2079&lt;&gt;"Sí","",IF(YEAR(F2079)&lt;&gt;2026,"",INDEX({"Enero","Febrero","Marzo","Abril","Mayo","Junio","Julio","Agosto","Septiembre","Octubre","Noviembre","Diciembre"},MONTH(F2079))))</f>
        <v>Agosto</v>
      </c>
      <c r="N2079" s="18" t="str">
        <f t="shared" si="98"/>
        <v>Agosto|32</v>
      </c>
    </row>
    <row r="2080" spans="1:14" ht="14.5" x14ac:dyDescent="0.25">
      <c r="A2080" s="19">
        <v>35</v>
      </c>
      <c r="B2080" s="18" t="s">
        <v>42</v>
      </c>
      <c r="C2080" s="18" t="s">
        <v>158</v>
      </c>
      <c r="D2080" s="18" t="s">
        <v>158</v>
      </c>
      <c r="E2080" s="18" t="s">
        <v>2630</v>
      </c>
      <c r="F2080" s="101">
        <v>46259.561111111114</v>
      </c>
      <c r="G2080" s="101">
        <v>46267.21875</v>
      </c>
      <c r="H2080" s="18" t="s">
        <v>507</v>
      </c>
      <c r="I2080" s="18" t="s">
        <v>508</v>
      </c>
      <c r="J2080" s="18"/>
      <c r="K2080" s="21">
        <f t="shared" si="96"/>
        <v>183.78333333326736</v>
      </c>
      <c r="L2080" s="19">
        <f t="shared" si="97"/>
        <v>32</v>
      </c>
      <c r="M2080" s="18" t="str">
        <f>IF(I2080&lt;&gt;"Sí","",IF(YEAR(F2080)&lt;&gt;2026,"",INDEX({"Enero","Febrero","Marzo","Abril","Mayo","Junio","Julio","Agosto","Septiembre","Octubre","Noviembre","Diciembre"},MONTH(F2080))))</f>
        <v>Agosto</v>
      </c>
      <c r="N2080" s="18" t="str">
        <f t="shared" si="98"/>
        <v>Agosto|32</v>
      </c>
    </row>
    <row r="2081" spans="1:14" ht="14.5" x14ac:dyDescent="0.25">
      <c r="A2081" s="19">
        <v>34</v>
      </c>
      <c r="B2081" s="18" t="s">
        <v>41</v>
      </c>
      <c r="C2081" s="18" t="s">
        <v>153</v>
      </c>
      <c r="D2081" s="18" t="s">
        <v>2285</v>
      </c>
      <c r="E2081" s="18" t="s">
        <v>2631</v>
      </c>
      <c r="F2081" s="101">
        <v>46260.486111111109</v>
      </c>
      <c r="G2081" s="101">
        <v>46263.615972222222</v>
      </c>
      <c r="H2081" s="18" t="s">
        <v>507</v>
      </c>
      <c r="I2081" s="18" t="s">
        <v>508</v>
      </c>
      <c r="J2081" s="18"/>
      <c r="K2081" s="21">
        <f t="shared" si="96"/>
        <v>75.116666666697711</v>
      </c>
      <c r="L2081" s="19">
        <f t="shared" si="97"/>
        <v>35</v>
      </c>
      <c r="M2081" s="18" t="str">
        <f>IF(I2081&lt;&gt;"Sí","",IF(YEAR(F2081)&lt;&gt;2026,"",INDEX({"Enero","Febrero","Marzo","Abril","Mayo","Junio","Julio","Agosto","Septiembre","Octubre","Noviembre","Diciembre"},MONTH(F2081))))</f>
        <v>Agosto</v>
      </c>
      <c r="N2081" s="18" t="str">
        <f t="shared" si="98"/>
        <v>Agosto|35</v>
      </c>
    </row>
    <row r="2082" spans="1:14" ht="14.5" x14ac:dyDescent="0.25">
      <c r="A2082" s="19">
        <v>34</v>
      </c>
      <c r="B2082" s="18" t="s">
        <v>41</v>
      </c>
      <c r="C2082" s="18" t="s">
        <v>153</v>
      </c>
      <c r="D2082" s="18" t="s">
        <v>2285</v>
      </c>
      <c r="E2082" s="18" t="s">
        <v>2632</v>
      </c>
      <c r="F2082" s="101">
        <v>46260.486111111109</v>
      </c>
      <c r="G2082" s="101">
        <v>46264.175694444442</v>
      </c>
      <c r="H2082" s="18" t="s">
        <v>507</v>
      </c>
      <c r="I2082" s="18" t="s">
        <v>508</v>
      </c>
      <c r="J2082" s="18"/>
      <c r="K2082" s="21">
        <f t="shared" si="96"/>
        <v>88.549999999988358</v>
      </c>
      <c r="L2082" s="19">
        <f t="shared" si="97"/>
        <v>35</v>
      </c>
      <c r="M2082" s="18" t="str">
        <f>IF(I2082&lt;&gt;"Sí","",IF(YEAR(F2082)&lt;&gt;2026,"",INDEX({"Enero","Febrero","Marzo","Abril","Mayo","Junio","Julio","Agosto","Septiembre","Octubre","Noviembre","Diciembre"},MONTH(F2082))))</f>
        <v>Agosto</v>
      </c>
      <c r="N2082" s="18" t="str">
        <f t="shared" si="98"/>
        <v>Agosto|35</v>
      </c>
    </row>
    <row r="2083" spans="1:14" ht="14.5" x14ac:dyDescent="0.25">
      <c r="A2083" s="19">
        <v>34</v>
      </c>
      <c r="B2083" s="18" t="s">
        <v>41</v>
      </c>
      <c r="C2083" s="18" t="s">
        <v>153</v>
      </c>
      <c r="D2083" s="18" t="s">
        <v>2285</v>
      </c>
      <c r="E2083" s="18" t="s">
        <v>2633</v>
      </c>
      <c r="F2083" s="101">
        <v>46260.486111111109</v>
      </c>
      <c r="G2083" s="101">
        <v>46264.175694444442</v>
      </c>
      <c r="H2083" s="18" t="s">
        <v>507</v>
      </c>
      <c r="I2083" s="18" t="s">
        <v>508</v>
      </c>
      <c r="J2083" s="18"/>
      <c r="K2083" s="21">
        <f t="shared" si="96"/>
        <v>88.549999999988358</v>
      </c>
      <c r="L2083" s="19">
        <f t="shared" si="97"/>
        <v>35</v>
      </c>
      <c r="M2083" s="18" t="str">
        <f>IF(I2083&lt;&gt;"Sí","",IF(YEAR(F2083)&lt;&gt;2026,"",INDEX({"Enero","Febrero","Marzo","Abril","Mayo","Junio","Julio","Agosto","Septiembre","Octubre","Noviembre","Diciembre"},MONTH(F2083))))</f>
        <v>Agosto</v>
      </c>
      <c r="N2083" s="18" t="str">
        <f t="shared" si="98"/>
        <v>Agosto|35</v>
      </c>
    </row>
    <row r="2084" spans="1:14" ht="14.5" x14ac:dyDescent="0.25">
      <c r="A2084" s="19">
        <v>35</v>
      </c>
      <c r="B2084" s="18" t="s">
        <v>42</v>
      </c>
      <c r="C2084" s="18" t="s">
        <v>158</v>
      </c>
      <c r="D2084" s="18" t="s">
        <v>158</v>
      </c>
      <c r="E2084" s="18" t="s">
        <v>2634</v>
      </c>
      <c r="F2084" s="101">
        <v>46260.486805555556</v>
      </c>
      <c r="G2084" s="101">
        <v>46267.21875</v>
      </c>
      <c r="H2084" s="18" t="s">
        <v>507</v>
      </c>
      <c r="I2084" s="18" t="s">
        <v>508</v>
      </c>
      <c r="J2084" s="18"/>
      <c r="K2084" s="21">
        <f t="shared" si="96"/>
        <v>161.56666666665114</v>
      </c>
      <c r="L2084" s="19">
        <f t="shared" si="97"/>
        <v>36</v>
      </c>
      <c r="M2084" s="18" t="str">
        <f>IF(I2084&lt;&gt;"Sí","",IF(YEAR(F2084)&lt;&gt;2026,"",INDEX({"Enero","Febrero","Marzo","Abril","Mayo","Junio","Julio","Agosto","Septiembre","Octubre","Noviembre","Diciembre"},MONTH(F2084))))</f>
        <v>Agosto</v>
      </c>
      <c r="N2084" s="18" t="str">
        <f t="shared" si="98"/>
        <v>Agosto|36</v>
      </c>
    </row>
    <row r="2085" spans="1:14" ht="14.5" x14ac:dyDescent="0.25">
      <c r="A2085" s="19">
        <v>35</v>
      </c>
      <c r="B2085" s="18" t="s">
        <v>42</v>
      </c>
      <c r="C2085" s="18" t="s">
        <v>2635</v>
      </c>
      <c r="D2085" s="18" t="s">
        <v>2635</v>
      </c>
      <c r="E2085" s="18" t="s">
        <v>2636</v>
      </c>
      <c r="F2085" s="101">
        <v>46260.554166666669</v>
      </c>
      <c r="G2085" s="101">
        <v>46266.590277777781</v>
      </c>
      <c r="H2085" s="18" t="s">
        <v>507</v>
      </c>
      <c r="I2085" s="18" t="s">
        <v>508</v>
      </c>
      <c r="J2085" s="18"/>
      <c r="K2085" s="21">
        <f t="shared" si="96"/>
        <v>144.86666666669771</v>
      </c>
      <c r="L2085" s="19">
        <f t="shared" si="97"/>
        <v>37</v>
      </c>
      <c r="M2085" s="18" t="str">
        <f>IF(I2085&lt;&gt;"Sí","",IF(YEAR(F2085)&lt;&gt;2026,"",INDEX({"Enero","Febrero","Marzo","Abril","Mayo","Junio","Julio","Agosto","Septiembre","Octubre","Noviembre","Diciembre"},MONTH(F2085))))</f>
        <v>Agosto</v>
      </c>
      <c r="N2085" s="18" t="str">
        <f t="shared" si="98"/>
        <v>Agosto|37</v>
      </c>
    </row>
    <row r="2086" spans="1:14" ht="14.5" x14ac:dyDescent="0.25">
      <c r="A2086" s="19">
        <v>34</v>
      </c>
      <c r="B2086" s="18" t="s">
        <v>41</v>
      </c>
      <c r="C2086" s="18" t="s">
        <v>153</v>
      </c>
      <c r="D2086" s="18" t="s">
        <v>2285</v>
      </c>
      <c r="E2086" s="18" t="s">
        <v>2637</v>
      </c>
      <c r="F2086" s="101">
        <v>46260.556250000001</v>
      </c>
      <c r="G2086" s="101">
        <v>46263.615972222222</v>
      </c>
      <c r="H2086" s="18" t="s">
        <v>507</v>
      </c>
      <c r="I2086" s="18" t="s">
        <v>508</v>
      </c>
      <c r="J2086" s="18"/>
      <c r="K2086" s="21">
        <f t="shared" si="96"/>
        <v>73.433333333290648</v>
      </c>
      <c r="L2086" s="19">
        <f t="shared" si="97"/>
        <v>38</v>
      </c>
      <c r="M2086" s="18" t="str">
        <f>IF(I2086&lt;&gt;"Sí","",IF(YEAR(F2086)&lt;&gt;2026,"",INDEX({"Enero","Febrero","Marzo","Abril","Mayo","Junio","Julio","Agosto","Septiembre","Octubre","Noviembre","Diciembre"},MONTH(F2086))))</f>
        <v>Agosto</v>
      </c>
      <c r="N2086" s="18" t="str">
        <f t="shared" si="98"/>
        <v>Agosto|38</v>
      </c>
    </row>
    <row r="2087" spans="1:14" ht="14.5" x14ac:dyDescent="0.25">
      <c r="A2087" s="19">
        <v>34</v>
      </c>
      <c r="B2087" s="18" t="s">
        <v>41</v>
      </c>
      <c r="C2087" s="18" t="s">
        <v>97</v>
      </c>
      <c r="D2087" s="18" t="s">
        <v>2290</v>
      </c>
      <c r="E2087" s="18" t="s">
        <v>2638</v>
      </c>
      <c r="F2087" s="101">
        <v>46260.560416666667</v>
      </c>
      <c r="G2087" s="101">
        <v>46265.147222222222</v>
      </c>
      <c r="H2087" s="18" t="s">
        <v>507</v>
      </c>
      <c r="I2087" s="18" t="s">
        <v>508</v>
      </c>
      <c r="J2087" s="18"/>
      <c r="K2087" s="21">
        <f t="shared" si="96"/>
        <v>110.08333333331393</v>
      </c>
      <c r="L2087" s="19">
        <f t="shared" si="97"/>
        <v>39</v>
      </c>
      <c r="M2087" s="18" t="str">
        <f>IF(I2087&lt;&gt;"Sí","",IF(YEAR(F2087)&lt;&gt;2026,"",INDEX({"Enero","Febrero","Marzo","Abril","Mayo","Junio","Julio","Agosto","Septiembre","Octubre","Noviembre","Diciembre"},MONTH(F2087))))</f>
        <v>Agosto</v>
      </c>
      <c r="N2087" s="18" t="str">
        <f t="shared" si="98"/>
        <v>Agosto|39</v>
      </c>
    </row>
    <row r="2088" spans="1:14" ht="14.5" x14ac:dyDescent="0.25">
      <c r="A2088" s="19">
        <v>34</v>
      </c>
      <c r="B2088" s="18" t="s">
        <v>41</v>
      </c>
      <c r="C2088" s="18" t="s">
        <v>153</v>
      </c>
      <c r="D2088" s="18" t="s">
        <v>2285</v>
      </c>
      <c r="E2088" s="18" t="s">
        <v>2639</v>
      </c>
      <c r="F2088" s="101">
        <v>46260.679166666669</v>
      </c>
      <c r="G2088" s="101">
        <v>46263.615972222222</v>
      </c>
      <c r="H2088" s="18" t="s">
        <v>507</v>
      </c>
      <c r="I2088" s="18" t="s">
        <v>508</v>
      </c>
      <c r="J2088" s="18"/>
      <c r="K2088" s="21">
        <f t="shared" si="96"/>
        <v>70.483333333279006</v>
      </c>
      <c r="L2088" s="19">
        <f t="shared" si="97"/>
        <v>40</v>
      </c>
      <c r="M2088" s="18" t="str">
        <f>IF(I2088&lt;&gt;"Sí","",IF(YEAR(F2088)&lt;&gt;2026,"",INDEX({"Enero","Febrero","Marzo","Abril","Mayo","Junio","Julio","Agosto","Septiembre","Octubre","Noviembre","Diciembre"},MONTH(F2088))))</f>
        <v>Agosto</v>
      </c>
      <c r="N2088" s="18" t="str">
        <f t="shared" si="98"/>
        <v>Agosto|40</v>
      </c>
    </row>
    <row r="2089" spans="1:14" ht="14.5" x14ac:dyDescent="0.25">
      <c r="A2089" s="19">
        <v>34</v>
      </c>
      <c r="B2089" s="18" t="s">
        <v>41</v>
      </c>
      <c r="C2089" s="18" t="s">
        <v>97</v>
      </c>
      <c r="D2089" s="18" t="s">
        <v>2290</v>
      </c>
      <c r="E2089" s="18" t="s">
        <v>2640</v>
      </c>
      <c r="F2089" s="101">
        <v>46261.680555555555</v>
      </c>
      <c r="G2089" s="101">
        <v>46265.148611111108</v>
      </c>
      <c r="H2089" s="18" t="s">
        <v>507</v>
      </c>
      <c r="I2089" s="18" t="s">
        <v>508</v>
      </c>
      <c r="J2089" s="18"/>
      <c r="K2089" s="21">
        <f t="shared" si="96"/>
        <v>83.233333333279006</v>
      </c>
      <c r="L2089" s="19">
        <f t="shared" si="97"/>
        <v>41</v>
      </c>
      <c r="M2089" s="18" t="str">
        <f>IF(I2089&lt;&gt;"Sí","",IF(YEAR(F2089)&lt;&gt;2026,"",INDEX({"Enero","Febrero","Marzo","Abril","Mayo","Junio","Julio","Agosto","Septiembre","Octubre","Noviembre","Diciembre"},MONTH(F2089))))</f>
        <v>Agosto</v>
      </c>
      <c r="N2089" s="18" t="str">
        <f t="shared" si="98"/>
        <v>Agosto|41</v>
      </c>
    </row>
    <row r="2090" spans="1:14" ht="14.5" x14ac:dyDescent="0.25">
      <c r="A2090" s="19">
        <v>34</v>
      </c>
      <c r="B2090" s="18" t="s">
        <v>41</v>
      </c>
      <c r="C2090" s="18" t="s">
        <v>97</v>
      </c>
      <c r="D2090" s="18" t="s">
        <v>2290</v>
      </c>
      <c r="E2090" s="18" t="s">
        <v>2641</v>
      </c>
      <c r="F2090" s="101">
        <v>46261.680555555555</v>
      </c>
      <c r="G2090" s="101">
        <v>46265.152777777781</v>
      </c>
      <c r="H2090" s="18" t="s">
        <v>507</v>
      </c>
      <c r="I2090" s="18" t="s">
        <v>508</v>
      </c>
      <c r="J2090" s="18"/>
      <c r="K2090" s="21">
        <f t="shared" si="96"/>
        <v>83.333333333430346</v>
      </c>
      <c r="L2090" s="19">
        <f t="shared" si="97"/>
        <v>41</v>
      </c>
      <c r="M2090" s="18" t="str">
        <f>IF(I2090&lt;&gt;"Sí","",IF(YEAR(F2090)&lt;&gt;2026,"",INDEX({"Enero","Febrero","Marzo","Abril","Mayo","Junio","Julio","Agosto","Septiembre","Octubre","Noviembre","Diciembre"},MONTH(F2090))))</f>
        <v>Agosto</v>
      </c>
      <c r="N2090" s="18" t="str">
        <f t="shared" si="98"/>
        <v>Agosto|41</v>
      </c>
    </row>
    <row r="2091" spans="1:14" ht="14.5" x14ac:dyDescent="0.25">
      <c r="A2091" s="19">
        <v>35</v>
      </c>
      <c r="B2091" s="18" t="s">
        <v>42</v>
      </c>
      <c r="C2091" s="18" t="s">
        <v>934</v>
      </c>
      <c r="D2091" s="18" t="s">
        <v>2642</v>
      </c>
      <c r="E2091" s="18" t="s">
        <v>2295</v>
      </c>
      <c r="F2091" s="101">
        <v>46262.333333333336</v>
      </c>
      <c r="G2091" s="101">
        <v>46273.188194444447</v>
      </c>
      <c r="H2091" s="18" t="s">
        <v>507</v>
      </c>
      <c r="I2091" s="18" t="s">
        <v>508</v>
      </c>
      <c r="J2091" s="18"/>
      <c r="K2091" s="21">
        <f t="shared" si="96"/>
        <v>260.51666666666279</v>
      </c>
      <c r="L2091" s="19">
        <f t="shared" si="97"/>
        <v>41</v>
      </c>
      <c r="M2091" s="18" t="str">
        <f>IF(I2091&lt;&gt;"Sí","",IF(YEAR(F2091)&lt;&gt;2026,"",INDEX({"Enero","Febrero","Marzo","Abril","Mayo","Junio","Julio","Agosto","Septiembre","Octubre","Noviembre","Diciembre"},MONTH(F2091))))</f>
        <v>Agosto</v>
      </c>
      <c r="N2091" s="18" t="str">
        <f t="shared" si="98"/>
        <v>Agosto|41</v>
      </c>
    </row>
    <row r="2092" spans="1:14" ht="14.5" x14ac:dyDescent="0.25">
      <c r="A2092" s="19">
        <v>35</v>
      </c>
      <c r="B2092" s="18" t="s">
        <v>42</v>
      </c>
      <c r="C2092" s="18" t="s">
        <v>934</v>
      </c>
      <c r="D2092" s="18" t="s">
        <v>2642</v>
      </c>
      <c r="E2092" s="18" t="s">
        <v>2298</v>
      </c>
      <c r="F2092" s="101">
        <v>46262.333333333336</v>
      </c>
      <c r="G2092" s="101">
        <v>46272.453472222223</v>
      </c>
      <c r="H2092" s="18" t="s">
        <v>507</v>
      </c>
      <c r="I2092" s="18" t="s">
        <v>508</v>
      </c>
      <c r="J2092" s="18"/>
      <c r="K2092" s="21">
        <f t="shared" si="96"/>
        <v>242.88333333330229</v>
      </c>
      <c r="L2092" s="19">
        <f t="shared" si="97"/>
        <v>41</v>
      </c>
      <c r="M2092" s="18" t="str">
        <f>IF(I2092&lt;&gt;"Sí","",IF(YEAR(F2092)&lt;&gt;2026,"",INDEX({"Enero","Febrero","Marzo","Abril","Mayo","Junio","Julio","Agosto","Septiembre","Octubre","Noviembre","Diciembre"},MONTH(F2092))))</f>
        <v>Agosto</v>
      </c>
      <c r="N2092" s="18" t="str">
        <f t="shared" si="98"/>
        <v>Agosto|41</v>
      </c>
    </row>
    <row r="2093" spans="1:14" ht="14.5" x14ac:dyDescent="0.25">
      <c r="A2093" s="19">
        <v>35</v>
      </c>
      <c r="B2093" s="18" t="s">
        <v>42</v>
      </c>
      <c r="C2093" s="18" t="s">
        <v>934</v>
      </c>
      <c r="D2093" s="18" t="s">
        <v>2642</v>
      </c>
      <c r="E2093" s="18" t="s">
        <v>2296</v>
      </c>
      <c r="F2093" s="101">
        <v>46262.333333333336</v>
      </c>
      <c r="G2093" s="101">
        <v>46273.188194444447</v>
      </c>
      <c r="H2093" s="18" t="s">
        <v>507</v>
      </c>
      <c r="I2093" s="18" t="s">
        <v>508</v>
      </c>
      <c r="J2093" s="18"/>
      <c r="K2093" s="21">
        <f t="shared" si="96"/>
        <v>260.51666666666279</v>
      </c>
      <c r="L2093" s="19">
        <f t="shared" si="97"/>
        <v>41</v>
      </c>
      <c r="M2093" s="18" t="str">
        <f>IF(I2093&lt;&gt;"Sí","",IF(YEAR(F2093)&lt;&gt;2026,"",INDEX({"Enero","Febrero","Marzo","Abril","Mayo","Junio","Julio","Agosto","Septiembre","Octubre","Noviembre","Diciembre"},MONTH(F2093))))</f>
        <v>Agosto</v>
      </c>
      <c r="N2093" s="18" t="str">
        <f t="shared" si="98"/>
        <v>Agosto|41</v>
      </c>
    </row>
    <row r="2094" spans="1:14" ht="14.5" x14ac:dyDescent="0.25">
      <c r="A2094" s="19">
        <v>35</v>
      </c>
      <c r="B2094" s="18" t="s">
        <v>42</v>
      </c>
      <c r="C2094" s="18" t="s">
        <v>934</v>
      </c>
      <c r="D2094" s="18" t="s">
        <v>2642</v>
      </c>
      <c r="E2094" s="18" t="s">
        <v>2297</v>
      </c>
      <c r="F2094" s="101">
        <v>46262.333333333336</v>
      </c>
      <c r="G2094" s="101">
        <v>46273.188194444447</v>
      </c>
      <c r="H2094" s="18" t="s">
        <v>507</v>
      </c>
      <c r="I2094" s="18" t="s">
        <v>508</v>
      </c>
      <c r="J2094" s="18"/>
      <c r="K2094" s="21">
        <f t="shared" si="96"/>
        <v>260.51666666666279</v>
      </c>
      <c r="L2094" s="19">
        <f t="shared" si="97"/>
        <v>41</v>
      </c>
      <c r="M2094" s="18" t="str">
        <f>IF(I2094&lt;&gt;"Sí","",IF(YEAR(F2094)&lt;&gt;2026,"",INDEX({"Enero","Febrero","Marzo","Abril","Mayo","Junio","Julio","Agosto","Septiembre","Octubre","Noviembre","Diciembre"},MONTH(F2094))))</f>
        <v>Agosto</v>
      </c>
      <c r="N2094" s="18" t="str">
        <f t="shared" si="98"/>
        <v>Agosto|41</v>
      </c>
    </row>
    <row r="2095" spans="1:14" ht="14.5" x14ac:dyDescent="0.25">
      <c r="A2095" s="19">
        <v>34</v>
      </c>
      <c r="B2095" s="18" t="s">
        <v>41</v>
      </c>
      <c r="C2095" s="18" t="s">
        <v>153</v>
      </c>
      <c r="D2095" s="18" t="s">
        <v>2285</v>
      </c>
      <c r="E2095" s="18" t="s">
        <v>2643</v>
      </c>
      <c r="F2095" s="101"/>
      <c r="G2095" s="101">
        <v>46262.44027777778</v>
      </c>
      <c r="H2095" s="18" t="s">
        <v>554</v>
      </c>
      <c r="I2095" s="18" t="s">
        <v>555</v>
      </c>
      <c r="J2095" s="18" t="s">
        <v>556</v>
      </c>
      <c r="K2095" s="21" t="str">
        <f t="shared" si="96"/>
        <v/>
      </c>
      <c r="L2095" s="19" t="str">
        <f t="shared" si="97"/>
        <v/>
      </c>
      <c r="M2095" s="18" t="str">
        <f>IF(I2095&lt;&gt;"Sí","",IF(YEAR(F2095)&lt;&gt;2026,"",INDEX({"Enero","Febrero","Marzo","Abril","Mayo","Junio","Julio","Agosto","Septiembre","Octubre","Noviembre","Diciembre"},MONTH(F2095))))</f>
        <v/>
      </c>
      <c r="N2095" s="18" t="str">
        <f t="shared" si="98"/>
        <v/>
      </c>
    </row>
    <row r="2096" spans="1:14" ht="14.5" x14ac:dyDescent="0.25">
      <c r="A2096" s="19">
        <v>35</v>
      </c>
      <c r="B2096" s="18" t="s">
        <v>42</v>
      </c>
      <c r="C2096" s="18" t="s">
        <v>934</v>
      </c>
      <c r="D2096" s="18" t="s">
        <v>2642</v>
      </c>
      <c r="E2096" s="18" t="s">
        <v>2644</v>
      </c>
      <c r="F2096" s="101">
        <v>46262.713194444441</v>
      </c>
      <c r="G2096" s="101">
        <v>46271.934027777781</v>
      </c>
      <c r="H2096" s="18" t="s">
        <v>507</v>
      </c>
      <c r="I2096" s="18" t="s">
        <v>508</v>
      </c>
      <c r="J2096" s="18"/>
      <c r="K2096" s="21">
        <f t="shared" si="96"/>
        <v>221.30000000016298</v>
      </c>
      <c r="L2096" s="19">
        <f t="shared" si="97"/>
        <v>42</v>
      </c>
      <c r="M2096" s="18" t="str">
        <f>IF(I2096&lt;&gt;"Sí","",IF(YEAR(F2096)&lt;&gt;2026,"",INDEX({"Enero","Febrero","Marzo","Abril","Mayo","Junio","Julio","Agosto","Septiembre","Octubre","Noviembre","Diciembre"},MONTH(F2096))))</f>
        <v>Agosto</v>
      </c>
      <c r="N2096" s="18" t="str">
        <f t="shared" si="98"/>
        <v>Agosto|42</v>
      </c>
    </row>
    <row r="2097" spans="1:14" ht="14.5" x14ac:dyDescent="0.25">
      <c r="A2097" s="19">
        <v>35</v>
      </c>
      <c r="B2097" s="18" t="s">
        <v>42</v>
      </c>
      <c r="C2097" s="18" t="s">
        <v>158</v>
      </c>
      <c r="D2097" s="18" t="s">
        <v>158</v>
      </c>
      <c r="E2097" s="18" t="s">
        <v>2645</v>
      </c>
      <c r="F2097" s="101">
        <v>46263.429166666669</v>
      </c>
      <c r="G2097" s="101">
        <v>46267.21875</v>
      </c>
      <c r="H2097" s="18" t="s">
        <v>507</v>
      </c>
      <c r="I2097" s="18" t="s">
        <v>508</v>
      </c>
      <c r="J2097" s="18"/>
      <c r="K2097" s="21">
        <f t="shared" si="96"/>
        <v>90.949999999953434</v>
      </c>
      <c r="L2097" s="19">
        <f t="shared" si="97"/>
        <v>47</v>
      </c>
      <c r="M2097" s="18" t="str">
        <f>IF(I2097&lt;&gt;"Sí","",IF(YEAR(F2097)&lt;&gt;2026,"",INDEX({"Enero","Febrero","Marzo","Abril","Mayo","Junio","Julio","Agosto","Septiembre","Octubre","Noviembre","Diciembre"},MONTH(F2097))))</f>
        <v>Agosto</v>
      </c>
      <c r="N2097" s="18" t="str">
        <f t="shared" si="98"/>
        <v>Agosto|47</v>
      </c>
    </row>
    <row r="2098" spans="1:14" ht="14.5" x14ac:dyDescent="0.25">
      <c r="A2098" s="19">
        <v>35</v>
      </c>
      <c r="B2098" s="18" t="s">
        <v>42</v>
      </c>
      <c r="C2098" s="18" t="s">
        <v>934</v>
      </c>
      <c r="D2098" s="18" t="s">
        <v>2642</v>
      </c>
      <c r="E2098" s="18" t="s">
        <v>2646</v>
      </c>
      <c r="F2098" s="101">
        <v>46263.429166666669</v>
      </c>
      <c r="G2098" s="101">
        <v>46271.909722222219</v>
      </c>
      <c r="H2098" s="18" t="s">
        <v>507</v>
      </c>
      <c r="I2098" s="18" t="s">
        <v>508</v>
      </c>
      <c r="J2098" s="18"/>
      <c r="K2098" s="21">
        <f t="shared" si="96"/>
        <v>203.53333333320916</v>
      </c>
      <c r="L2098" s="19">
        <f t="shared" si="97"/>
        <v>47</v>
      </c>
      <c r="M2098" s="18" t="str">
        <f>IF(I2098&lt;&gt;"Sí","",IF(YEAR(F2098)&lt;&gt;2026,"",INDEX({"Enero","Febrero","Marzo","Abril","Mayo","Junio","Julio","Agosto","Septiembre","Octubre","Noviembre","Diciembre"},MONTH(F2098))))</f>
        <v>Agosto</v>
      </c>
      <c r="N2098" s="18" t="str">
        <f t="shared" si="98"/>
        <v>Agosto|47</v>
      </c>
    </row>
    <row r="2099" spans="1:14" ht="14.5" x14ac:dyDescent="0.25">
      <c r="A2099" s="19">
        <v>35</v>
      </c>
      <c r="B2099" s="18" t="s">
        <v>42</v>
      </c>
      <c r="C2099" s="18" t="s">
        <v>934</v>
      </c>
      <c r="D2099" s="18" t="s">
        <v>2642</v>
      </c>
      <c r="E2099" s="18" t="s">
        <v>2647</v>
      </c>
      <c r="F2099" s="101">
        <v>46263.429166666669</v>
      </c>
      <c r="G2099" s="101">
        <v>46271.906944444447</v>
      </c>
      <c r="H2099" s="18" t="s">
        <v>507</v>
      </c>
      <c r="I2099" s="18" t="s">
        <v>508</v>
      </c>
      <c r="J2099" s="18"/>
      <c r="K2099" s="21">
        <f t="shared" si="96"/>
        <v>203.46666666667443</v>
      </c>
      <c r="L2099" s="19">
        <f t="shared" si="97"/>
        <v>47</v>
      </c>
      <c r="M2099" s="18" t="str">
        <f>IF(I2099&lt;&gt;"Sí","",IF(YEAR(F2099)&lt;&gt;2026,"",INDEX({"Enero","Febrero","Marzo","Abril","Mayo","Junio","Julio","Agosto","Septiembre","Octubre","Noviembre","Diciembre"},MONTH(F2099))))</f>
        <v>Agosto</v>
      </c>
      <c r="N2099" s="18" t="str">
        <f t="shared" si="98"/>
        <v>Agosto|47</v>
      </c>
    </row>
    <row r="2100" spans="1:14" ht="14.5" x14ac:dyDescent="0.25">
      <c r="A2100" s="19">
        <v>35</v>
      </c>
      <c r="B2100" s="18" t="s">
        <v>42</v>
      </c>
      <c r="C2100" s="18" t="s">
        <v>934</v>
      </c>
      <c r="D2100" s="18" t="s">
        <v>2642</v>
      </c>
      <c r="E2100" s="18" t="s">
        <v>2648</v>
      </c>
      <c r="F2100" s="101">
        <v>46263.429166666669</v>
      </c>
      <c r="G2100" s="101">
        <v>46271.906944444447</v>
      </c>
      <c r="H2100" s="18" t="s">
        <v>507</v>
      </c>
      <c r="I2100" s="18" t="s">
        <v>508</v>
      </c>
      <c r="J2100" s="18"/>
      <c r="K2100" s="21">
        <f t="shared" si="96"/>
        <v>203.46666666667443</v>
      </c>
      <c r="L2100" s="19">
        <f t="shared" si="97"/>
        <v>47</v>
      </c>
      <c r="M2100" s="18" t="str">
        <f>IF(I2100&lt;&gt;"Sí","",IF(YEAR(F2100)&lt;&gt;2026,"",INDEX({"Enero","Febrero","Marzo","Abril","Mayo","Junio","Julio","Agosto","Septiembre","Octubre","Noviembre","Diciembre"},MONTH(F2100))))</f>
        <v>Agosto</v>
      </c>
      <c r="N2100" s="18" t="str">
        <f t="shared" si="98"/>
        <v>Agosto|47</v>
      </c>
    </row>
    <row r="2101" spans="1:14" ht="14.5" x14ac:dyDescent="0.25">
      <c r="A2101" s="19">
        <v>35</v>
      </c>
      <c r="B2101" s="18" t="s">
        <v>42</v>
      </c>
      <c r="C2101" s="18" t="s">
        <v>934</v>
      </c>
      <c r="D2101" s="18" t="s">
        <v>2642</v>
      </c>
      <c r="E2101" s="18" t="s">
        <v>2649</v>
      </c>
      <c r="F2101" s="101">
        <v>46263.429166666669</v>
      </c>
      <c r="G2101" s="101">
        <v>46271.906944444447</v>
      </c>
      <c r="H2101" s="18" t="s">
        <v>507</v>
      </c>
      <c r="I2101" s="18" t="s">
        <v>508</v>
      </c>
      <c r="J2101" s="18"/>
      <c r="K2101" s="21">
        <f t="shared" si="96"/>
        <v>203.46666666667443</v>
      </c>
      <c r="L2101" s="19">
        <f t="shared" si="97"/>
        <v>47</v>
      </c>
      <c r="M2101" s="18" t="str">
        <f>IF(I2101&lt;&gt;"Sí","",IF(YEAR(F2101)&lt;&gt;2026,"",INDEX({"Enero","Febrero","Marzo","Abril","Mayo","Junio","Julio","Agosto","Septiembre","Octubre","Noviembre","Diciembre"},MONTH(F2101))))</f>
        <v>Agosto</v>
      </c>
      <c r="N2101" s="18" t="str">
        <f t="shared" si="98"/>
        <v>Agosto|47</v>
      </c>
    </row>
    <row r="2102" spans="1:14" ht="14.5" x14ac:dyDescent="0.25">
      <c r="A2102" s="19">
        <v>35</v>
      </c>
      <c r="B2102" s="18" t="s">
        <v>42</v>
      </c>
      <c r="C2102" s="18" t="s">
        <v>934</v>
      </c>
      <c r="D2102" s="18" t="s">
        <v>2642</v>
      </c>
      <c r="E2102" s="18" t="s">
        <v>2650</v>
      </c>
      <c r="F2102" s="101">
        <v>46263.447222222225</v>
      </c>
      <c r="G2102" s="101">
        <v>46271.906944444447</v>
      </c>
      <c r="H2102" s="18" t="s">
        <v>507</v>
      </c>
      <c r="I2102" s="18" t="s">
        <v>508</v>
      </c>
      <c r="J2102" s="18"/>
      <c r="K2102" s="21">
        <f t="shared" si="96"/>
        <v>203.03333333332557</v>
      </c>
      <c r="L2102" s="19">
        <f t="shared" si="97"/>
        <v>48</v>
      </c>
      <c r="M2102" s="18" t="str">
        <f>IF(I2102&lt;&gt;"Sí","",IF(YEAR(F2102)&lt;&gt;2026,"",INDEX({"Enero","Febrero","Marzo","Abril","Mayo","Junio","Julio","Agosto","Septiembre","Octubre","Noviembre","Diciembre"},MONTH(F2102))))</f>
        <v>Agosto</v>
      </c>
      <c r="N2102" s="18" t="str">
        <f t="shared" si="98"/>
        <v>Agosto|48</v>
      </c>
    </row>
    <row r="2103" spans="1:14" ht="14.5" x14ac:dyDescent="0.25">
      <c r="A2103" s="19">
        <v>35</v>
      </c>
      <c r="B2103" s="18" t="s">
        <v>42</v>
      </c>
      <c r="C2103" s="18" t="s">
        <v>195</v>
      </c>
      <c r="D2103" s="18" t="s">
        <v>2651</v>
      </c>
      <c r="E2103" s="18" t="s">
        <v>2652</v>
      </c>
      <c r="F2103" s="101">
        <v>46263.480555555558</v>
      </c>
      <c r="G2103" s="101">
        <v>46274.456944444442</v>
      </c>
      <c r="H2103" s="18" t="s">
        <v>507</v>
      </c>
      <c r="I2103" s="18" t="s">
        <v>508</v>
      </c>
      <c r="J2103" s="18"/>
      <c r="K2103" s="21">
        <f t="shared" si="96"/>
        <v>263.43333333323244</v>
      </c>
      <c r="L2103" s="19">
        <f t="shared" si="97"/>
        <v>52</v>
      </c>
      <c r="M2103" s="18" t="str">
        <f>IF(I2103&lt;&gt;"Sí","",IF(YEAR(F2103)&lt;&gt;2026,"",INDEX({"Enero","Febrero","Marzo","Abril","Mayo","Junio","Julio","Agosto","Septiembre","Octubre","Noviembre","Diciembre"},MONTH(F2103))))</f>
        <v>Agosto</v>
      </c>
      <c r="N2103" s="18" t="str">
        <f t="shared" si="98"/>
        <v>Agosto|52</v>
      </c>
    </row>
    <row r="2104" spans="1:14" ht="14.5" x14ac:dyDescent="0.25">
      <c r="A2104" s="19">
        <v>35</v>
      </c>
      <c r="B2104" s="18" t="s">
        <v>42</v>
      </c>
      <c r="C2104" s="18" t="s">
        <v>195</v>
      </c>
      <c r="D2104" s="18" t="s">
        <v>2651</v>
      </c>
      <c r="E2104" s="18" t="s">
        <v>2653</v>
      </c>
      <c r="F2104" s="101">
        <v>46263.480555555558</v>
      </c>
      <c r="G2104" s="101">
        <v>46274.462500000001</v>
      </c>
      <c r="H2104" s="18" t="s">
        <v>507</v>
      </c>
      <c r="I2104" s="18" t="s">
        <v>508</v>
      </c>
      <c r="J2104" s="18"/>
      <c r="K2104" s="21">
        <f t="shared" si="96"/>
        <v>263.56666666665114</v>
      </c>
      <c r="L2104" s="19">
        <f t="shared" si="97"/>
        <v>52</v>
      </c>
      <c r="M2104" s="18" t="str">
        <f>IF(I2104&lt;&gt;"Sí","",IF(YEAR(F2104)&lt;&gt;2026,"",INDEX({"Enero","Febrero","Marzo","Abril","Mayo","Junio","Julio","Agosto","Septiembre","Octubre","Noviembre","Diciembre"},MONTH(F2104))))</f>
        <v>Agosto</v>
      </c>
      <c r="N2104" s="18" t="str">
        <f t="shared" si="98"/>
        <v>Agosto|52</v>
      </c>
    </row>
    <row r="2105" spans="1:14" ht="14.5" x14ac:dyDescent="0.25">
      <c r="A2105" s="19">
        <v>35</v>
      </c>
      <c r="B2105" s="18" t="s">
        <v>42</v>
      </c>
      <c r="C2105" s="18" t="s">
        <v>195</v>
      </c>
      <c r="D2105" s="18" t="s">
        <v>2651</v>
      </c>
      <c r="E2105" s="18" t="s">
        <v>2654</v>
      </c>
      <c r="F2105" s="101">
        <v>46263.480555555558</v>
      </c>
      <c r="G2105" s="101">
        <v>46274.462500000001</v>
      </c>
      <c r="H2105" s="18" t="s">
        <v>507</v>
      </c>
      <c r="I2105" s="18" t="s">
        <v>508</v>
      </c>
      <c r="J2105" s="18"/>
      <c r="K2105" s="21">
        <f t="shared" si="96"/>
        <v>263.56666666665114</v>
      </c>
      <c r="L2105" s="19">
        <f t="shared" si="97"/>
        <v>52</v>
      </c>
      <c r="M2105" s="18" t="str">
        <f>IF(I2105&lt;&gt;"Sí","",IF(YEAR(F2105)&lt;&gt;2026,"",INDEX({"Enero","Febrero","Marzo","Abril","Mayo","Junio","Julio","Agosto","Septiembre","Octubre","Noviembre","Diciembre"},MONTH(F2105))))</f>
        <v>Agosto</v>
      </c>
      <c r="N2105" s="18" t="str">
        <f t="shared" si="98"/>
        <v>Agosto|52</v>
      </c>
    </row>
    <row r="2106" spans="1:14" ht="14.5" x14ac:dyDescent="0.25">
      <c r="A2106" s="19">
        <v>35</v>
      </c>
      <c r="B2106" s="18" t="s">
        <v>42</v>
      </c>
      <c r="C2106" s="18" t="s">
        <v>92</v>
      </c>
      <c r="D2106" s="18" t="s">
        <v>2655</v>
      </c>
      <c r="E2106" s="18" t="s">
        <v>2656</v>
      </c>
      <c r="F2106" s="101">
        <v>46263.480555555558</v>
      </c>
      <c r="G2106" s="101">
        <v>46278.148611111108</v>
      </c>
      <c r="H2106" s="18" t="s">
        <v>507</v>
      </c>
      <c r="I2106" s="18" t="s">
        <v>508</v>
      </c>
      <c r="J2106" s="18"/>
      <c r="K2106" s="21">
        <f t="shared" si="96"/>
        <v>352.03333333320916</v>
      </c>
      <c r="L2106" s="19">
        <f t="shared" si="97"/>
        <v>52</v>
      </c>
      <c r="M2106" s="18" t="str">
        <f>IF(I2106&lt;&gt;"Sí","",IF(YEAR(F2106)&lt;&gt;2026,"",INDEX({"Enero","Febrero","Marzo","Abril","Mayo","Junio","Julio","Agosto","Septiembre","Octubre","Noviembre","Diciembre"},MONTH(F2106))))</f>
        <v>Agosto</v>
      </c>
      <c r="N2106" s="18" t="str">
        <f t="shared" si="98"/>
        <v>Agosto|52</v>
      </c>
    </row>
    <row r="2107" spans="1:14" ht="14.5" x14ac:dyDescent="0.25">
      <c r="A2107" s="19">
        <v>35</v>
      </c>
      <c r="B2107" s="18" t="s">
        <v>42</v>
      </c>
      <c r="C2107" s="18" t="s">
        <v>934</v>
      </c>
      <c r="D2107" s="18" t="s">
        <v>2642</v>
      </c>
      <c r="E2107" s="18" t="s">
        <v>2657</v>
      </c>
      <c r="F2107" s="101">
        <v>46263.552083333336</v>
      </c>
      <c r="G2107" s="101">
        <v>46272.861111111109</v>
      </c>
      <c r="H2107" s="18" t="s">
        <v>507</v>
      </c>
      <c r="I2107" s="18" t="s">
        <v>508</v>
      </c>
      <c r="J2107" s="18"/>
      <c r="K2107" s="21">
        <f t="shared" si="96"/>
        <v>223.41666666656965</v>
      </c>
      <c r="L2107" s="19">
        <f t="shared" si="97"/>
        <v>58</v>
      </c>
      <c r="M2107" s="18" t="str">
        <f>IF(I2107&lt;&gt;"Sí","",IF(YEAR(F2107)&lt;&gt;2026,"",INDEX({"Enero","Febrero","Marzo","Abril","Mayo","Junio","Julio","Agosto","Septiembre","Octubre","Noviembre","Diciembre"},MONTH(F2107))))</f>
        <v>Agosto</v>
      </c>
      <c r="N2107" s="18" t="str">
        <f t="shared" si="98"/>
        <v>Agosto|58</v>
      </c>
    </row>
    <row r="2108" spans="1:14" ht="14.5" x14ac:dyDescent="0.25">
      <c r="A2108" s="19">
        <v>35</v>
      </c>
      <c r="B2108" s="18" t="s">
        <v>42</v>
      </c>
      <c r="C2108" s="18" t="s">
        <v>934</v>
      </c>
      <c r="D2108" s="18" t="s">
        <v>2642</v>
      </c>
      <c r="E2108" s="18" t="s">
        <v>2658</v>
      </c>
      <c r="F2108" s="101">
        <v>46263.552083333336</v>
      </c>
      <c r="G2108" s="101">
        <v>46272.453472222223</v>
      </c>
      <c r="H2108" s="18" t="s">
        <v>507</v>
      </c>
      <c r="I2108" s="18" t="s">
        <v>508</v>
      </c>
      <c r="J2108" s="18"/>
      <c r="K2108" s="21">
        <f t="shared" si="96"/>
        <v>213.63333333330229</v>
      </c>
      <c r="L2108" s="19">
        <f t="shared" si="97"/>
        <v>58</v>
      </c>
      <c r="M2108" s="18" t="str">
        <f>IF(I2108&lt;&gt;"Sí","",IF(YEAR(F2108)&lt;&gt;2026,"",INDEX({"Enero","Febrero","Marzo","Abril","Mayo","Junio","Julio","Agosto","Septiembre","Octubre","Noviembre","Diciembre"},MONTH(F2108))))</f>
        <v>Agosto</v>
      </c>
      <c r="N2108" s="18" t="str">
        <f t="shared" si="98"/>
        <v>Agosto|58</v>
      </c>
    </row>
    <row r="2109" spans="1:14" ht="14.5" x14ac:dyDescent="0.25">
      <c r="A2109" s="19">
        <v>35</v>
      </c>
      <c r="B2109" s="18" t="s">
        <v>42</v>
      </c>
      <c r="C2109" s="18" t="s">
        <v>195</v>
      </c>
      <c r="D2109" s="18" t="s">
        <v>2651</v>
      </c>
      <c r="E2109" s="18" t="s">
        <v>2659</v>
      </c>
      <c r="F2109" s="101">
        <v>46263.552083333336</v>
      </c>
      <c r="G2109" s="101">
        <v>46274.462500000001</v>
      </c>
      <c r="H2109" s="18" t="s">
        <v>507</v>
      </c>
      <c r="I2109" s="18" t="s">
        <v>508</v>
      </c>
      <c r="J2109" s="18"/>
      <c r="K2109" s="21">
        <f t="shared" si="96"/>
        <v>261.84999999997672</v>
      </c>
      <c r="L2109" s="19">
        <f t="shared" si="97"/>
        <v>58</v>
      </c>
      <c r="M2109" s="18" t="str">
        <f>IF(I2109&lt;&gt;"Sí","",IF(YEAR(F2109)&lt;&gt;2026,"",INDEX({"Enero","Febrero","Marzo","Abril","Mayo","Junio","Julio","Agosto","Septiembre","Octubre","Noviembre","Diciembre"},MONTH(F2109))))</f>
        <v>Agosto</v>
      </c>
      <c r="N2109" s="18" t="str">
        <f t="shared" si="98"/>
        <v>Agosto|58</v>
      </c>
    </row>
    <row r="2110" spans="1:14" ht="14.5" x14ac:dyDescent="0.25">
      <c r="A2110" s="19">
        <v>35</v>
      </c>
      <c r="B2110" s="18" t="s">
        <v>42</v>
      </c>
      <c r="C2110" s="18" t="s">
        <v>195</v>
      </c>
      <c r="D2110" s="18" t="s">
        <v>2651</v>
      </c>
      <c r="E2110" s="18" t="s">
        <v>2660</v>
      </c>
      <c r="F2110" s="101">
        <v>46263.552083333336</v>
      </c>
      <c r="G2110" s="101">
        <v>46274.462500000001</v>
      </c>
      <c r="H2110" s="18" t="s">
        <v>507</v>
      </c>
      <c r="I2110" s="18" t="s">
        <v>508</v>
      </c>
      <c r="J2110" s="18"/>
      <c r="K2110" s="21">
        <f t="shared" si="96"/>
        <v>261.84999999997672</v>
      </c>
      <c r="L2110" s="19">
        <f t="shared" si="97"/>
        <v>58</v>
      </c>
      <c r="M2110" s="18" t="str">
        <f>IF(I2110&lt;&gt;"Sí","",IF(YEAR(F2110)&lt;&gt;2026,"",INDEX({"Enero","Febrero","Marzo","Abril","Mayo","Junio","Julio","Agosto","Septiembre","Octubre","Noviembre","Diciembre"},MONTH(F2110))))</f>
        <v>Agosto</v>
      </c>
      <c r="N2110" s="18" t="str">
        <f t="shared" si="98"/>
        <v>Agosto|58</v>
      </c>
    </row>
    <row r="2111" spans="1:14" ht="14.5" x14ac:dyDescent="0.25">
      <c r="A2111" s="19">
        <v>35</v>
      </c>
      <c r="B2111" s="18" t="s">
        <v>42</v>
      </c>
      <c r="C2111" s="18" t="s">
        <v>92</v>
      </c>
      <c r="D2111" s="18" t="s">
        <v>2655</v>
      </c>
      <c r="E2111" s="18" t="s">
        <v>2661</v>
      </c>
      <c r="F2111" s="101">
        <v>46263.552083333336</v>
      </c>
      <c r="G2111" s="101">
        <v>46277.481249999997</v>
      </c>
      <c r="H2111" s="18" t="s">
        <v>507</v>
      </c>
      <c r="I2111" s="18" t="s">
        <v>508</v>
      </c>
      <c r="J2111" s="18"/>
      <c r="K2111" s="21">
        <f t="shared" si="96"/>
        <v>334.29999999987194</v>
      </c>
      <c r="L2111" s="19">
        <f t="shared" si="97"/>
        <v>58</v>
      </c>
      <c r="M2111" s="18" t="str">
        <f>IF(I2111&lt;&gt;"Sí","",IF(YEAR(F2111)&lt;&gt;2026,"",INDEX({"Enero","Febrero","Marzo","Abril","Mayo","Junio","Julio","Agosto","Septiembre","Octubre","Noviembre","Diciembre"},MONTH(F2111))))</f>
        <v>Agosto</v>
      </c>
      <c r="N2111" s="18" t="str">
        <f t="shared" si="98"/>
        <v>Agosto|58</v>
      </c>
    </row>
    <row r="2112" spans="1:14" ht="14.5" x14ac:dyDescent="0.25">
      <c r="A2112" s="19">
        <v>35</v>
      </c>
      <c r="B2112" s="18" t="s">
        <v>42</v>
      </c>
      <c r="C2112" s="18" t="s">
        <v>92</v>
      </c>
      <c r="D2112" s="18" t="s">
        <v>2655</v>
      </c>
      <c r="E2112" s="18" t="s">
        <v>2662</v>
      </c>
      <c r="F2112" s="101">
        <v>46263.552083333336</v>
      </c>
      <c r="G2112" s="101">
        <v>46277.481249999997</v>
      </c>
      <c r="H2112" s="18" t="s">
        <v>507</v>
      </c>
      <c r="I2112" s="18" t="s">
        <v>508</v>
      </c>
      <c r="J2112" s="18"/>
      <c r="K2112" s="21">
        <f t="shared" si="96"/>
        <v>334.29999999987194</v>
      </c>
      <c r="L2112" s="19">
        <f t="shared" si="97"/>
        <v>58</v>
      </c>
      <c r="M2112" s="18" t="str">
        <f>IF(I2112&lt;&gt;"Sí","",IF(YEAR(F2112)&lt;&gt;2026,"",INDEX({"Enero","Febrero","Marzo","Abril","Mayo","Junio","Julio","Agosto","Septiembre","Octubre","Noviembre","Diciembre"},MONTH(F2112))))</f>
        <v>Agosto</v>
      </c>
      <c r="N2112" s="18" t="str">
        <f t="shared" si="98"/>
        <v>Agosto|58</v>
      </c>
    </row>
    <row r="2113" spans="1:14" ht="14.5" x14ac:dyDescent="0.25">
      <c r="A2113" s="19">
        <v>35</v>
      </c>
      <c r="B2113" s="18" t="s">
        <v>42</v>
      </c>
      <c r="C2113" s="18" t="s">
        <v>158</v>
      </c>
      <c r="D2113" s="18" t="s">
        <v>158</v>
      </c>
      <c r="E2113" s="18" t="s">
        <v>2663</v>
      </c>
      <c r="F2113" s="101">
        <v>46263.618055555555</v>
      </c>
      <c r="G2113" s="101">
        <v>46267.21875</v>
      </c>
      <c r="H2113" s="18" t="s">
        <v>507</v>
      </c>
      <c r="I2113" s="18" t="s">
        <v>508</v>
      </c>
      <c r="J2113" s="18"/>
      <c r="K2113" s="21">
        <f t="shared" si="96"/>
        <v>86.416666666686069</v>
      </c>
      <c r="L2113" s="19">
        <f t="shared" si="97"/>
        <v>43</v>
      </c>
      <c r="M2113" s="18" t="str">
        <f>IF(I2113&lt;&gt;"Sí","",IF(YEAR(F2113)&lt;&gt;2026,"",INDEX({"Enero","Febrero","Marzo","Abril","Mayo","Junio","Julio","Agosto","Septiembre","Octubre","Noviembre","Diciembre"},MONTH(F2113))))</f>
        <v>Agosto</v>
      </c>
      <c r="N2113" s="18" t="str">
        <f t="shared" si="98"/>
        <v>Agosto|43</v>
      </c>
    </row>
    <row r="2114" spans="1:14" ht="14.5" x14ac:dyDescent="0.25">
      <c r="A2114" s="19">
        <v>35</v>
      </c>
      <c r="B2114" s="18" t="s">
        <v>42</v>
      </c>
      <c r="C2114" s="18" t="s">
        <v>99</v>
      </c>
      <c r="D2114" s="18" t="s">
        <v>99</v>
      </c>
      <c r="E2114" s="18" t="s">
        <v>2664</v>
      </c>
      <c r="F2114" s="101">
        <v>46263.618055555555</v>
      </c>
      <c r="G2114" s="101">
        <v>46270.833333333336</v>
      </c>
      <c r="H2114" s="18" t="s">
        <v>507</v>
      </c>
      <c r="I2114" s="18" t="s">
        <v>508</v>
      </c>
      <c r="J2114" s="18"/>
      <c r="K2114" s="21">
        <f t="shared" si="96"/>
        <v>173.16666666674428</v>
      </c>
      <c r="L2114" s="19">
        <f t="shared" si="97"/>
        <v>43</v>
      </c>
      <c r="M2114" s="18" t="str">
        <f>IF(I2114&lt;&gt;"Sí","",IF(YEAR(F2114)&lt;&gt;2026,"",INDEX({"Enero","Febrero","Marzo","Abril","Mayo","Junio","Julio","Agosto","Septiembre","Octubre","Noviembre","Diciembre"},MONTH(F2114))))</f>
        <v>Agosto</v>
      </c>
      <c r="N2114" s="18" t="str">
        <f t="shared" si="98"/>
        <v>Agosto|43</v>
      </c>
    </row>
    <row r="2115" spans="1:14" ht="14.5" x14ac:dyDescent="0.25">
      <c r="A2115" s="19">
        <v>35</v>
      </c>
      <c r="B2115" s="18" t="s">
        <v>42</v>
      </c>
      <c r="C2115" s="18" t="s">
        <v>934</v>
      </c>
      <c r="D2115" s="18" t="s">
        <v>2642</v>
      </c>
      <c r="E2115" s="18" t="s">
        <v>2665</v>
      </c>
      <c r="F2115" s="101">
        <v>46263.618055555555</v>
      </c>
      <c r="G2115" s="101">
        <v>46272.49722222222</v>
      </c>
      <c r="H2115" s="18" t="s">
        <v>507</v>
      </c>
      <c r="I2115" s="18" t="s">
        <v>508</v>
      </c>
      <c r="J2115" s="18"/>
      <c r="K2115" s="21">
        <f t="shared" si="96"/>
        <v>213.09999999997672</v>
      </c>
      <c r="L2115" s="19">
        <f t="shared" si="97"/>
        <v>43</v>
      </c>
      <c r="M2115" s="18" t="str">
        <f>IF(I2115&lt;&gt;"Sí","",IF(YEAR(F2115)&lt;&gt;2026,"",INDEX({"Enero","Febrero","Marzo","Abril","Mayo","Junio","Julio","Agosto","Septiembre","Octubre","Noviembre","Diciembre"},MONTH(F2115))))</f>
        <v>Agosto</v>
      </c>
      <c r="N2115" s="18" t="str">
        <f t="shared" si="98"/>
        <v>Agosto|43</v>
      </c>
    </row>
    <row r="2116" spans="1:14" ht="14.5" x14ac:dyDescent="0.25">
      <c r="A2116" s="19">
        <v>35</v>
      </c>
      <c r="B2116" s="18" t="s">
        <v>42</v>
      </c>
      <c r="C2116" s="18" t="s">
        <v>934</v>
      </c>
      <c r="D2116" s="18" t="s">
        <v>2642</v>
      </c>
      <c r="E2116" s="18" t="s">
        <v>2666</v>
      </c>
      <c r="F2116" s="101">
        <v>46263.618055555555</v>
      </c>
      <c r="G2116" s="101">
        <v>46271.906944444447</v>
      </c>
      <c r="H2116" s="18" t="s">
        <v>507</v>
      </c>
      <c r="I2116" s="18" t="s">
        <v>508</v>
      </c>
      <c r="J2116" s="18"/>
      <c r="K2116" s="21">
        <f t="shared" si="96"/>
        <v>198.93333333340706</v>
      </c>
      <c r="L2116" s="19">
        <f t="shared" si="97"/>
        <v>43</v>
      </c>
      <c r="M2116" s="18" t="str">
        <f>IF(I2116&lt;&gt;"Sí","",IF(YEAR(F2116)&lt;&gt;2026,"",INDEX({"Enero","Febrero","Marzo","Abril","Mayo","Junio","Julio","Agosto","Septiembre","Octubre","Noviembre","Diciembre"},MONTH(F2116))))</f>
        <v>Agosto</v>
      </c>
      <c r="N2116" s="18" t="str">
        <f t="shared" si="98"/>
        <v>Agosto|43</v>
      </c>
    </row>
    <row r="2117" spans="1:14" ht="14.5" x14ac:dyDescent="0.25">
      <c r="A2117" s="19">
        <v>34</v>
      </c>
      <c r="B2117" s="18" t="s">
        <v>41</v>
      </c>
      <c r="C2117" s="18" t="s">
        <v>153</v>
      </c>
      <c r="D2117" s="18" t="s">
        <v>2285</v>
      </c>
      <c r="E2117" s="18" t="s">
        <v>2667</v>
      </c>
      <c r="F2117" s="101"/>
      <c r="G2117" s="101">
        <v>46263.699305555558</v>
      </c>
      <c r="H2117" s="18" t="s">
        <v>554</v>
      </c>
      <c r="I2117" s="18" t="s">
        <v>555</v>
      </c>
      <c r="J2117" s="18" t="s">
        <v>556</v>
      </c>
      <c r="K2117" s="21" t="str">
        <f t="shared" si="96"/>
        <v/>
      </c>
      <c r="L2117" s="19" t="str">
        <f t="shared" si="97"/>
        <v/>
      </c>
      <c r="M2117" s="18" t="str">
        <f>IF(I2117&lt;&gt;"Sí","",IF(YEAR(F2117)&lt;&gt;2026,"",INDEX({"Enero","Febrero","Marzo","Abril","Mayo","Junio","Julio","Agosto","Septiembre","Octubre","Noviembre","Diciembre"},MONTH(F2117))))</f>
        <v/>
      </c>
      <c r="N2117" s="18" t="str">
        <f t="shared" si="98"/>
        <v/>
      </c>
    </row>
    <row r="2118" spans="1:14" ht="14.5" x14ac:dyDescent="0.25">
      <c r="A2118" s="19">
        <v>35</v>
      </c>
      <c r="B2118" s="18" t="s">
        <v>42</v>
      </c>
      <c r="C2118" s="18" t="s">
        <v>153</v>
      </c>
      <c r="D2118" s="18" t="s">
        <v>2285</v>
      </c>
      <c r="E2118" s="18" t="s">
        <v>2667</v>
      </c>
      <c r="F2118" s="101">
        <v>46263.745833333334</v>
      </c>
      <c r="G2118" s="101">
        <v>46277.060416666667</v>
      </c>
      <c r="H2118" s="18" t="s">
        <v>554</v>
      </c>
      <c r="I2118" s="18" t="s">
        <v>508</v>
      </c>
      <c r="J2118" s="18"/>
      <c r="K2118" s="21">
        <f t="shared" si="96"/>
        <v>319.54999999998836</v>
      </c>
      <c r="L2118" s="19">
        <f t="shared" si="97"/>
        <v>44</v>
      </c>
      <c r="M2118" s="18" t="str">
        <f>IF(I2118&lt;&gt;"Sí","",IF(YEAR(F2118)&lt;&gt;2026,"",INDEX({"Enero","Febrero","Marzo","Abril","Mayo","Junio","Julio","Agosto","Septiembre","Octubre","Noviembre","Diciembre"},MONTH(F2118))))</f>
        <v>Agosto</v>
      </c>
      <c r="N2118" s="18" t="str">
        <f t="shared" si="98"/>
        <v>Agosto|44</v>
      </c>
    </row>
    <row r="2119" spans="1:14" ht="14.5" x14ac:dyDescent="0.25">
      <c r="A2119" s="19">
        <v>34</v>
      </c>
      <c r="B2119" s="18" t="s">
        <v>41</v>
      </c>
      <c r="C2119" s="18" t="s">
        <v>97</v>
      </c>
      <c r="D2119" s="18" t="s">
        <v>2290</v>
      </c>
      <c r="E2119" s="18" t="s">
        <v>2668</v>
      </c>
      <c r="F2119" s="101"/>
      <c r="G2119" s="101">
        <v>46264.453472222223</v>
      </c>
      <c r="H2119" s="18" t="s">
        <v>554</v>
      </c>
      <c r="I2119" s="18" t="s">
        <v>555</v>
      </c>
      <c r="J2119" s="18" t="s">
        <v>556</v>
      </c>
      <c r="K2119" s="21" t="str">
        <f t="shared" ref="K2119:K2182" si="99">IF(I2119="Sí",(G2119-F2119)*24,"")</f>
        <v/>
      </c>
      <c r="L2119" s="19" t="str">
        <f t="shared" ref="L2119:L2182" si="100">IF(I2119="Sí",COUNTIFS($F$7:$F$4000,"&lt;="&amp;F2119,$G$7:$G$4000,"&gt;"&amp;F2119,$I$7:$I$4000,"Sí"),"")</f>
        <v/>
      </c>
      <c r="M2119" s="18" t="str">
        <f>IF(I2119&lt;&gt;"Sí","",IF(YEAR(F2119)&lt;&gt;2026,"",INDEX({"Enero","Febrero","Marzo","Abril","Mayo","Junio","Julio","Agosto","Septiembre","Octubre","Noviembre","Diciembre"},MONTH(F2119))))</f>
        <v/>
      </c>
      <c r="N2119" s="18" t="str">
        <f t="shared" ref="N2119:N2182" si="101">IF(M2119="","",M2119&amp;"|"&amp;L2119)</f>
        <v/>
      </c>
    </row>
    <row r="2120" spans="1:14" ht="14.5" x14ac:dyDescent="0.25">
      <c r="A2120" s="19">
        <v>34</v>
      </c>
      <c r="B2120" s="18" t="s">
        <v>41</v>
      </c>
      <c r="C2120" s="18" t="s">
        <v>97</v>
      </c>
      <c r="D2120" s="18" t="s">
        <v>2290</v>
      </c>
      <c r="E2120" s="18" t="s">
        <v>2669</v>
      </c>
      <c r="F2120" s="101"/>
      <c r="G2120" s="101">
        <v>46264.453472222223</v>
      </c>
      <c r="H2120" s="18" t="s">
        <v>554</v>
      </c>
      <c r="I2120" s="18" t="s">
        <v>555</v>
      </c>
      <c r="J2120" s="18" t="s">
        <v>556</v>
      </c>
      <c r="K2120" s="21" t="str">
        <f t="shared" si="99"/>
        <v/>
      </c>
      <c r="L2120" s="19" t="str">
        <f t="shared" si="100"/>
        <v/>
      </c>
      <c r="M2120" s="18" t="str">
        <f>IF(I2120&lt;&gt;"Sí","",IF(YEAR(F2120)&lt;&gt;2026,"",INDEX({"Enero","Febrero","Marzo","Abril","Mayo","Junio","Julio","Agosto","Septiembre","Octubre","Noviembre","Diciembre"},MONTH(F2120))))</f>
        <v/>
      </c>
      <c r="N2120" s="18" t="str">
        <f t="shared" si="101"/>
        <v/>
      </c>
    </row>
    <row r="2121" spans="1:14" ht="14.5" x14ac:dyDescent="0.25">
      <c r="A2121" s="19">
        <v>34</v>
      </c>
      <c r="B2121" s="18" t="s">
        <v>41</v>
      </c>
      <c r="C2121" s="18" t="s">
        <v>97</v>
      </c>
      <c r="D2121" s="18" t="s">
        <v>2290</v>
      </c>
      <c r="E2121" s="18" t="s">
        <v>2670</v>
      </c>
      <c r="F2121" s="101"/>
      <c r="G2121" s="101">
        <v>46264.453472222223</v>
      </c>
      <c r="H2121" s="18" t="s">
        <v>554</v>
      </c>
      <c r="I2121" s="18" t="s">
        <v>555</v>
      </c>
      <c r="J2121" s="18" t="s">
        <v>556</v>
      </c>
      <c r="K2121" s="21" t="str">
        <f t="shared" si="99"/>
        <v/>
      </c>
      <c r="L2121" s="19" t="str">
        <f t="shared" si="100"/>
        <v/>
      </c>
      <c r="M2121" s="18" t="str">
        <f>IF(I2121&lt;&gt;"Sí","",IF(YEAR(F2121)&lt;&gt;2026,"",INDEX({"Enero","Febrero","Marzo","Abril","Mayo","Junio","Julio","Agosto","Septiembre","Octubre","Noviembre","Diciembre"},MONTH(F2121))))</f>
        <v/>
      </c>
      <c r="N2121" s="18" t="str">
        <f t="shared" si="101"/>
        <v/>
      </c>
    </row>
    <row r="2122" spans="1:14" ht="14.5" x14ac:dyDescent="0.25">
      <c r="A2122" s="19">
        <v>34</v>
      </c>
      <c r="B2122" s="18" t="s">
        <v>41</v>
      </c>
      <c r="C2122" s="18" t="s">
        <v>97</v>
      </c>
      <c r="D2122" s="18" t="s">
        <v>2290</v>
      </c>
      <c r="E2122" s="18" t="s">
        <v>2671</v>
      </c>
      <c r="F2122" s="101"/>
      <c r="G2122" s="101">
        <v>46264.453472222223</v>
      </c>
      <c r="H2122" s="18" t="s">
        <v>554</v>
      </c>
      <c r="I2122" s="18" t="s">
        <v>555</v>
      </c>
      <c r="J2122" s="18" t="s">
        <v>556</v>
      </c>
      <c r="K2122" s="21" t="str">
        <f t="shared" si="99"/>
        <v/>
      </c>
      <c r="L2122" s="19" t="str">
        <f t="shared" si="100"/>
        <v/>
      </c>
      <c r="M2122" s="18" t="str">
        <f>IF(I2122&lt;&gt;"Sí","",IF(YEAR(F2122)&lt;&gt;2026,"",INDEX({"Enero","Febrero","Marzo","Abril","Mayo","Junio","Julio","Agosto","Septiembre","Octubre","Noviembre","Diciembre"},MONTH(F2122))))</f>
        <v/>
      </c>
      <c r="N2122" s="18" t="str">
        <f t="shared" si="101"/>
        <v/>
      </c>
    </row>
    <row r="2123" spans="1:14" ht="14.5" x14ac:dyDescent="0.25">
      <c r="A2123" s="19">
        <v>34</v>
      </c>
      <c r="B2123" s="18" t="s">
        <v>41</v>
      </c>
      <c r="C2123" s="18" t="s">
        <v>97</v>
      </c>
      <c r="D2123" s="18" t="s">
        <v>2290</v>
      </c>
      <c r="E2123" s="18" t="s">
        <v>2672</v>
      </c>
      <c r="F2123" s="101"/>
      <c r="G2123" s="101">
        <v>46264.453472222223</v>
      </c>
      <c r="H2123" s="18" t="s">
        <v>554</v>
      </c>
      <c r="I2123" s="18" t="s">
        <v>555</v>
      </c>
      <c r="J2123" s="18" t="s">
        <v>556</v>
      </c>
      <c r="K2123" s="21" t="str">
        <f t="shared" si="99"/>
        <v/>
      </c>
      <c r="L2123" s="19" t="str">
        <f t="shared" si="100"/>
        <v/>
      </c>
      <c r="M2123" s="18" t="str">
        <f>IF(I2123&lt;&gt;"Sí","",IF(YEAR(F2123)&lt;&gt;2026,"",INDEX({"Enero","Febrero","Marzo","Abril","Mayo","Junio","Julio","Agosto","Septiembre","Octubre","Noviembre","Diciembre"},MONTH(F2123))))</f>
        <v/>
      </c>
      <c r="N2123" s="18" t="str">
        <f t="shared" si="101"/>
        <v/>
      </c>
    </row>
    <row r="2124" spans="1:14" ht="14.5" x14ac:dyDescent="0.25">
      <c r="A2124" s="19">
        <v>34</v>
      </c>
      <c r="B2124" s="18" t="s">
        <v>41</v>
      </c>
      <c r="C2124" s="18" t="s">
        <v>97</v>
      </c>
      <c r="D2124" s="18" t="s">
        <v>2290</v>
      </c>
      <c r="E2124" s="18" t="s">
        <v>2673</v>
      </c>
      <c r="F2124" s="101"/>
      <c r="G2124" s="101">
        <v>46264.453472222223</v>
      </c>
      <c r="H2124" s="18" t="s">
        <v>554</v>
      </c>
      <c r="I2124" s="18" t="s">
        <v>555</v>
      </c>
      <c r="J2124" s="18" t="s">
        <v>556</v>
      </c>
      <c r="K2124" s="21" t="str">
        <f t="shared" si="99"/>
        <v/>
      </c>
      <c r="L2124" s="19" t="str">
        <f t="shared" si="100"/>
        <v/>
      </c>
      <c r="M2124" s="18" t="str">
        <f>IF(I2124&lt;&gt;"Sí","",IF(YEAR(F2124)&lt;&gt;2026,"",INDEX({"Enero","Febrero","Marzo","Abril","Mayo","Junio","Julio","Agosto","Septiembre","Octubre","Noviembre","Diciembre"},MONTH(F2124))))</f>
        <v/>
      </c>
      <c r="N2124" s="18" t="str">
        <f t="shared" si="101"/>
        <v/>
      </c>
    </row>
    <row r="2125" spans="1:14" ht="14.5" x14ac:dyDescent="0.25">
      <c r="A2125" s="19">
        <v>34</v>
      </c>
      <c r="B2125" s="18" t="s">
        <v>41</v>
      </c>
      <c r="C2125" s="18" t="s">
        <v>97</v>
      </c>
      <c r="D2125" s="18" t="s">
        <v>2290</v>
      </c>
      <c r="E2125" s="18" t="s">
        <v>2674</v>
      </c>
      <c r="F2125" s="101"/>
      <c r="G2125" s="101">
        <v>46264.453472222223</v>
      </c>
      <c r="H2125" s="18" t="s">
        <v>554</v>
      </c>
      <c r="I2125" s="18" t="s">
        <v>555</v>
      </c>
      <c r="J2125" s="18" t="s">
        <v>556</v>
      </c>
      <c r="K2125" s="21" t="str">
        <f t="shared" si="99"/>
        <v/>
      </c>
      <c r="L2125" s="19" t="str">
        <f t="shared" si="100"/>
        <v/>
      </c>
      <c r="M2125" s="18" t="str">
        <f>IF(I2125&lt;&gt;"Sí","",IF(YEAR(F2125)&lt;&gt;2026,"",INDEX({"Enero","Febrero","Marzo","Abril","Mayo","Junio","Julio","Agosto","Septiembre","Octubre","Noviembre","Diciembre"},MONTH(F2125))))</f>
        <v/>
      </c>
      <c r="N2125" s="18" t="str">
        <f t="shared" si="101"/>
        <v/>
      </c>
    </row>
    <row r="2126" spans="1:14" ht="14.5" x14ac:dyDescent="0.25">
      <c r="A2126" s="19">
        <v>34</v>
      </c>
      <c r="B2126" s="18" t="s">
        <v>41</v>
      </c>
      <c r="C2126" s="18" t="s">
        <v>97</v>
      </c>
      <c r="D2126" s="18" t="s">
        <v>2290</v>
      </c>
      <c r="E2126" s="18" t="s">
        <v>2675</v>
      </c>
      <c r="F2126" s="101"/>
      <c r="G2126" s="101">
        <v>46264.453472222223</v>
      </c>
      <c r="H2126" s="18" t="s">
        <v>554</v>
      </c>
      <c r="I2126" s="18" t="s">
        <v>555</v>
      </c>
      <c r="J2126" s="18" t="s">
        <v>556</v>
      </c>
      <c r="K2126" s="21" t="str">
        <f t="shared" si="99"/>
        <v/>
      </c>
      <c r="L2126" s="19" t="str">
        <f t="shared" si="100"/>
        <v/>
      </c>
      <c r="M2126" s="18" t="str">
        <f>IF(I2126&lt;&gt;"Sí","",IF(YEAR(F2126)&lt;&gt;2026,"",INDEX({"Enero","Febrero","Marzo","Abril","Mayo","Junio","Julio","Agosto","Septiembre","Octubre","Noviembre","Diciembre"},MONTH(F2126))))</f>
        <v/>
      </c>
      <c r="N2126" s="18" t="str">
        <f t="shared" si="101"/>
        <v/>
      </c>
    </row>
    <row r="2127" spans="1:14" ht="14.5" x14ac:dyDescent="0.25">
      <c r="A2127" s="19">
        <v>35</v>
      </c>
      <c r="B2127" s="18" t="s">
        <v>42</v>
      </c>
      <c r="C2127" s="18" t="s">
        <v>106</v>
      </c>
      <c r="D2127" s="18" t="s">
        <v>106</v>
      </c>
      <c r="E2127" s="18" t="s">
        <v>2676</v>
      </c>
      <c r="F2127" s="101">
        <v>46265.525694444441</v>
      </c>
      <c r="G2127" s="101">
        <v>46267.931944444441</v>
      </c>
      <c r="H2127" s="18" t="s">
        <v>507</v>
      </c>
      <c r="I2127" s="18" t="s">
        <v>508</v>
      </c>
      <c r="J2127" s="18"/>
      <c r="K2127" s="21">
        <f t="shared" si="99"/>
        <v>57.75</v>
      </c>
      <c r="L2127" s="19">
        <f t="shared" si="100"/>
        <v>30</v>
      </c>
      <c r="M2127" s="18" t="str">
        <f>IF(I2127&lt;&gt;"Sí","",IF(YEAR(F2127)&lt;&gt;2026,"",INDEX({"Enero","Febrero","Marzo","Abril","Mayo","Junio","Julio","Agosto","Septiembre","Octubre","Noviembre","Diciembre"},MONTH(F2127))))</f>
        <v>Agosto</v>
      </c>
      <c r="N2127" s="18" t="str">
        <f t="shared" si="101"/>
        <v>Agosto|30</v>
      </c>
    </row>
    <row r="2128" spans="1:14" ht="14.5" x14ac:dyDescent="0.25">
      <c r="A2128" s="19">
        <v>35</v>
      </c>
      <c r="B2128" s="18" t="s">
        <v>42</v>
      </c>
      <c r="C2128" s="18" t="s">
        <v>934</v>
      </c>
      <c r="D2128" s="18" t="s">
        <v>2642</v>
      </c>
      <c r="E2128" s="18" t="s">
        <v>2677</v>
      </c>
      <c r="F2128" s="101">
        <v>46265.549305555556</v>
      </c>
      <c r="G2128" s="101">
        <v>46271.9375</v>
      </c>
      <c r="H2128" s="18" t="s">
        <v>507</v>
      </c>
      <c r="I2128" s="18" t="s">
        <v>508</v>
      </c>
      <c r="J2128" s="18"/>
      <c r="K2128" s="21">
        <f t="shared" si="99"/>
        <v>153.31666666665114</v>
      </c>
      <c r="L2128" s="19">
        <f t="shared" si="100"/>
        <v>31</v>
      </c>
      <c r="M2128" s="18" t="str">
        <f>IF(I2128&lt;&gt;"Sí","",IF(YEAR(F2128)&lt;&gt;2026,"",INDEX({"Enero","Febrero","Marzo","Abril","Mayo","Junio","Julio","Agosto","Septiembre","Octubre","Noviembre","Diciembre"},MONTH(F2128))))</f>
        <v>Agosto</v>
      </c>
      <c r="N2128" s="18" t="str">
        <f t="shared" si="101"/>
        <v>Agosto|31</v>
      </c>
    </row>
    <row r="2129" spans="1:14" ht="14.5" x14ac:dyDescent="0.25">
      <c r="A2129" s="19">
        <v>35</v>
      </c>
      <c r="B2129" s="18" t="s">
        <v>42</v>
      </c>
      <c r="C2129" s="18" t="s">
        <v>195</v>
      </c>
      <c r="D2129" s="18" t="s">
        <v>2651</v>
      </c>
      <c r="E2129" s="18" t="s">
        <v>2678</v>
      </c>
      <c r="F2129" s="101">
        <v>46266.438888888886</v>
      </c>
      <c r="G2129" s="101">
        <v>46274.436111111114</v>
      </c>
      <c r="H2129" s="18" t="s">
        <v>507</v>
      </c>
      <c r="I2129" s="18" t="s">
        <v>508</v>
      </c>
      <c r="J2129" s="18"/>
      <c r="K2129" s="21">
        <f t="shared" si="99"/>
        <v>191.93333333346527</v>
      </c>
      <c r="L2129" s="19">
        <f t="shared" si="100"/>
        <v>32</v>
      </c>
      <c r="M2129" s="18" t="str">
        <f>IF(I2129&lt;&gt;"Sí","",IF(YEAR(F2129)&lt;&gt;2026,"",INDEX({"Enero","Febrero","Marzo","Abril","Mayo","Junio","Julio","Agosto","Septiembre","Octubre","Noviembre","Diciembre"},MONTH(F2129))))</f>
        <v>Septiembre</v>
      </c>
      <c r="N2129" s="18" t="str">
        <f t="shared" si="101"/>
        <v>Septiembre|32</v>
      </c>
    </row>
    <row r="2130" spans="1:14" ht="14.5" x14ac:dyDescent="0.25">
      <c r="A2130" s="19">
        <v>35</v>
      </c>
      <c r="B2130" s="18" t="s">
        <v>42</v>
      </c>
      <c r="C2130" s="18" t="s">
        <v>447</v>
      </c>
      <c r="D2130" s="18" t="s">
        <v>2679</v>
      </c>
      <c r="E2130" s="18" t="s">
        <v>2680</v>
      </c>
      <c r="F2130" s="101">
        <v>46266.576388888891</v>
      </c>
      <c r="G2130" s="101">
        <v>46275.05972222222</v>
      </c>
      <c r="H2130" s="18" t="s">
        <v>507</v>
      </c>
      <c r="I2130" s="18" t="s">
        <v>508</v>
      </c>
      <c r="J2130" s="18"/>
      <c r="K2130" s="21">
        <f t="shared" si="99"/>
        <v>203.59999999991851</v>
      </c>
      <c r="L2130" s="19">
        <f t="shared" si="100"/>
        <v>33</v>
      </c>
      <c r="M2130" s="18" t="str">
        <f>IF(I2130&lt;&gt;"Sí","",IF(YEAR(F2130)&lt;&gt;2026,"",INDEX({"Enero","Febrero","Marzo","Abril","Mayo","Junio","Julio","Agosto","Septiembre","Octubre","Noviembre","Diciembre"},MONTH(F2130))))</f>
        <v>Septiembre</v>
      </c>
      <c r="N2130" s="18" t="str">
        <f t="shared" si="101"/>
        <v>Septiembre|33</v>
      </c>
    </row>
    <row r="2131" spans="1:14" ht="14.5" x14ac:dyDescent="0.25">
      <c r="A2131" s="19">
        <v>35</v>
      </c>
      <c r="B2131" s="18" t="s">
        <v>42</v>
      </c>
      <c r="C2131" s="18" t="s">
        <v>92</v>
      </c>
      <c r="D2131" s="18" t="s">
        <v>2655</v>
      </c>
      <c r="E2131" s="18" t="s">
        <v>2681</v>
      </c>
      <c r="F2131" s="101">
        <v>46266.582638888889</v>
      </c>
      <c r="G2131" s="101">
        <v>46277.481249999997</v>
      </c>
      <c r="H2131" s="18" t="s">
        <v>507</v>
      </c>
      <c r="I2131" s="18" t="s">
        <v>508</v>
      </c>
      <c r="J2131" s="18"/>
      <c r="K2131" s="21">
        <f t="shared" si="99"/>
        <v>261.56666666659294</v>
      </c>
      <c r="L2131" s="19">
        <f t="shared" si="100"/>
        <v>34</v>
      </c>
      <c r="M2131" s="18" t="str">
        <f>IF(I2131&lt;&gt;"Sí","",IF(YEAR(F2131)&lt;&gt;2026,"",INDEX({"Enero","Febrero","Marzo","Abril","Mayo","Junio","Julio","Agosto","Septiembre","Octubre","Noviembre","Diciembre"},MONTH(F2131))))</f>
        <v>Septiembre</v>
      </c>
      <c r="N2131" s="18" t="str">
        <f t="shared" si="101"/>
        <v>Septiembre|34</v>
      </c>
    </row>
    <row r="2132" spans="1:14" ht="14.5" x14ac:dyDescent="0.25">
      <c r="A2132" s="19">
        <v>35</v>
      </c>
      <c r="B2132" s="18" t="s">
        <v>42</v>
      </c>
      <c r="C2132" s="18" t="s">
        <v>447</v>
      </c>
      <c r="D2132" s="18" t="s">
        <v>2679</v>
      </c>
      <c r="E2132" s="18" t="s">
        <v>2682</v>
      </c>
      <c r="F2132" s="101">
        <v>46266.599305555559</v>
      </c>
      <c r="G2132" s="101">
        <v>46275.057638888888</v>
      </c>
      <c r="H2132" s="18" t="s">
        <v>507</v>
      </c>
      <c r="I2132" s="18" t="s">
        <v>508</v>
      </c>
      <c r="J2132" s="18"/>
      <c r="K2132" s="21">
        <f t="shared" si="99"/>
        <v>202.99999999988358</v>
      </c>
      <c r="L2132" s="19">
        <f t="shared" si="100"/>
        <v>34</v>
      </c>
      <c r="M2132" s="18" t="str">
        <f>IF(I2132&lt;&gt;"Sí","",IF(YEAR(F2132)&lt;&gt;2026,"",INDEX({"Enero","Febrero","Marzo","Abril","Mayo","Junio","Julio","Agosto","Septiembre","Octubre","Noviembre","Diciembre"},MONTH(F2132))))</f>
        <v>Septiembre</v>
      </c>
      <c r="N2132" s="18" t="str">
        <f t="shared" si="101"/>
        <v>Septiembre|34</v>
      </c>
    </row>
    <row r="2133" spans="1:14" ht="14.5" x14ac:dyDescent="0.25">
      <c r="A2133" s="19">
        <v>35</v>
      </c>
      <c r="B2133" s="18" t="s">
        <v>42</v>
      </c>
      <c r="C2133" s="18" t="s">
        <v>934</v>
      </c>
      <c r="D2133" s="18" t="s">
        <v>2642</v>
      </c>
      <c r="E2133" s="18" t="s">
        <v>2683</v>
      </c>
      <c r="F2133" s="101">
        <v>46266.666666666664</v>
      </c>
      <c r="G2133" s="101">
        <v>46271.932638888888</v>
      </c>
      <c r="H2133" s="18" t="s">
        <v>507</v>
      </c>
      <c r="I2133" s="18" t="s">
        <v>508</v>
      </c>
      <c r="J2133" s="18"/>
      <c r="K2133" s="21">
        <f t="shared" si="99"/>
        <v>126.3833333333605</v>
      </c>
      <c r="L2133" s="19">
        <f t="shared" si="100"/>
        <v>35</v>
      </c>
      <c r="M2133" s="18" t="str">
        <f>IF(I2133&lt;&gt;"Sí","",IF(YEAR(F2133)&lt;&gt;2026,"",INDEX({"Enero","Febrero","Marzo","Abril","Mayo","Junio","Julio","Agosto","Septiembre","Octubre","Noviembre","Diciembre"},MONTH(F2133))))</f>
        <v>Septiembre</v>
      </c>
      <c r="N2133" s="18" t="str">
        <f t="shared" si="101"/>
        <v>Septiembre|35</v>
      </c>
    </row>
    <row r="2134" spans="1:14" ht="14.5" x14ac:dyDescent="0.25">
      <c r="A2134" s="19">
        <v>35</v>
      </c>
      <c r="B2134" s="18" t="s">
        <v>42</v>
      </c>
      <c r="C2134" s="18" t="s">
        <v>934</v>
      </c>
      <c r="D2134" s="18" t="s">
        <v>2642</v>
      </c>
      <c r="E2134" s="18" t="s">
        <v>2684</v>
      </c>
      <c r="F2134" s="101">
        <v>46266.668749999997</v>
      </c>
      <c r="G2134" s="101">
        <v>46271.909722222219</v>
      </c>
      <c r="H2134" s="18" t="s">
        <v>507</v>
      </c>
      <c r="I2134" s="18" t="s">
        <v>508</v>
      </c>
      <c r="J2134" s="18"/>
      <c r="K2134" s="21">
        <f t="shared" si="99"/>
        <v>125.78333333332557</v>
      </c>
      <c r="L2134" s="19">
        <f t="shared" si="100"/>
        <v>36</v>
      </c>
      <c r="M2134" s="18" t="str">
        <f>IF(I2134&lt;&gt;"Sí","",IF(YEAR(F2134)&lt;&gt;2026,"",INDEX({"Enero","Febrero","Marzo","Abril","Mayo","Junio","Julio","Agosto","Septiembre","Octubre","Noviembre","Diciembre"},MONTH(F2134))))</f>
        <v>Septiembre</v>
      </c>
      <c r="N2134" s="18" t="str">
        <f t="shared" si="101"/>
        <v>Septiembre|36</v>
      </c>
    </row>
    <row r="2135" spans="1:14" ht="14.5" x14ac:dyDescent="0.25">
      <c r="A2135" s="19">
        <v>35</v>
      </c>
      <c r="B2135" s="18" t="s">
        <v>42</v>
      </c>
      <c r="C2135" s="18" t="s">
        <v>99</v>
      </c>
      <c r="D2135" s="18" t="s">
        <v>2685</v>
      </c>
      <c r="E2135" s="18" t="s">
        <v>2686</v>
      </c>
      <c r="F2135" s="101">
        <v>46267</v>
      </c>
      <c r="G2135" s="101">
        <v>46270.805555555555</v>
      </c>
      <c r="H2135" s="18" t="s">
        <v>507</v>
      </c>
      <c r="I2135" s="18" t="s">
        <v>508</v>
      </c>
      <c r="J2135" s="18"/>
      <c r="K2135" s="21">
        <f t="shared" si="99"/>
        <v>91.333333333313931</v>
      </c>
      <c r="L2135" s="19">
        <f t="shared" si="100"/>
        <v>37</v>
      </c>
      <c r="M2135" s="18" t="str">
        <f>IF(I2135&lt;&gt;"Sí","",IF(YEAR(F2135)&lt;&gt;2026,"",INDEX({"Enero","Febrero","Marzo","Abril","Mayo","Junio","Julio","Agosto","Septiembre","Octubre","Noviembre","Diciembre"},MONTH(F2135))))</f>
        <v>Septiembre</v>
      </c>
      <c r="N2135" s="18" t="str">
        <f t="shared" si="101"/>
        <v>Septiembre|37</v>
      </c>
    </row>
    <row r="2136" spans="1:14" ht="14.5" x14ac:dyDescent="0.25">
      <c r="A2136" s="19">
        <v>35</v>
      </c>
      <c r="B2136" s="18" t="s">
        <v>42</v>
      </c>
      <c r="C2136" s="18" t="s">
        <v>99</v>
      </c>
      <c r="D2136" s="18" t="s">
        <v>2685</v>
      </c>
      <c r="E2136" s="18" t="s">
        <v>2687</v>
      </c>
      <c r="F2136" s="101">
        <v>46267.182638888888</v>
      </c>
      <c r="G2136" s="101">
        <v>46270.673611111109</v>
      </c>
      <c r="H2136" s="18" t="s">
        <v>507</v>
      </c>
      <c r="I2136" s="18" t="s">
        <v>508</v>
      </c>
      <c r="J2136" s="18"/>
      <c r="K2136" s="21">
        <f t="shared" si="99"/>
        <v>83.783333333325572</v>
      </c>
      <c r="L2136" s="19">
        <f t="shared" si="100"/>
        <v>38</v>
      </c>
      <c r="M2136" s="18" t="str">
        <f>IF(I2136&lt;&gt;"Sí","",IF(YEAR(F2136)&lt;&gt;2026,"",INDEX({"Enero","Febrero","Marzo","Abril","Mayo","Junio","Julio","Agosto","Septiembre","Octubre","Noviembre","Diciembre"},MONTH(F2136))))</f>
        <v>Septiembre</v>
      </c>
      <c r="N2136" s="18" t="str">
        <f t="shared" si="101"/>
        <v>Septiembre|38</v>
      </c>
    </row>
    <row r="2137" spans="1:14" ht="14.5" x14ac:dyDescent="0.25">
      <c r="A2137" s="19">
        <v>35</v>
      </c>
      <c r="B2137" s="18" t="s">
        <v>42</v>
      </c>
      <c r="C2137" s="18" t="s">
        <v>99</v>
      </c>
      <c r="D2137" s="18" t="s">
        <v>2685</v>
      </c>
      <c r="E2137" s="18" t="s">
        <v>2688</v>
      </c>
      <c r="F2137" s="101">
        <v>46267.186805555553</v>
      </c>
      <c r="G2137" s="101">
        <v>46270.645833333336</v>
      </c>
      <c r="H2137" s="18" t="s">
        <v>507</v>
      </c>
      <c r="I2137" s="18" t="s">
        <v>508</v>
      </c>
      <c r="J2137" s="18"/>
      <c r="K2137" s="21">
        <f t="shared" si="99"/>
        <v>83.016666666779201</v>
      </c>
      <c r="L2137" s="19">
        <f t="shared" si="100"/>
        <v>39</v>
      </c>
      <c r="M2137" s="18" t="str">
        <f>IF(I2137&lt;&gt;"Sí","",IF(YEAR(F2137)&lt;&gt;2026,"",INDEX({"Enero","Febrero","Marzo","Abril","Mayo","Junio","Julio","Agosto","Septiembre","Octubre","Noviembre","Diciembre"},MONTH(F2137))))</f>
        <v>Septiembre</v>
      </c>
      <c r="N2137" s="18" t="str">
        <f t="shared" si="101"/>
        <v>Septiembre|39</v>
      </c>
    </row>
    <row r="2138" spans="1:14" ht="14.5" x14ac:dyDescent="0.25">
      <c r="A2138" s="19">
        <v>35</v>
      </c>
      <c r="B2138" s="18" t="s">
        <v>42</v>
      </c>
      <c r="C2138" s="18" t="s">
        <v>99</v>
      </c>
      <c r="D2138" s="18" t="s">
        <v>2685</v>
      </c>
      <c r="E2138" s="18" t="s">
        <v>2689</v>
      </c>
      <c r="F2138" s="101">
        <v>46267.188194444447</v>
      </c>
      <c r="G2138" s="101">
        <v>46270.645833333336</v>
      </c>
      <c r="H2138" s="18" t="s">
        <v>507</v>
      </c>
      <c r="I2138" s="18" t="s">
        <v>508</v>
      </c>
      <c r="J2138" s="18"/>
      <c r="K2138" s="21">
        <f t="shared" si="99"/>
        <v>82.983333333337214</v>
      </c>
      <c r="L2138" s="19">
        <f t="shared" si="100"/>
        <v>40</v>
      </c>
      <c r="M2138" s="18" t="str">
        <f>IF(I2138&lt;&gt;"Sí","",IF(YEAR(F2138)&lt;&gt;2026,"",INDEX({"Enero","Febrero","Marzo","Abril","Mayo","Junio","Julio","Agosto","Septiembre","Octubre","Noviembre","Diciembre"},MONTH(F2138))))</f>
        <v>Septiembre</v>
      </c>
      <c r="N2138" s="18" t="str">
        <f t="shared" si="101"/>
        <v>Septiembre|40</v>
      </c>
    </row>
    <row r="2139" spans="1:14" ht="14.5" x14ac:dyDescent="0.25">
      <c r="A2139" s="19">
        <v>35</v>
      </c>
      <c r="B2139" s="18" t="s">
        <v>42</v>
      </c>
      <c r="C2139" s="18" t="s">
        <v>99</v>
      </c>
      <c r="D2139" s="18" t="s">
        <v>2685</v>
      </c>
      <c r="E2139" s="18" t="s">
        <v>2690</v>
      </c>
      <c r="F2139" s="101">
        <v>46267.191666666666</v>
      </c>
      <c r="G2139" s="101">
        <v>46270.673611111109</v>
      </c>
      <c r="H2139" s="18" t="s">
        <v>507</v>
      </c>
      <c r="I2139" s="18" t="s">
        <v>508</v>
      </c>
      <c r="J2139" s="18"/>
      <c r="K2139" s="21">
        <f t="shared" si="99"/>
        <v>83.566666666651145</v>
      </c>
      <c r="L2139" s="19">
        <f t="shared" si="100"/>
        <v>41</v>
      </c>
      <c r="M2139" s="18" t="str">
        <f>IF(I2139&lt;&gt;"Sí","",IF(YEAR(F2139)&lt;&gt;2026,"",INDEX({"Enero","Febrero","Marzo","Abril","Mayo","Junio","Julio","Agosto","Septiembre","Octubre","Noviembre","Diciembre"},MONTH(F2139))))</f>
        <v>Septiembre</v>
      </c>
      <c r="N2139" s="18" t="str">
        <f t="shared" si="101"/>
        <v>Septiembre|41</v>
      </c>
    </row>
    <row r="2140" spans="1:14" ht="14.5" x14ac:dyDescent="0.25">
      <c r="A2140" s="19">
        <v>35</v>
      </c>
      <c r="B2140" s="18" t="s">
        <v>42</v>
      </c>
      <c r="C2140" s="18" t="s">
        <v>99</v>
      </c>
      <c r="D2140" s="18" t="s">
        <v>2685</v>
      </c>
      <c r="E2140" s="18" t="s">
        <v>2691</v>
      </c>
      <c r="F2140" s="101">
        <v>46267.193055555559</v>
      </c>
      <c r="G2140" s="101">
        <v>46270.673611111109</v>
      </c>
      <c r="H2140" s="18" t="s">
        <v>507</v>
      </c>
      <c r="I2140" s="18" t="s">
        <v>508</v>
      </c>
      <c r="J2140" s="18"/>
      <c r="K2140" s="21">
        <f t="shared" si="99"/>
        <v>83.533333333209157</v>
      </c>
      <c r="L2140" s="19">
        <f t="shared" si="100"/>
        <v>42</v>
      </c>
      <c r="M2140" s="18" t="str">
        <f>IF(I2140&lt;&gt;"Sí","",IF(YEAR(F2140)&lt;&gt;2026,"",INDEX({"Enero","Febrero","Marzo","Abril","Mayo","Junio","Julio","Agosto","Septiembre","Octubre","Noviembre","Diciembre"},MONTH(F2140))))</f>
        <v>Septiembre</v>
      </c>
      <c r="N2140" s="18" t="str">
        <f t="shared" si="101"/>
        <v>Septiembre|42</v>
      </c>
    </row>
    <row r="2141" spans="1:14" ht="14.5" x14ac:dyDescent="0.25">
      <c r="A2141" s="19">
        <v>35</v>
      </c>
      <c r="B2141" s="18" t="s">
        <v>42</v>
      </c>
      <c r="C2141" s="18" t="s">
        <v>99</v>
      </c>
      <c r="D2141" s="18" t="s">
        <v>2685</v>
      </c>
      <c r="E2141" s="18" t="s">
        <v>2692</v>
      </c>
      <c r="F2141" s="101">
        <v>46267.194444444445</v>
      </c>
      <c r="G2141" s="101">
        <v>46270.635416666664</v>
      </c>
      <c r="H2141" s="18" t="s">
        <v>507</v>
      </c>
      <c r="I2141" s="18" t="s">
        <v>508</v>
      </c>
      <c r="J2141" s="18"/>
      <c r="K2141" s="21">
        <f t="shared" si="99"/>
        <v>82.583333333255723</v>
      </c>
      <c r="L2141" s="19">
        <f t="shared" si="100"/>
        <v>43</v>
      </c>
      <c r="M2141" s="18" t="str">
        <f>IF(I2141&lt;&gt;"Sí","",IF(YEAR(F2141)&lt;&gt;2026,"",INDEX({"Enero","Febrero","Marzo","Abril","Mayo","Junio","Julio","Agosto","Septiembre","Octubre","Noviembre","Diciembre"},MONTH(F2141))))</f>
        <v>Septiembre</v>
      </c>
      <c r="N2141" s="18" t="str">
        <f t="shared" si="101"/>
        <v>Septiembre|43</v>
      </c>
    </row>
    <row r="2142" spans="1:14" ht="14.5" x14ac:dyDescent="0.25">
      <c r="A2142" s="19">
        <v>35</v>
      </c>
      <c r="B2142" s="18" t="s">
        <v>42</v>
      </c>
      <c r="C2142" s="18" t="s">
        <v>99</v>
      </c>
      <c r="D2142" s="18" t="s">
        <v>2685</v>
      </c>
      <c r="E2142" s="18" t="s">
        <v>2693</v>
      </c>
      <c r="F2142" s="101">
        <v>46267.195138888892</v>
      </c>
      <c r="G2142" s="101">
        <v>46270.635416666664</v>
      </c>
      <c r="H2142" s="18" t="s">
        <v>507</v>
      </c>
      <c r="I2142" s="18" t="s">
        <v>508</v>
      </c>
      <c r="J2142" s="18"/>
      <c r="K2142" s="21">
        <f t="shared" si="99"/>
        <v>82.566666666534729</v>
      </c>
      <c r="L2142" s="19">
        <f t="shared" si="100"/>
        <v>44</v>
      </c>
      <c r="M2142" s="18" t="str">
        <f>IF(I2142&lt;&gt;"Sí","",IF(YEAR(F2142)&lt;&gt;2026,"",INDEX({"Enero","Febrero","Marzo","Abril","Mayo","Junio","Julio","Agosto","Septiembre","Octubre","Noviembre","Diciembre"},MONTH(F2142))))</f>
        <v>Septiembre</v>
      </c>
      <c r="N2142" s="18" t="str">
        <f t="shared" si="101"/>
        <v>Septiembre|44</v>
      </c>
    </row>
    <row r="2143" spans="1:14" ht="14.5" x14ac:dyDescent="0.25">
      <c r="A2143" s="19">
        <v>35</v>
      </c>
      <c r="B2143" s="18" t="s">
        <v>42</v>
      </c>
      <c r="C2143" s="18" t="s">
        <v>99</v>
      </c>
      <c r="D2143" s="18" t="s">
        <v>2685</v>
      </c>
      <c r="E2143" s="18" t="s">
        <v>2694</v>
      </c>
      <c r="F2143" s="101">
        <v>46267.196527777778</v>
      </c>
      <c r="G2143" s="101">
        <v>46270.635416666664</v>
      </c>
      <c r="H2143" s="18" t="s">
        <v>507</v>
      </c>
      <c r="I2143" s="18" t="s">
        <v>508</v>
      </c>
      <c r="J2143" s="18"/>
      <c r="K2143" s="21">
        <f t="shared" si="99"/>
        <v>82.533333333267365</v>
      </c>
      <c r="L2143" s="19">
        <f t="shared" si="100"/>
        <v>45</v>
      </c>
      <c r="M2143" s="18" t="str">
        <f>IF(I2143&lt;&gt;"Sí","",IF(YEAR(F2143)&lt;&gt;2026,"",INDEX({"Enero","Febrero","Marzo","Abril","Mayo","Junio","Julio","Agosto","Septiembre","Octubre","Noviembre","Diciembre"},MONTH(F2143))))</f>
        <v>Septiembre</v>
      </c>
      <c r="N2143" s="18" t="str">
        <f t="shared" si="101"/>
        <v>Septiembre|45</v>
      </c>
    </row>
    <row r="2144" spans="1:14" ht="14.5" x14ac:dyDescent="0.25">
      <c r="A2144" s="19">
        <v>35</v>
      </c>
      <c r="B2144" s="18" t="s">
        <v>42</v>
      </c>
      <c r="C2144" s="18" t="s">
        <v>99</v>
      </c>
      <c r="D2144" s="18" t="s">
        <v>2685</v>
      </c>
      <c r="E2144" s="18" t="s">
        <v>2695</v>
      </c>
      <c r="F2144" s="101">
        <v>46267.197916666664</v>
      </c>
      <c r="G2144" s="101">
        <v>46270.635416666664</v>
      </c>
      <c r="H2144" s="18" t="s">
        <v>507</v>
      </c>
      <c r="I2144" s="18" t="s">
        <v>508</v>
      </c>
      <c r="J2144" s="18"/>
      <c r="K2144" s="21">
        <f t="shared" si="99"/>
        <v>82.5</v>
      </c>
      <c r="L2144" s="19">
        <f t="shared" si="100"/>
        <v>46</v>
      </c>
      <c r="M2144" s="18" t="str">
        <f>IF(I2144&lt;&gt;"Sí","",IF(YEAR(F2144)&lt;&gt;2026,"",INDEX({"Enero","Febrero","Marzo","Abril","Mayo","Junio","Julio","Agosto","Septiembre","Octubre","Noviembre","Diciembre"},MONTH(F2144))))</f>
        <v>Septiembre</v>
      </c>
      <c r="N2144" s="18" t="str">
        <f t="shared" si="101"/>
        <v>Septiembre|46</v>
      </c>
    </row>
    <row r="2145" spans="1:14" ht="14.5" x14ac:dyDescent="0.25">
      <c r="A2145" s="19">
        <v>35</v>
      </c>
      <c r="B2145" s="18" t="s">
        <v>42</v>
      </c>
      <c r="C2145" s="18" t="s">
        <v>99</v>
      </c>
      <c r="D2145" s="18" t="s">
        <v>2685</v>
      </c>
      <c r="E2145" s="18" t="s">
        <v>2696</v>
      </c>
      <c r="F2145" s="101">
        <v>46267.199305555558</v>
      </c>
      <c r="G2145" s="101">
        <v>46270.635416666664</v>
      </c>
      <c r="H2145" s="18" t="s">
        <v>507</v>
      </c>
      <c r="I2145" s="18" t="s">
        <v>508</v>
      </c>
      <c r="J2145" s="18"/>
      <c r="K2145" s="21">
        <f t="shared" si="99"/>
        <v>82.466666666558012</v>
      </c>
      <c r="L2145" s="19">
        <f t="shared" si="100"/>
        <v>47</v>
      </c>
      <c r="M2145" s="18" t="str">
        <f>IF(I2145&lt;&gt;"Sí","",IF(YEAR(F2145)&lt;&gt;2026,"",INDEX({"Enero","Febrero","Marzo","Abril","Mayo","Junio","Julio","Agosto","Septiembre","Octubre","Noviembre","Diciembre"},MONTH(F2145))))</f>
        <v>Septiembre</v>
      </c>
      <c r="N2145" s="18" t="str">
        <f t="shared" si="101"/>
        <v>Septiembre|47</v>
      </c>
    </row>
    <row r="2146" spans="1:14" ht="14.5" x14ac:dyDescent="0.25">
      <c r="A2146" s="19">
        <v>35</v>
      </c>
      <c r="B2146" s="18" t="s">
        <v>42</v>
      </c>
      <c r="C2146" s="18" t="s">
        <v>99</v>
      </c>
      <c r="D2146" s="18" t="s">
        <v>2685</v>
      </c>
      <c r="E2146" s="18" t="s">
        <v>2697</v>
      </c>
      <c r="F2146" s="101">
        <v>46267.20208333333</v>
      </c>
      <c r="G2146" s="101">
        <v>46270.635416666664</v>
      </c>
      <c r="H2146" s="18" t="s">
        <v>507</v>
      </c>
      <c r="I2146" s="18" t="s">
        <v>508</v>
      </c>
      <c r="J2146" s="18"/>
      <c r="K2146" s="21">
        <f t="shared" si="99"/>
        <v>82.400000000023283</v>
      </c>
      <c r="L2146" s="19">
        <f t="shared" si="100"/>
        <v>48</v>
      </c>
      <c r="M2146" s="18" t="str">
        <f>IF(I2146&lt;&gt;"Sí","",IF(YEAR(F2146)&lt;&gt;2026,"",INDEX({"Enero","Febrero","Marzo","Abril","Mayo","Junio","Julio","Agosto","Septiembre","Octubre","Noviembre","Diciembre"},MONTH(F2146))))</f>
        <v>Septiembre</v>
      </c>
      <c r="N2146" s="18" t="str">
        <f t="shared" si="101"/>
        <v>Septiembre|48</v>
      </c>
    </row>
    <row r="2147" spans="1:14" ht="14.5" x14ac:dyDescent="0.25">
      <c r="A2147" s="19">
        <v>35</v>
      </c>
      <c r="B2147" s="18" t="s">
        <v>42</v>
      </c>
      <c r="C2147" s="18" t="s">
        <v>99</v>
      </c>
      <c r="D2147" s="18" t="s">
        <v>2685</v>
      </c>
      <c r="E2147" s="18" t="s">
        <v>2698</v>
      </c>
      <c r="F2147" s="101">
        <v>46267.208333333336</v>
      </c>
      <c r="G2147" s="101">
        <v>46270.635416666664</v>
      </c>
      <c r="H2147" s="18" t="s">
        <v>507</v>
      </c>
      <c r="I2147" s="18" t="s">
        <v>508</v>
      </c>
      <c r="J2147" s="18"/>
      <c r="K2147" s="21">
        <f t="shared" si="99"/>
        <v>82.249999999883585</v>
      </c>
      <c r="L2147" s="19">
        <f t="shared" si="100"/>
        <v>52</v>
      </c>
      <c r="M2147" s="18" t="str">
        <f>IF(I2147&lt;&gt;"Sí","",IF(YEAR(F2147)&lt;&gt;2026,"",INDEX({"Enero","Febrero","Marzo","Abril","Mayo","Junio","Julio","Agosto","Septiembre","Octubre","Noviembre","Diciembre"},MONTH(F2147))))</f>
        <v>Septiembre</v>
      </c>
      <c r="N2147" s="18" t="str">
        <f t="shared" si="101"/>
        <v>Septiembre|52</v>
      </c>
    </row>
    <row r="2148" spans="1:14" ht="14.5" x14ac:dyDescent="0.25">
      <c r="A2148" s="19">
        <v>35</v>
      </c>
      <c r="B2148" s="18" t="s">
        <v>42</v>
      </c>
      <c r="C2148" s="18" t="s">
        <v>99</v>
      </c>
      <c r="D2148" s="18" t="s">
        <v>2685</v>
      </c>
      <c r="E2148" s="18" t="s">
        <v>2699</v>
      </c>
      <c r="F2148" s="101">
        <v>46267.208333333336</v>
      </c>
      <c r="G2148" s="101">
        <v>46270.635416666664</v>
      </c>
      <c r="H2148" s="18" t="s">
        <v>507</v>
      </c>
      <c r="I2148" s="18" t="s">
        <v>508</v>
      </c>
      <c r="J2148" s="18"/>
      <c r="K2148" s="21">
        <f t="shared" si="99"/>
        <v>82.249999999883585</v>
      </c>
      <c r="L2148" s="19">
        <f t="shared" si="100"/>
        <v>52</v>
      </c>
      <c r="M2148" s="18" t="str">
        <f>IF(I2148&lt;&gt;"Sí","",IF(YEAR(F2148)&lt;&gt;2026,"",INDEX({"Enero","Febrero","Marzo","Abril","Mayo","Junio","Julio","Agosto","Septiembre","Octubre","Noviembre","Diciembre"},MONTH(F2148))))</f>
        <v>Septiembre</v>
      </c>
      <c r="N2148" s="18" t="str">
        <f t="shared" si="101"/>
        <v>Septiembre|52</v>
      </c>
    </row>
    <row r="2149" spans="1:14" ht="14.5" x14ac:dyDescent="0.25">
      <c r="A2149" s="19">
        <v>35</v>
      </c>
      <c r="B2149" s="18" t="s">
        <v>42</v>
      </c>
      <c r="C2149" s="18" t="s">
        <v>99</v>
      </c>
      <c r="D2149" s="18" t="s">
        <v>2685</v>
      </c>
      <c r="E2149" s="18" t="s">
        <v>2700</v>
      </c>
      <c r="F2149" s="101">
        <v>46267.208333333336</v>
      </c>
      <c r="G2149" s="101">
        <v>46270.635416666664</v>
      </c>
      <c r="H2149" s="18" t="s">
        <v>507</v>
      </c>
      <c r="I2149" s="18" t="s">
        <v>508</v>
      </c>
      <c r="J2149" s="18"/>
      <c r="K2149" s="21">
        <f t="shared" si="99"/>
        <v>82.249999999883585</v>
      </c>
      <c r="L2149" s="19">
        <f t="shared" si="100"/>
        <v>52</v>
      </c>
      <c r="M2149" s="18" t="str">
        <f>IF(I2149&lt;&gt;"Sí","",IF(YEAR(F2149)&lt;&gt;2026,"",INDEX({"Enero","Febrero","Marzo","Abril","Mayo","Junio","Julio","Agosto","Septiembre","Octubre","Noviembre","Diciembre"},MONTH(F2149))))</f>
        <v>Septiembre</v>
      </c>
      <c r="N2149" s="18" t="str">
        <f t="shared" si="101"/>
        <v>Septiembre|52</v>
      </c>
    </row>
    <row r="2150" spans="1:14" ht="14.5" x14ac:dyDescent="0.25">
      <c r="A2150" s="19">
        <v>35</v>
      </c>
      <c r="B2150" s="18" t="s">
        <v>42</v>
      </c>
      <c r="C2150" s="18" t="s">
        <v>99</v>
      </c>
      <c r="D2150" s="18" t="s">
        <v>2685</v>
      </c>
      <c r="E2150" s="18" t="s">
        <v>2701</v>
      </c>
      <c r="F2150" s="101">
        <v>46267.208333333336</v>
      </c>
      <c r="G2150" s="101">
        <v>46270.635416666664</v>
      </c>
      <c r="H2150" s="18" t="s">
        <v>507</v>
      </c>
      <c r="I2150" s="18" t="s">
        <v>508</v>
      </c>
      <c r="J2150" s="18"/>
      <c r="K2150" s="21">
        <f t="shared" si="99"/>
        <v>82.249999999883585</v>
      </c>
      <c r="L2150" s="19">
        <f t="shared" si="100"/>
        <v>52</v>
      </c>
      <c r="M2150" s="18" t="str">
        <f>IF(I2150&lt;&gt;"Sí","",IF(YEAR(F2150)&lt;&gt;2026,"",INDEX({"Enero","Febrero","Marzo","Abril","Mayo","Junio","Julio","Agosto","Septiembre","Octubre","Noviembre","Diciembre"},MONTH(F2150))))</f>
        <v>Septiembre</v>
      </c>
      <c r="N2150" s="18" t="str">
        <f t="shared" si="101"/>
        <v>Septiembre|52</v>
      </c>
    </row>
    <row r="2151" spans="1:14" ht="14.5" x14ac:dyDescent="0.25">
      <c r="A2151" s="19">
        <v>35</v>
      </c>
      <c r="B2151" s="18" t="s">
        <v>42</v>
      </c>
      <c r="C2151" s="18" t="s">
        <v>99</v>
      </c>
      <c r="D2151" s="18" t="s">
        <v>2685</v>
      </c>
      <c r="E2151" s="18" t="s">
        <v>2702</v>
      </c>
      <c r="F2151" s="101">
        <v>46267.215277777781</v>
      </c>
      <c r="G2151" s="101">
        <v>46270.635416666664</v>
      </c>
      <c r="H2151" s="18" t="s">
        <v>507</v>
      </c>
      <c r="I2151" s="18" t="s">
        <v>508</v>
      </c>
      <c r="J2151" s="18"/>
      <c r="K2151" s="21">
        <f t="shared" si="99"/>
        <v>82.083333333197515</v>
      </c>
      <c r="L2151" s="19">
        <f t="shared" si="100"/>
        <v>57</v>
      </c>
      <c r="M2151" s="18" t="str">
        <f>IF(I2151&lt;&gt;"Sí","",IF(YEAR(F2151)&lt;&gt;2026,"",INDEX({"Enero","Febrero","Marzo","Abril","Mayo","Junio","Julio","Agosto","Septiembre","Octubre","Noviembre","Diciembre"},MONTH(F2151))))</f>
        <v>Septiembre</v>
      </c>
      <c r="N2151" s="18" t="str">
        <f t="shared" si="101"/>
        <v>Septiembre|57</v>
      </c>
    </row>
    <row r="2152" spans="1:14" ht="14.5" x14ac:dyDescent="0.25">
      <c r="A2152" s="19">
        <v>35</v>
      </c>
      <c r="B2152" s="18" t="s">
        <v>42</v>
      </c>
      <c r="C2152" s="18" t="s">
        <v>99</v>
      </c>
      <c r="D2152" s="18" t="s">
        <v>2685</v>
      </c>
      <c r="E2152" s="18" t="s">
        <v>2703</v>
      </c>
      <c r="F2152" s="101">
        <v>46267.215277777781</v>
      </c>
      <c r="G2152" s="101">
        <v>46270.635416666664</v>
      </c>
      <c r="H2152" s="18" t="s">
        <v>507</v>
      </c>
      <c r="I2152" s="18" t="s">
        <v>508</v>
      </c>
      <c r="J2152" s="18"/>
      <c r="K2152" s="21">
        <f t="shared" si="99"/>
        <v>82.083333333197515</v>
      </c>
      <c r="L2152" s="19">
        <f t="shared" si="100"/>
        <v>57</v>
      </c>
      <c r="M2152" s="18" t="str">
        <f>IF(I2152&lt;&gt;"Sí","",IF(YEAR(F2152)&lt;&gt;2026,"",INDEX({"Enero","Febrero","Marzo","Abril","Mayo","Junio","Julio","Agosto","Septiembre","Octubre","Noviembre","Diciembre"},MONTH(F2152))))</f>
        <v>Septiembre</v>
      </c>
      <c r="N2152" s="18" t="str">
        <f t="shared" si="101"/>
        <v>Septiembre|57</v>
      </c>
    </row>
    <row r="2153" spans="1:14" ht="14.5" x14ac:dyDescent="0.25">
      <c r="A2153" s="19">
        <v>35</v>
      </c>
      <c r="B2153" s="18" t="s">
        <v>42</v>
      </c>
      <c r="C2153" s="18" t="s">
        <v>99</v>
      </c>
      <c r="D2153" s="18" t="s">
        <v>2685</v>
      </c>
      <c r="E2153" s="18" t="s">
        <v>2704</v>
      </c>
      <c r="F2153" s="101">
        <v>46267.215277777781</v>
      </c>
      <c r="G2153" s="101">
        <v>46270.635416666664</v>
      </c>
      <c r="H2153" s="18" t="s">
        <v>507</v>
      </c>
      <c r="I2153" s="18" t="s">
        <v>508</v>
      </c>
      <c r="J2153" s="18"/>
      <c r="K2153" s="21">
        <f t="shared" si="99"/>
        <v>82.083333333197515</v>
      </c>
      <c r="L2153" s="19">
        <f t="shared" si="100"/>
        <v>57</v>
      </c>
      <c r="M2153" s="18" t="str">
        <f>IF(I2153&lt;&gt;"Sí","",IF(YEAR(F2153)&lt;&gt;2026,"",INDEX({"Enero","Febrero","Marzo","Abril","Mayo","Junio","Julio","Agosto","Septiembre","Octubre","Noviembre","Diciembre"},MONTH(F2153))))</f>
        <v>Septiembre</v>
      </c>
      <c r="N2153" s="18" t="str">
        <f t="shared" si="101"/>
        <v>Septiembre|57</v>
      </c>
    </row>
    <row r="2154" spans="1:14" ht="14.5" x14ac:dyDescent="0.25">
      <c r="A2154" s="19">
        <v>35</v>
      </c>
      <c r="B2154" s="18" t="s">
        <v>42</v>
      </c>
      <c r="C2154" s="18" t="s">
        <v>99</v>
      </c>
      <c r="D2154" s="18" t="s">
        <v>2685</v>
      </c>
      <c r="E2154" s="18" t="s">
        <v>2705</v>
      </c>
      <c r="F2154" s="101">
        <v>46267.215277777781</v>
      </c>
      <c r="G2154" s="101">
        <v>46270.635416666664</v>
      </c>
      <c r="H2154" s="18" t="s">
        <v>507</v>
      </c>
      <c r="I2154" s="18" t="s">
        <v>508</v>
      </c>
      <c r="J2154" s="18"/>
      <c r="K2154" s="21">
        <f t="shared" si="99"/>
        <v>82.083333333197515</v>
      </c>
      <c r="L2154" s="19">
        <f t="shared" si="100"/>
        <v>57</v>
      </c>
      <c r="M2154" s="18" t="str">
        <f>IF(I2154&lt;&gt;"Sí","",IF(YEAR(F2154)&lt;&gt;2026,"",INDEX({"Enero","Febrero","Marzo","Abril","Mayo","Junio","Julio","Agosto","Septiembre","Octubre","Noviembre","Diciembre"},MONTH(F2154))))</f>
        <v>Septiembre</v>
      </c>
      <c r="N2154" s="18" t="str">
        <f t="shared" si="101"/>
        <v>Septiembre|57</v>
      </c>
    </row>
    <row r="2155" spans="1:14" ht="14.5" x14ac:dyDescent="0.25">
      <c r="A2155" s="19">
        <v>35</v>
      </c>
      <c r="B2155" s="18" t="s">
        <v>42</v>
      </c>
      <c r="C2155" s="18" t="s">
        <v>99</v>
      </c>
      <c r="D2155" s="18" t="s">
        <v>2685</v>
      </c>
      <c r="E2155" s="18" t="s">
        <v>2706</v>
      </c>
      <c r="F2155" s="101">
        <v>46267.215277777781</v>
      </c>
      <c r="G2155" s="101">
        <v>46270.635416666664</v>
      </c>
      <c r="H2155" s="18" t="s">
        <v>507</v>
      </c>
      <c r="I2155" s="18" t="s">
        <v>508</v>
      </c>
      <c r="J2155" s="18"/>
      <c r="K2155" s="21">
        <f t="shared" si="99"/>
        <v>82.083333333197515</v>
      </c>
      <c r="L2155" s="19">
        <f t="shared" si="100"/>
        <v>57</v>
      </c>
      <c r="M2155" s="18" t="str">
        <f>IF(I2155&lt;&gt;"Sí","",IF(YEAR(F2155)&lt;&gt;2026,"",INDEX({"Enero","Febrero","Marzo","Abril","Mayo","Junio","Julio","Agosto","Septiembre","Octubre","Noviembre","Diciembre"},MONTH(F2155))))</f>
        <v>Septiembre</v>
      </c>
      <c r="N2155" s="18" t="str">
        <f t="shared" si="101"/>
        <v>Septiembre|57</v>
      </c>
    </row>
    <row r="2156" spans="1:14" ht="14.5" x14ac:dyDescent="0.25">
      <c r="A2156" s="19">
        <v>35</v>
      </c>
      <c r="B2156" s="18" t="s">
        <v>42</v>
      </c>
      <c r="C2156" s="18" t="s">
        <v>99</v>
      </c>
      <c r="D2156" s="18" t="s">
        <v>2685</v>
      </c>
      <c r="E2156" s="18" t="s">
        <v>2707</v>
      </c>
      <c r="F2156" s="101">
        <v>46267.220138888886</v>
      </c>
      <c r="G2156" s="101">
        <v>46270.635416666664</v>
      </c>
      <c r="H2156" s="18" t="s">
        <v>507</v>
      </c>
      <c r="I2156" s="18" t="s">
        <v>508</v>
      </c>
      <c r="J2156" s="18"/>
      <c r="K2156" s="21">
        <f t="shared" si="99"/>
        <v>81.966666666674428</v>
      </c>
      <c r="L2156" s="19">
        <f t="shared" si="100"/>
        <v>58</v>
      </c>
      <c r="M2156" s="18" t="str">
        <f>IF(I2156&lt;&gt;"Sí","",IF(YEAR(F2156)&lt;&gt;2026,"",INDEX({"Enero","Febrero","Marzo","Abril","Mayo","Junio","Julio","Agosto","Septiembre","Octubre","Noviembre","Diciembre"},MONTH(F2156))))</f>
        <v>Septiembre</v>
      </c>
      <c r="N2156" s="18" t="str">
        <f t="shared" si="101"/>
        <v>Septiembre|58</v>
      </c>
    </row>
    <row r="2157" spans="1:14" ht="14.5" x14ac:dyDescent="0.25">
      <c r="A2157" s="19">
        <v>35</v>
      </c>
      <c r="B2157" s="18" t="s">
        <v>42</v>
      </c>
      <c r="C2157" s="18" t="s">
        <v>99</v>
      </c>
      <c r="D2157" s="18" t="s">
        <v>2685</v>
      </c>
      <c r="E2157" s="18" t="s">
        <v>2708</v>
      </c>
      <c r="F2157" s="101">
        <v>46267.220138888886</v>
      </c>
      <c r="G2157" s="101">
        <v>46270.635416666664</v>
      </c>
      <c r="H2157" s="18" t="s">
        <v>507</v>
      </c>
      <c r="I2157" s="18" t="s">
        <v>508</v>
      </c>
      <c r="J2157" s="18"/>
      <c r="K2157" s="21">
        <f t="shared" si="99"/>
        <v>81.966666666674428</v>
      </c>
      <c r="L2157" s="19">
        <f t="shared" si="100"/>
        <v>58</v>
      </c>
      <c r="M2157" s="18" t="str">
        <f>IF(I2157&lt;&gt;"Sí","",IF(YEAR(F2157)&lt;&gt;2026,"",INDEX({"Enero","Febrero","Marzo","Abril","Mayo","Junio","Julio","Agosto","Septiembre","Octubre","Noviembre","Diciembre"},MONTH(F2157))))</f>
        <v>Septiembre</v>
      </c>
      <c r="N2157" s="18" t="str">
        <f t="shared" si="101"/>
        <v>Septiembre|58</v>
      </c>
    </row>
    <row r="2158" spans="1:14" ht="14.5" x14ac:dyDescent="0.25">
      <c r="A2158" s="19">
        <v>35</v>
      </c>
      <c r="B2158" s="18" t="s">
        <v>42</v>
      </c>
      <c r="C2158" s="18" t="s">
        <v>99</v>
      </c>
      <c r="D2158" s="18" t="s">
        <v>2685</v>
      </c>
      <c r="E2158" s="18" t="s">
        <v>2709</v>
      </c>
      <c r="F2158" s="101">
        <v>46267.220138888886</v>
      </c>
      <c r="G2158" s="101">
        <v>46270.635416666664</v>
      </c>
      <c r="H2158" s="18" t="s">
        <v>507</v>
      </c>
      <c r="I2158" s="18" t="s">
        <v>508</v>
      </c>
      <c r="J2158" s="18"/>
      <c r="K2158" s="21">
        <f t="shared" si="99"/>
        <v>81.966666666674428</v>
      </c>
      <c r="L2158" s="19">
        <f t="shared" si="100"/>
        <v>58</v>
      </c>
      <c r="M2158" s="18" t="str">
        <f>IF(I2158&lt;&gt;"Sí","",IF(YEAR(F2158)&lt;&gt;2026,"",INDEX({"Enero","Febrero","Marzo","Abril","Mayo","Junio","Julio","Agosto","Septiembre","Octubre","Noviembre","Diciembre"},MONTH(F2158))))</f>
        <v>Septiembre</v>
      </c>
      <c r="N2158" s="18" t="str">
        <f t="shared" si="101"/>
        <v>Septiembre|58</v>
      </c>
    </row>
    <row r="2159" spans="1:14" ht="14.5" x14ac:dyDescent="0.25">
      <c r="A2159" s="19">
        <v>35</v>
      </c>
      <c r="B2159" s="18" t="s">
        <v>42</v>
      </c>
      <c r="C2159" s="18" t="s">
        <v>99</v>
      </c>
      <c r="D2159" s="18" t="s">
        <v>2685</v>
      </c>
      <c r="E2159" s="18" t="s">
        <v>2710</v>
      </c>
      <c r="F2159" s="101">
        <v>46267.220138888886</v>
      </c>
      <c r="G2159" s="101">
        <v>46270.635416666664</v>
      </c>
      <c r="H2159" s="18" t="s">
        <v>507</v>
      </c>
      <c r="I2159" s="18" t="s">
        <v>508</v>
      </c>
      <c r="J2159" s="18"/>
      <c r="K2159" s="21">
        <f t="shared" si="99"/>
        <v>81.966666666674428</v>
      </c>
      <c r="L2159" s="19">
        <f t="shared" si="100"/>
        <v>58</v>
      </c>
      <c r="M2159" s="18" t="str">
        <f>IF(I2159&lt;&gt;"Sí","",IF(YEAR(F2159)&lt;&gt;2026,"",INDEX({"Enero","Febrero","Marzo","Abril","Mayo","Junio","Julio","Agosto","Septiembre","Octubre","Noviembre","Diciembre"},MONTH(F2159))))</f>
        <v>Septiembre</v>
      </c>
      <c r="N2159" s="18" t="str">
        <f t="shared" si="101"/>
        <v>Septiembre|58</v>
      </c>
    </row>
    <row r="2160" spans="1:14" ht="14.5" x14ac:dyDescent="0.25">
      <c r="A2160" s="19">
        <v>35</v>
      </c>
      <c r="B2160" s="18" t="s">
        <v>42</v>
      </c>
      <c r="C2160" s="18" t="s">
        <v>99</v>
      </c>
      <c r="D2160" s="18" t="s">
        <v>2685</v>
      </c>
      <c r="E2160" s="18" t="s">
        <v>2711</v>
      </c>
      <c r="F2160" s="101">
        <v>46267.220138888886</v>
      </c>
      <c r="G2160" s="101">
        <v>46270.635416666664</v>
      </c>
      <c r="H2160" s="18" t="s">
        <v>507</v>
      </c>
      <c r="I2160" s="18" t="s">
        <v>508</v>
      </c>
      <c r="J2160" s="18"/>
      <c r="K2160" s="21">
        <f t="shared" si="99"/>
        <v>81.966666666674428</v>
      </c>
      <c r="L2160" s="19">
        <f t="shared" si="100"/>
        <v>58</v>
      </c>
      <c r="M2160" s="18" t="str">
        <f>IF(I2160&lt;&gt;"Sí","",IF(YEAR(F2160)&lt;&gt;2026,"",INDEX({"Enero","Febrero","Marzo","Abril","Mayo","Junio","Julio","Agosto","Septiembre","Octubre","Noviembre","Diciembre"},MONTH(F2160))))</f>
        <v>Septiembre</v>
      </c>
      <c r="N2160" s="18" t="str">
        <f t="shared" si="101"/>
        <v>Septiembre|58</v>
      </c>
    </row>
    <row r="2161" spans="1:14" ht="14.5" x14ac:dyDescent="0.25">
      <c r="A2161" s="19">
        <v>35</v>
      </c>
      <c r="B2161" s="18" t="s">
        <v>42</v>
      </c>
      <c r="C2161" s="18" t="s">
        <v>99</v>
      </c>
      <c r="D2161" s="18" t="s">
        <v>2685</v>
      </c>
      <c r="E2161" s="18" t="s">
        <v>2712</v>
      </c>
      <c r="F2161" s="101">
        <v>46267.229861111111</v>
      </c>
      <c r="G2161" s="101">
        <v>46270.635416666664</v>
      </c>
      <c r="H2161" s="18" t="s">
        <v>507</v>
      </c>
      <c r="I2161" s="18" t="s">
        <v>508</v>
      </c>
      <c r="J2161" s="18"/>
      <c r="K2161" s="21">
        <f t="shared" si="99"/>
        <v>81.733333333279006</v>
      </c>
      <c r="L2161" s="19">
        <f t="shared" si="100"/>
        <v>59</v>
      </c>
      <c r="M2161" s="18" t="str">
        <f>IF(I2161&lt;&gt;"Sí","",IF(YEAR(F2161)&lt;&gt;2026,"",INDEX({"Enero","Febrero","Marzo","Abril","Mayo","Junio","Julio","Agosto","Septiembre","Octubre","Noviembre","Diciembre"},MONTH(F2161))))</f>
        <v>Septiembre</v>
      </c>
      <c r="N2161" s="18" t="str">
        <f t="shared" si="101"/>
        <v>Septiembre|59</v>
      </c>
    </row>
    <row r="2162" spans="1:14" ht="14.5" x14ac:dyDescent="0.25">
      <c r="A2162" s="19">
        <v>35</v>
      </c>
      <c r="B2162" s="18" t="s">
        <v>42</v>
      </c>
      <c r="C2162" s="18" t="s">
        <v>99</v>
      </c>
      <c r="D2162" s="18" t="s">
        <v>2685</v>
      </c>
      <c r="E2162" s="18" t="s">
        <v>2713</v>
      </c>
      <c r="F2162" s="101">
        <v>46267.232638888891</v>
      </c>
      <c r="G2162" s="101">
        <v>46270.243055555555</v>
      </c>
      <c r="H2162" s="18" t="s">
        <v>507</v>
      </c>
      <c r="I2162" s="18" t="s">
        <v>508</v>
      </c>
      <c r="J2162" s="18"/>
      <c r="K2162" s="21">
        <f t="shared" si="99"/>
        <v>72.249999999941792</v>
      </c>
      <c r="L2162" s="19">
        <f t="shared" si="100"/>
        <v>60</v>
      </c>
      <c r="M2162" s="18" t="str">
        <f>IF(I2162&lt;&gt;"Sí","",IF(YEAR(F2162)&lt;&gt;2026,"",INDEX({"Enero","Febrero","Marzo","Abril","Mayo","Junio","Julio","Agosto","Septiembre","Octubre","Noviembre","Diciembre"},MONTH(F2162))))</f>
        <v>Septiembre</v>
      </c>
      <c r="N2162" s="18" t="str">
        <f t="shared" si="101"/>
        <v>Septiembre|60</v>
      </c>
    </row>
    <row r="2163" spans="1:14" ht="14.5" x14ac:dyDescent="0.25">
      <c r="A2163" s="19">
        <v>35</v>
      </c>
      <c r="B2163" s="18" t="s">
        <v>42</v>
      </c>
      <c r="C2163" s="18" t="s">
        <v>99</v>
      </c>
      <c r="D2163" s="18" t="s">
        <v>2685</v>
      </c>
      <c r="E2163" s="18" t="s">
        <v>2714</v>
      </c>
      <c r="F2163" s="101">
        <v>46267.234027777777</v>
      </c>
      <c r="G2163" s="101">
        <v>46270.243055555555</v>
      </c>
      <c r="H2163" s="18" t="s">
        <v>507</v>
      </c>
      <c r="I2163" s="18" t="s">
        <v>508</v>
      </c>
      <c r="J2163" s="18"/>
      <c r="K2163" s="21">
        <f t="shared" si="99"/>
        <v>72.216666666674428</v>
      </c>
      <c r="L2163" s="19">
        <f t="shared" si="100"/>
        <v>61</v>
      </c>
      <c r="M2163" s="18" t="str">
        <f>IF(I2163&lt;&gt;"Sí","",IF(YEAR(F2163)&lt;&gt;2026,"",INDEX({"Enero","Febrero","Marzo","Abril","Mayo","Junio","Julio","Agosto","Septiembre","Octubre","Noviembre","Diciembre"},MONTH(F2163))))</f>
        <v>Septiembre</v>
      </c>
      <c r="N2163" s="18" t="str">
        <f t="shared" si="101"/>
        <v>Septiembre|61</v>
      </c>
    </row>
    <row r="2164" spans="1:14" ht="14.5" x14ac:dyDescent="0.25">
      <c r="A2164" s="19">
        <v>35</v>
      </c>
      <c r="B2164" s="18" t="s">
        <v>42</v>
      </c>
      <c r="C2164" s="18" t="s">
        <v>99</v>
      </c>
      <c r="D2164" s="18" t="s">
        <v>2685</v>
      </c>
      <c r="E2164" s="18" t="s">
        <v>2715</v>
      </c>
      <c r="F2164" s="101">
        <v>46267.23541666667</v>
      </c>
      <c r="G2164" s="101">
        <v>46270.243055555555</v>
      </c>
      <c r="H2164" s="18" t="s">
        <v>507</v>
      </c>
      <c r="I2164" s="18" t="s">
        <v>508</v>
      </c>
      <c r="J2164" s="18"/>
      <c r="K2164" s="21">
        <f t="shared" si="99"/>
        <v>72.18333333323244</v>
      </c>
      <c r="L2164" s="19">
        <f t="shared" si="100"/>
        <v>62</v>
      </c>
      <c r="M2164" s="18" t="str">
        <f>IF(I2164&lt;&gt;"Sí","",IF(YEAR(F2164)&lt;&gt;2026,"",INDEX({"Enero","Febrero","Marzo","Abril","Mayo","Junio","Julio","Agosto","Septiembre","Octubre","Noviembre","Diciembre"},MONTH(F2164))))</f>
        <v>Septiembre</v>
      </c>
      <c r="N2164" s="18" t="str">
        <f t="shared" si="101"/>
        <v>Septiembre|62</v>
      </c>
    </row>
    <row r="2165" spans="1:14" ht="14.5" x14ac:dyDescent="0.25">
      <c r="A2165" s="19">
        <v>35</v>
      </c>
      <c r="B2165" s="18" t="s">
        <v>42</v>
      </c>
      <c r="C2165" s="18" t="s">
        <v>99</v>
      </c>
      <c r="D2165" s="18" t="s">
        <v>2685</v>
      </c>
      <c r="E2165" s="18" t="s">
        <v>2716</v>
      </c>
      <c r="F2165" s="101">
        <v>46267.237500000003</v>
      </c>
      <c r="G2165" s="101">
        <v>46270.243055555555</v>
      </c>
      <c r="H2165" s="18" t="s">
        <v>507</v>
      </c>
      <c r="I2165" s="18" t="s">
        <v>508</v>
      </c>
      <c r="J2165" s="18"/>
      <c r="K2165" s="21">
        <f t="shared" si="99"/>
        <v>72.133333333244082</v>
      </c>
      <c r="L2165" s="19">
        <f t="shared" si="100"/>
        <v>63</v>
      </c>
      <c r="M2165" s="18" t="str">
        <f>IF(I2165&lt;&gt;"Sí","",IF(YEAR(F2165)&lt;&gt;2026,"",INDEX({"Enero","Febrero","Marzo","Abril","Mayo","Junio","Julio","Agosto","Septiembre","Octubre","Noviembre","Diciembre"},MONTH(F2165))))</f>
        <v>Septiembre</v>
      </c>
      <c r="N2165" s="18" t="str">
        <f t="shared" si="101"/>
        <v>Septiembre|63</v>
      </c>
    </row>
    <row r="2166" spans="1:14" ht="14.5" x14ac:dyDescent="0.25">
      <c r="A2166" s="19">
        <v>35</v>
      </c>
      <c r="B2166" s="18" t="s">
        <v>42</v>
      </c>
      <c r="C2166" s="18" t="s">
        <v>99</v>
      </c>
      <c r="D2166" s="18" t="s">
        <v>2685</v>
      </c>
      <c r="E2166" s="18" t="s">
        <v>2717</v>
      </c>
      <c r="F2166" s="101">
        <v>46267.238888888889</v>
      </c>
      <c r="G2166" s="101">
        <v>46270.243055555555</v>
      </c>
      <c r="H2166" s="18" t="s">
        <v>507</v>
      </c>
      <c r="I2166" s="18" t="s">
        <v>508</v>
      </c>
      <c r="J2166" s="18"/>
      <c r="K2166" s="21">
        <f t="shared" si="99"/>
        <v>72.099999999976717</v>
      </c>
      <c r="L2166" s="19">
        <f t="shared" si="100"/>
        <v>64</v>
      </c>
      <c r="M2166" s="18" t="str">
        <f>IF(I2166&lt;&gt;"Sí","",IF(YEAR(F2166)&lt;&gt;2026,"",INDEX({"Enero","Febrero","Marzo","Abril","Mayo","Junio","Julio","Agosto","Septiembre","Octubre","Noviembre","Diciembre"},MONTH(F2166))))</f>
        <v>Septiembre</v>
      </c>
      <c r="N2166" s="18" t="str">
        <f t="shared" si="101"/>
        <v>Septiembre|64</v>
      </c>
    </row>
    <row r="2167" spans="1:14" ht="14.5" x14ac:dyDescent="0.25">
      <c r="A2167" s="19">
        <v>35</v>
      </c>
      <c r="B2167" s="18" t="s">
        <v>42</v>
      </c>
      <c r="C2167" s="18" t="s">
        <v>99</v>
      </c>
      <c r="D2167" s="18" t="s">
        <v>2685</v>
      </c>
      <c r="E2167" s="18" t="s">
        <v>2718</v>
      </c>
      <c r="F2167" s="101">
        <v>46267.240277777775</v>
      </c>
      <c r="G2167" s="101">
        <v>46270.243055555555</v>
      </c>
      <c r="H2167" s="18" t="s">
        <v>507</v>
      </c>
      <c r="I2167" s="18" t="s">
        <v>508</v>
      </c>
      <c r="J2167" s="18"/>
      <c r="K2167" s="21">
        <f t="shared" si="99"/>
        <v>72.066666666709352</v>
      </c>
      <c r="L2167" s="19">
        <f t="shared" si="100"/>
        <v>65</v>
      </c>
      <c r="M2167" s="18" t="str">
        <f>IF(I2167&lt;&gt;"Sí","",IF(YEAR(F2167)&lt;&gt;2026,"",INDEX({"Enero","Febrero","Marzo","Abril","Mayo","Junio","Julio","Agosto","Septiembre","Octubre","Noviembre","Diciembre"},MONTH(F2167))))</f>
        <v>Septiembre</v>
      </c>
      <c r="N2167" s="18" t="str">
        <f t="shared" si="101"/>
        <v>Septiembre|65</v>
      </c>
    </row>
    <row r="2168" spans="1:14" ht="14.5" x14ac:dyDescent="0.25">
      <c r="A2168" s="19">
        <v>35</v>
      </c>
      <c r="B2168" s="18" t="s">
        <v>42</v>
      </c>
      <c r="C2168" s="18" t="s">
        <v>99</v>
      </c>
      <c r="D2168" s="18" t="s">
        <v>2685</v>
      </c>
      <c r="E2168" s="18" t="s">
        <v>2719</v>
      </c>
      <c r="F2168" s="101">
        <v>46267.242361111108</v>
      </c>
      <c r="G2168" s="101">
        <v>46270.243055555555</v>
      </c>
      <c r="H2168" s="18" t="s">
        <v>507</v>
      </c>
      <c r="I2168" s="18" t="s">
        <v>508</v>
      </c>
      <c r="J2168" s="18"/>
      <c r="K2168" s="21">
        <f t="shared" si="99"/>
        <v>72.016666666720994</v>
      </c>
      <c r="L2168" s="19">
        <f t="shared" si="100"/>
        <v>70</v>
      </c>
      <c r="M2168" s="18" t="str">
        <f>IF(I2168&lt;&gt;"Sí","",IF(YEAR(F2168)&lt;&gt;2026,"",INDEX({"Enero","Febrero","Marzo","Abril","Mayo","Junio","Julio","Agosto","Septiembre","Octubre","Noviembre","Diciembre"},MONTH(F2168))))</f>
        <v>Septiembre</v>
      </c>
      <c r="N2168" s="18" t="str">
        <f t="shared" si="101"/>
        <v>Septiembre|70</v>
      </c>
    </row>
    <row r="2169" spans="1:14" ht="14.5" x14ac:dyDescent="0.25">
      <c r="A2169" s="19">
        <v>35</v>
      </c>
      <c r="B2169" s="18" t="s">
        <v>42</v>
      </c>
      <c r="C2169" s="18" t="s">
        <v>99</v>
      </c>
      <c r="D2169" s="18" t="s">
        <v>2685</v>
      </c>
      <c r="E2169" s="18" t="s">
        <v>2720</v>
      </c>
      <c r="F2169" s="101">
        <v>46267.242361111108</v>
      </c>
      <c r="G2169" s="101">
        <v>46270.181250000001</v>
      </c>
      <c r="H2169" s="18" t="s">
        <v>507</v>
      </c>
      <c r="I2169" s="18" t="s">
        <v>508</v>
      </c>
      <c r="J2169" s="18"/>
      <c r="K2169" s="21">
        <f t="shared" si="99"/>
        <v>70.533333333441988</v>
      </c>
      <c r="L2169" s="19">
        <f t="shared" si="100"/>
        <v>70</v>
      </c>
      <c r="M2169" s="18" t="str">
        <f>IF(I2169&lt;&gt;"Sí","",IF(YEAR(F2169)&lt;&gt;2026,"",INDEX({"Enero","Febrero","Marzo","Abril","Mayo","Junio","Julio","Agosto","Septiembre","Octubre","Noviembre","Diciembre"},MONTH(F2169))))</f>
        <v>Septiembre</v>
      </c>
      <c r="N2169" s="18" t="str">
        <f t="shared" si="101"/>
        <v>Septiembre|70</v>
      </c>
    </row>
    <row r="2170" spans="1:14" ht="14.5" x14ac:dyDescent="0.25">
      <c r="A2170" s="19">
        <v>35</v>
      </c>
      <c r="B2170" s="18" t="s">
        <v>42</v>
      </c>
      <c r="C2170" s="18" t="s">
        <v>99</v>
      </c>
      <c r="D2170" s="18" t="s">
        <v>2685</v>
      </c>
      <c r="E2170" s="18" t="s">
        <v>2721</v>
      </c>
      <c r="F2170" s="101">
        <v>46267.242361111108</v>
      </c>
      <c r="G2170" s="101">
        <v>46270.181250000001</v>
      </c>
      <c r="H2170" s="18" t="s">
        <v>507</v>
      </c>
      <c r="I2170" s="18" t="s">
        <v>508</v>
      </c>
      <c r="J2170" s="18"/>
      <c r="K2170" s="21">
        <f t="shared" si="99"/>
        <v>70.533333333441988</v>
      </c>
      <c r="L2170" s="19">
        <f t="shared" si="100"/>
        <v>70</v>
      </c>
      <c r="M2170" s="18" t="str">
        <f>IF(I2170&lt;&gt;"Sí","",IF(YEAR(F2170)&lt;&gt;2026,"",INDEX({"Enero","Febrero","Marzo","Abril","Mayo","Junio","Julio","Agosto","Septiembre","Octubre","Noviembre","Diciembre"},MONTH(F2170))))</f>
        <v>Septiembre</v>
      </c>
      <c r="N2170" s="18" t="str">
        <f t="shared" si="101"/>
        <v>Septiembre|70</v>
      </c>
    </row>
    <row r="2171" spans="1:14" ht="14.5" x14ac:dyDescent="0.25">
      <c r="A2171" s="19">
        <v>35</v>
      </c>
      <c r="B2171" s="18" t="s">
        <v>42</v>
      </c>
      <c r="C2171" s="18" t="s">
        <v>99</v>
      </c>
      <c r="D2171" s="18" t="s">
        <v>2685</v>
      </c>
      <c r="E2171" s="18" t="s">
        <v>2722</v>
      </c>
      <c r="F2171" s="101">
        <v>46267.242361111108</v>
      </c>
      <c r="G2171" s="101">
        <v>46270.181250000001</v>
      </c>
      <c r="H2171" s="18" t="s">
        <v>507</v>
      </c>
      <c r="I2171" s="18" t="s">
        <v>508</v>
      </c>
      <c r="J2171" s="18"/>
      <c r="K2171" s="21">
        <f t="shared" si="99"/>
        <v>70.533333333441988</v>
      </c>
      <c r="L2171" s="19">
        <f t="shared" si="100"/>
        <v>70</v>
      </c>
      <c r="M2171" s="18" t="str">
        <f>IF(I2171&lt;&gt;"Sí","",IF(YEAR(F2171)&lt;&gt;2026,"",INDEX({"Enero","Febrero","Marzo","Abril","Mayo","Junio","Julio","Agosto","Septiembre","Octubre","Noviembre","Diciembre"},MONTH(F2171))))</f>
        <v>Septiembre</v>
      </c>
      <c r="N2171" s="18" t="str">
        <f t="shared" si="101"/>
        <v>Septiembre|70</v>
      </c>
    </row>
    <row r="2172" spans="1:14" ht="14.5" x14ac:dyDescent="0.25">
      <c r="A2172" s="19">
        <v>35</v>
      </c>
      <c r="B2172" s="18" t="s">
        <v>42</v>
      </c>
      <c r="C2172" s="18" t="s">
        <v>99</v>
      </c>
      <c r="D2172" s="18" t="s">
        <v>2685</v>
      </c>
      <c r="E2172" s="18" t="s">
        <v>2723</v>
      </c>
      <c r="F2172" s="101">
        <v>46267.242361111108</v>
      </c>
      <c r="G2172" s="101">
        <v>46270.181250000001</v>
      </c>
      <c r="H2172" s="18" t="s">
        <v>507</v>
      </c>
      <c r="I2172" s="18" t="s">
        <v>508</v>
      </c>
      <c r="J2172" s="18"/>
      <c r="K2172" s="21">
        <f t="shared" si="99"/>
        <v>70.533333333441988</v>
      </c>
      <c r="L2172" s="19">
        <f t="shared" si="100"/>
        <v>70</v>
      </c>
      <c r="M2172" s="18" t="str">
        <f>IF(I2172&lt;&gt;"Sí","",IF(YEAR(F2172)&lt;&gt;2026,"",INDEX({"Enero","Febrero","Marzo","Abril","Mayo","Junio","Julio","Agosto","Septiembre","Octubre","Noviembre","Diciembre"},MONTH(F2172))))</f>
        <v>Septiembre</v>
      </c>
      <c r="N2172" s="18" t="str">
        <f t="shared" si="101"/>
        <v>Septiembre|70</v>
      </c>
    </row>
    <row r="2173" spans="1:14" ht="14.5" x14ac:dyDescent="0.25">
      <c r="A2173" s="19">
        <v>35</v>
      </c>
      <c r="B2173" s="18" t="s">
        <v>42</v>
      </c>
      <c r="C2173" s="18" t="s">
        <v>99</v>
      </c>
      <c r="D2173" s="18" t="s">
        <v>2685</v>
      </c>
      <c r="E2173" s="18" t="s">
        <v>2724</v>
      </c>
      <c r="F2173" s="101">
        <v>46267.24722222222</v>
      </c>
      <c r="G2173" s="101">
        <v>46270.181250000001</v>
      </c>
      <c r="H2173" s="18" t="s">
        <v>507</v>
      </c>
      <c r="I2173" s="18" t="s">
        <v>508</v>
      </c>
      <c r="J2173" s="18"/>
      <c r="K2173" s="21">
        <f t="shared" si="99"/>
        <v>70.416666666744277</v>
      </c>
      <c r="L2173" s="19">
        <f t="shared" si="100"/>
        <v>71</v>
      </c>
      <c r="M2173" s="18" t="str">
        <f>IF(I2173&lt;&gt;"Sí","",IF(YEAR(F2173)&lt;&gt;2026,"",INDEX({"Enero","Febrero","Marzo","Abril","Mayo","Junio","Julio","Agosto","Septiembre","Octubre","Noviembre","Diciembre"},MONTH(F2173))))</f>
        <v>Septiembre</v>
      </c>
      <c r="N2173" s="18" t="str">
        <f t="shared" si="101"/>
        <v>Septiembre|71</v>
      </c>
    </row>
    <row r="2174" spans="1:14" ht="14.5" x14ac:dyDescent="0.25">
      <c r="A2174" s="19">
        <v>35</v>
      </c>
      <c r="B2174" s="18" t="s">
        <v>42</v>
      </c>
      <c r="C2174" s="18" t="s">
        <v>99</v>
      </c>
      <c r="D2174" s="18" t="s">
        <v>2685</v>
      </c>
      <c r="E2174" s="18" t="s">
        <v>2725</v>
      </c>
      <c r="F2174" s="101">
        <v>46267.248611111114</v>
      </c>
      <c r="G2174" s="101">
        <v>46270.181250000001</v>
      </c>
      <c r="H2174" s="18" t="s">
        <v>507</v>
      </c>
      <c r="I2174" s="18" t="s">
        <v>508</v>
      </c>
      <c r="J2174" s="18"/>
      <c r="K2174" s="21">
        <f t="shared" si="99"/>
        <v>70.383333333302289</v>
      </c>
      <c r="L2174" s="19">
        <f t="shared" si="100"/>
        <v>72</v>
      </c>
      <c r="M2174" s="18" t="str">
        <f>IF(I2174&lt;&gt;"Sí","",IF(YEAR(F2174)&lt;&gt;2026,"",INDEX({"Enero","Febrero","Marzo","Abril","Mayo","Junio","Julio","Agosto","Septiembre","Octubre","Noviembre","Diciembre"},MONTH(F2174))))</f>
        <v>Septiembre</v>
      </c>
      <c r="N2174" s="18" t="str">
        <f t="shared" si="101"/>
        <v>Septiembre|72</v>
      </c>
    </row>
    <row r="2175" spans="1:14" ht="14.5" x14ac:dyDescent="0.25">
      <c r="A2175" s="19">
        <v>35</v>
      </c>
      <c r="B2175" s="18" t="s">
        <v>42</v>
      </c>
      <c r="C2175" s="18" t="s">
        <v>99</v>
      </c>
      <c r="D2175" s="18" t="s">
        <v>2685</v>
      </c>
      <c r="E2175" s="18" t="s">
        <v>2726</v>
      </c>
      <c r="F2175" s="101">
        <v>46267.249305555553</v>
      </c>
      <c r="G2175" s="101">
        <v>46270.181250000001</v>
      </c>
      <c r="H2175" s="18" t="s">
        <v>507</v>
      </c>
      <c r="I2175" s="18" t="s">
        <v>508</v>
      </c>
      <c r="J2175" s="18"/>
      <c r="K2175" s="21">
        <f t="shared" si="99"/>
        <v>70.366666666755918</v>
      </c>
      <c r="L2175" s="19">
        <f t="shared" si="100"/>
        <v>73</v>
      </c>
      <c r="M2175" s="18" t="str">
        <f>IF(I2175&lt;&gt;"Sí","",IF(YEAR(F2175)&lt;&gt;2026,"",INDEX({"Enero","Febrero","Marzo","Abril","Mayo","Junio","Julio","Agosto","Septiembre","Octubre","Noviembre","Diciembre"},MONTH(F2175))))</f>
        <v>Septiembre</v>
      </c>
      <c r="N2175" s="18" t="str">
        <f t="shared" si="101"/>
        <v>Septiembre|73</v>
      </c>
    </row>
    <row r="2176" spans="1:14" ht="14.5" x14ac:dyDescent="0.25">
      <c r="A2176" s="19">
        <v>35</v>
      </c>
      <c r="B2176" s="18" t="s">
        <v>42</v>
      </c>
      <c r="C2176" s="18" t="s">
        <v>99</v>
      </c>
      <c r="D2176" s="18" t="s">
        <v>2685</v>
      </c>
      <c r="E2176" s="18" t="s">
        <v>2727</v>
      </c>
      <c r="F2176" s="101">
        <v>46267.252083333333</v>
      </c>
      <c r="G2176" s="101">
        <v>46270.181250000001</v>
      </c>
      <c r="H2176" s="18" t="s">
        <v>507</v>
      </c>
      <c r="I2176" s="18" t="s">
        <v>508</v>
      </c>
      <c r="J2176" s="18"/>
      <c r="K2176" s="21">
        <f t="shared" si="99"/>
        <v>70.300000000046566</v>
      </c>
      <c r="L2176" s="19">
        <f t="shared" si="100"/>
        <v>74</v>
      </c>
      <c r="M2176" s="18" t="str">
        <f>IF(I2176&lt;&gt;"Sí","",IF(YEAR(F2176)&lt;&gt;2026,"",INDEX({"Enero","Febrero","Marzo","Abril","Mayo","Junio","Julio","Agosto","Septiembre","Octubre","Noviembre","Diciembre"},MONTH(F2176))))</f>
        <v>Septiembre</v>
      </c>
      <c r="N2176" s="18" t="str">
        <f t="shared" si="101"/>
        <v>Septiembre|74</v>
      </c>
    </row>
    <row r="2177" spans="1:14" ht="14.5" x14ac:dyDescent="0.25">
      <c r="A2177" s="19">
        <v>35</v>
      </c>
      <c r="B2177" s="18" t="s">
        <v>42</v>
      </c>
      <c r="C2177" s="18" t="s">
        <v>99</v>
      </c>
      <c r="D2177" s="18" t="s">
        <v>2685</v>
      </c>
      <c r="E2177" s="18" t="s">
        <v>2728</v>
      </c>
      <c r="F2177" s="101">
        <v>46267.259027777778</v>
      </c>
      <c r="G2177" s="101">
        <v>46270.181250000001</v>
      </c>
      <c r="H2177" s="18" t="s">
        <v>507</v>
      </c>
      <c r="I2177" s="18" t="s">
        <v>508</v>
      </c>
      <c r="J2177" s="18"/>
      <c r="K2177" s="21">
        <f t="shared" si="99"/>
        <v>70.133333333360497</v>
      </c>
      <c r="L2177" s="19">
        <f t="shared" si="100"/>
        <v>77</v>
      </c>
      <c r="M2177" s="18" t="str">
        <f>IF(I2177&lt;&gt;"Sí","",IF(YEAR(F2177)&lt;&gt;2026,"",INDEX({"Enero","Febrero","Marzo","Abril","Mayo","Junio","Julio","Agosto","Septiembre","Octubre","Noviembre","Diciembre"},MONTH(F2177))))</f>
        <v>Septiembre</v>
      </c>
      <c r="N2177" s="18" t="str">
        <f t="shared" si="101"/>
        <v>Septiembre|77</v>
      </c>
    </row>
    <row r="2178" spans="1:14" ht="14.5" x14ac:dyDescent="0.25">
      <c r="A2178" s="19">
        <v>35</v>
      </c>
      <c r="B2178" s="18" t="s">
        <v>42</v>
      </c>
      <c r="C2178" s="18" t="s">
        <v>99</v>
      </c>
      <c r="D2178" s="18" t="s">
        <v>2685</v>
      </c>
      <c r="E2178" s="18" t="s">
        <v>2729</v>
      </c>
      <c r="F2178" s="101">
        <v>46267.259027777778</v>
      </c>
      <c r="G2178" s="101">
        <v>46270.181250000001</v>
      </c>
      <c r="H2178" s="18" t="s">
        <v>507</v>
      </c>
      <c r="I2178" s="18" t="s">
        <v>508</v>
      </c>
      <c r="J2178" s="18"/>
      <c r="K2178" s="21">
        <f t="shared" si="99"/>
        <v>70.133333333360497</v>
      </c>
      <c r="L2178" s="19">
        <f t="shared" si="100"/>
        <v>77</v>
      </c>
      <c r="M2178" s="18" t="str">
        <f>IF(I2178&lt;&gt;"Sí","",IF(YEAR(F2178)&lt;&gt;2026,"",INDEX({"Enero","Febrero","Marzo","Abril","Mayo","Junio","Julio","Agosto","Septiembre","Octubre","Noviembre","Diciembre"},MONTH(F2178))))</f>
        <v>Septiembre</v>
      </c>
      <c r="N2178" s="18" t="str">
        <f t="shared" si="101"/>
        <v>Septiembre|77</v>
      </c>
    </row>
    <row r="2179" spans="1:14" ht="14.5" x14ac:dyDescent="0.25">
      <c r="A2179" s="19">
        <v>35</v>
      </c>
      <c r="B2179" s="18" t="s">
        <v>42</v>
      </c>
      <c r="C2179" s="18" t="s">
        <v>99</v>
      </c>
      <c r="D2179" s="18" t="s">
        <v>2685</v>
      </c>
      <c r="E2179" s="18" t="s">
        <v>2730</v>
      </c>
      <c r="F2179" s="101">
        <v>46267.259027777778</v>
      </c>
      <c r="G2179" s="101">
        <v>46270.181250000001</v>
      </c>
      <c r="H2179" s="18" t="s">
        <v>507</v>
      </c>
      <c r="I2179" s="18" t="s">
        <v>508</v>
      </c>
      <c r="J2179" s="18"/>
      <c r="K2179" s="21">
        <f t="shared" si="99"/>
        <v>70.133333333360497</v>
      </c>
      <c r="L2179" s="19">
        <f t="shared" si="100"/>
        <v>77</v>
      </c>
      <c r="M2179" s="18" t="str">
        <f>IF(I2179&lt;&gt;"Sí","",IF(YEAR(F2179)&lt;&gt;2026,"",INDEX({"Enero","Febrero","Marzo","Abril","Mayo","Junio","Julio","Agosto","Septiembre","Octubre","Noviembre","Diciembre"},MONTH(F2179))))</f>
        <v>Septiembre</v>
      </c>
      <c r="N2179" s="18" t="str">
        <f t="shared" si="101"/>
        <v>Septiembre|77</v>
      </c>
    </row>
    <row r="2180" spans="1:14" ht="14.5" x14ac:dyDescent="0.25">
      <c r="A2180" s="19">
        <v>35</v>
      </c>
      <c r="B2180" s="18" t="s">
        <v>42</v>
      </c>
      <c r="C2180" s="18" t="s">
        <v>99</v>
      </c>
      <c r="D2180" s="18" t="s">
        <v>99</v>
      </c>
      <c r="E2180" s="18" t="s">
        <v>2731</v>
      </c>
      <c r="F2180" s="101">
        <v>46267.385416666664</v>
      </c>
      <c r="G2180" s="101">
        <v>46270.043749999997</v>
      </c>
      <c r="H2180" s="18" t="s">
        <v>507</v>
      </c>
      <c r="I2180" s="18" t="s">
        <v>508</v>
      </c>
      <c r="J2180" s="18"/>
      <c r="K2180" s="21">
        <f t="shared" si="99"/>
        <v>63.799999999988358</v>
      </c>
      <c r="L2180" s="19">
        <f t="shared" si="100"/>
        <v>81</v>
      </c>
      <c r="M2180" s="18" t="str">
        <f>IF(I2180&lt;&gt;"Sí","",IF(YEAR(F2180)&lt;&gt;2026,"",INDEX({"Enero","Febrero","Marzo","Abril","Mayo","Junio","Julio","Agosto","Septiembre","Octubre","Noviembre","Diciembre"},MONTH(F2180))))</f>
        <v>Septiembre</v>
      </c>
      <c r="N2180" s="18" t="str">
        <f t="shared" si="101"/>
        <v>Septiembre|81</v>
      </c>
    </row>
    <row r="2181" spans="1:14" ht="14.5" x14ac:dyDescent="0.25">
      <c r="A2181" s="19">
        <v>35</v>
      </c>
      <c r="B2181" s="18" t="s">
        <v>42</v>
      </c>
      <c r="C2181" s="18" t="s">
        <v>99</v>
      </c>
      <c r="D2181" s="18" t="s">
        <v>99</v>
      </c>
      <c r="E2181" s="18" t="s">
        <v>2732</v>
      </c>
      <c r="F2181" s="101">
        <v>46267.385416666664</v>
      </c>
      <c r="G2181" s="101">
        <v>46270.043749999997</v>
      </c>
      <c r="H2181" s="18" t="s">
        <v>507</v>
      </c>
      <c r="I2181" s="18" t="s">
        <v>508</v>
      </c>
      <c r="J2181" s="18"/>
      <c r="K2181" s="21">
        <f t="shared" si="99"/>
        <v>63.799999999988358</v>
      </c>
      <c r="L2181" s="19">
        <f t="shared" si="100"/>
        <v>81</v>
      </c>
      <c r="M2181" s="18" t="str">
        <f>IF(I2181&lt;&gt;"Sí","",IF(YEAR(F2181)&lt;&gt;2026,"",INDEX({"Enero","Febrero","Marzo","Abril","Mayo","Junio","Julio","Agosto","Septiembre","Octubre","Noviembre","Diciembre"},MONTH(F2181))))</f>
        <v>Septiembre</v>
      </c>
      <c r="N2181" s="18" t="str">
        <f t="shared" si="101"/>
        <v>Septiembre|81</v>
      </c>
    </row>
    <row r="2182" spans="1:14" ht="14.5" x14ac:dyDescent="0.25">
      <c r="A2182" s="19">
        <v>35</v>
      </c>
      <c r="B2182" s="18" t="s">
        <v>42</v>
      </c>
      <c r="C2182" s="18" t="s">
        <v>99</v>
      </c>
      <c r="D2182" s="18" t="s">
        <v>99</v>
      </c>
      <c r="E2182" s="18" t="s">
        <v>2733</v>
      </c>
      <c r="F2182" s="101">
        <v>46267.385416666664</v>
      </c>
      <c r="G2182" s="101">
        <v>46270.043749999997</v>
      </c>
      <c r="H2182" s="18" t="s">
        <v>507</v>
      </c>
      <c r="I2182" s="18" t="s">
        <v>508</v>
      </c>
      <c r="J2182" s="18"/>
      <c r="K2182" s="21">
        <f t="shared" si="99"/>
        <v>63.799999999988358</v>
      </c>
      <c r="L2182" s="19">
        <f t="shared" si="100"/>
        <v>81</v>
      </c>
      <c r="M2182" s="18" t="str">
        <f>IF(I2182&lt;&gt;"Sí","",IF(YEAR(F2182)&lt;&gt;2026,"",INDEX({"Enero","Febrero","Marzo","Abril","Mayo","Junio","Julio","Agosto","Septiembre","Octubre","Noviembre","Diciembre"},MONTH(F2182))))</f>
        <v>Septiembre</v>
      </c>
      <c r="N2182" s="18" t="str">
        <f t="shared" si="101"/>
        <v>Septiembre|81</v>
      </c>
    </row>
    <row r="2183" spans="1:14" ht="14.5" x14ac:dyDescent="0.25">
      <c r="A2183" s="19">
        <v>35</v>
      </c>
      <c r="B2183" s="18" t="s">
        <v>42</v>
      </c>
      <c r="C2183" s="18" t="s">
        <v>99</v>
      </c>
      <c r="D2183" s="18" t="s">
        <v>99</v>
      </c>
      <c r="E2183" s="18" t="s">
        <v>2734</v>
      </c>
      <c r="F2183" s="101">
        <v>46267.385416666664</v>
      </c>
      <c r="G2183" s="101">
        <v>46270.043749999997</v>
      </c>
      <c r="H2183" s="18" t="s">
        <v>507</v>
      </c>
      <c r="I2183" s="18" t="s">
        <v>508</v>
      </c>
      <c r="J2183" s="18"/>
      <c r="K2183" s="21">
        <f t="shared" ref="K2183:K2246" si="102">IF(I2183="Sí",(G2183-F2183)*24,"")</f>
        <v>63.799999999988358</v>
      </c>
      <c r="L2183" s="19">
        <f t="shared" ref="L2183:L2246" si="103">IF(I2183="Sí",COUNTIFS($F$7:$F$4000,"&lt;="&amp;F2183,$G$7:$G$4000,"&gt;"&amp;F2183,$I$7:$I$4000,"Sí"),"")</f>
        <v>81</v>
      </c>
      <c r="M2183" s="18" t="str">
        <f>IF(I2183&lt;&gt;"Sí","",IF(YEAR(F2183)&lt;&gt;2026,"",INDEX({"Enero","Febrero","Marzo","Abril","Mayo","Junio","Julio","Agosto","Septiembre","Octubre","Noviembre","Diciembre"},MONTH(F2183))))</f>
        <v>Septiembre</v>
      </c>
      <c r="N2183" s="18" t="str">
        <f t="shared" ref="N2183:N2246" si="104">IF(M2183="","",M2183&amp;"|"&amp;L2183)</f>
        <v>Septiembre|81</v>
      </c>
    </row>
    <row r="2184" spans="1:14" ht="14.5" x14ac:dyDescent="0.25">
      <c r="A2184" s="19">
        <v>35</v>
      </c>
      <c r="B2184" s="18" t="s">
        <v>42</v>
      </c>
      <c r="C2184" s="18" t="s">
        <v>99</v>
      </c>
      <c r="D2184" s="18" t="s">
        <v>99</v>
      </c>
      <c r="E2184" s="18" t="s">
        <v>2735</v>
      </c>
      <c r="F2184" s="101">
        <v>46267.386805555558</v>
      </c>
      <c r="G2184" s="101">
        <v>46270.043749999997</v>
      </c>
      <c r="H2184" s="18" t="s">
        <v>507</v>
      </c>
      <c r="I2184" s="18" t="s">
        <v>508</v>
      </c>
      <c r="J2184" s="18"/>
      <c r="K2184" s="21">
        <f t="shared" si="102"/>
        <v>63.766666666546371</v>
      </c>
      <c r="L2184" s="19">
        <f t="shared" si="103"/>
        <v>82</v>
      </c>
      <c r="M2184" s="18" t="str">
        <f>IF(I2184&lt;&gt;"Sí","",IF(YEAR(F2184)&lt;&gt;2026,"",INDEX({"Enero","Febrero","Marzo","Abril","Mayo","Junio","Julio","Agosto","Septiembre","Octubre","Noviembre","Diciembre"},MONTH(F2184))))</f>
        <v>Septiembre</v>
      </c>
      <c r="N2184" s="18" t="str">
        <f t="shared" si="104"/>
        <v>Septiembre|82</v>
      </c>
    </row>
    <row r="2185" spans="1:14" ht="14.5" x14ac:dyDescent="0.25">
      <c r="A2185" s="19">
        <v>35</v>
      </c>
      <c r="B2185" s="18" t="s">
        <v>42</v>
      </c>
      <c r="C2185" s="18" t="s">
        <v>99</v>
      </c>
      <c r="D2185" s="18" t="s">
        <v>99</v>
      </c>
      <c r="E2185" s="18" t="s">
        <v>2736</v>
      </c>
      <c r="F2185" s="101">
        <v>46267.388194444444</v>
      </c>
      <c r="G2185" s="101">
        <v>46270.043749999997</v>
      </c>
      <c r="H2185" s="18" t="s">
        <v>507</v>
      </c>
      <c r="I2185" s="18" t="s">
        <v>508</v>
      </c>
      <c r="J2185" s="18"/>
      <c r="K2185" s="21">
        <f t="shared" si="102"/>
        <v>63.733333333279006</v>
      </c>
      <c r="L2185" s="19">
        <f t="shared" si="103"/>
        <v>83</v>
      </c>
      <c r="M2185" s="18" t="str">
        <f>IF(I2185&lt;&gt;"Sí","",IF(YEAR(F2185)&lt;&gt;2026,"",INDEX({"Enero","Febrero","Marzo","Abril","Mayo","Junio","Julio","Agosto","Septiembre","Octubre","Noviembre","Diciembre"},MONTH(F2185))))</f>
        <v>Septiembre</v>
      </c>
      <c r="N2185" s="18" t="str">
        <f t="shared" si="104"/>
        <v>Septiembre|83</v>
      </c>
    </row>
    <row r="2186" spans="1:14" ht="14.5" x14ac:dyDescent="0.25">
      <c r="A2186" s="19">
        <v>35</v>
      </c>
      <c r="B2186" s="18" t="s">
        <v>42</v>
      </c>
      <c r="C2186" s="18" t="s">
        <v>99</v>
      </c>
      <c r="D2186" s="18" t="s">
        <v>99</v>
      </c>
      <c r="E2186" s="18" t="s">
        <v>2737</v>
      </c>
      <c r="F2186" s="101">
        <v>46267.38958333333</v>
      </c>
      <c r="G2186" s="101">
        <v>46270.043749999997</v>
      </c>
      <c r="H2186" s="18" t="s">
        <v>507</v>
      </c>
      <c r="I2186" s="18" t="s">
        <v>508</v>
      </c>
      <c r="J2186" s="18"/>
      <c r="K2186" s="21">
        <f t="shared" si="102"/>
        <v>63.700000000011642</v>
      </c>
      <c r="L2186" s="19">
        <f t="shared" si="103"/>
        <v>84</v>
      </c>
      <c r="M2186" s="18" t="str">
        <f>IF(I2186&lt;&gt;"Sí","",IF(YEAR(F2186)&lt;&gt;2026,"",INDEX({"Enero","Febrero","Marzo","Abril","Mayo","Junio","Julio","Agosto","Septiembre","Octubre","Noviembre","Diciembre"},MONTH(F2186))))</f>
        <v>Septiembre</v>
      </c>
      <c r="N2186" s="18" t="str">
        <f t="shared" si="104"/>
        <v>Septiembre|84</v>
      </c>
    </row>
    <row r="2187" spans="1:14" ht="14.5" x14ac:dyDescent="0.25">
      <c r="A2187" s="19">
        <v>35</v>
      </c>
      <c r="B2187" s="18" t="s">
        <v>42</v>
      </c>
      <c r="C2187" s="18" t="s">
        <v>99</v>
      </c>
      <c r="D2187" s="18" t="s">
        <v>99</v>
      </c>
      <c r="E2187" s="18" t="s">
        <v>2738</v>
      </c>
      <c r="F2187" s="101">
        <v>46267.393750000003</v>
      </c>
      <c r="G2187" s="101">
        <v>46270.043749999997</v>
      </c>
      <c r="H2187" s="18" t="s">
        <v>507</v>
      </c>
      <c r="I2187" s="18" t="s">
        <v>508</v>
      </c>
      <c r="J2187" s="18"/>
      <c r="K2187" s="21">
        <f t="shared" si="102"/>
        <v>63.599999999860302</v>
      </c>
      <c r="L2187" s="19">
        <f t="shared" si="103"/>
        <v>85</v>
      </c>
      <c r="M2187" s="18" t="str">
        <f>IF(I2187&lt;&gt;"Sí","",IF(YEAR(F2187)&lt;&gt;2026,"",INDEX({"Enero","Febrero","Marzo","Abril","Mayo","Junio","Julio","Agosto","Septiembre","Octubre","Noviembre","Diciembre"},MONTH(F2187))))</f>
        <v>Septiembre</v>
      </c>
      <c r="N2187" s="18" t="str">
        <f t="shared" si="104"/>
        <v>Septiembre|85</v>
      </c>
    </row>
    <row r="2188" spans="1:14" ht="14.5" x14ac:dyDescent="0.25">
      <c r="A2188" s="19">
        <v>35</v>
      </c>
      <c r="B2188" s="18" t="s">
        <v>42</v>
      </c>
      <c r="C2188" s="18" t="s">
        <v>99</v>
      </c>
      <c r="D2188" s="18" t="s">
        <v>99</v>
      </c>
      <c r="E2188" s="18" t="s">
        <v>2739</v>
      </c>
      <c r="F2188" s="101">
        <v>46267.395138888889</v>
      </c>
      <c r="G2188" s="101">
        <v>46270.043749999997</v>
      </c>
      <c r="H2188" s="18" t="s">
        <v>507</v>
      </c>
      <c r="I2188" s="18" t="s">
        <v>508</v>
      </c>
      <c r="J2188" s="18"/>
      <c r="K2188" s="21">
        <f t="shared" si="102"/>
        <v>63.566666666592937</v>
      </c>
      <c r="L2188" s="19">
        <f t="shared" si="103"/>
        <v>86</v>
      </c>
      <c r="M2188" s="18" t="str">
        <f>IF(I2188&lt;&gt;"Sí","",IF(YEAR(F2188)&lt;&gt;2026,"",INDEX({"Enero","Febrero","Marzo","Abril","Mayo","Junio","Julio","Agosto","Septiembre","Octubre","Noviembre","Diciembre"},MONTH(F2188))))</f>
        <v>Septiembre</v>
      </c>
      <c r="N2188" s="18" t="str">
        <f t="shared" si="104"/>
        <v>Septiembre|86</v>
      </c>
    </row>
    <row r="2189" spans="1:14" ht="14.5" x14ac:dyDescent="0.25">
      <c r="A2189" s="19">
        <v>35</v>
      </c>
      <c r="B2189" s="18" t="s">
        <v>42</v>
      </c>
      <c r="C2189" s="18" t="s">
        <v>99</v>
      </c>
      <c r="D2189" s="18" t="s">
        <v>2685</v>
      </c>
      <c r="E2189" s="18" t="s">
        <v>2740</v>
      </c>
      <c r="F2189" s="101">
        <v>46267.4375</v>
      </c>
      <c r="G2189" s="101">
        <v>46270.033333333333</v>
      </c>
      <c r="H2189" s="18" t="s">
        <v>507</v>
      </c>
      <c r="I2189" s="18" t="s">
        <v>508</v>
      </c>
      <c r="J2189" s="18"/>
      <c r="K2189" s="21">
        <f t="shared" si="102"/>
        <v>62.299999999988358</v>
      </c>
      <c r="L2189" s="19">
        <f t="shared" si="103"/>
        <v>92</v>
      </c>
      <c r="M2189" s="18" t="str">
        <f>IF(I2189&lt;&gt;"Sí","",IF(YEAR(F2189)&lt;&gt;2026,"",INDEX({"Enero","Febrero","Marzo","Abril","Mayo","Junio","Julio","Agosto","Septiembre","Octubre","Noviembre","Diciembre"},MONTH(F2189))))</f>
        <v>Septiembre</v>
      </c>
      <c r="N2189" s="18" t="str">
        <f t="shared" si="104"/>
        <v>Septiembre|92</v>
      </c>
    </row>
    <row r="2190" spans="1:14" ht="14.5" x14ac:dyDescent="0.25">
      <c r="A2190" s="19">
        <v>35</v>
      </c>
      <c r="B2190" s="18" t="s">
        <v>42</v>
      </c>
      <c r="C2190" s="18" t="s">
        <v>99</v>
      </c>
      <c r="D2190" s="18" t="s">
        <v>2685</v>
      </c>
      <c r="E2190" s="18" t="s">
        <v>2741</v>
      </c>
      <c r="F2190" s="101">
        <v>46267.4375</v>
      </c>
      <c r="G2190" s="101">
        <v>46270.033333333333</v>
      </c>
      <c r="H2190" s="18" t="s">
        <v>507</v>
      </c>
      <c r="I2190" s="18" t="s">
        <v>508</v>
      </c>
      <c r="J2190" s="18"/>
      <c r="K2190" s="21">
        <f t="shared" si="102"/>
        <v>62.299999999988358</v>
      </c>
      <c r="L2190" s="19">
        <f t="shared" si="103"/>
        <v>92</v>
      </c>
      <c r="M2190" s="18" t="str">
        <f>IF(I2190&lt;&gt;"Sí","",IF(YEAR(F2190)&lt;&gt;2026,"",INDEX({"Enero","Febrero","Marzo","Abril","Mayo","Junio","Julio","Agosto","Septiembre","Octubre","Noviembre","Diciembre"},MONTH(F2190))))</f>
        <v>Septiembre</v>
      </c>
      <c r="N2190" s="18" t="str">
        <f t="shared" si="104"/>
        <v>Septiembre|92</v>
      </c>
    </row>
    <row r="2191" spans="1:14" ht="14.5" x14ac:dyDescent="0.25">
      <c r="A2191" s="19">
        <v>35</v>
      </c>
      <c r="B2191" s="18" t="s">
        <v>42</v>
      </c>
      <c r="C2191" s="18" t="s">
        <v>99</v>
      </c>
      <c r="D2191" s="18" t="s">
        <v>2685</v>
      </c>
      <c r="E2191" s="18" t="s">
        <v>2742</v>
      </c>
      <c r="F2191" s="101">
        <v>46267.4375</v>
      </c>
      <c r="G2191" s="101">
        <v>46270.033333333333</v>
      </c>
      <c r="H2191" s="18" t="s">
        <v>507</v>
      </c>
      <c r="I2191" s="18" t="s">
        <v>508</v>
      </c>
      <c r="J2191" s="18"/>
      <c r="K2191" s="21">
        <f t="shared" si="102"/>
        <v>62.299999999988358</v>
      </c>
      <c r="L2191" s="19">
        <f t="shared" si="103"/>
        <v>92</v>
      </c>
      <c r="M2191" s="18" t="str">
        <f>IF(I2191&lt;&gt;"Sí","",IF(YEAR(F2191)&lt;&gt;2026,"",INDEX({"Enero","Febrero","Marzo","Abril","Mayo","Junio","Julio","Agosto","Septiembre","Octubre","Noviembre","Diciembre"},MONTH(F2191))))</f>
        <v>Septiembre</v>
      </c>
      <c r="N2191" s="18" t="str">
        <f t="shared" si="104"/>
        <v>Septiembre|92</v>
      </c>
    </row>
    <row r="2192" spans="1:14" ht="14.5" x14ac:dyDescent="0.25">
      <c r="A2192" s="19">
        <v>35</v>
      </c>
      <c r="B2192" s="18" t="s">
        <v>42</v>
      </c>
      <c r="C2192" s="18" t="s">
        <v>99</v>
      </c>
      <c r="D2192" s="18" t="s">
        <v>2685</v>
      </c>
      <c r="E2192" s="18" t="s">
        <v>2743</v>
      </c>
      <c r="F2192" s="101">
        <v>46267.4375</v>
      </c>
      <c r="G2192" s="101">
        <v>46270.033333333333</v>
      </c>
      <c r="H2192" s="18" t="s">
        <v>507</v>
      </c>
      <c r="I2192" s="18" t="s">
        <v>508</v>
      </c>
      <c r="J2192" s="18"/>
      <c r="K2192" s="21">
        <f t="shared" si="102"/>
        <v>62.299999999988358</v>
      </c>
      <c r="L2192" s="19">
        <f t="shared" si="103"/>
        <v>92</v>
      </c>
      <c r="M2192" s="18" t="str">
        <f>IF(I2192&lt;&gt;"Sí","",IF(YEAR(F2192)&lt;&gt;2026,"",INDEX({"Enero","Febrero","Marzo","Abril","Mayo","Junio","Julio","Agosto","Septiembre","Octubre","Noviembre","Diciembre"},MONTH(F2192))))</f>
        <v>Septiembre</v>
      </c>
      <c r="N2192" s="18" t="str">
        <f t="shared" si="104"/>
        <v>Septiembre|92</v>
      </c>
    </row>
    <row r="2193" spans="1:14" ht="14.5" x14ac:dyDescent="0.25">
      <c r="A2193" s="19">
        <v>35</v>
      </c>
      <c r="B2193" s="18" t="s">
        <v>42</v>
      </c>
      <c r="C2193" s="18" t="s">
        <v>99</v>
      </c>
      <c r="D2193" s="18" t="s">
        <v>2685</v>
      </c>
      <c r="E2193" s="18" t="s">
        <v>2744</v>
      </c>
      <c r="F2193" s="101">
        <v>46267.4375</v>
      </c>
      <c r="G2193" s="101">
        <v>46270.033333333333</v>
      </c>
      <c r="H2193" s="18" t="s">
        <v>507</v>
      </c>
      <c r="I2193" s="18" t="s">
        <v>508</v>
      </c>
      <c r="J2193" s="18"/>
      <c r="K2193" s="21">
        <f t="shared" si="102"/>
        <v>62.299999999988358</v>
      </c>
      <c r="L2193" s="19">
        <f t="shared" si="103"/>
        <v>92</v>
      </c>
      <c r="M2193" s="18" t="str">
        <f>IF(I2193&lt;&gt;"Sí","",IF(YEAR(F2193)&lt;&gt;2026,"",INDEX({"Enero","Febrero","Marzo","Abril","Mayo","Junio","Julio","Agosto","Septiembre","Octubre","Noviembre","Diciembre"},MONTH(F2193))))</f>
        <v>Septiembre</v>
      </c>
      <c r="N2193" s="18" t="str">
        <f t="shared" si="104"/>
        <v>Septiembre|92</v>
      </c>
    </row>
    <row r="2194" spans="1:14" ht="14.5" x14ac:dyDescent="0.25">
      <c r="A2194" s="19">
        <v>35</v>
      </c>
      <c r="B2194" s="18" t="s">
        <v>42</v>
      </c>
      <c r="C2194" s="18" t="s">
        <v>99</v>
      </c>
      <c r="D2194" s="18" t="s">
        <v>2685</v>
      </c>
      <c r="E2194" s="18" t="s">
        <v>2745</v>
      </c>
      <c r="F2194" s="101">
        <v>46267.4375</v>
      </c>
      <c r="G2194" s="101">
        <v>46270.033333333333</v>
      </c>
      <c r="H2194" s="18" t="s">
        <v>507</v>
      </c>
      <c r="I2194" s="18" t="s">
        <v>508</v>
      </c>
      <c r="J2194" s="18"/>
      <c r="K2194" s="21">
        <f t="shared" si="102"/>
        <v>62.299999999988358</v>
      </c>
      <c r="L2194" s="19">
        <f t="shared" si="103"/>
        <v>92</v>
      </c>
      <c r="M2194" s="18" t="str">
        <f>IF(I2194&lt;&gt;"Sí","",IF(YEAR(F2194)&lt;&gt;2026,"",INDEX({"Enero","Febrero","Marzo","Abril","Mayo","Junio","Julio","Agosto","Septiembre","Octubre","Noviembre","Diciembre"},MONTH(F2194))))</f>
        <v>Septiembre</v>
      </c>
      <c r="N2194" s="18" t="str">
        <f t="shared" si="104"/>
        <v>Septiembre|92</v>
      </c>
    </row>
    <row r="2195" spans="1:14" ht="14.5" x14ac:dyDescent="0.25">
      <c r="A2195" s="19">
        <v>35</v>
      </c>
      <c r="B2195" s="18" t="s">
        <v>42</v>
      </c>
      <c r="C2195" s="18" t="s">
        <v>99</v>
      </c>
      <c r="D2195" s="18" t="s">
        <v>2685</v>
      </c>
      <c r="E2195" s="18" t="s">
        <v>2746</v>
      </c>
      <c r="F2195" s="101">
        <v>46267.446527777778</v>
      </c>
      <c r="G2195" s="101">
        <v>46270.033333333333</v>
      </c>
      <c r="H2195" s="18" t="s">
        <v>507</v>
      </c>
      <c r="I2195" s="18" t="s">
        <v>508</v>
      </c>
      <c r="J2195" s="18"/>
      <c r="K2195" s="21">
        <f t="shared" si="102"/>
        <v>62.083333333313931</v>
      </c>
      <c r="L2195" s="19">
        <f t="shared" si="103"/>
        <v>98</v>
      </c>
      <c r="M2195" s="18" t="str">
        <f>IF(I2195&lt;&gt;"Sí","",IF(YEAR(F2195)&lt;&gt;2026,"",INDEX({"Enero","Febrero","Marzo","Abril","Mayo","Junio","Julio","Agosto","Septiembre","Octubre","Noviembre","Diciembre"},MONTH(F2195))))</f>
        <v>Septiembre</v>
      </c>
      <c r="N2195" s="18" t="str">
        <f t="shared" si="104"/>
        <v>Septiembre|98</v>
      </c>
    </row>
    <row r="2196" spans="1:14" ht="14.5" x14ac:dyDescent="0.25">
      <c r="A2196" s="19">
        <v>35</v>
      </c>
      <c r="B2196" s="18" t="s">
        <v>42</v>
      </c>
      <c r="C2196" s="18" t="s">
        <v>99</v>
      </c>
      <c r="D2196" s="18" t="s">
        <v>2685</v>
      </c>
      <c r="E2196" s="18" t="s">
        <v>2747</v>
      </c>
      <c r="F2196" s="101">
        <v>46267.446527777778</v>
      </c>
      <c r="G2196" s="101">
        <v>46270.989583333336</v>
      </c>
      <c r="H2196" s="18" t="s">
        <v>507</v>
      </c>
      <c r="I2196" s="18" t="s">
        <v>508</v>
      </c>
      <c r="J2196" s="18"/>
      <c r="K2196" s="21">
        <f t="shared" si="102"/>
        <v>85.03333333338378</v>
      </c>
      <c r="L2196" s="19">
        <f t="shared" si="103"/>
        <v>98</v>
      </c>
      <c r="M2196" s="18" t="str">
        <f>IF(I2196&lt;&gt;"Sí","",IF(YEAR(F2196)&lt;&gt;2026,"",INDEX({"Enero","Febrero","Marzo","Abril","Mayo","Junio","Julio","Agosto","Septiembre","Octubre","Noviembre","Diciembre"},MONTH(F2196))))</f>
        <v>Septiembre</v>
      </c>
      <c r="N2196" s="18" t="str">
        <f t="shared" si="104"/>
        <v>Septiembre|98</v>
      </c>
    </row>
    <row r="2197" spans="1:14" ht="14.5" x14ac:dyDescent="0.25">
      <c r="A2197" s="19">
        <v>35</v>
      </c>
      <c r="B2197" s="18" t="s">
        <v>42</v>
      </c>
      <c r="C2197" s="18" t="s">
        <v>99</v>
      </c>
      <c r="D2197" s="18" t="s">
        <v>2685</v>
      </c>
      <c r="E2197" s="18" t="s">
        <v>2748</v>
      </c>
      <c r="F2197" s="101">
        <v>46267.446527777778</v>
      </c>
      <c r="G2197" s="101">
        <v>46270.989583333336</v>
      </c>
      <c r="H2197" s="18" t="s">
        <v>507</v>
      </c>
      <c r="I2197" s="18" t="s">
        <v>508</v>
      </c>
      <c r="J2197" s="18"/>
      <c r="K2197" s="21">
        <f t="shared" si="102"/>
        <v>85.03333333338378</v>
      </c>
      <c r="L2197" s="19">
        <f t="shared" si="103"/>
        <v>98</v>
      </c>
      <c r="M2197" s="18" t="str">
        <f>IF(I2197&lt;&gt;"Sí","",IF(YEAR(F2197)&lt;&gt;2026,"",INDEX({"Enero","Febrero","Marzo","Abril","Mayo","Junio","Julio","Agosto","Septiembre","Octubre","Noviembre","Diciembre"},MONTH(F2197))))</f>
        <v>Septiembre</v>
      </c>
      <c r="N2197" s="18" t="str">
        <f t="shared" si="104"/>
        <v>Septiembre|98</v>
      </c>
    </row>
    <row r="2198" spans="1:14" ht="14.5" x14ac:dyDescent="0.25">
      <c r="A2198" s="19">
        <v>35</v>
      </c>
      <c r="B2198" s="18" t="s">
        <v>42</v>
      </c>
      <c r="C2198" s="18" t="s">
        <v>99</v>
      </c>
      <c r="D2198" s="18" t="s">
        <v>2685</v>
      </c>
      <c r="E2198" s="18" t="s">
        <v>2749</v>
      </c>
      <c r="F2198" s="101">
        <v>46267.446527777778</v>
      </c>
      <c r="G2198" s="101">
        <v>46270.989583333336</v>
      </c>
      <c r="H2198" s="18" t="s">
        <v>507</v>
      </c>
      <c r="I2198" s="18" t="s">
        <v>508</v>
      </c>
      <c r="J2198" s="18"/>
      <c r="K2198" s="21">
        <f t="shared" si="102"/>
        <v>85.03333333338378</v>
      </c>
      <c r="L2198" s="19">
        <f t="shared" si="103"/>
        <v>98</v>
      </c>
      <c r="M2198" s="18" t="str">
        <f>IF(I2198&lt;&gt;"Sí","",IF(YEAR(F2198)&lt;&gt;2026,"",INDEX({"Enero","Febrero","Marzo","Abril","Mayo","Junio","Julio","Agosto","Septiembre","Octubre","Noviembre","Diciembre"},MONTH(F2198))))</f>
        <v>Septiembre</v>
      </c>
      <c r="N2198" s="18" t="str">
        <f t="shared" si="104"/>
        <v>Septiembre|98</v>
      </c>
    </row>
    <row r="2199" spans="1:14" ht="14.5" x14ac:dyDescent="0.25">
      <c r="A2199" s="19">
        <v>35</v>
      </c>
      <c r="B2199" s="18" t="s">
        <v>42</v>
      </c>
      <c r="C2199" s="18" t="s">
        <v>99</v>
      </c>
      <c r="D2199" s="18" t="s">
        <v>2685</v>
      </c>
      <c r="E2199" s="18" t="s">
        <v>2750</v>
      </c>
      <c r="F2199" s="101">
        <v>46267.446527777778</v>
      </c>
      <c r="G2199" s="101">
        <v>46270.989583333336</v>
      </c>
      <c r="H2199" s="18" t="s">
        <v>507</v>
      </c>
      <c r="I2199" s="18" t="s">
        <v>508</v>
      </c>
      <c r="J2199" s="18"/>
      <c r="K2199" s="21">
        <f t="shared" si="102"/>
        <v>85.03333333338378</v>
      </c>
      <c r="L2199" s="19">
        <f t="shared" si="103"/>
        <v>98</v>
      </c>
      <c r="M2199" s="18" t="str">
        <f>IF(I2199&lt;&gt;"Sí","",IF(YEAR(F2199)&lt;&gt;2026,"",INDEX({"Enero","Febrero","Marzo","Abril","Mayo","Junio","Julio","Agosto","Septiembre","Octubre","Noviembre","Diciembre"},MONTH(F2199))))</f>
        <v>Septiembre</v>
      </c>
      <c r="N2199" s="18" t="str">
        <f t="shared" si="104"/>
        <v>Septiembre|98</v>
      </c>
    </row>
    <row r="2200" spans="1:14" ht="14.5" x14ac:dyDescent="0.25">
      <c r="A2200" s="19">
        <v>35</v>
      </c>
      <c r="B2200" s="18" t="s">
        <v>42</v>
      </c>
      <c r="C2200" s="18" t="s">
        <v>99</v>
      </c>
      <c r="D2200" s="18" t="s">
        <v>2685</v>
      </c>
      <c r="E2200" s="18" t="s">
        <v>2751</v>
      </c>
      <c r="F2200" s="101">
        <v>46267.446527777778</v>
      </c>
      <c r="G2200" s="101">
        <v>46270.989583333336</v>
      </c>
      <c r="H2200" s="18" t="s">
        <v>507</v>
      </c>
      <c r="I2200" s="18" t="s">
        <v>508</v>
      </c>
      <c r="J2200" s="18"/>
      <c r="K2200" s="21">
        <f t="shared" si="102"/>
        <v>85.03333333338378</v>
      </c>
      <c r="L2200" s="19">
        <f t="shared" si="103"/>
        <v>98</v>
      </c>
      <c r="M2200" s="18" t="str">
        <f>IF(I2200&lt;&gt;"Sí","",IF(YEAR(F2200)&lt;&gt;2026,"",INDEX({"Enero","Febrero","Marzo","Abril","Mayo","Junio","Julio","Agosto","Septiembre","Octubre","Noviembre","Diciembre"},MONTH(F2200))))</f>
        <v>Septiembre</v>
      </c>
      <c r="N2200" s="18" t="str">
        <f t="shared" si="104"/>
        <v>Septiembre|98</v>
      </c>
    </row>
    <row r="2201" spans="1:14" ht="14.5" x14ac:dyDescent="0.25">
      <c r="A2201" s="19">
        <v>35</v>
      </c>
      <c r="B2201" s="18" t="s">
        <v>42</v>
      </c>
      <c r="C2201" s="18" t="s">
        <v>99</v>
      </c>
      <c r="D2201" s="18" t="s">
        <v>2685</v>
      </c>
      <c r="E2201" s="18" t="s">
        <v>2752</v>
      </c>
      <c r="F2201" s="101">
        <v>46267.450694444444</v>
      </c>
      <c r="G2201" s="101">
        <v>46270.989583333336</v>
      </c>
      <c r="H2201" s="18" t="s">
        <v>507</v>
      </c>
      <c r="I2201" s="18" t="s">
        <v>508</v>
      </c>
      <c r="J2201" s="18"/>
      <c r="K2201" s="21">
        <f t="shared" si="102"/>
        <v>84.933333333407063</v>
      </c>
      <c r="L2201" s="19">
        <f t="shared" si="103"/>
        <v>99</v>
      </c>
      <c r="M2201" s="18" t="str">
        <f>IF(I2201&lt;&gt;"Sí","",IF(YEAR(F2201)&lt;&gt;2026,"",INDEX({"Enero","Febrero","Marzo","Abril","Mayo","Junio","Julio","Agosto","Septiembre","Octubre","Noviembre","Diciembre"},MONTH(F2201))))</f>
        <v>Septiembre</v>
      </c>
      <c r="N2201" s="18" t="str">
        <f t="shared" si="104"/>
        <v>Septiembre|99</v>
      </c>
    </row>
    <row r="2202" spans="1:14" ht="14.5" x14ac:dyDescent="0.25">
      <c r="A2202" s="19">
        <v>35</v>
      </c>
      <c r="B2202" s="18" t="s">
        <v>42</v>
      </c>
      <c r="C2202" s="18" t="s">
        <v>99</v>
      </c>
      <c r="D2202" s="18" t="s">
        <v>2685</v>
      </c>
      <c r="E2202" s="18" t="s">
        <v>2753</v>
      </c>
      <c r="F2202" s="101">
        <v>46267.454861111109</v>
      </c>
      <c r="G2202" s="101">
        <v>46270.989583333336</v>
      </c>
      <c r="H2202" s="18" t="s">
        <v>507</v>
      </c>
      <c r="I2202" s="18" t="s">
        <v>508</v>
      </c>
      <c r="J2202" s="18"/>
      <c r="K2202" s="21">
        <f t="shared" si="102"/>
        <v>84.833333333430346</v>
      </c>
      <c r="L2202" s="19">
        <f t="shared" si="103"/>
        <v>100</v>
      </c>
      <c r="M2202" s="18" t="str">
        <f>IF(I2202&lt;&gt;"Sí","",IF(YEAR(F2202)&lt;&gt;2026,"",INDEX({"Enero","Febrero","Marzo","Abril","Mayo","Junio","Julio","Agosto","Septiembre","Octubre","Noviembre","Diciembre"},MONTH(F2202))))</f>
        <v>Septiembre</v>
      </c>
      <c r="N2202" s="18" t="str">
        <f t="shared" si="104"/>
        <v>Septiembre|100</v>
      </c>
    </row>
    <row r="2203" spans="1:14" ht="14.5" x14ac:dyDescent="0.25">
      <c r="A2203" s="19">
        <v>35</v>
      </c>
      <c r="B2203" s="18" t="s">
        <v>42</v>
      </c>
      <c r="C2203" s="18" t="s">
        <v>99</v>
      </c>
      <c r="D2203" s="18" t="s">
        <v>2685</v>
      </c>
      <c r="E2203" s="18" t="s">
        <v>2754</v>
      </c>
      <c r="F2203" s="101">
        <v>46267.456250000003</v>
      </c>
      <c r="G2203" s="101">
        <v>46270.989583333336</v>
      </c>
      <c r="H2203" s="18" t="s">
        <v>507</v>
      </c>
      <c r="I2203" s="18" t="s">
        <v>508</v>
      </c>
      <c r="J2203" s="18"/>
      <c r="K2203" s="21">
        <f t="shared" si="102"/>
        <v>84.799999999988358</v>
      </c>
      <c r="L2203" s="19">
        <f t="shared" si="103"/>
        <v>101</v>
      </c>
      <c r="M2203" s="18" t="str">
        <f>IF(I2203&lt;&gt;"Sí","",IF(YEAR(F2203)&lt;&gt;2026,"",INDEX({"Enero","Febrero","Marzo","Abril","Mayo","Junio","Julio","Agosto","Septiembre","Octubre","Noviembre","Diciembre"},MONTH(F2203))))</f>
        <v>Septiembre</v>
      </c>
      <c r="N2203" s="18" t="str">
        <f t="shared" si="104"/>
        <v>Septiembre|101</v>
      </c>
    </row>
    <row r="2204" spans="1:14" ht="14.5" x14ac:dyDescent="0.25">
      <c r="A2204" s="19">
        <v>35</v>
      </c>
      <c r="B2204" s="18" t="s">
        <v>42</v>
      </c>
      <c r="C2204" s="18" t="s">
        <v>99</v>
      </c>
      <c r="D2204" s="18" t="s">
        <v>2685</v>
      </c>
      <c r="E2204" s="18" t="s">
        <v>2755</v>
      </c>
      <c r="F2204" s="101">
        <v>46267.456944444442</v>
      </c>
      <c r="G2204" s="101">
        <v>46270.989583333336</v>
      </c>
      <c r="H2204" s="18" t="s">
        <v>507</v>
      </c>
      <c r="I2204" s="18" t="s">
        <v>508</v>
      </c>
      <c r="J2204" s="18"/>
      <c r="K2204" s="21">
        <f t="shared" si="102"/>
        <v>84.783333333441988</v>
      </c>
      <c r="L2204" s="19">
        <f t="shared" si="103"/>
        <v>103</v>
      </c>
      <c r="M2204" s="18" t="str">
        <f>IF(I2204&lt;&gt;"Sí","",IF(YEAR(F2204)&lt;&gt;2026,"",INDEX({"Enero","Febrero","Marzo","Abril","Mayo","Junio","Julio","Agosto","Septiembre","Octubre","Noviembre","Diciembre"},MONTH(F2204))))</f>
        <v>Septiembre</v>
      </c>
      <c r="N2204" s="18" t="str">
        <f t="shared" si="104"/>
        <v>Septiembre|103</v>
      </c>
    </row>
    <row r="2205" spans="1:14" ht="14.5" x14ac:dyDescent="0.25">
      <c r="A2205" s="19">
        <v>35</v>
      </c>
      <c r="B2205" s="18" t="s">
        <v>42</v>
      </c>
      <c r="C2205" s="18" t="s">
        <v>99</v>
      </c>
      <c r="D2205" s="18" t="s">
        <v>2685</v>
      </c>
      <c r="E2205" s="18" t="s">
        <v>2756</v>
      </c>
      <c r="F2205" s="101">
        <v>46267.456944444442</v>
      </c>
      <c r="G2205" s="101">
        <v>46270.989583333336</v>
      </c>
      <c r="H2205" s="18" t="s">
        <v>507</v>
      </c>
      <c r="I2205" s="18" t="s">
        <v>508</v>
      </c>
      <c r="J2205" s="18"/>
      <c r="K2205" s="21">
        <f t="shared" si="102"/>
        <v>84.783333333441988</v>
      </c>
      <c r="L2205" s="19">
        <f t="shared" si="103"/>
        <v>103</v>
      </c>
      <c r="M2205" s="18" t="str">
        <f>IF(I2205&lt;&gt;"Sí","",IF(YEAR(F2205)&lt;&gt;2026,"",INDEX({"Enero","Febrero","Marzo","Abril","Mayo","Junio","Julio","Agosto","Septiembre","Octubre","Noviembre","Diciembre"},MONTH(F2205))))</f>
        <v>Septiembre</v>
      </c>
      <c r="N2205" s="18" t="str">
        <f t="shared" si="104"/>
        <v>Septiembre|103</v>
      </c>
    </row>
    <row r="2206" spans="1:14" ht="14.5" x14ac:dyDescent="0.25">
      <c r="A2206" s="19">
        <v>35</v>
      </c>
      <c r="B2206" s="18" t="s">
        <v>42</v>
      </c>
      <c r="C2206" s="18" t="s">
        <v>99</v>
      </c>
      <c r="D2206" s="18" t="s">
        <v>2685</v>
      </c>
      <c r="E2206" s="18" t="s">
        <v>2757</v>
      </c>
      <c r="F2206" s="101">
        <v>46267.458333333336</v>
      </c>
      <c r="G2206" s="101">
        <v>46270.989583333336</v>
      </c>
      <c r="H2206" s="18" t="s">
        <v>507</v>
      </c>
      <c r="I2206" s="18" t="s">
        <v>508</v>
      </c>
      <c r="J2206" s="18"/>
      <c r="K2206" s="21">
        <f t="shared" si="102"/>
        <v>84.75</v>
      </c>
      <c r="L2206" s="19">
        <f t="shared" si="103"/>
        <v>105</v>
      </c>
      <c r="M2206" s="18" t="str">
        <f>IF(I2206&lt;&gt;"Sí","",IF(YEAR(F2206)&lt;&gt;2026,"",INDEX({"Enero","Febrero","Marzo","Abril","Mayo","Junio","Julio","Agosto","Septiembre","Octubre","Noviembre","Diciembre"},MONTH(F2206))))</f>
        <v>Septiembre</v>
      </c>
      <c r="N2206" s="18" t="str">
        <f t="shared" si="104"/>
        <v>Septiembre|105</v>
      </c>
    </row>
    <row r="2207" spans="1:14" ht="14.5" x14ac:dyDescent="0.25">
      <c r="A2207" s="19">
        <v>35</v>
      </c>
      <c r="B2207" s="18" t="s">
        <v>42</v>
      </c>
      <c r="C2207" s="18" t="s">
        <v>99</v>
      </c>
      <c r="D2207" s="18" t="s">
        <v>2685</v>
      </c>
      <c r="E2207" s="18" t="s">
        <v>2758</v>
      </c>
      <c r="F2207" s="101">
        <v>46267.458333333336</v>
      </c>
      <c r="G2207" s="101">
        <v>46270.989583333336</v>
      </c>
      <c r="H2207" s="18" t="s">
        <v>507</v>
      </c>
      <c r="I2207" s="18" t="s">
        <v>508</v>
      </c>
      <c r="J2207" s="18"/>
      <c r="K2207" s="21">
        <f t="shared" si="102"/>
        <v>84.75</v>
      </c>
      <c r="L2207" s="19">
        <f t="shared" si="103"/>
        <v>105</v>
      </c>
      <c r="M2207" s="18" t="str">
        <f>IF(I2207&lt;&gt;"Sí","",IF(YEAR(F2207)&lt;&gt;2026,"",INDEX({"Enero","Febrero","Marzo","Abril","Mayo","Junio","Julio","Agosto","Septiembre","Octubre","Noviembre","Diciembre"},MONTH(F2207))))</f>
        <v>Septiembre</v>
      </c>
      <c r="N2207" s="18" t="str">
        <f t="shared" si="104"/>
        <v>Septiembre|105</v>
      </c>
    </row>
    <row r="2208" spans="1:14" ht="14.5" x14ac:dyDescent="0.25">
      <c r="A2208" s="19">
        <v>35</v>
      </c>
      <c r="B2208" s="18" t="s">
        <v>42</v>
      </c>
      <c r="C2208" s="18" t="s">
        <v>99</v>
      </c>
      <c r="D2208" s="18" t="s">
        <v>2685</v>
      </c>
      <c r="E2208" s="18" t="s">
        <v>2759</v>
      </c>
      <c r="F2208" s="101">
        <v>46267.463194444441</v>
      </c>
      <c r="G2208" s="101">
        <v>46270.989583333336</v>
      </c>
      <c r="H2208" s="18" t="s">
        <v>507</v>
      </c>
      <c r="I2208" s="18" t="s">
        <v>508</v>
      </c>
      <c r="J2208" s="18"/>
      <c r="K2208" s="21">
        <f t="shared" si="102"/>
        <v>84.633333333476912</v>
      </c>
      <c r="L2208" s="19">
        <f t="shared" si="103"/>
        <v>106</v>
      </c>
      <c r="M2208" s="18" t="str">
        <f>IF(I2208&lt;&gt;"Sí","",IF(YEAR(F2208)&lt;&gt;2026,"",INDEX({"Enero","Febrero","Marzo","Abril","Mayo","Junio","Julio","Agosto","Septiembre","Octubre","Noviembre","Diciembre"},MONTH(F2208))))</f>
        <v>Septiembre</v>
      </c>
      <c r="N2208" s="18" t="str">
        <f t="shared" si="104"/>
        <v>Septiembre|106</v>
      </c>
    </row>
    <row r="2209" spans="1:14" ht="14.5" x14ac:dyDescent="0.25">
      <c r="A2209" s="19">
        <v>35</v>
      </c>
      <c r="B2209" s="18" t="s">
        <v>42</v>
      </c>
      <c r="C2209" s="18" t="s">
        <v>99</v>
      </c>
      <c r="D2209" s="18" t="s">
        <v>2685</v>
      </c>
      <c r="E2209" s="18" t="s">
        <v>2760</v>
      </c>
      <c r="F2209" s="101">
        <v>46267.465277777781</v>
      </c>
      <c r="G2209" s="101">
        <v>46270.989583333336</v>
      </c>
      <c r="H2209" s="18" t="s">
        <v>507</v>
      </c>
      <c r="I2209" s="18" t="s">
        <v>508</v>
      </c>
      <c r="J2209" s="18"/>
      <c r="K2209" s="21">
        <f t="shared" si="102"/>
        <v>84.583333333313931</v>
      </c>
      <c r="L2209" s="19">
        <f t="shared" si="103"/>
        <v>107</v>
      </c>
      <c r="M2209" s="18" t="str">
        <f>IF(I2209&lt;&gt;"Sí","",IF(YEAR(F2209)&lt;&gt;2026,"",INDEX({"Enero","Febrero","Marzo","Abril","Mayo","Junio","Julio","Agosto","Septiembre","Octubre","Noviembre","Diciembre"},MONTH(F2209))))</f>
        <v>Septiembre</v>
      </c>
      <c r="N2209" s="18" t="str">
        <f t="shared" si="104"/>
        <v>Septiembre|107</v>
      </c>
    </row>
    <row r="2210" spans="1:14" ht="14.5" x14ac:dyDescent="0.25">
      <c r="A2210" s="19">
        <v>35</v>
      </c>
      <c r="B2210" s="18" t="s">
        <v>42</v>
      </c>
      <c r="C2210" s="18" t="s">
        <v>99</v>
      </c>
      <c r="D2210" s="18" t="s">
        <v>2685</v>
      </c>
      <c r="E2210" s="18" t="s">
        <v>2761</v>
      </c>
      <c r="F2210" s="101">
        <v>46267.467361111114</v>
      </c>
      <c r="G2210" s="101">
        <v>46270.989583333336</v>
      </c>
      <c r="H2210" s="18" t="s">
        <v>507</v>
      </c>
      <c r="I2210" s="18" t="s">
        <v>508</v>
      </c>
      <c r="J2210" s="18"/>
      <c r="K2210" s="21">
        <f t="shared" si="102"/>
        <v>84.533333333325572</v>
      </c>
      <c r="L2210" s="19">
        <f t="shared" si="103"/>
        <v>108</v>
      </c>
      <c r="M2210" s="18" t="str">
        <f>IF(I2210&lt;&gt;"Sí","",IF(YEAR(F2210)&lt;&gt;2026,"",INDEX({"Enero","Febrero","Marzo","Abril","Mayo","Junio","Julio","Agosto","Septiembre","Octubre","Noviembre","Diciembre"},MONTH(F2210))))</f>
        <v>Septiembre</v>
      </c>
      <c r="N2210" s="18" t="str">
        <f t="shared" si="104"/>
        <v>Septiembre|108</v>
      </c>
    </row>
    <row r="2211" spans="1:14" ht="14.5" x14ac:dyDescent="0.25">
      <c r="A2211" s="19">
        <v>35</v>
      </c>
      <c r="B2211" s="18" t="s">
        <v>42</v>
      </c>
      <c r="C2211" s="18" t="s">
        <v>99</v>
      </c>
      <c r="D2211" s="18" t="s">
        <v>2685</v>
      </c>
      <c r="E2211" s="18" t="s">
        <v>2762</v>
      </c>
      <c r="F2211" s="101">
        <v>46267.470833333333</v>
      </c>
      <c r="G2211" s="101">
        <v>46270.805555555555</v>
      </c>
      <c r="H2211" s="18" t="s">
        <v>507</v>
      </c>
      <c r="I2211" s="18" t="s">
        <v>508</v>
      </c>
      <c r="J2211" s="18"/>
      <c r="K2211" s="21">
        <f t="shared" si="102"/>
        <v>80.033333333325572</v>
      </c>
      <c r="L2211" s="19">
        <f t="shared" si="103"/>
        <v>109</v>
      </c>
      <c r="M2211" s="18" t="str">
        <f>IF(I2211&lt;&gt;"Sí","",IF(YEAR(F2211)&lt;&gt;2026,"",INDEX({"Enero","Febrero","Marzo","Abril","Mayo","Junio","Julio","Agosto","Septiembre","Octubre","Noviembre","Diciembre"},MONTH(F2211))))</f>
        <v>Septiembre</v>
      </c>
      <c r="N2211" s="18" t="str">
        <f t="shared" si="104"/>
        <v>Septiembre|109</v>
      </c>
    </row>
    <row r="2212" spans="1:14" ht="14.5" x14ac:dyDescent="0.25">
      <c r="A2212" s="19">
        <v>35</v>
      </c>
      <c r="B2212" s="18" t="s">
        <v>42</v>
      </c>
      <c r="C2212" s="18" t="s">
        <v>99</v>
      </c>
      <c r="D2212" s="18" t="s">
        <v>2685</v>
      </c>
      <c r="E2212" s="18" t="s">
        <v>2763</v>
      </c>
      <c r="F2212" s="101">
        <v>46267.473611111112</v>
      </c>
      <c r="G2212" s="101">
        <v>46270.989583333336</v>
      </c>
      <c r="H2212" s="18" t="s">
        <v>507</v>
      </c>
      <c r="I2212" s="18" t="s">
        <v>508</v>
      </c>
      <c r="J2212" s="18"/>
      <c r="K2212" s="21">
        <f t="shared" si="102"/>
        <v>84.383333333360497</v>
      </c>
      <c r="L2212" s="19">
        <f t="shared" si="103"/>
        <v>110</v>
      </c>
      <c r="M2212" s="18" t="str">
        <f>IF(I2212&lt;&gt;"Sí","",IF(YEAR(F2212)&lt;&gt;2026,"",INDEX({"Enero","Febrero","Marzo","Abril","Mayo","Junio","Julio","Agosto","Septiembre","Octubre","Noviembre","Diciembre"},MONTH(F2212))))</f>
        <v>Septiembre</v>
      </c>
      <c r="N2212" s="18" t="str">
        <f t="shared" si="104"/>
        <v>Septiembre|110</v>
      </c>
    </row>
    <row r="2213" spans="1:14" ht="14.5" x14ac:dyDescent="0.25">
      <c r="A2213" s="19">
        <v>35</v>
      </c>
      <c r="B2213" s="18" t="s">
        <v>42</v>
      </c>
      <c r="C2213" s="18" t="s">
        <v>195</v>
      </c>
      <c r="D2213" s="18" t="s">
        <v>2651</v>
      </c>
      <c r="E2213" s="18" t="s">
        <v>2764</v>
      </c>
      <c r="F2213" s="101">
        <v>46267.474999999999</v>
      </c>
      <c r="G2213" s="101">
        <v>46274.456944444442</v>
      </c>
      <c r="H2213" s="18" t="s">
        <v>507</v>
      </c>
      <c r="I2213" s="18" t="s">
        <v>508</v>
      </c>
      <c r="J2213" s="18"/>
      <c r="K2213" s="21">
        <f t="shared" si="102"/>
        <v>167.56666666665114</v>
      </c>
      <c r="L2213" s="19">
        <f t="shared" si="103"/>
        <v>111</v>
      </c>
      <c r="M2213" s="18" t="str">
        <f>IF(I2213&lt;&gt;"Sí","",IF(YEAR(F2213)&lt;&gt;2026,"",INDEX({"Enero","Febrero","Marzo","Abril","Mayo","Junio","Julio","Agosto","Septiembre","Octubre","Noviembre","Diciembre"},MONTH(F2213))))</f>
        <v>Septiembre</v>
      </c>
      <c r="N2213" s="18" t="str">
        <f t="shared" si="104"/>
        <v>Septiembre|111</v>
      </c>
    </row>
    <row r="2214" spans="1:14" ht="14.5" x14ac:dyDescent="0.25">
      <c r="A2214" s="19">
        <v>35</v>
      </c>
      <c r="B2214" s="18" t="s">
        <v>42</v>
      </c>
      <c r="C2214" s="18" t="s">
        <v>99</v>
      </c>
      <c r="D2214" s="18" t="s">
        <v>2685</v>
      </c>
      <c r="E2214" s="18" t="s">
        <v>2765</v>
      </c>
      <c r="F2214" s="101">
        <v>46267.479166666664</v>
      </c>
      <c r="G2214" s="101">
        <v>46270.989583333336</v>
      </c>
      <c r="H2214" s="18" t="s">
        <v>507</v>
      </c>
      <c r="I2214" s="18" t="s">
        <v>508</v>
      </c>
      <c r="J2214" s="18"/>
      <c r="K2214" s="21">
        <f t="shared" si="102"/>
        <v>84.250000000116415</v>
      </c>
      <c r="L2214" s="19">
        <f t="shared" si="103"/>
        <v>113</v>
      </c>
      <c r="M2214" s="18" t="str">
        <f>IF(I2214&lt;&gt;"Sí","",IF(YEAR(F2214)&lt;&gt;2026,"",INDEX({"Enero","Febrero","Marzo","Abril","Mayo","Junio","Julio","Agosto","Septiembre","Octubre","Noviembre","Diciembre"},MONTH(F2214))))</f>
        <v>Septiembre</v>
      </c>
      <c r="N2214" s="18" t="str">
        <f t="shared" si="104"/>
        <v>Septiembre|113</v>
      </c>
    </row>
    <row r="2215" spans="1:14" ht="14.5" x14ac:dyDescent="0.25">
      <c r="A2215" s="19">
        <v>35</v>
      </c>
      <c r="B2215" s="18" t="s">
        <v>42</v>
      </c>
      <c r="C2215" s="18" t="s">
        <v>447</v>
      </c>
      <c r="D2215" s="18" t="s">
        <v>2679</v>
      </c>
      <c r="E2215" s="18" t="s">
        <v>2766</v>
      </c>
      <c r="F2215" s="101">
        <v>46267.479166666664</v>
      </c>
      <c r="G2215" s="101">
        <v>46275.693749999999</v>
      </c>
      <c r="H2215" s="18" t="s">
        <v>507</v>
      </c>
      <c r="I2215" s="18" t="s">
        <v>508</v>
      </c>
      <c r="J2215" s="18"/>
      <c r="K2215" s="21">
        <f t="shared" si="102"/>
        <v>197.15000000002328</v>
      </c>
      <c r="L2215" s="19">
        <f t="shared" si="103"/>
        <v>113</v>
      </c>
      <c r="M2215" s="18" t="str">
        <f>IF(I2215&lt;&gt;"Sí","",IF(YEAR(F2215)&lt;&gt;2026,"",INDEX({"Enero","Febrero","Marzo","Abril","Mayo","Junio","Julio","Agosto","Septiembre","Octubre","Noviembre","Diciembre"},MONTH(F2215))))</f>
        <v>Septiembre</v>
      </c>
      <c r="N2215" s="18" t="str">
        <f t="shared" si="104"/>
        <v>Septiembre|113</v>
      </c>
    </row>
    <row r="2216" spans="1:14" ht="14.5" x14ac:dyDescent="0.25">
      <c r="A2216" s="19">
        <v>35</v>
      </c>
      <c r="B2216" s="18" t="s">
        <v>42</v>
      </c>
      <c r="C2216" s="18" t="s">
        <v>195</v>
      </c>
      <c r="D2216" s="18" t="s">
        <v>2651</v>
      </c>
      <c r="E2216" s="18" t="s">
        <v>2767</v>
      </c>
      <c r="F2216" s="101">
        <v>46267.48541666667</v>
      </c>
      <c r="G2216" s="101">
        <v>46274.456944444442</v>
      </c>
      <c r="H2216" s="18" t="s">
        <v>507</v>
      </c>
      <c r="I2216" s="18" t="s">
        <v>508</v>
      </c>
      <c r="J2216" s="18"/>
      <c r="K2216" s="21">
        <f t="shared" si="102"/>
        <v>167.31666666653473</v>
      </c>
      <c r="L2216" s="19">
        <f t="shared" si="103"/>
        <v>114</v>
      </c>
      <c r="M2216" s="18" t="str">
        <f>IF(I2216&lt;&gt;"Sí","",IF(YEAR(F2216)&lt;&gt;2026,"",INDEX({"Enero","Febrero","Marzo","Abril","Mayo","Junio","Julio","Agosto","Septiembre","Octubre","Noviembre","Diciembre"},MONTH(F2216))))</f>
        <v>Septiembre</v>
      </c>
      <c r="N2216" s="18" t="str">
        <f t="shared" si="104"/>
        <v>Septiembre|114</v>
      </c>
    </row>
    <row r="2217" spans="1:14" ht="14.5" x14ac:dyDescent="0.25">
      <c r="A2217" s="19">
        <v>35</v>
      </c>
      <c r="B2217" s="18" t="s">
        <v>42</v>
      </c>
      <c r="C2217" s="18" t="s">
        <v>99</v>
      </c>
      <c r="D2217" s="18" t="s">
        <v>2685</v>
      </c>
      <c r="E2217" s="18" t="s">
        <v>2768</v>
      </c>
      <c r="F2217" s="101">
        <v>46267.486805555556</v>
      </c>
      <c r="G2217" s="101">
        <v>46270.989583333336</v>
      </c>
      <c r="H2217" s="18" t="s">
        <v>507</v>
      </c>
      <c r="I2217" s="18" t="s">
        <v>508</v>
      </c>
      <c r="J2217" s="18"/>
      <c r="K2217" s="21">
        <f t="shared" si="102"/>
        <v>84.066666666709352</v>
      </c>
      <c r="L2217" s="19">
        <f t="shared" si="103"/>
        <v>115</v>
      </c>
      <c r="M2217" s="18" t="str">
        <f>IF(I2217&lt;&gt;"Sí","",IF(YEAR(F2217)&lt;&gt;2026,"",INDEX({"Enero","Febrero","Marzo","Abril","Mayo","Junio","Julio","Agosto","Septiembre","Octubre","Noviembre","Diciembre"},MONTH(F2217))))</f>
        <v>Septiembre</v>
      </c>
      <c r="N2217" s="18" t="str">
        <f t="shared" si="104"/>
        <v>Septiembre|115</v>
      </c>
    </row>
    <row r="2218" spans="1:14" ht="14.5" x14ac:dyDescent="0.25">
      <c r="A2218" s="19">
        <v>35</v>
      </c>
      <c r="B2218" s="18" t="s">
        <v>42</v>
      </c>
      <c r="C2218" s="18" t="s">
        <v>99</v>
      </c>
      <c r="D2218" s="18" t="s">
        <v>2685</v>
      </c>
      <c r="E2218" s="18" t="s">
        <v>2769</v>
      </c>
      <c r="F2218" s="101">
        <v>46267.490972222222</v>
      </c>
      <c r="G2218" s="101">
        <v>46270.989583333336</v>
      </c>
      <c r="H2218" s="18" t="s">
        <v>507</v>
      </c>
      <c r="I2218" s="18" t="s">
        <v>508</v>
      </c>
      <c r="J2218" s="18"/>
      <c r="K2218" s="21">
        <f t="shared" si="102"/>
        <v>83.966666666732635</v>
      </c>
      <c r="L2218" s="19">
        <f t="shared" si="103"/>
        <v>116</v>
      </c>
      <c r="M2218" s="18" t="str">
        <f>IF(I2218&lt;&gt;"Sí","",IF(YEAR(F2218)&lt;&gt;2026,"",INDEX({"Enero","Febrero","Marzo","Abril","Mayo","Junio","Julio","Agosto","Septiembre","Octubre","Noviembre","Diciembre"},MONTH(F2218))))</f>
        <v>Septiembre</v>
      </c>
      <c r="N2218" s="18" t="str">
        <f t="shared" si="104"/>
        <v>Septiembre|116</v>
      </c>
    </row>
    <row r="2219" spans="1:14" ht="14.5" x14ac:dyDescent="0.25">
      <c r="A2219" s="19">
        <v>35</v>
      </c>
      <c r="B2219" s="18" t="s">
        <v>42</v>
      </c>
      <c r="C2219" s="18" t="s">
        <v>99</v>
      </c>
      <c r="D2219" s="18" t="s">
        <v>99</v>
      </c>
      <c r="E2219" s="18" t="s">
        <v>2770</v>
      </c>
      <c r="F2219" s="101">
        <v>46267.493055555555</v>
      </c>
      <c r="G2219" s="101">
        <v>46270.805555555555</v>
      </c>
      <c r="H2219" s="18" t="s">
        <v>507</v>
      </c>
      <c r="I2219" s="18" t="s">
        <v>508</v>
      </c>
      <c r="J2219" s="18"/>
      <c r="K2219" s="21">
        <f t="shared" si="102"/>
        <v>79.5</v>
      </c>
      <c r="L2219" s="19">
        <f t="shared" si="103"/>
        <v>129</v>
      </c>
      <c r="M2219" s="18" t="str">
        <f>IF(I2219&lt;&gt;"Sí","",IF(YEAR(F2219)&lt;&gt;2026,"",INDEX({"Enero","Febrero","Marzo","Abril","Mayo","Junio","Julio","Agosto","Septiembre","Octubre","Noviembre","Diciembre"},MONTH(F2219))))</f>
        <v>Septiembre</v>
      </c>
      <c r="N2219" s="18" t="str">
        <f t="shared" si="104"/>
        <v>Septiembre|129</v>
      </c>
    </row>
    <row r="2220" spans="1:14" ht="14.5" x14ac:dyDescent="0.25">
      <c r="A2220" s="19">
        <v>35</v>
      </c>
      <c r="B2220" s="18" t="s">
        <v>42</v>
      </c>
      <c r="C2220" s="18" t="s">
        <v>99</v>
      </c>
      <c r="D2220" s="18" t="s">
        <v>99</v>
      </c>
      <c r="E2220" s="18" t="s">
        <v>2771</v>
      </c>
      <c r="F2220" s="101">
        <v>46267.493055555555</v>
      </c>
      <c r="G2220" s="101">
        <v>46270.043749999997</v>
      </c>
      <c r="H2220" s="18" t="s">
        <v>507</v>
      </c>
      <c r="I2220" s="18" t="s">
        <v>508</v>
      </c>
      <c r="J2220" s="18"/>
      <c r="K2220" s="21">
        <f t="shared" si="102"/>
        <v>61.21666666661622</v>
      </c>
      <c r="L2220" s="19">
        <f t="shared" si="103"/>
        <v>129</v>
      </c>
      <c r="M2220" s="18" t="str">
        <f>IF(I2220&lt;&gt;"Sí","",IF(YEAR(F2220)&lt;&gt;2026,"",INDEX({"Enero","Febrero","Marzo","Abril","Mayo","Junio","Julio","Agosto","Septiembre","Octubre","Noviembre","Diciembre"},MONTH(F2220))))</f>
        <v>Septiembre</v>
      </c>
      <c r="N2220" s="18" t="str">
        <f t="shared" si="104"/>
        <v>Septiembre|129</v>
      </c>
    </row>
    <row r="2221" spans="1:14" ht="14.5" x14ac:dyDescent="0.25">
      <c r="A2221" s="19">
        <v>35</v>
      </c>
      <c r="B2221" s="18" t="s">
        <v>42</v>
      </c>
      <c r="C2221" s="18" t="s">
        <v>99</v>
      </c>
      <c r="D2221" s="18" t="s">
        <v>99</v>
      </c>
      <c r="E2221" s="18" t="s">
        <v>2772</v>
      </c>
      <c r="F2221" s="101">
        <v>46267.493055555555</v>
      </c>
      <c r="G2221" s="101">
        <v>46270.043749999997</v>
      </c>
      <c r="H2221" s="18" t="s">
        <v>507</v>
      </c>
      <c r="I2221" s="18" t="s">
        <v>508</v>
      </c>
      <c r="J2221" s="18"/>
      <c r="K2221" s="21">
        <f t="shared" si="102"/>
        <v>61.21666666661622</v>
      </c>
      <c r="L2221" s="19">
        <f t="shared" si="103"/>
        <v>129</v>
      </c>
      <c r="M2221" s="18" t="str">
        <f>IF(I2221&lt;&gt;"Sí","",IF(YEAR(F2221)&lt;&gt;2026,"",INDEX({"Enero","Febrero","Marzo","Abril","Mayo","Junio","Julio","Agosto","Septiembre","Octubre","Noviembre","Diciembre"},MONTH(F2221))))</f>
        <v>Septiembre</v>
      </c>
      <c r="N2221" s="18" t="str">
        <f t="shared" si="104"/>
        <v>Septiembre|129</v>
      </c>
    </row>
    <row r="2222" spans="1:14" ht="14.5" x14ac:dyDescent="0.25">
      <c r="A2222" s="19">
        <v>35</v>
      </c>
      <c r="B2222" s="18" t="s">
        <v>42</v>
      </c>
      <c r="C2222" s="18" t="s">
        <v>99</v>
      </c>
      <c r="D2222" s="18" t="s">
        <v>99</v>
      </c>
      <c r="E2222" s="18" t="s">
        <v>2773</v>
      </c>
      <c r="F2222" s="101">
        <v>46267.493055555555</v>
      </c>
      <c r="G2222" s="101">
        <v>46270.043749999997</v>
      </c>
      <c r="H2222" s="18" t="s">
        <v>507</v>
      </c>
      <c r="I2222" s="18" t="s">
        <v>508</v>
      </c>
      <c r="J2222" s="18"/>
      <c r="K2222" s="21">
        <f t="shared" si="102"/>
        <v>61.21666666661622</v>
      </c>
      <c r="L2222" s="19">
        <f t="shared" si="103"/>
        <v>129</v>
      </c>
      <c r="M2222" s="18" t="str">
        <f>IF(I2222&lt;&gt;"Sí","",IF(YEAR(F2222)&lt;&gt;2026,"",INDEX({"Enero","Febrero","Marzo","Abril","Mayo","Junio","Julio","Agosto","Septiembre","Octubre","Noviembre","Diciembre"},MONTH(F2222))))</f>
        <v>Septiembre</v>
      </c>
      <c r="N2222" s="18" t="str">
        <f t="shared" si="104"/>
        <v>Septiembre|129</v>
      </c>
    </row>
    <row r="2223" spans="1:14" ht="14.5" x14ac:dyDescent="0.25">
      <c r="A2223" s="19">
        <v>35</v>
      </c>
      <c r="B2223" s="18" t="s">
        <v>42</v>
      </c>
      <c r="C2223" s="18" t="s">
        <v>99</v>
      </c>
      <c r="D2223" s="18" t="s">
        <v>99</v>
      </c>
      <c r="E2223" s="18" t="s">
        <v>2774</v>
      </c>
      <c r="F2223" s="101">
        <v>46267.493055555555</v>
      </c>
      <c r="G2223" s="101">
        <v>46270.043749999997</v>
      </c>
      <c r="H2223" s="18" t="s">
        <v>507</v>
      </c>
      <c r="I2223" s="18" t="s">
        <v>508</v>
      </c>
      <c r="J2223" s="18"/>
      <c r="K2223" s="21">
        <f t="shared" si="102"/>
        <v>61.21666666661622</v>
      </c>
      <c r="L2223" s="19">
        <f t="shared" si="103"/>
        <v>129</v>
      </c>
      <c r="M2223" s="18" t="str">
        <f>IF(I2223&lt;&gt;"Sí","",IF(YEAR(F2223)&lt;&gt;2026,"",INDEX({"Enero","Febrero","Marzo","Abril","Mayo","Junio","Julio","Agosto","Septiembre","Octubre","Noviembre","Diciembre"},MONTH(F2223))))</f>
        <v>Septiembre</v>
      </c>
      <c r="N2223" s="18" t="str">
        <f t="shared" si="104"/>
        <v>Septiembre|129</v>
      </c>
    </row>
    <row r="2224" spans="1:14" ht="14.5" x14ac:dyDescent="0.25">
      <c r="A2224" s="19">
        <v>35</v>
      </c>
      <c r="B2224" s="18" t="s">
        <v>42</v>
      </c>
      <c r="C2224" s="18" t="s">
        <v>99</v>
      </c>
      <c r="D2224" s="18" t="s">
        <v>99</v>
      </c>
      <c r="E2224" s="18" t="s">
        <v>2775</v>
      </c>
      <c r="F2224" s="101">
        <v>46267.493055555555</v>
      </c>
      <c r="G2224" s="101">
        <v>46270.043749999997</v>
      </c>
      <c r="H2224" s="18" t="s">
        <v>507</v>
      </c>
      <c r="I2224" s="18" t="s">
        <v>508</v>
      </c>
      <c r="J2224" s="18"/>
      <c r="K2224" s="21">
        <f t="shared" si="102"/>
        <v>61.21666666661622</v>
      </c>
      <c r="L2224" s="19">
        <f t="shared" si="103"/>
        <v>129</v>
      </c>
      <c r="M2224" s="18" t="str">
        <f>IF(I2224&lt;&gt;"Sí","",IF(YEAR(F2224)&lt;&gt;2026,"",INDEX({"Enero","Febrero","Marzo","Abril","Mayo","Junio","Julio","Agosto","Septiembre","Octubre","Noviembre","Diciembre"},MONTH(F2224))))</f>
        <v>Septiembre</v>
      </c>
      <c r="N2224" s="18" t="str">
        <f t="shared" si="104"/>
        <v>Septiembre|129</v>
      </c>
    </row>
    <row r="2225" spans="1:14" ht="14.5" x14ac:dyDescent="0.25">
      <c r="A2225" s="19">
        <v>35</v>
      </c>
      <c r="B2225" s="18" t="s">
        <v>42</v>
      </c>
      <c r="C2225" s="18" t="s">
        <v>99</v>
      </c>
      <c r="D2225" s="18" t="s">
        <v>99</v>
      </c>
      <c r="E2225" s="18" t="s">
        <v>2776</v>
      </c>
      <c r="F2225" s="101">
        <v>46267.493055555555</v>
      </c>
      <c r="G2225" s="101">
        <v>46270.043749999997</v>
      </c>
      <c r="H2225" s="18" t="s">
        <v>507</v>
      </c>
      <c r="I2225" s="18" t="s">
        <v>508</v>
      </c>
      <c r="J2225" s="18"/>
      <c r="K2225" s="21">
        <f t="shared" si="102"/>
        <v>61.21666666661622</v>
      </c>
      <c r="L2225" s="19">
        <f t="shared" si="103"/>
        <v>129</v>
      </c>
      <c r="M2225" s="18" t="str">
        <f>IF(I2225&lt;&gt;"Sí","",IF(YEAR(F2225)&lt;&gt;2026,"",INDEX({"Enero","Febrero","Marzo","Abril","Mayo","Junio","Julio","Agosto","Septiembre","Octubre","Noviembre","Diciembre"},MONTH(F2225))))</f>
        <v>Septiembre</v>
      </c>
      <c r="N2225" s="18" t="str">
        <f t="shared" si="104"/>
        <v>Septiembre|129</v>
      </c>
    </row>
    <row r="2226" spans="1:14" ht="14.5" x14ac:dyDescent="0.25">
      <c r="A2226" s="19">
        <v>35</v>
      </c>
      <c r="B2226" s="18" t="s">
        <v>42</v>
      </c>
      <c r="C2226" s="18" t="s">
        <v>99</v>
      </c>
      <c r="D2226" s="18" t="s">
        <v>99</v>
      </c>
      <c r="E2226" s="18" t="s">
        <v>2777</v>
      </c>
      <c r="F2226" s="101">
        <v>46267.493055555555</v>
      </c>
      <c r="G2226" s="101">
        <v>46270.043749999997</v>
      </c>
      <c r="H2226" s="18" t="s">
        <v>507</v>
      </c>
      <c r="I2226" s="18" t="s">
        <v>508</v>
      </c>
      <c r="J2226" s="18"/>
      <c r="K2226" s="21">
        <f t="shared" si="102"/>
        <v>61.21666666661622</v>
      </c>
      <c r="L2226" s="19">
        <f t="shared" si="103"/>
        <v>129</v>
      </c>
      <c r="M2226" s="18" t="str">
        <f>IF(I2226&lt;&gt;"Sí","",IF(YEAR(F2226)&lt;&gt;2026,"",INDEX({"Enero","Febrero","Marzo","Abril","Mayo","Junio","Julio","Agosto","Septiembre","Octubre","Noviembre","Diciembre"},MONTH(F2226))))</f>
        <v>Septiembre</v>
      </c>
      <c r="N2226" s="18" t="str">
        <f t="shared" si="104"/>
        <v>Septiembre|129</v>
      </c>
    </row>
    <row r="2227" spans="1:14" ht="14.5" x14ac:dyDescent="0.25">
      <c r="A2227" s="19">
        <v>35</v>
      </c>
      <c r="B2227" s="18" t="s">
        <v>42</v>
      </c>
      <c r="C2227" s="18" t="s">
        <v>99</v>
      </c>
      <c r="D2227" s="18" t="s">
        <v>99</v>
      </c>
      <c r="E2227" s="18" t="s">
        <v>2778</v>
      </c>
      <c r="F2227" s="101">
        <v>46267.493055555555</v>
      </c>
      <c r="G2227" s="101">
        <v>46270.033333333333</v>
      </c>
      <c r="H2227" s="18" t="s">
        <v>507</v>
      </c>
      <c r="I2227" s="18" t="s">
        <v>508</v>
      </c>
      <c r="J2227" s="18"/>
      <c r="K2227" s="21">
        <f t="shared" si="102"/>
        <v>60.966666666674428</v>
      </c>
      <c r="L2227" s="19">
        <f t="shared" si="103"/>
        <v>129</v>
      </c>
      <c r="M2227" s="18" t="str">
        <f>IF(I2227&lt;&gt;"Sí","",IF(YEAR(F2227)&lt;&gt;2026,"",INDEX({"Enero","Febrero","Marzo","Abril","Mayo","Junio","Julio","Agosto","Septiembre","Octubre","Noviembre","Diciembre"},MONTH(F2227))))</f>
        <v>Septiembre</v>
      </c>
      <c r="N2227" s="18" t="str">
        <f t="shared" si="104"/>
        <v>Septiembre|129</v>
      </c>
    </row>
    <row r="2228" spans="1:14" ht="14.5" x14ac:dyDescent="0.25">
      <c r="A2228" s="19">
        <v>35</v>
      </c>
      <c r="B2228" s="18" t="s">
        <v>42</v>
      </c>
      <c r="C2228" s="18" t="s">
        <v>99</v>
      </c>
      <c r="D2228" s="18" t="s">
        <v>99</v>
      </c>
      <c r="E2228" s="18" t="s">
        <v>2779</v>
      </c>
      <c r="F2228" s="101">
        <v>46267.493055555555</v>
      </c>
      <c r="G2228" s="101">
        <v>46270.033333333333</v>
      </c>
      <c r="H2228" s="18" t="s">
        <v>507</v>
      </c>
      <c r="I2228" s="18" t="s">
        <v>508</v>
      </c>
      <c r="J2228" s="18"/>
      <c r="K2228" s="21">
        <f t="shared" si="102"/>
        <v>60.966666666674428</v>
      </c>
      <c r="L2228" s="19">
        <f t="shared" si="103"/>
        <v>129</v>
      </c>
      <c r="M2228" s="18" t="str">
        <f>IF(I2228&lt;&gt;"Sí","",IF(YEAR(F2228)&lt;&gt;2026,"",INDEX({"Enero","Febrero","Marzo","Abril","Mayo","Junio","Julio","Agosto","Septiembre","Octubre","Noviembre","Diciembre"},MONTH(F2228))))</f>
        <v>Septiembre</v>
      </c>
      <c r="N2228" s="18" t="str">
        <f t="shared" si="104"/>
        <v>Septiembre|129</v>
      </c>
    </row>
    <row r="2229" spans="1:14" ht="14.5" x14ac:dyDescent="0.25">
      <c r="A2229" s="19">
        <v>35</v>
      </c>
      <c r="B2229" s="18" t="s">
        <v>42</v>
      </c>
      <c r="C2229" s="18" t="s">
        <v>99</v>
      </c>
      <c r="D2229" s="18" t="s">
        <v>99</v>
      </c>
      <c r="E2229" s="18" t="s">
        <v>2780</v>
      </c>
      <c r="F2229" s="101">
        <v>46267.493055555555</v>
      </c>
      <c r="G2229" s="101">
        <v>46270.033333333333</v>
      </c>
      <c r="H2229" s="18" t="s">
        <v>507</v>
      </c>
      <c r="I2229" s="18" t="s">
        <v>508</v>
      </c>
      <c r="J2229" s="18"/>
      <c r="K2229" s="21">
        <f t="shared" si="102"/>
        <v>60.966666666674428</v>
      </c>
      <c r="L2229" s="19">
        <f t="shared" si="103"/>
        <v>129</v>
      </c>
      <c r="M2229" s="18" t="str">
        <f>IF(I2229&lt;&gt;"Sí","",IF(YEAR(F2229)&lt;&gt;2026,"",INDEX({"Enero","Febrero","Marzo","Abril","Mayo","Junio","Julio","Agosto","Septiembre","Octubre","Noviembre","Diciembre"},MONTH(F2229))))</f>
        <v>Septiembre</v>
      </c>
      <c r="N2229" s="18" t="str">
        <f t="shared" si="104"/>
        <v>Septiembre|129</v>
      </c>
    </row>
    <row r="2230" spans="1:14" ht="14.5" x14ac:dyDescent="0.25">
      <c r="A2230" s="19">
        <v>35</v>
      </c>
      <c r="B2230" s="18" t="s">
        <v>42</v>
      </c>
      <c r="C2230" s="18" t="s">
        <v>99</v>
      </c>
      <c r="D2230" s="18" t="s">
        <v>2685</v>
      </c>
      <c r="E2230" s="18" t="s">
        <v>2781</v>
      </c>
      <c r="F2230" s="101">
        <v>46267.493055555555</v>
      </c>
      <c r="G2230" s="101">
        <v>46270.033333333333</v>
      </c>
      <c r="H2230" s="18" t="s">
        <v>507</v>
      </c>
      <c r="I2230" s="18" t="s">
        <v>508</v>
      </c>
      <c r="J2230" s="18"/>
      <c r="K2230" s="21">
        <f t="shared" si="102"/>
        <v>60.966666666674428</v>
      </c>
      <c r="L2230" s="19">
        <f t="shared" si="103"/>
        <v>129</v>
      </c>
      <c r="M2230" s="18" t="str">
        <f>IF(I2230&lt;&gt;"Sí","",IF(YEAR(F2230)&lt;&gt;2026,"",INDEX({"Enero","Febrero","Marzo","Abril","Mayo","Junio","Julio","Agosto","Septiembre","Octubre","Noviembre","Diciembre"},MONTH(F2230))))</f>
        <v>Septiembre</v>
      </c>
      <c r="N2230" s="18" t="str">
        <f t="shared" si="104"/>
        <v>Septiembre|129</v>
      </c>
    </row>
    <row r="2231" spans="1:14" ht="14.5" x14ac:dyDescent="0.25">
      <c r="A2231" s="19">
        <v>35</v>
      </c>
      <c r="B2231" s="18" t="s">
        <v>42</v>
      </c>
      <c r="C2231" s="18" t="s">
        <v>99</v>
      </c>
      <c r="D2231" s="18" t="s">
        <v>2685</v>
      </c>
      <c r="E2231" s="18" t="s">
        <v>2782</v>
      </c>
      <c r="F2231" s="101">
        <v>46267.493055555555</v>
      </c>
      <c r="G2231" s="101">
        <v>46270.989583333336</v>
      </c>
      <c r="H2231" s="18" t="s">
        <v>507</v>
      </c>
      <c r="I2231" s="18" t="s">
        <v>508</v>
      </c>
      <c r="J2231" s="18"/>
      <c r="K2231" s="21">
        <f t="shared" si="102"/>
        <v>83.916666666744277</v>
      </c>
      <c r="L2231" s="19">
        <f t="shared" si="103"/>
        <v>129</v>
      </c>
      <c r="M2231" s="18" t="str">
        <f>IF(I2231&lt;&gt;"Sí","",IF(YEAR(F2231)&lt;&gt;2026,"",INDEX({"Enero","Febrero","Marzo","Abril","Mayo","Junio","Julio","Agosto","Septiembre","Octubre","Noviembre","Diciembre"},MONTH(F2231))))</f>
        <v>Septiembre</v>
      </c>
      <c r="N2231" s="18" t="str">
        <f t="shared" si="104"/>
        <v>Septiembre|129</v>
      </c>
    </row>
    <row r="2232" spans="1:14" ht="14.5" x14ac:dyDescent="0.25">
      <c r="A2232" s="19">
        <v>35</v>
      </c>
      <c r="B2232" s="18" t="s">
        <v>42</v>
      </c>
      <c r="C2232" s="18" t="s">
        <v>99</v>
      </c>
      <c r="D2232" s="18" t="s">
        <v>2685</v>
      </c>
      <c r="E2232" s="18" t="s">
        <v>2783</v>
      </c>
      <c r="F2232" s="101">
        <v>46267.494444444441</v>
      </c>
      <c r="G2232" s="101">
        <v>46270.989583333336</v>
      </c>
      <c r="H2232" s="18" t="s">
        <v>507</v>
      </c>
      <c r="I2232" s="18" t="s">
        <v>508</v>
      </c>
      <c r="J2232" s="18"/>
      <c r="K2232" s="21">
        <f t="shared" si="102"/>
        <v>83.883333333476912</v>
      </c>
      <c r="L2232" s="19">
        <f t="shared" si="103"/>
        <v>130</v>
      </c>
      <c r="M2232" s="18" t="str">
        <f>IF(I2232&lt;&gt;"Sí","",IF(YEAR(F2232)&lt;&gt;2026,"",INDEX({"Enero","Febrero","Marzo","Abril","Mayo","Junio","Julio","Agosto","Septiembre","Octubre","Noviembre","Diciembre"},MONTH(F2232))))</f>
        <v>Septiembre</v>
      </c>
      <c r="N2232" s="18" t="str">
        <f t="shared" si="104"/>
        <v>Septiembre|130</v>
      </c>
    </row>
    <row r="2233" spans="1:14" ht="14.5" x14ac:dyDescent="0.25">
      <c r="A2233" s="19">
        <v>35</v>
      </c>
      <c r="B2233" s="18" t="s">
        <v>42</v>
      </c>
      <c r="C2233" s="18" t="s">
        <v>195</v>
      </c>
      <c r="D2233" s="18" t="s">
        <v>2651</v>
      </c>
      <c r="E2233" s="18" t="s">
        <v>2784</v>
      </c>
      <c r="F2233" s="101">
        <v>46267.530555555553</v>
      </c>
      <c r="G2233" s="101">
        <v>46274.456944444442</v>
      </c>
      <c r="H2233" s="18" t="s">
        <v>507</v>
      </c>
      <c r="I2233" s="18" t="s">
        <v>508</v>
      </c>
      <c r="J2233" s="18"/>
      <c r="K2233" s="21">
        <f t="shared" si="102"/>
        <v>166.23333333333721</v>
      </c>
      <c r="L2233" s="19">
        <f t="shared" si="103"/>
        <v>131</v>
      </c>
      <c r="M2233" s="18" t="str">
        <f>IF(I2233&lt;&gt;"Sí","",IF(YEAR(F2233)&lt;&gt;2026,"",INDEX({"Enero","Febrero","Marzo","Abril","Mayo","Junio","Julio","Agosto","Septiembre","Octubre","Noviembre","Diciembre"},MONTH(F2233))))</f>
        <v>Septiembre</v>
      </c>
      <c r="N2233" s="18" t="str">
        <f t="shared" si="104"/>
        <v>Septiembre|131</v>
      </c>
    </row>
    <row r="2234" spans="1:14" ht="14.5" x14ac:dyDescent="0.25">
      <c r="A2234" s="19">
        <v>35</v>
      </c>
      <c r="B2234" s="18" t="s">
        <v>42</v>
      </c>
      <c r="C2234" s="18" t="s">
        <v>99</v>
      </c>
      <c r="D2234" s="18" t="s">
        <v>2685</v>
      </c>
      <c r="E2234" s="18" t="s">
        <v>2785</v>
      </c>
      <c r="F2234" s="101">
        <v>46267.540972222225</v>
      </c>
      <c r="G2234" s="101">
        <v>46270.003472222219</v>
      </c>
      <c r="H2234" s="18" t="s">
        <v>507</v>
      </c>
      <c r="I2234" s="18" t="s">
        <v>508</v>
      </c>
      <c r="J2234" s="18"/>
      <c r="K2234" s="21">
        <f t="shared" si="102"/>
        <v>59.099999999860302</v>
      </c>
      <c r="L2234" s="19">
        <f t="shared" si="103"/>
        <v>132</v>
      </c>
      <c r="M2234" s="18" t="str">
        <f>IF(I2234&lt;&gt;"Sí","",IF(YEAR(F2234)&lt;&gt;2026,"",INDEX({"Enero","Febrero","Marzo","Abril","Mayo","Junio","Julio","Agosto","Septiembre","Octubre","Noviembre","Diciembre"},MONTH(F2234))))</f>
        <v>Septiembre</v>
      </c>
      <c r="N2234" s="18" t="str">
        <f t="shared" si="104"/>
        <v>Septiembre|132</v>
      </c>
    </row>
    <row r="2235" spans="1:14" ht="14.5" x14ac:dyDescent="0.25">
      <c r="A2235" s="19">
        <v>35</v>
      </c>
      <c r="B2235" s="18" t="s">
        <v>42</v>
      </c>
      <c r="C2235" s="18" t="s">
        <v>99</v>
      </c>
      <c r="D2235" s="18" t="s">
        <v>99</v>
      </c>
      <c r="E2235" s="18" t="s">
        <v>2786</v>
      </c>
      <c r="F2235" s="101">
        <v>46267.541666666664</v>
      </c>
      <c r="G2235" s="101">
        <v>46270.805555555555</v>
      </c>
      <c r="H2235" s="18" t="s">
        <v>507</v>
      </c>
      <c r="I2235" s="18" t="s">
        <v>508</v>
      </c>
      <c r="J2235" s="18"/>
      <c r="K2235" s="21">
        <f t="shared" si="102"/>
        <v>78.333333333372138</v>
      </c>
      <c r="L2235" s="19">
        <f t="shared" si="103"/>
        <v>142</v>
      </c>
      <c r="M2235" s="18" t="str">
        <f>IF(I2235&lt;&gt;"Sí","",IF(YEAR(F2235)&lt;&gt;2026,"",INDEX({"Enero","Febrero","Marzo","Abril","Mayo","Junio","Julio","Agosto","Septiembre","Octubre","Noviembre","Diciembre"},MONTH(F2235))))</f>
        <v>Septiembre</v>
      </c>
      <c r="N2235" s="18" t="str">
        <f t="shared" si="104"/>
        <v>Septiembre|142</v>
      </c>
    </row>
    <row r="2236" spans="1:14" ht="14.5" x14ac:dyDescent="0.25">
      <c r="A2236" s="19">
        <v>35</v>
      </c>
      <c r="B2236" s="18" t="s">
        <v>42</v>
      </c>
      <c r="C2236" s="18" t="s">
        <v>99</v>
      </c>
      <c r="D2236" s="18" t="s">
        <v>2685</v>
      </c>
      <c r="E2236" s="18" t="s">
        <v>2787</v>
      </c>
      <c r="F2236" s="101">
        <v>46267.541666666664</v>
      </c>
      <c r="G2236" s="101">
        <v>46270.805555555555</v>
      </c>
      <c r="H2236" s="18" t="s">
        <v>507</v>
      </c>
      <c r="I2236" s="18" t="s">
        <v>508</v>
      </c>
      <c r="J2236" s="18"/>
      <c r="K2236" s="21">
        <f t="shared" si="102"/>
        <v>78.333333333372138</v>
      </c>
      <c r="L2236" s="19">
        <f t="shared" si="103"/>
        <v>142</v>
      </c>
      <c r="M2236" s="18" t="str">
        <f>IF(I2236&lt;&gt;"Sí","",IF(YEAR(F2236)&lt;&gt;2026,"",INDEX({"Enero","Febrero","Marzo","Abril","Mayo","Junio","Julio","Agosto","Septiembre","Octubre","Noviembre","Diciembre"},MONTH(F2236))))</f>
        <v>Septiembre</v>
      </c>
      <c r="N2236" s="18" t="str">
        <f t="shared" si="104"/>
        <v>Septiembre|142</v>
      </c>
    </row>
    <row r="2237" spans="1:14" ht="14.5" x14ac:dyDescent="0.25">
      <c r="A2237" s="19">
        <v>35</v>
      </c>
      <c r="B2237" s="18" t="s">
        <v>42</v>
      </c>
      <c r="C2237" s="18" t="s">
        <v>99</v>
      </c>
      <c r="D2237" s="18" t="s">
        <v>2685</v>
      </c>
      <c r="E2237" s="18" t="s">
        <v>2788</v>
      </c>
      <c r="F2237" s="101">
        <v>46267.541666666664</v>
      </c>
      <c r="G2237" s="101">
        <v>46270.805555555555</v>
      </c>
      <c r="H2237" s="18" t="s">
        <v>507</v>
      </c>
      <c r="I2237" s="18" t="s">
        <v>508</v>
      </c>
      <c r="J2237" s="18"/>
      <c r="K2237" s="21">
        <f t="shared" si="102"/>
        <v>78.333333333372138</v>
      </c>
      <c r="L2237" s="19">
        <f t="shared" si="103"/>
        <v>142</v>
      </c>
      <c r="M2237" s="18" t="str">
        <f>IF(I2237&lt;&gt;"Sí","",IF(YEAR(F2237)&lt;&gt;2026,"",INDEX({"Enero","Febrero","Marzo","Abril","Mayo","Junio","Julio","Agosto","Septiembre","Octubre","Noviembre","Diciembre"},MONTH(F2237))))</f>
        <v>Septiembre</v>
      </c>
      <c r="N2237" s="18" t="str">
        <f t="shared" si="104"/>
        <v>Septiembre|142</v>
      </c>
    </row>
    <row r="2238" spans="1:14" ht="14.5" x14ac:dyDescent="0.25">
      <c r="A2238" s="19">
        <v>35</v>
      </c>
      <c r="B2238" s="18" t="s">
        <v>42</v>
      </c>
      <c r="C2238" s="18" t="s">
        <v>99</v>
      </c>
      <c r="D2238" s="18" t="s">
        <v>2685</v>
      </c>
      <c r="E2238" s="18" t="s">
        <v>2789</v>
      </c>
      <c r="F2238" s="101">
        <v>46267.541666666664</v>
      </c>
      <c r="G2238" s="101">
        <v>46270.989583333336</v>
      </c>
      <c r="H2238" s="18" t="s">
        <v>507</v>
      </c>
      <c r="I2238" s="18" t="s">
        <v>508</v>
      </c>
      <c r="J2238" s="18"/>
      <c r="K2238" s="21">
        <f t="shared" si="102"/>
        <v>82.750000000116415</v>
      </c>
      <c r="L2238" s="19">
        <f t="shared" si="103"/>
        <v>142</v>
      </c>
      <c r="M2238" s="18" t="str">
        <f>IF(I2238&lt;&gt;"Sí","",IF(YEAR(F2238)&lt;&gt;2026,"",INDEX({"Enero","Febrero","Marzo","Abril","Mayo","Junio","Julio","Agosto","Septiembre","Octubre","Noviembre","Diciembre"},MONTH(F2238))))</f>
        <v>Septiembre</v>
      </c>
      <c r="N2238" s="18" t="str">
        <f t="shared" si="104"/>
        <v>Septiembre|142</v>
      </c>
    </row>
    <row r="2239" spans="1:14" ht="14.5" x14ac:dyDescent="0.25">
      <c r="A2239" s="19">
        <v>35</v>
      </c>
      <c r="B2239" s="18" t="s">
        <v>42</v>
      </c>
      <c r="C2239" s="18" t="s">
        <v>99</v>
      </c>
      <c r="D2239" s="18" t="s">
        <v>2685</v>
      </c>
      <c r="E2239" s="18" t="s">
        <v>2790</v>
      </c>
      <c r="F2239" s="101">
        <v>46267.541666666664</v>
      </c>
      <c r="G2239" s="101">
        <v>46270.782638888886</v>
      </c>
      <c r="H2239" s="18" t="s">
        <v>507</v>
      </c>
      <c r="I2239" s="18" t="s">
        <v>508</v>
      </c>
      <c r="J2239" s="18"/>
      <c r="K2239" s="21">
        <f t="shared" si="102"/>
        <v>77.783333333325572</v>
      </c>
      <c r="L2239" s="19">
        <f t="shared" si="103"/>
        <v>142</v>
      </c>
      <c r="M2239" s="18" t="str">
        <f>IF(I2239&lt;&gt;"Sí","",IF(YEAR(F2239)&lt;&gt;2026,"",INDEX({"Enero","Febrero","Marzo","Abril","Mayo","Junio","Julio","Agosto","Septiembre","Octubre","Noviembre","Diciembre"},MONTH(F2239))))</f>
        <v>Septiembre</v>
      </c>
      <c r="N2239" s="18" t="str">
        <f t="shared" si="104"/>
        <v>Septiembre|142</v>
      </c>
    </row>
    <row r="2240" spans="1:14" ht="14.5" x14ac:dyDescent="0.25">
      <c r="A2240" s="19">
        <v>35</v>
      </c>
      <c r="B2240" s="18" t="s">
        <v>42</v>
      </c>
      <c r="C2240" s="18" t="s">
        <v>99</v>
      </c>
      <c r="D2240" s="18" t="s">
        <v>2685</v>
      </c>
      <c r="E2240" s="18" t="s">
        <v>2791</v>
      </c>
      <c r="F2240" s="101">
        <v>46267.541666666664</v>
      </c>
      <c r="G2240" s="101">
        <v>46270.782638888886</v>
      </c>
      <c r="H2240" s="18" t="s">
        <v>507</v>
      </c>
      <c r="I2240" s="18" t="s">
        <v>508</v>
      </c>
      <c r="J2240" s="18"/>
      <c r="K2240" s="21">
        <f t="shared" si="102"/>
        <v>77.783333333325572</v>
      </c>
      <c r="L2240" s="19">
        <f t="shared" si="103"/>
        <v>142</v>
      </c>
      <c r="M2240" s="18" t="str">
        <f>IF(I2240&lt;&gt;"Sí","",IF(YEAR(F2240)&lt;&gt;2026,"",INDEX({"Enero","Febrero","Marzo","Abril","Mayo","Junio","Julio","Agosto","Septiembre","Octubre","Noviembre","Diciembre"},MONTH(F2240))))</f>
        <v>Septiembre</v>
      </c>
      <c r="N2240" s="18" t="str">
        <f t="shared" si="104"/>
        <v>Septiembre|142</v>
      </c>
    </row>
    <row r="2241" spans="1:14" ht="14.5" x14ac:dyDescent="0.25">
      <c r="A2241" s="19">
        <v>35</v>
      </c>
      <c r="B2241" s="18" t="s">
        <v>42</v>
      </c>
      <c r="C2241" s="18" t="s">
        <v>99</v>
      </c>
      <c r="D2241" s="18" t="s">
        <v>2685</v>
      </c>
      <c r="E2241" s="18" t="s">
        <v>2792</v>
      </c>
      <c r="F2241" s="101">
        <v>46267.541666666664</v>
      </c>
      <c r="G2241" s="101">
        <v>46270.782638888886</v>
      </c>
      <c r="H2241" s="18" t="s">
        <v>507</v>
      </c>
      <c r="I2241" s="18" t="s">
        <v>508</v>
      </c>
      <c r="J2241" s="18"/>
      <c r="K2241" s="21">
        <f t="shared" si="102"/>
        <v>77.783333333325572</v>
      </c>
      <c r="L2241" s="19">
        <f t="shared" si="103"/>
        <v>142</v>
      </c>
      <c r="M2241" s="18" t="str">
        <f>IF(I2241&lt;&gt;"Sí","",IF(YEAR(F2241)&lt;&gt;2026,"",INDEX({"Enero","Febrero","Marzo","Abril","Mayo","Junio","Julio","Agosto","Septiembre","Octubre","Noviembre","Diciembre"},MONTH(F2241))))</f>
        <v>Septiembre</v>
      </c>
      <c r="N2241" s="18" t="str">
        <f t="shared" si="104"/>
        <v>Septiembre|142</v>
      </c>
    </row>
    <row r="2242" spans="1:14" ht="14.5" x14ac:dyDescent="0.25">
      <c r="A2242" s="19">
        <v>35</v>
      </c>
      <c r="B2242" s="18" t="s">
        <v>42</v>
      </c>
      <c r="C2242" s="18" t="s">
        <v>99</v>
      </c>
      <c r="D2242" s="18" t="s">
        <v>2685</v>
      </c>
      <c r="E2242" s="18" t="s">
        <v>2793</v>
      </c>
      <c r="F2242" s="101">
        <v>46267.541666666664</v>
      </c>
      <c r="G2242" s="101">
        <v>46270.782638888886</v>
      </c>
      <c r="H2242" s="18" t="s">
        <v>507</v>
      </c>
      <c r="I2242" s="18" t="s">
        <v>508</v>
      </c>
      <c r="J2242" s="18"/>
      <c r="K2242" s="21">
        <f t="shared" si="102"/>
        <v>77.783333333325572</v>
      </c>
      <c r="L2242" s="19">
        <f t="shared" si="103"/>
        <v>142</v>
      </c>
      <c r="M2242" s="18" t="str">
        <f>IF(I2242&lt;&gt;"Sí","",IF(YEAR(F2242)&lt;&gt;2026,"",INDEX({"Enero","Febrero","Marzo","Abril","Mayo","Junio","Julio","Agosto","Septiembre","Octubre","Noviembre","Diciembre"},MONTH(F2242))))</f>
        <v>Septiembre</v>
      </c>
      <c r="N2242" s="18" t="str">
        <f t="shared" si="104"/>
        <v>Septiembre|142</v>
      </c>
    </row>
    <row r="2243" spans="1:14" ht="14.5" x14ac:dyDescent="0.25">
      <c r="A2243" s="19">
        <v>35</v>
      </c>
      <c r="B2243" s="18" t="s">
        <v>42</v>
      </c>
      <c r="C2243" s="18" t="s">
        <v>99</v>
      </c>
      <c r="D2243" s="18" t="s">
        <v>2685</v>
      </c>
      <c r="E2243" s="18" t="s">
        <v>2794</v>
      </c>
      <c r="F2243" s="101">
        <v>46267.541666666664</v>
      </c>
      <c r="G2243" s="101">
        <v>46270.782638888886</v>
      </c>
      <c r="H2243" s="18" t="s">
        <v>507</v>
      </c>
      <c r="I2243" s="18" t="s">
        <v>508</v>
      </c>
      <c r="J2243" s="18"/>
      <c r="K2243" s="21">
        <f t="shared" si="102"/>
        <v>77.783333333325572</v>
      </c>
      <c r="L2243" s="19">
        <f t="shared" si="103"/>
        <v>142</v>
      </c>
      <c r="M2243" s="18" t="str">
        <f>IF(I2243&lt;&gt;"Sí","",IF(YEAR(F2243)&lt;&gt;2026,"",INDEX({"Enero","Febrero","Marzo","Abril","Mayo","Junio","Julio","Agosto","Septiembre","Octubre","Noviembre","Diciembre"},MONTH(F2243))))</f>
        <v>Septiembre</v>
      </c>
      <c r="N2243" s="18" t="str">
        <f t="shared" si="104"/>
        <v>Septiembre|142</v>
      </c>
    </row>
    <row r="2244" spans="1:14" ht="14.5" x14ac:dyDescent="0.25">
      <c r="A2244" s="19">
        <v>35</v>
      </c>
      <c r="B2244" s="18" t="s">
        <v>42</v>
      </c>
      <c r="C2244" s="18" t="s">
        <v>99</v>
      </c>
      <c r="D2244" s="18" t="s">
        <v>2685</v>
      </c>
      <c r="E2244" s="18" t="s">
        <v>2795</v>
      </c>
      <c r="F2244" s="101">
        <v>46267.541666666664</v>
      </c>
      <c r="G2244" s="101">
        <v>46270.003472222219</v>
      </c>
      <c r="H2244" s="18" t="s">
        <v>507</v>
      </c>
      <c r="I2244" s="18" t="s">
        <v>508</v>
      </c>
      <c r="J2244" s="18"/>
      <c r="K2244" s="21">
        <f t="shared" si="102"/>
        <v>59.083333333313931</v>
      </c>
      <c r="L2244" s="19">
        <f t="shared" si="103"/>
        <v>142</v>
      </c>
      <c r="M2244" s="18" t="str">
        <f>IF(I2244&lt;&gt;"Sí","",IF(YEAR(F2244)&lt;&gt;2026,"",INDEX({"Enero","Febrero","Marzo","Abril","Mayo","Junio","Julio","Agosto","Septiembre","Octubre","Noviembre","Diciembre"},MONTH(F2244))))</f>
        <v>Septiembre</v>
      </c>
      <c r="N2244" s="18" t="str">
        <f t="shared" si="104"/>
        <v>Septiembre|142</v>
      </c>
    </row>
    <row r="2245" spans="1:14" ht="14.5" x14ac:dyDescent="0.25">
      <c r="A2245" s="19">
        <v>35</v>
      </c>
      <c r="B2245" s="18" t="s">
        <v>42</v>
      </c>
      <c r="C2245" s="18" t="s">
        <v>99</v>
      </c>
      <c r="D2245" s="18" t="s">
        <v>2685</v>
      </c>
      <c r="E2245" s="18" t="s">
        <v>2796</v>
      </c>
      <c r="F2245" s="101">
        <v>46267.543749999997</v>
      </c>
      <c r="G2245" s="101">
        <v>46270.003472222219</v>
      </c>
      <c r="H2245" s="18" t="s">
        <v>507</v>
      </c>
      <c r="I2245" s="18" t="s">
        <v>508</v>
      </c>
      <c r="J2245" s="18"/>
      <c r="K2245" s="21">
        <f t="shared" si="102"/>
        <v>59.033333333325572</v>
      </c>
      <c r="L2245" s="19">
        <f t="shared" si="103"/>
        <v>143</v>
      </c>
      <c r="M2245" s="18" t="str">
        <f>IF(I2245&lt;&gt;"Sí","",IF(YEAR(F2245)&lt;&gt;2026,"",INDEX({"Enero","Febrero","Marzo","Abril","Mayo","Junio","Julio","Agosto","Septiembre","Octubre","Noviembre","Diciembre"},MONTH(F2245))))</f>
        <v>Septiembre</v>
      </c>
      <c r="N2245" s="18" t="str">
        <f t="shared" si="104"/>
        <v>Septiembre|143</v>
      </c>
    </row>
    <row r="2246" spans="1:14" ht="14.5" x14ac:dyDescent="0.25">
      <c r="A2246" s="19">
        <v>35</v>
      </c>
      <c r="B2246" s="18" t="s">
        <v>42</v>
      </c>
      <c r="C2246" s="18" t="s">
        <v>99</v>
      </c>
      <c r="D2246" s="18" t="s">
        <v>2685</v>
      </c>
      <c r="E2246" s="18" t="s">
        <v>2797</v>
      </c>
      <c r="F2246" s="101">
        <v>46267.545138888891</v>
      </c>
      <c r="G2246" s="101">
        <v>46270.003472222219</v>
      </c>
      <c r="H2246" s="18" t="s">
        <v>507</v>
      </c>
      <c r="I2246" s="18" t="s">
        <v>508</v>
      </c>
      <c r="J2246" s="18"/>
      <c r="K2246" s="21">
        <f t="shared" si="102"/>
        <v>58.999999999883585</v>
      </c>
      <c r="L2246" s="19">
        <f t="shared" si="103"/>
        <v>144</v>
      </c>
      <c r="M2246" s="18" t="str">
        <f>IF(I2246&lt;&gt;"Sí","",IF(YEAR(F2246)&lt;&gt;2026,"",INDEX({"Enero","Febrero","Marzo","Abril","Mayo","Junio","Julio","Agosto","Septiembre","Octubre","Noviembre","Diciembre"},MONTH(F2246))))</f>
        <v>Septiembre</v>
      </c>
      <c r="N2246" s="18" t="str">
        <f t="shared" si="104"/>
        <v>Septiembre|144</v>
      </c>
    </row>
    <row r="2247" spans="1:14" ht="14.5" x14ac:dyDescent="0.25">
      <c r="A2247" s="19">
        <v>35</v>
      </c>
      <c r="B2247" s="18" t="s">
        <v>42</v>
      </c>
      <c r="C2247" s="18" t="s">
        <v>99</v>
      </c>
      <c r="D2247" s="18" t="s">
        <v>2685</v>
      </c>
      <c r="E2247" s="18" t="s">
        <v>2798</v>
      </c>
      <c r="F2247" s="101">
        <v>46267.548611111109</v>
      </c>
      <c r="G2247" s="101">
        <v>46270.782638888886</v>
      </c>
      <c r="H2247" s="18" t="s">
        <v>507</v>
      </c>
      <c r="I2247" s="18" t="s">
        <v>508</v>
      </c>
      <c r="J2247" s="18"/>
      <c r="K2247" s="21">
        <f t="shared" ref="K2247:K2310" si="105">IF(I2247="Sí",(G2247-F2247)*24,"")</f>
        <v>77.616666666639503</v>
      </c>
      <c r="L2247" s="19">
        <f t="shared" ref="L2247:L2310" si="106">IF(I2247="Sí",COUNTIFS($F$7:$F$4000,"&lt;="&amp;F2247,$G$7:$G$4000,"&gt;"&amp;F2247,$I$7:$I$4000,"Sí"),"")</f>
        <v>153</v>
      </c>
      <c r="M2247" s="18" t="str">
        <f>IF(I2247&lt;&gt;"Sí","",IF(YEAR(F2247)&lt;&gt;2026,"",INDEX({"Enero","Febrero","Marzo","Abril","Mayo","Junio","Julio","Agosto","Septiembre","Octubre","Noviembre","Diciembre"},MONTH(F2247))))</f>
        <v>Septiembre</v>
      </c>
      <c r="N2247" s="18" t="str">
        <f t="shared" ref="N2247:N2310" si="107">IF(M2247="","",M2247&amp;"|"&amp;L2247)</f>
        <v>Septiembre|153</v>
      </c>
    </row>
    <row r="2248" spans="1:14" ht="14.5" x14ac:dyDescent="0.25">
      <c r="A2248" s="19">
        <v>35</v>
      </c>
      <c r="B2248" s="18" t="s">
        <v>42</v>
      </c>
      <c r="C2248" s="18" t="s">
        <v>99</v>
      </c>
      <c r="D2248" s="18" t="s">
        <v>2685</v>
      </c>
      <c r="E2248" s="18" t="s">
        <v>2799</v>
      </c>
      <c r="F2248" s="101">
        <v>46267.548611111109</v>
      </c>
      <c r="G2248" s="101">
        <v>46270.782638888886</v>
      </c>
      <c r="H2248" s="18" t="s">
        <v>507</v>
      </c>
      <c r="I2248" s="18" t="s">
        <v>508</v>
      </c>
      <c r="J2248" s="18"/>
      <c r="K2248" s="21">
        <f t="shared" si="105"/>
        <v>77.616666666639503</v>
      </c>
      <c r="L2248" s="19">
        <f t="shared" si="106"/>
        <v>153</v>
      </c>
      <c r="M2248" s="18" t="str">
        <f>IF(I2248&lt;&gt;"Sí","",IF(YEAR(F2248)&lt;&gt;2026,"",INDEX({"Enero","Febrero","Marzo","Abril","Mayo","Junio","Julio","Agosto","Septiembre","Octubre","Noviembre","Diciembre"},MONTH(F2248))))</f>
        <v>Septiembre</v>
      </c>
      <c r="N2248" s="18" t="str">
        <f t="shared" si="107"/>
        <v>Septiembre|153</v>
      </c>
    </row>
    <row r="2249" spans="1:14" ht="14.5" x14ac:dyDescent="0.25">
      <c r="A2249" s="19">
        <v>35</v>
      </c>
      <c r="B2249" s="18" t="s">
        <v>42</v>
      </c>
      <c r="C2249" s="18" t="s">
        <v>99</v>
      </c>
      <c r="D2249" s="18" t="s">
        <v>2685</v>
      </c>
      <c r="E2249" s="18" t="s">
        <v>2800</v>
      </c>
      <c r="F2249" s="101">
        <v>46267.548611111109</v>
      </c>
      <c r="G2249" s="101">
        <v>46270.989583333336</v>
      </c>
      <c r="H2249" s="18" t="s">
        <v>507</v>
      </c>
      <c r="I2249" s="18" t="s">
        <v>508</v>
      </c>
      <c r="J2249" s="18"/>
      <c r="K2249" s="21">
        <f t="shared" si="105"/>
        <v>82.583333333430346</v>
      </c>
      <c r="L2249" s="19">
        <f t="shared" si="106"/>
        <v>153</v>
      </c>
      <c r="M2249" s="18" t="str">
        <f>IF(I2249&lt;&gt;"Sí","",IF(YEAR(F2249)&lt;&gt;2026,"",INDEX({"Enero","Febrero","Marzo","Abril","Mayo","Junio","Julio","Agosto","Septiembre","Octubre","Noviembre","Diciembre"},MONTH(F2249))))</f>
        <v>Septiembre</v>
      </c>
      <c r="N2249" s="18" t="str">
        <f t="shared" si="107"/>
        <v>Septiembre|153</v>
      </c>
    </row>
    <row r="2250" spans="1:14" ht="14.5" x14ac:dyDescent="0.25">
      <c r="A2250" s="19">
        <v>35</v>
      </c>
      <c r="B2250" s="18" t="s">
        <v>42</v>
      </c>
      <c r="C2250" s="18" t="s">
        <v>99</v>
      </c>
      <c r="D2250" s="18" t="s">
        <v>2685</v>
      </c>
      <c r="E2250" s="18" t="s">
        <v>2801</v>
      </c>
      <c r="F2250" s="101">
        <v>46267.548611111109</v>
      </c>
      <c r="G2250" s="101">
        <v>46270.989583333336</v>
      </c>
      <c r="H2250" s="18" t="s">
        <v>507</v>
      </c>
      <c r="I2250" s="18" t="s">
        <v>508</v>
      </c>
      <c r="J2250" s="18"/>
      <c r="K2250" s="21">
        <f t="shared" si="105"/>
        <v>82.583333333430346</v>
      </c>
      <c r="L2250" s="19">
        <f t="shared" si="106"/>
        <v>153</v>
      </c>
      <c r="M2250" s="18" t="str">
        <f>IF(I2250&lt;&gt;"Sí","",IF(YEAR(F2250)&lt;&gt;2026,"",INDEX({"Enero","Febrero","Marzo","Abril","Mayo","Junio","Julio","Agosto","Septiembre","Octubre","Noviembre","Diciembre"},MONTH(F2250))))</f>
        <v>Septiembre</v>
      </c>
      <c r="N2250" s="18" t="str">
        <f t="shared" si="107"/>
        <v>Septiembre|153</v>
      </c>
    </row>
    <row r="2251" spans="1:14" ht="14.5" x14ac:dyDescent="0.25">
      <c r="A2251" s="19">
        <v>35</v>
      </c>
      <c r="B2251" s="18" t="s">
        <v>42</v>
      </c>
      <c r="C2251" s="18" t="s">
        <v>99</v>
      </c>
      <c r="D2251" s="18" t="s">
        <v>2685</v>
      </c>
      <c r="E2251" s="18" t="s">
        <v>2802</v>
      </c>
      <c r="F2251" s="101">
        <v>46267.548611111109</v>
      </c>
      <c r="G2251" s="101">
        <v>46270.989583333336</v>
      </c>
      <c r="H2251" s="18" t="s">
        <v>507</v>
      </c>
      <c r="I2251" s="18" t="s">
        <v>508</v>
      </c>
      <c r="J2251" s="18"/>
      <c r="K2251" s="21">
        <f t="shared" si="105"/>
        <v>82.583333333430346</v>
      </c>
      <c r="L2251" s="19">
        <f t="shared" si="106"/>
        <v>153</v>
      </c>
      <c r="M2251" s="18" t="str">
        <f>IF(I2251&lt;&gt;"Sí","",IF(YEAR(F2251)&lt;&gt;2026,"",INDEX({"Enero","Febrero","Marzo","Abril","Mayo","Junio","Julio","Agosto","Septiembre","Octubre","Noviembre","Diciembre"},MONTH(F2251))))</f>
        <v>Septiembre</v>
      </c>
      <c r="N2251" s="18" t="str">
        <f t="shared" si="107"/>
        <v>Septiembre|153</v>
      </c>
    </row>
    <row r="2252" spans="1:14" ht="14.5" x14ac:dyDescent="0.25">
      <c r="A2252" s="19">
        <v>35</v>
      </c>
      <c r="B2252" s="18" t="s">
        <v>42</v>
      </c>
      <c r="C2252" s="18" t="s">
        <v>99</v>
      </c>
      <c r="D2252" s="18" t="s">
        <v>2685</v>
      </c>
      <c r="E2252" s="18" t="s">
        <v>2803</v>
      </c>
      <c r="F2252" s="101">
        <v>46267.548611111109</v>
      </c>
      <c r="G2252" s="101">
        <v>46270.989583333336</v>
      </c>
      <c r="H2252" s="18" t="s">
        <v>507</v>
      </c>
      <c r="I2252" s="18" t="s">
        <v>508</v>
      </c>
      <c r="J2252" s="18"/>
      <c r="K2252" s="21">
        <f t="shared" si="105"/>
        <v>82.583333333430346</v>
      </c>
      <c r="L2252" s="19">
        <f t="shared" si="106"/>
        <v>153</v>
      </c>
      <c r="M2252" s="18" t="str">
        <f>IF(I2252&lt;&gt;"Sí","",IF(YEAR(F2252)&lt;&gt;2026,"",INDEX({"Enero","Febrero","Marzo","Abril","Mayo","Junio","Julio","Agosto","Septiembre","Octubre","Noviembre","Diciembre"},MONTH(F2252))))</f>
        <v>Septiembre</v>
      </c>
      <c r="N2252" s="18" t="str">
        <f t="shared" si="107"/>
        <v>Septiembre|153</v>
      </c>
    </row>
    <row r="2253" spans="1:14" ht="14.5" x14ac:dyDescent="0.25">
      <c r="A2253" s="19">
        <v>35</v>
      </c>
      <c r="B2253" s="18" t="s">
        <v>42</v>
      </c>
      <c r="C2253" s="18" t="s">
        <v>99</v>
      </c>
      <c r="D2253" s="18" t="s">
        <v>2685</v>
      </c>
      <c r="E2253" s="18" t="s">
        <v>2804</v>
      </c>
      <c r="F2253" s="101">
        <v>46267.548611111109</v>
      </c>
      <c r="G2253" s="101">
        <v>46270.989583333336</v>
      </c>
      <c r="H2253" s="18" t="s">
        <v>507</v>
      </c>
      <c r="I2253" s="18" t="s">
        <v>508</v>
      </c>
      <c r="J2253" s="18"/>
      <c r="K2253" s="21">
        <f t="shared" si="105"/>
        <v>82.583333333430346</v>
      </c>
      <c r="L2253" s="19">
        <f t="shared" si="106"/>
        <v>153</v>
      </c>
      <c r="M2253" s="18" t="str">
        <f>IF(I2253&lt;&gt;"Sí","",IF(YEAR(F2253)&lt;&gt;2026,"",INDEX({"Enero","Febrero","Marzo","Abril","Mayo","Junio","Julio","Agosto","Septiembre","Octubre","Noviembre","Diciembre"},MONTH(F2253))))</f>
        <v>Septiembre</v>
      </c>
      <c r="N2253" s="18" t="str">
        <f t="shared" si="107"/>
        <v>Septiembre|153</v>
      </c>
    </row>
    <row r="2254" spans="1:14" ht="14.5" x14ac:dyDescent="0.25">
      <c r="A2254" s="19">
        <v>35</v>
      </c>
      <c r="B2254" s="18" t="s">
        <v>42</v>
      </c>
      <c r="C2254" s="18" t="s">
        <v>99</v>
      </c>
      <c r="D2254" s="18" t="s">
        <v>2685</v>
      </c>
      <c r="E2254" s="18" t="s">
        <v>2805</v>
      </c>
      <c r="F2254" s="101">
        <v>46267.548611111109</v>
      </c>
      <c r="G2254" s="101">
        <v>46270.989583333336</v>
      </c>
      <c r="H2254" s="18" t="s">
        <v>507</v>
      </c>
      <c r="I2254" s="18" t="s">
        <v>508</v>
      </c>
      <c r="J2254" s="18"/>
      <c r="K2254" s="21">
        <f t="shared" si="105"/>
        <v>82.583333333430346</v>
      </c>
      <c r="L2254" s="19">
        <f t="shared" si="106"/>
        <v>153</v>
      </c>
      <c r="M2254" s="18" t="str">
        <f>IF(I2254&lt;&gt;"Sí","",IF(YEAR(F2254)&lt;&gt;2026,"",INDEX({"Enero","Febrero","Marzo","Abril","Mayo","Junio","Julio","Agosto","Septiembre","Octubre","Noviembre","Diciembre"},MONTH(F2254))))</f>
        <v>Septiembre</v>
      </c>
      <c r="N2254" s="18" t="str">
        <f t="shared" si="107"/>
        <v>Septiembre|153</v>
      </c>
    </row>
    <row r="2255" spans="1:14" ht="14.5" x14ac:dyDescent="0.25">
      <c r="A2255" s="19">
        <v>35</v>
      </c>
      <c r="B2255" s="18" t="s">
        <v>42</v>
      </c>
      <c r="C2255" s="18" t="s">
        <v>99</v>
      </c>
      <c r="D2255" s="18" t="s">
        <v>2685</v>
      </c>
      <c r="E2255" s="18" t="s">
        <v>2806</v>
      </c>
      <c r="F2255" s="101">
        <v>46267.548611111109</v>
      </c>
      <c r="G2255" s="101">
        <v>46270.989583333336</v>
      </c>
      <c r="H2255" s="18" t="s">
        <v>507</v>
      </c>
      <c r="I2255" s="18" t="s">
        <v>508</v>
      </c>
      <c r="J2255" s="18"/>
      <c r="K2255" s="21">
        <f t="shared" si="105"/>
        <v>82.583333333430346</v>
      </c>
      <c r="L2255" s="19">
        <f t="shared" si="106"/>
        <v>153</v>
      </c>
      <c r="M2255" s="18" t="str">
        <f>IF(I2255&lt;&gt;"Sí","",IF(YEAR(F2255)&lt;&gt;2026,"",INDEX({"Enero","Febrero","Marzo","Abril","Mayo","Junio","Julio","Agosto","Septiembre","Octubre","Noviembre","Diciembre"},MONTH(F2255))))</f>
        <v>Septiembre</v>
      </c>
      <c r="N2255" s="18" t="str">
        <f t="shared" si="107"/>
        <v>Septiembre|153</v>
      </c>
    </row>
    <row r="2256" spans="1:14" ht="14.5" x14ac:dyDescent="0.25">
      <c r="A2256" s="19">
        <v>35</v>
      </c>
      <c r="B2256" s="18" t="s">
        <v>42</v>
      </c>
      <c r="C2256" s="18" t="s">
        <v>99</v>
      </c>
      <c r="D2256" s="18" t="s">
        <v>2685</v>
      </c>
      <c r="E2256" s="18" t="s">
        <v>2807</v>
      </c>
      <c r="F2256" s="101">
        <v>46267.550694444442</v>
      </c>
      <c r="G2256" s="101">
        <v>46270.003472222219</v>
      </c>
      <c r="H2256" s="18" t="s">
        <v>507</v>
      </c>
      <c r="I2256" s="18" t="s">
        <v>508</v>
      </c>
      <c r="J2256" s="18"/>
      <c r="K2256" s="21">
        <f t="shared" si="105"/>
        <v>58.866666666639503</v>
      </c>
      <c r="L2256" s="19">
        <f t="shared" si="106"/>
        <v>154</v>
      </c>
      <c r="M2256" s="18" t="str">
        <f>IF(I2256&lt;&gt;"Sí","",IF(YEAR(F2256)&lt;&gt;2026,"",INDEX({"Enero","Febrero","Marzo","Abril","Mayo","Junio","Julio","Agosto","Septiembre","Octubre","Noviembre","Diciembre"},MONTH(F2256))))</f>
        <v>Septiembre</v>
      </c>
      <c r="N2256" s="18" t="str">
        <f t="shared" si="107"/>
        <v>Septiembre|154</v>
      </c>
    </row>
    <row r="2257" spans="1:14" ht="14.5" x14ac:dyDescent="0.25">
      <c r="A2257" s="19">
        <v>35</v>
      </c>
      <c r="B2257" s="18" t="s">
        <v>42</v>
      </c>
      <c r="C2257" s="18" t="s">
        <v>99</v>
      </c>
      <c r="D2257" s="18" t="s">
        <v>2685</v>
      </c>
      <c r="E2257" s="18" t="s">
        <v>2808</v>
      </c>
      <c r="F2257" s="101">
        <v>46267.555555555555</v>
      </c>
      <c r="G2257" s="101">
        <v>46270.782638888886</v>
      </c>
      <c r="H2257" s="18" t="s">
        <v>507</v>
      </c>
      <c r="I2257" s="18" t="s">
        <v>508</v>
      </c>
      <c r="J2257" s="18"/>
      <c r="K2257" s="21">
        <f t="shared" si="105"/>
        <v>77.449999999953434</v>
      </c>
      <c r="L2257" s="19">
        <f t="shared" si="106"/>
        <v>155</v>
      </c>
      <c r="M2257" s="18" t="str">
        <f>IF(I2257&lt;&gt;"Sí","",IF(YEAR(F2257)&lt;&gt;2026,"",INDEX({"Enero","Febrero","Marzo","Abril","Mayo","Junio","Julio","Agosto","Septiembre","Octubre","Noviembre","Diciembre"},MONTH(F2257))))</f>
        <v>Septiembre</v>
      </c>
      <c r="N2257" s="18" t="str">
        <f t="shared" si="107"/>
        <v>Septiembre|155</v>
      </c>
    </row>
    <row r="2258" spans="1:14" ht="14.5" x14ac:dyDescent="0.25">
      <c r="A2258" s="19">
        <v>35</v>
      </c>
      <c r="B2258" s="18" t="s">
        <v>42</v>
      </c>
      <c r="C2258" s="18" t="s">
        <v>99</v>
      </c>
      <c r="D2258" s="18" t="s">
        <v>2685</v>
      </c>
      <c r="E2258" s="18" t="s">
        <v>2809</v>
      </c>
      <c r="F2258" s="101">
        <v>46267.559027777781</v>
      </c>
      <c r="G2258" s="101">
        <v>46270.805555555555</v>
      </c>
      <c r="H2258" s="18" t="s">
        <v>507</v>
      </c>
      <c r="I2258" s="18" t="s">
        <v>508</v>
      </c>
      <c r="J2258" s="18"/>
      <c r="K2258" s="21">
        <f t="shared" si="105"/>
        <v>77.916666666569654</v>
      </c>
      <c r="L2258" s="19">
        <f t="shared" si="106"/>
        <v>156</v>
      </c>
      <c r="M2258" s="18" t="str">
        <f>IF(I2258&lt;&gt;"Sí","",IF(YEAR(F2258)&lt;&gt;2026,"",INDEX({"Enero","Febrero","Marzo","Abril","Mayo","Junio","Julio","Agosto","Septiembre","Octubre","Noviembre","Diciembre"},MONTH(F2258))))</f>
        <v>Septiembre</v>
      </c>
      <c r="N2258" s="18" t="str">
        <f t="shared" si="107"/>
        <v>Septiembre|156</v>
      </c>
    </row>
    <row r="2259" spans="1:14" ht="14.5" x14ac:dyDescent="0.25">
      <c r="A2259" s="19">
        <v>35</v>
      </c>
      <c r="B2259" s="18" t="s">
        <v>42</v>
      </c>
      <c r="C2259" s="18" t="s">
        <v>106</v>
      </c>
      <c r="D2259" s="18" t="s">
        <v>106</v>
      </c>
      <c r="E2259" s="18" t="s">
        <v>2810</v>
      </c>
      <c r="F2259" s="101"/>
      <c r="G2259" s="101">
        <v>46267.561111111114</v>
      </c>
      <c r="H2259" s="18" t="s">
        <v>554</v>
      </c>
      <c r="I2259" s="18" t="s">
        <v>555</v>
      </c>
      <c r="J2259" s="18" t="s">
        <v>556</v>
      </c>
      <c r="K2259" s="21" t="str">
        <f t="shared" si="105"/>
        <v/>
      </c>
      <c r="L2259" s="19" t="str">
        <f t="shared" si="106"/>
        <v/>
      </c>
      <c r="M2259" s="18" t="str">
        <f>IF(I2259&lt;&gt;"Sí","",IF(YEAR(F2259)&lt;&gt;2026,"",INDEX({"Enero","Febrero","Marzo","Abril","Mayo","Junio","Julio","Agosto","Septiembre","Octubre","Noviembre","Diciembre"},MONTH(F2259))))</f>
        <v/>
      </c>
      <c r="N2259" s="18" t="str">
        <f t="shared" si="107"/>
        <v/>
      </c>
    </row>
    <row r="2260" spans="1:14" ht="14.5" x14ac:dyDescent="0.25">
      <c r="A2260" s="19">
        <v>35</v>
      </c>
      <c r="B2260" s="18" t="s">
        <v>42</v>
      </c>
      <c r="C2260" s="18" t="s">
        <v>99</v>
      </c>
      <c r="D2260" s="18" t="s">
        <v>2685</v>
      </c>
      <c r="E2260" s="18" t="s">
        <v>2811</v>
      </c>
      <c r="F2260" s="101">
        <v>46267.573611111111</v>
      </c>
      <c r="G2260" s="101">
        <v>46270.003472222219</v>
      </c>
      <c r="H2260" s="18" t="s">
        <v>507</v>
      </c>
      <c r="I2260" s="18" t="s">
        <v>508</v>
      </c>
      <c r="J2260" s="18"/>
      <c r="K2260" s="21">
        <f t="shared" si="105"/>
        <v>58.316666666592937</v>
      </c>
      <c r="L2260" s="19">
        <f t="shared" si="106"/>
        <v>162</v>
      </c>
      <c r="M2260" s="18" t="str">
        <f>IF(I2260&lt;&gt;"Sí","",IF(YEAR(F2260)&lt;&gt;2026,"",INDEX({"Enero","Febrero","Marzo","Abril","Mayo","Junio","Julio","Agosto","Septiembre","Octubre","Noviembre","Diciembre"},MONTH(F2260))))</f>
        <v>Septiembre</v>
      </c>
      <c r="N2260" s="18" t="str">
        <f t="shared" si="107"/>
        <v>Septiembre|162</v>
      </c>
    </row>
    <row r="2261" spans="1:14" ht="14.5" x14ac:dyDescent="0.25">
      <c r="A2261" s="19">
        <v>35</v>
      </c>
      <c r="B2261" s="18" t="s">
        <v>42</v>
      </c>
      <c r="C2261" s="18" t="s">
        <v>99</v>
      </c>
      <c r="D2261" s="18" t="s">
        <v>2685</v>
      </c>
      <c r="E2261" s="18" t="s">
        <v>2812</v>
      </c>
      <c r="F2261" s="101">
        <v>46267.573611111111</v>
      </c>
      <c r="G2261" s="101">
        <v>46270.743055555555</v>
      </c>
      <c r="H2261" s="18" t="s">
        <v>507</v>
      </c>
      <c r="I2261" s="18" t="s">
        <v>508</v>
      </c>
      <c r="J2261" s="18"/>
      <c r="K2261" s="21">
        <f t="shared" si="105"/>
        <v>76.066666666651145</v>
      </c>
      <c r="L2261" s="19">
        <f t="shared" si="106"/>
        <v>162</v>
      </c>
      <c r="M2261" s="18" t="str">
        <f>IF(I2261&lt;&gt;"Sí","",IF(YEAR(F2261)&lt;&gt;2026,"",INDEX({"Enero","Febrero","Marzo","Abril","Mayo","Junio","Julio","Agosto","Septiembre","Octubre","Noviembre","Diciembre"},MONTH(F2261))))</f>
        <v>Septiembre</v>
      </c>
      <c r="N2261" s="18" t="str">
        <f t="shared" si="107"/>
        <v>Septiembre|162</v>
      </c>
    </row>
    <row r="2262" spans="1:14" ht="14.5" x14ac:dyDescent="0.25">
      <c r="A2262" s="19">
        <v>35</v>
      </c>
      <c r="B2262" s="18" t="s">
        <v>42</v>
      </c>
      <c r="C2262" s="18" t="s">
        <v>99</v>
      </c>
      <c r="D2262" s="18" t="s">
        <v>2685</v>
      </c>
      <c r="E2262" s="18" t="s">
        <v>2813</v>
      </c>
      <c r="F2262" s="101">
        <v>46267.573611111111</v>
      </c>
      <c r="G2262" s="101">
        <v>46270.743055555555</v>
      </c>
      <c r="H2262" s="18" t="s">
        <v>507</v>
      </c>
      <c r="I2262" s="18" t="s">
        <v>508</v>
      </c>
      <c r="J2262" s="18"/>
      <c r="K2262" s="21">
        <f t="shared" si="105"/>
        <v>76.066666666651145</v>
      </c>
      <c r="L2262" s="19">
        <f t="shared" si="106"/>
        <v>162</v>
      </c>
      <c r="M2262" s="18" t="str">
        <f>IF(I2262&lt;&gt;"Sí","",IF(YEAR(F2262)&lt;&gt;2026,"",INDEX({"Enero","Febrero","Marzo","Abril","Mayo","Junio","Julio","Agosto","Septiembre","Octubre","Noviembre","Diciembre"},MONTH(F2262))))</f>
        <v>Septiembre</v>
      </c>
      <c r="N2262" s="18" t="str">
        <f t="shared" si="107"/>
        <v>Septiembre|162</v>
      </c>
    </row>
    <row r="2263" spans="1:14" ht="14.5" x14ac:dyDescent="0.25">
      <c r="A2263" s="19">
        <v>35</v>
      </c>
      <c r="B2263" s="18" t="s">
        <v>42</v>
      </c>
      <c r="C2263" s="18" t="s">
        <v>99</v>
      </c>
      <c r="D2263" s="18" t="s">
        <v>2685</v>
      </c>
      <c r="E2263" s="18" t="s">
        <v>2814</v>
      </c>
      <c r="F2263" s="101">
        <v>46267.573611111111</v>
      </c>
      <c r="G2263" s="101">
        <v>46270.743055555555</v>
      </c>
      <c r="H2263" s="18" t="s">
        <v>507</v>
      </c>
      <c r="I2263" s="18" t="s">
        <v>508</v>
      </c>
      <c r="J2263" s="18"/>
      <c r="K2263" s="21">
        <f t="shared" si="105"/>
        <v>76.066666666651145</v>
      </c>
      <c r="L2263" s="19">
        <f t="shared" si="106"/>
        <v>162</v>
      </c>
      <c r="M2263" s="18" t="str">
        <f>IF(I2263&lt;&gt;"Sí","",IF(YEAR(F2263)&lt;&gt;2026,"",INDEX({"Enero","Febrero","Marzo","Abril","Mayo","Junio","Julio","Agosto","Septiembre","Octubre","Noviembre","Diciembre"},MONTH(F2263))))</f>
        <v>Septiembre</v>
      </c>
      <c r="N2263" s="18" t="str">
        <f t="shared" si="107"/>
        <v>Septiembre|162</v>
      </c>
    </row>
    <row r="2264" spans="1:14" ht="14.5" x14ac:dyDescent="0.25">
      <c r="A2264" s="19">
        <v>35</v>
      </c>
      <c r="B2264" s="18" t="s">
        <v>42</v>
      </c>
      <c r="C2264" s="18" t="s">
        <v>99</v>
      </c>
      <c r="D2264" s="18" t="s">
        <v>2685</v>
      </c>
      <c r="E2264" s="18" t="s">
        <v>2815</v>
      </c>
      <c r="F2264" s="101">
        <v>46267.573611111111</v>
      </c>
      <c r="G2264" s="101">
        <v>46270.743055555555</v>
      </c>
      <c r="H2264" s="18" t="s">
        <v>507</v>
      </c>
      <c r="I2264" s="18" t="s">
        <v>508</v>
      </c>
      <c r="J2264" s="18"/>
      <c r="K2264" s="21">
        <f t="shared" si="105"/>
        <v>76.066666666651145</v>
      </c>
      <c r="L2264" s="19">
        <f t="shared" si="106"/>
        <v>162</v>
      </c>
      <c r="M2264" s="18" t="str">
        <f>IF(I2264&lt;&gt;"Sí","",IF(YEAR(F2264)&lt;&gt;2026,"",INDEX({"Enero","Febrero","Marzo","Abril","Mayo","Junio","Julio","Agosto","Septiembre","Octubre","Noviembre","Diciembre"},MONTH(F2264))))</f>
        <v>Septiembre</v>
      </c>
      <c r="N2264" s="18" t="str">
        <f t="shared" si="107"/>
        <v>Septiembre|162</v>
      </c>
    </row>
    <row r="2265" spans="1:14" ht="14.5" x14ac:dyDescent="0.25">
      <c r="A2265" s="19">
        <v>35</v>
      </c>
      <c r="B2265" s="18" t="s">
        <v>42</v>
      </c>
      <c r="C2265" s="18" t="s">
        <v>99</v>
      </c>
      <c r="D2265" s="18" t="s">
        <v>2685</v>
      </c>
      <c r="E2265" s="18" t="s">
        <v>2816</v>
      </c>
      <c r="F2265" s="101">
        <v>46267.573611111111</v>
      </c>
      <c r="G2265" s="101">
        <v>46270.385416666664</v>
      </c>
      <c r="H2265" s="18" t="s">
        <v>507</v>
      </c>
      <c r="I2265" s="18" t="s">
        <v>508</v>
      </c>
      <c r="J2265" s="18"/>
      <c r="K2265" s="21">
        <f t="shared" si="105"/>
        <v>67.483333333279006</v>
      </c>
      <c r="L2265" s="19">
        <f t="shared" si="106"/>
        <v>162</v>
      </c>
      <c r="M2265" s="18" t="str">
        <f>IF(I2265&lt;&gt;"Sí","",IF(YEAR(F2265)&lt;&gt;2026,"",INDEX({"Enero","Febrero","Marzo","Abril","Mayo","Junio","Julio","Agosto","Septiembre","Octubre","Noviembre","Diciembre"},MONTH(F2265))))</f>
        <v>Septiembre</v>
      </c>
      <c r="N2265" s="18" t="str">
        <f t="shared" si="107"/>
        <v>Septiembre|162</v>
      </c>
    </row>
    <row r="2266" spans="1:14" ht="14.5" x14ac:dyDescent="0.25">
      <c r="A2266" s="19">
        <v>35</v>
      </c>
      <c r="B2266" s="18" t="s">
        <v>42</v>
      </c>
      <c r="C2266" s="18" t="s">
        <v>106</v>
      </c>
      <c r="D2266" s="18" t="s">
        <v>2817</v>
      </c>
      <c r="E2266" s="18" t="s">
        <v>2810</v>
      </c>
      <c r="F2266" s="101">
        <v>46267.579861111109</v>
      </c>
      <c r="G2266" s="101">
        <v>46274.375</v>
      </c>
      <c r="H2266" s="18" t="s">
        <v>554</v>
      </c>
      <c r="I2266" s="18" t="s">
        <v>508</v>
      </c>
      <c r="J2266" s="18"/>
      <c r="K2266" s="21">
        <f t="shared" si="105"/>
        <v>163.08333333337214</v>
      </c>
      <c r="L2266" s="19">
        <f t="shared" si="106"/>
        <v>163</v>
      </c>
      <c r="M2266" s="18" t="str">
        <f>IF(I2266&lt;&gt;"Sí","",IF(YEAR(F2266)&lt;&gt;2026,"",INDEX({"Enero","Febrero","Marzo","Abril","Mayo","Junio","Julio","Agosto","Septiembre","Octubre","Noviembre","Diciembre"},MONTH(F2266))))</f>
        <v>Septiembre</v>
      </c>
      <c r="N2266" s="18" t="str">
        <f t="shared" si="107"/>
        <v>Septiembre|163</v>
      </c>
    </row>
    <row r="2267" spans="1:14" ht="14.5" x14ac:dyDescent="0.25">
      <c r="A2267" s="19">
        <v>35</v>
      </c>
      <c r="B2267" s="18" t="s">
        <v>42</v>
      </c>
      <c r="C2267" s="18" t="s">
        <v>99</v>
      </c>
      <c r="D2267" s="18" t="s">
        <v>2685</v>
      </c>
      <c r="E2267" s="18" t="s">
        <v>2818</v>
      </c>
      <c r="F2267" s="101">
        <v>46267.581250000003</v>
      </c>
      <c r="G2267" s="101">
        <v>46270.805555555555</v>
      </c>
      <c r="H2267" s="18" t="s">
        <v>507</v>
      </c>
      <c r="I2267" s="18" t="s">
        <v>508</v>
      </c>
      <c r="J2267" s="18"/>
      <c r="K2267" s="21">
        <f t="shared" si="105"/>
        <v>77.383333333244082</v>
      </c>
      <c r="L2267" s="19">
        <f t="shared" si="106"/>
        <v>164</v>
      </c>
      <c r="M2267" s="18" t="str">
        <f>IF(I2267&lt;&gt;"Sí","",IF(YEAR(F2267)&lt;&gt;2026,"",INDEX({"Enero","Febrero","Marzo","Abril","Mayo","Junio","Julio","Agosto","Septiembre","Octubre","Noviembre","Diciembre"},MONTH(F2267))))</f>
        <v>Septiembre</v>
      </c>
      <c r="N2267" s="18" t="str">
        <f t="shared" si="107"/>
        <v>Septiembre|164</v>
      </c>
    </row>
    <row r="2268" spans="1:14" ht="14.5" x14ac:dyDescent="0.25">
      <c r="A2268" s="19">
        <v>35</v>
      </c>
      <c r="B2268" s="18" t="s">
        <v>42</v>
      </c>
      <c r="C2268" s="18" t="s">
        <v>99</v>
      </c>
      <c r="D2268" s="18" t="s">
        <v>2685</v>
      </c>
      <c r="E2268" s="18" t="s">
        <v>2819</v>
      </c>
      <c r="F2268" s="101">
        <v>46267.583333333336</v>
      </c>
      <c r="G2268" s="101">
        <v>46270.743055555555</v>
      </c>
      <c r="H2268" s="18" t="s">
        <v>507</v>
      </c>
      <c r="I2268" s="18" t="s">
        <v>508</v>
      </c>
      <c r="J2268" s="18"/>
      <c r="K2268" s="21">
        <f t="shared" si="105"/>
        <v>75.833333333255723</v>
      </c>
      <c r="L2268" s="19">
        <f t="shared" si="106"/>
        <v>170</v>
      </c>
      <c r="M2268" s="18" t="str">
        <f>IF(I2268&lt;&gt;"Sí","",IF(YEAR(F2268)&lt;&gt;2026,"",INDEX({"Enero","Febrero","Marzo","Abril","Mayo","Junio","Julio","Agosto","Septiembre","Octubre","Noviembre","Diciembre"},MONTH(F2268))))</f>
        <v>Septiembre</v>
      </c>
      <c r="N2268" s="18" t="str">
        <f t="shared" si="107"/>
        <v>Septiembre|170</v>
      </c>
    </row>
    <row r="2269" spans="1:14" ht="14.5" x14ac:dyDescent="0.25">
      <c r="A2269" s="19">
        <v>35</v>
      </c>
      <c r="B2269" s="18" t="s">
        <v>42</v>
      </c>
      <c r="C2269" s="18" t="s">
        <v>99</v>
      </c>
      <c r="D2269" s="18" t="s">
        <v>2685</v>
      </c>
      <c r="E2269" s="18" t="s">
        <v>2820</v>
      </c>
      <c r="F2269" s="101">
        <v>46267.583333333336</v>
      </c>
      <c r="G2269" s="101">
        <v>46270.743055555555</v>
      </c>
      <c r="H2269" s="18" t="s">
        <v>507</v>
      </c>
      <c r="I2269" s="18" t="s">
        <v>508</v>
      </c>
      <c r="J2269" s="18"/>
      <c r="K2269" s="21">
        <f t="shared" si="105"/>
        <v>75.833333333255723</v>
      </c>
      <c r="L2269" s="19">
        <f t="shared" si="106"/>
        <v>170</v>
      </c>
      <c r="M2269" s="18" t="str">
        <f>IF(I2269&lt;&gt;"Sí","",IF(YEAR(F2269)&lt;&gt;2026,"",INDEX({"Enero","Febrero","Marzo","Abril","Mayo","Junio","Julio","Agosto","Septiembre","Octubre","Noviembre","Diciembre"},MONTH(F2269))))</f>
        <v>Septiembre</v>
      </c>
      <c r="N2269" s="18" t="str">
        <f t="shared" si="107"/>
        <v>Septiembre|170</v>
      </c>
    </row>
    <row r="2270" spans="1:14" ht="14.5" x14ac:dyDescent="0.25">
      <c r="A2270" s="19">
        <v>35</v>
      </c>
      <c r="B2270" s="18" t="s">
        <v>42</v>
      </c>
      <c r="C2270" s="18" t="s">
        <v>99</v>
      </c>
      <c r="D2270" s="18" t="s">
        <v>2685</v>
      </c>
      <c r="E2270" s="18" t="s">
        <v>2821</v>
      </c>
      <c r="F2270" s="101">
        <v>46267.583333333336</v>
      </c>
      <c r="G2270" s="101">
        <v>46270.743055555555</v>
      </c>
      <c r="H2270" s="18" t="s">
        <v>507</v>
      </c>
      <c r="I2270" s="18" t="s">
        <v>508</v>
      </c>
      <c r="J2270" s="18"/>
      <c r="K2270" s="21">
        <f t="shared" si="105"/>
        <v>75.833333333255723</v>
      </c>
      <c r="L2270" s="19">
        <f t="shared" si="106"/>
        <v>170</v>
      </c>
      <c r="M2270" s="18" t="str">
        <f>IF(I2270&lt;&gt;"Sí","",IF(YEAR(F2270)&lt;&gt;2026,"",INDEX({"Enero","Febrero","Marzo","Abril","Mayo","Junio","Julio","Agosto","Septiembre","Octubre","Noviembre","Diciembre"},MONTH(F2270))))</f>
        <v>Septiembre</v>
      </c>
      <c r="N2270" s="18" t="str">
        <f t="shared" si="107"/>
        <v>Septiembre|170</v>
      </c>
    </row>
    <row r="2271" spans="1:14" ht="14.5" x14ac:dyDescent="0.25">
      <c r="A2271" s="19">
        <v>35</v>
      </c>
      <c r="B2271" s="18" t="s">
        <v>42</v>
      </c>
      <c r="C2271" s="18" t="s">
        <v>99</v>
      </c>
      <c r="D2271" s="18" t="s">
        <v>2685</v>
      </c>
      <c r="E2271" s="18" t="s">
        <v>2822</v>
      </c>
      <c r="F2271" s="101">
        <v>46267.583333333336</v>
      </c>
      <c r="G2271" s="101">
        <v>46270.743055555555</v>
      </c>
      <c r="H2271" s="18" t="s">
        <v>507</v>
      </c>
      <c r="I2271" s="18" t="s">
        <v>508</v>
      </c>
      <c r="J2271" s="18"/>
      <c r="K2271" s="21">
        <f t="shared" si="105"/>
        <v>75.833333333255723</v>
      </c>
      <c r="L2271" s="19">
        <f t="shared" si="106"/>
        <v>170</v>
      </c>
      <c r="M2271" s="18" t="str">
        <f>IF(I2271&lt;&gt;"Sí","",IF(YEAR(F2271)&lt;&gt;2026,"",INDEX({"Enero","Febrero","Marzo","Abril","Mayo","Junio","Julio","Agosto","Septiembre","Octubre","Noviembre","Diciembre"},MONTH(F2271))))</f>
        <v>Septiembre</v>
      </c>
      <c r="N2271" s="18" t="str">
        <f t="shared" si="107"/>
        <v>Septiembre|170</v>
      </c>
    </row>
    <row r="2272" spans="1:14" ht="14.5" x14ac:dyDescent="0.25">
      <c r="A2272" s="19">
        <v>35</v>
      </c>
      <c r="B2272" s="18" t="s">
        <v>42</v>
      </c>
      <c r="C2272" s="18" t="s">
        <v>99</v>
      </c>
      <c r="D2272" s="18" t="s">
        <v>2685</v>
      </c>
      <c r="E2272" s="18" t="s">
        <v>2823</v>
      </c>
      <c r="F2272" s="101">
        <v>46267.583333333336</v>
      </c>
      <c r="G2272" s="101">
        <v>46270.743055555555</v>
      </c>
      <c r="H2272" s="18" t="s">
        <v>507</v>
      </c>
      <c r="I2272" s="18" t="s">
        <v>508</v>
      </c>
      <c r="J2272" s="18"/>
      <c r="K2272" s="21">
        <f t="shared" si="105"/>
        <v>75.833333333255723</v>
      </c>
      <c r="L2272" s="19">
        <f t="shared" si="106"/>
        <v>170</v>
      </c>
      <c r="M2272" s="18" t="str">
        <f>IF(I2272&lt;&gt;"Sí","",IF(YEAR(F2272)&lt;&gt;2026,"",INDEX({"Enero","Febrero","Marzo","Abril","Mayo","Junio","Julio","Agosto","Septiembre","Octubre","Noviembre","Diciembre"},MONTH(F2272))))</f>
        <v>Septiembre</v>
      </c>
      <c r="N2272" s="18" t="str">
        <f t="shared" si="107"/>
        <v>Septiembre|170</v>
      </c>
    </row>
    <row r="2273" spans="1:14" ht="14.5" x14ac:dyDescent="0.25">
      <c r="A2273" s="19">
        <v>35</v>
      </c>
      <c r="B2273" s="18" t="s">
        <v>42</v>
      </c>
      <c r="C2273" s="18" t="s">
        <v>99</v>
      </c>
      <c r="D2273" s="18" t="s">
        <v>2685</v>
      </c>
      <c r="E2273" s="18" t="s">
        <v>2824</v>
      </c>
      <c r="F2273" s="101">
        <v>46267.583333333336</v>
      </c>
      <c r="G2273" s="101">
        <v>46270.385416666664</v>
      </c>
      <c r="H2273" s="18" t="s">
        <v>507</v>
      </c>
      <c r="I2273" s="18" t="s">
        <v>508</v>
      </c>
      <c r="J2273" s="18"/>
      <c r="K2273" s="21">
        <f t="shared" si="105"/>
        <v>67.249999999883585</v>
      </c>
      <c r="L2273" s="19">
        <f t="shared" si="106"/>
        <v>170</v>
      </c>
      <c r="M2273" s="18" t="str">
        <f>IF(I2273&lt;&gt;"Sí","",IF(YEAR(F2273)&lt;&gt;2026,"",INDEX({"Enero","Febrero","Marzo","Abril","Mayo","Junio","Julio","Agosto","Septiembre","Octubre","Noviembre","Diciembre"},MONTH(F2273))))</f>
        <v>Septiembre</v>
      </c>
      <c r="N2273" s="18" t="str">
        <f t="shared" si="107"/>
        <v>Septiembre|170</v>
      </c>
    </row>
    <row r="2274" spans="1:14" ht="14.5" x14ac:dyDescent="0.25">
      <c r="A2274" s="19">
        <v>35</v>
      </c>
      <c r="B2274" s="18" t="s">
        <v>42</v>
      </c>
      <c r="C2274" s="18" t="s">
        <v>99</v>
      </c>
      <c r="D2274" s="18" t="s">
        <v>99</v>
      </c>
      <c r="E2274" s="18" t="s">
        <v>2825</v>
      </c>
      <c r="F2274" s="101">
        <v>46267.59652777778</v>
      </c>
      <c r="G2274" s="101">
        <v>46270.833333333336</v>
      </c>
      <c r="H2274" s="18" t="s">
        <v>507</v>
      </c>
      <c r="I2274" s="18" t="s">
        <v>508</v>
      </c>
      <c r="J2274" s="18"/>
      <c r="K2274" s="21">
        <f t="shared" si="105"/>
        <v>77.683333333348855</v>
      </c>
      <c r="L2274" s="19">
        <f t="shared" si="106"/>
        <v>173</v>
      </c>
      <c r="M2274" s="18" t="str">
        <f>IF(I2274&lt;&gt;"Sí","",IF(YEAR(F2274)&lt;&gt;2026,"",INDEX({"Enero","Febrero","Marzo","Abril","Mayo","Junio","Julio","Agosto","Septiembre","Octubre","Noviembre","Diciembre"},MONTH(F2274))))</f>
        <v>Septiembre</v>
      </c>
      <c r="N2274" s="18" t="str">
        <f t="shared" si="107"/>
        <v>Septiembre|173</v>
      </c>
    </row>
    <row r="2275" spans="1:14" ht="14.5" x14ac:dyDescent="0.25">
      <c r="A2275" s="19">
        <v>35</v>
      </c>
      <c r="B2275" s="18" t="s">
        <v>42</v>
      </c>
      <c r="C2275" s="18" t="s">
        <v>99</v>
      </c>
      <c r="D2275" s="18" t="s">
        <v>99</v>
      </c>
      <c r="E2275" s="18" t="s">
        <v>2826</v>
      </c>
      <c r="F2275" s="101">
        <v>46267.59652777778</v>
      </c>
      <c r="G2275" s="101">
        <v>46270.833333333336</v>
      </c>
      <c r="H2275" s="18" t="s">
        <v>507</v>
      </c>
      <c r="I2275" s="18" t="s">
        <v>508</v>
      </c>
      <c r="J2275" s="18"/>
      <c r="K2275" s="21">
        <f t="shared" si="105"/>
        <v>77.683333333348855</v>
      </c>
      <c r="L2275" s="19">
        <f t="shared" si="106"/>
        <v>173</v>
      </c>
      <c r="M2275" s="18" t="str">
        <f>IF(I2275&lt;&gt;"Sí","",IF(YEAR(F2275)&lt;&gt;2026,"",INDEX({"Enero","Febrero","Marzo","Abril","Mayo","Junio","Julio","Agosto","Septiembre","Octubre","Noviembre","Diciembre"},MONTH(F2275))))</f>
        <v>Septiembre</v>
      </c>
      <c r="N2275" s="18" t="str">
        <f t="shared" si="107"/>
        <v>Septiembre|173</v>
      </c>
    </row>
    <row r="2276" spans="1:14" ht="14.5" x14ac:dyDescent="0.25">
      <c r="A2276" s="19">
        <v>35</v>
      </c>
      <c r="B2276" s="18" t="s">
        <v>42</v>
      </c>
      <c r="C2276" s="18" t="s">
        <v>92</v>
      </c>
      <c r="D2276" s="18" t="s">
        <v>2655</v>
      </c>
      <c r="E2276" s="18" t="s">
        <v>2827</v>
      </c>
      <c r="F2276" s="101">
        <v>46267.59652777778</v>
      </c>
      <c r="G2276" s="101">
        <v>46278.143750000003</v>
      </c>
      <c r="H2276" s="18" t="s">
        <v>507</v>
      </c>
      <c r="I2276" s="18" t="s">
        <v>508</v>
      </c>
      <c r="J2276" s="18"/>
      <c r="K2276" s="21">
        <f t="shared" si="105"/>
        <v>253.1333333333605</v>
      </c>
      <c r="L2276" s="19">
        <f t="shared" si="106"/>
        <v>173</v>
      </c>
      <c r="M2276" s="18" t="str">
        <f>IF(I2276&lt;&gt;"Sí","",IF(YEAR(F2276)&lt;&gt;2026,"",INDEX({"Enero","Febrero","Marzo","Abril","Mayo","Junio","Julio","Agosto","Septiembre","Octubre","Noviembre","Diciembre"},MONTH(F2276))))</f>
        <v>Septiembre</v>
      </c>
      <c r="N2276" s="18" t="str">
        <f t="shared" si="107"/>
        <v>Septiembre|173</v>
      </c>
    </row>
    <row r="2277" spans="1:14" ht="14.5" x14ac:dyDescent="0.25">
      <c r="A2277" s="19">
        <v>35</v>
      </c>
      <c r="B2277" s="18" t="s">
        <v>42</v>
      </c>
      <c r="C2277" s="18" t="s">
        <v>99</v>
      </c>
      <c r="D2277" s="18" t="s">
        <v>2685</v>
      </c>
      <c r="E2277" s="18" t="s">
        <v>2828</v>
      </c>
      <c r="F2277" s="101">
        <v>46267.996527777781</v>
      </c>
      <c r="G2277" s="101">
        <v>46270.833333333336</v>
      </c>
      <c r="H2277" s="18" t="s">
        <v>507</v>
      </c>
      <c r="I2277" s="18" t="s">
        <v>508</v>
      </c>
      <c r="J2277" s="18"/>
      <c r="K2277" s="21">
        <f t="shared" si="105"/>
        <v>68.083333333313931</v>
      </c>
      <c r="L2277" s="19">
        <f t="shared" si="106"/>
        <v>173</v>
      </c>
      <c r="M2277" s="18" t="str">
        <f>IF(I2277&lt;&gt;"Sí","",IF(YEAR(F2277)&lt;&gt;2026,"",INDEX({"Enero","Febrero","Marzo","Abril","Mayo","Junio","Julio","Agosto","Septiembre","Octubre","Noviembre","Diciembre"},MONTH(F2277))))</f>
        <v>Septiembre</v>
      </c>
      <c r="N2277" s="18" t="str">
        <f t="shared" si="107"/>
        <v>Septiembre|173</v>
      </c>
    </row>
    <row r="2278" spans="1:14" ht="14.5" x14ac:dyDescent="0.25">
      <c r="A2278" s="19">
        <v>35</v>
      </c>
      <c r="B2278" s="18" t="s">
        <v>42</v>
      </c>
      <c r="C2278" s="18" t="s">
        <v>99</v>
      </c>
      <c r="D2278" s="18" t="s">
        <v>2685</v>
      </c>
      <c r="E2278" s="18" t="s">
        <v>2829</v>
      </c>
      <c r="F2278" s="101">
        <v>46268.001388888886</v>
      </c>
      <c r="G2278" s="101">
        <v>46270.847222222219</v>
      </c>
      <c r="H2278" s="18" t="s">
        <v>507</v>
      </c>
      <c r="I2278" s="18" t="s">
        <v>508</v>
      </c>
      <c r="J2278" s="18"/>
      <c r="K2278" s="21">
        <f t="shared" si="105"/>
        <v>68.299999999988358</v>
      </c>
      <c r="L2278" s="19">
        <f t="shared" si="106"/>
        <v>174</v>
      </c>
      <c r="M2278" s="18" t="str">
        <f>IF(I2278&lt;&gt;"Sí","",IF(YEAR(F2278)&lt;&gt;2026,"",INDEX({"Enero","Febrero","Marzo","Abril","Mayo","Junio","Julio","Agosto","Septiembre","Octubre","Noviembre","Diciembre"},MONTH(F2278))))</f>
        <v>Septiembre</v>
      </c>
      <c r="N2278" s="18" t="str">
        <f t="shared" si="107"/>
        <v>Septiembre|174</v>
      </c>
    </row>
    <row r="2279" spans="1:14" ht="14.5" x14ac:dyDescent="0.25">
      <c r="A2279" s="19">
        <v>35</v>
      </c>
      <c r="B2279" s="18" t="s">
        <v>42</v>
      </c>
      <c r="C2279" s="18" t="s">
        <v>99</v>
      </c>
      <c r="D2279" s="18" t="s">
        <v>2685</v>
      </c>
      <c r="E2279" s="18" t="s">
        <v>2830</v>
      </c>
      <c r="F2279" s="101">
        <v>46268.003472222219</v>
      </c>
      <c r="G2279" s="101">
        <v>46270.847222222219</v>
      </c>
      <c r="H2279" s="18" t="s">
        <v>507</v>
      </c>
      <c r="I2279" s="18" t="s">
        <v>508</v>
      </c>
      <c r="J2279" s="18"/>
      <c r="K2279" s="21">
        <f t="shared" si="105"/>
        <v>68.25</v>
      </c>
      <c r="L2279" s="19">
        <f t="shared" si="106"/>
        <v>175</v>
      </c>
      <c r="M2279" s="18" t="str">
        <f>IF(I2279&lt;&gt;"Sí","",IF(YEAR(F2279)&lt;&gt;2026,"",INDEX({"Enero","Febrero","Marzo","Abril","Mayo","Junio","Julio","Agosto","Septiembre","Octubre","Noviembre","Diciembre"},MONTH(F2279))))</f>
        <v>Septiembre</v>
      </c>
      <c r="N2279" s="18" t="str">
        <f t="shared" si="107"/>
        <v>Septiembre|175</v>
      </c>
    </row>
    <row r="2280" spans="1:14" ht="14.5" x14ac:dyDescent="0.25">
      <c r="A2280" s="19">
        <v>35</v>
      </c>
      <c r="B2280" s="18" t="s">
        <v>42</v>
      </c>
      <c r="C2280" s="18" t="s">
        <v>99</v>
      </c>
      <c r="D2280" s="18" t="s">
        <v>2685</v>
      </c>
      <c r="E2280" s="18" t="s">
        <v>2831</v>
      </c>
      <c r="F2280" s="101">
        <v>46268.006944444445</v>
      </c>
      <c r="G2280" s="101">
        <v>46270.492361111108</v>
      </c>
      <c r="H2280" s="18" t="s">
        <v>507</v>
      </c>
      <c r="I2280" s="18" t="s">
        <v>508</v>
      </c>
      <c r="J2280" s="18"/>
      <c r="K2280" s="21">
        <f t="shared" si="105"/>
        <v>59.649999999906868</v>
      </c>
      <c r="L2280" s="19">
        <f t="shared" si="106"/>
        <v>176</v>
      </c>
      <c r="M2280" s="18" t="str">
        <f>IF(I2280&lt;&gt;"Sí","",IF(YEAR(F2280)&lt;&gt;2026,"",INDEX({"Enero","Febrero","Marzo","Abril","Mayo","Junio","Julio","Agosto","Septiembre","Octubre","Noviembre","Diciembre"},MONTH(F2280))))</f>
        <v>Septiembre</v>
      </c>
      <c r="N2280" s="18" t="str">
        <f t="shared" si="107"/>
        <v>Septiembre|176</v>
      </c>
    </row>
    <row r="2281" spans="1:14" ht="14.5" x14ac:dyDescent="0.25">
      <c r="A2281" s="19">
        <v>35</v>
      </c>
      <c r="B2281" s="18" t="s">
        <v>42</v>
      </c>
      <c r="C2281" s="18" t="s">
        <v>99</v>
      </c>
      <c r="D2281" s="18" t="s">
        <v>2685</v>
      </c>
      <c r="E2281" s="18" t="s">
        <v>2832</v>
      </c>
      <c r="F2281" s="101">
        <v>46268.009722222225</v>
      </c>
      <c r="G2281" s="101">
        <v>46270.472222222219</v>
      </c>
      <c r="H2281" s="18" t="s">
        <v>507</v>
      </c>
      <c r="I2281" s="18" t="s">
        <v>508</v>
      </c>
      <c r="J2281" s="18"/>
      <c r="K2281" s="21">
        <f t="shared" si="105"/>
        <v>59.099999999860302</v>
      </c>
      <c r="L2281" s="19">
        <f t="shared" si="106"/>
        <v>177</v>
      </c>
      <c r="M2281" s="18" t="str">
        <f>IF(I2281&lt;&gt;"Sí","",IF(YEAR(F2281)&lt;&gt;2026,"",INDEX({"Enero","Febrero","Marzo","Abril","Mayo","Junio","Julio","Agosto","Septiembre","Octubre","Noviembre","Diciembre"},MONTH(F2281))))</f>
        <v>Septiembre</v>
      </c>
      <c r="N2281" s="18" t="str">
        <f t="shared" si="107"/>
        <v>Septiembre|177</v>
      </c>
    </row>
    <row r="2282" spans="1:14" ht="14.5" x14ac:dyDescent="0.25">
      <c r="A2282" s="19">
        <v>35</v>
      </c>
      <c r="B2282" s="18" t="s">
        <v>42</v>
      </c>
      <c r="C2282" s="18" t="s">
        <v>99</v>
      </c>
      <c r="D2282" s="18" t="s">
        <v>2685</v>
      </c>
      <c r="E2282" s="18" t="s">
        <v>2833</v>
      </c>
      <c r="F2282" s="101">
        <v>46268.020833333336</v>
      </c>
      <c r="G2282" s="101">
        <v>46270.847222222219</v>
      </c>
      <c r="H2282" s="18" t="s">
        <v>507</v>
      </c>
      <c r="I2282" s="18" t="s">
        <v>508</v>
      </c>
      <c r="J2282" s="18"/>
      <c r="K2282" s="21">
        <f t="shared" si="105"/>
        <v>67.833333333197515</v>
      </c>
      <c r="L2282" s="19">
        <f t="shared" si="106"/>
        <v>185</v>
      </c>
      <c r="M2282" s="18" t="str">
        <f>IF(I2282&lt;&gt;"Sí","",IF(YEAR(F2282)&lt;&gt;2026,"",INDEX({"Enero","Febrero","Marzo","Abril","Mayo","Junio","Julio","Agosto","Septiembre","Octubre","Noviembre","Diciembre"},MONTH(F2282))))</f>
        <v>Septiembre</v>
      </c>
      <c r="N2282" s="18" t="str">
        <f t="shared" si="107"/>
        <v>Septiembre|185</v>
      </c>
    </row>
    <row r="2283" spans="1:14" ht="14.5" x14ac:dyDescent="0.25">
      <c r="A2283" s="19">
        <v>35</v>
      </c>
      <c r="B2283" s="18" t="s">
        <v>42</v>
      </c>
      <c r="C2283" s="18" t="s">
        <v>99</v>
      </c>
      <c r="D2283" s="18" t="s">
        <v>2685</v>
      </c>
      <c r="E2283" s="18" t="s">
        <v>2834</v>
      </c>
      <c r="F2283" s="101">
        <v>46268.020833333336</v>
      </c>
      <c r="G2283" s="101">
        <v>46270.494444444441</v>
      </c>
      <c r="H2283" s="18" t="s">
        <v>507</v>
      </c>
      <c r="I2283" s="18" t="s">
        <v>508</v>
      </c>
      <c r="J2283" s="18"/>
      <c r="K2283" s="21">
        <f t="shared" si="105"/>
        <v>59.366666666523088</v>
      </c>
      <c r="L2283" s="19">
        <f t="shared" si="106"/>
        <v>185</v>
      </c>
      <c r="M2283" s="18" t="str">
        <f>IF(I2283&lt;&gt;"Sí","",IF(YEAR(F2283)&lt;&gt;2026,"",INDEX({"Enero","Febrero","Marzo","Abril","Mayo","Junio","Julio","Agosto","Septiembre","Octubre","Noviembre","Diciembre"},MONTH(F2283))))</f>
        <v>Septiembre</v>
      </c>
      <c r="N2283" s="18" t="str">
        <f t="shared" si="107"/>
        <v>Septiembre|185</v>
      </c>
    </row>
    <row r="2284" spans="1:14" ht="14.5" x14ac:dyDescent="0.25">
      <c r="A2284" s="19">
        <v>35</v>
      </c>
      <c r="B2284" s="18" t="s">
        <v>42</v>
      </c>
      <c r="C2284" s="18" t="s">
        <v>99</v>
      </c>
      <c r="D2284" s="18" t="s">
        <v>2685</v>
      </c>
      <c r="E2284" s="18" t="s">
        <v>2835</v>
      </c>
      <c r="F2284" s="101">
        <v>46268.020833333336</v>
      </c>
      <c r="G2284" s="101">
        <v>46270.492361111108</v>
      </c>
      <c r="H2284" s="18" t="s">
        <v>507</v>
      </c>
      <c r="I2284" s="18" t="s">
        <v>508</v>
      </c>
      <c r="J2284" s="18"/>
      <c r="K2284" s="21">
        <f t="shared" si="105"/>
        <v>59.316666666534729</v>
      </c>
      <c r="L2284" s="19">
        <f t="shared" si="106"/>
        <v>185</v>
      </c>
      <c r="M2284" s="18" t="str">
        <f>IF(I2284&lt;&gt;"Sí","",IF(YEAR(F2284)&lt;&gt;2026,"",INDEX({"Enero","Febrero","Marzo","Abril","Mayo","Junio","Julio","Agosto","Septiembre","Octubre","Noviembre","Diciembre"},MONTH(F2284))))</f>
        <v>Septiembre</v>
      </c>
      <c r="N2284" s="18" t="str">
        <f t="shared" si="107"/>
        <v>Septiembre|185</v>
      </c>
    </row>
    <row r="2285" spans="1:14" ht="14.5" x14ac:dyDescent="0.25">
      <c r="A2285" s="19">
        <v>35</v>
      </c>
      <c r="B2285" s="18" t="s">
        <v>42</v>
      </c>
      <c r="C2285" s="18" t="s">
        <v>99</v>
      </c>
      <c r="D2285" s="18" t="s">
        <v>2685</v>
      </c>
      <c r="E2285" s="18" t="s">
        <v>2836</v>
      </c>
      <c r="F2285" s="101">
        <v>46268.020833333336</v>
      </c>
      <c r="G2285" s="101">
        <v>46270.467361111114</v>
      </c>
      <c r="H2285" s="18" t="s">
        <v>507</v>
      </c>
      <c r="I2285" s="18" t="s">
        <v>508</v>
      </c>
      <c r="J2285" s="18"/>
      <c r="K2285" s="21">
        <f t="shared" si="105"/>
        <v>58.716666666674428</v>
      </c>
      <c r="L2285" s="19">
        <f t="shared" si="106"/>
        <v>185</v>
      </c>
      <c r="M2285" s="18" t="str">
        <f>IF(I2285&lt;&gt;"Sí","",IF(YEAR(F2285)&lt;&gt;2026,"",INDEX({"Enero","Febrero","Marzo","Abril","Mayo","Junio","Julio","Agosto","Septiembre","Octubre","Noviembre","Diciembre"},MONTH(F2285))))</f>
        <v>Septiembre</v>
      </c>
      <c r="N2285" s="18" t="str">
        <f t="shared" si="107"/>
        <v>Septiembre|185</v>
      </c>
    </row>
    <row r="2286" spans="1:14" ht="14.5" x14ac:dyDescent="0.25">
      <c r="A2286" s="19">
        <v>35</v>
      </c>
      <c r="B2286" s="18" t="s">
        <v>42</v>
      </c>
      <c r="C2286" s="18" t="s">
        <v>99</v>
      </c>
      <c r="D2286" s="18" t="s">
        <v>2685</v>
      </c>
      <c r="E2286" s="18" t="s">
        <v>2837</v>
      </c>
      <c r="F2286" s="101">
        <v>46268.020833333336</v>
      </c>
      <c r="G2286" s="101">
        <v>46270.465277777781</v>
      </c>
      <c r="H2286" s="18" t="s">
        <v>507</v>
      </c>
      <c r="I2286" s="18" t="s">
        <v>508</v>
      </c>
      <c r="J2286" s="18"/>
      <c r="K2286" s="21">
        <f t="shared" si="105"/>
        <v>58.666666666686069</v>
      </c>
      <c r="L2286" s="19">
        <f t="shared" si="106"/>
        <v>185</v>
      </c>
      <c r="M2286" s="18" t="str">
        <f>IF(I2286&lt;&gt;"Sí","",IF(YEAR(F2286)&lt;&gt;2026,"",INDEX({"Enero","Febrero","Marzo","Abril","Mayo","Junio","Julio","Agosto","Septiembre","Octubre","Noviembre","Diciembre"},MONTH(F2286))))</f>
        <v>Septiembre</v>
      </c>
      <c r="N2286" s="18" t="str">
        <f t="shared" si="107"/>
        <v>Septiembre|185</v>
      </c>
    </row>
    <row r="2287" spans="1:14" ht="14.5" x14ac:dyDescent="0.25">
      <c r="A2287" s="19">
        <v>35</v>
      </c>
      <c r="B2287" s="18" t="s">
        <v>42</v>
      </c>
      <c r="C2287" s="18" t="s">
        <v>99</v>
      </c>
      <c r="D2287" s="18" t="s">
        <v>2685</v>
      </c>
      <c r="E2287" s="18" t="s">
        <v>2838</v>
      </c>
      <c r="F2287" s="101">
        <v>46268.020833333336</v>
      </c>
      <c r="G2287" s="101">
        <v>46270.456944444442</v>
      </c>
      <c r="H2287" s="18" t="s">
        <v>507</v>
      </c>
      <c r="I2287" s="18" t="s">
        <v>508</v>
      </c>
      <c r="J2287" s="18"/>
      <c r="K2287" s="21">
        <f t="shared" si="105"/>
        <v>58.466666666558012</v>
      </c>
      <c r="L2287" s="19">
        <f t="shared" si="106"/>
        <v>185</v>
      </c>
      <c r="M2287" s="18" t="str">
        <f>IF(I2287&lt;&gt;"Sí","",IF(YEAR(F2287)&lt;&gt;2026,"",INDEX({"Enero","Febrero","Marzo","Abril","Mayo","Junio","Julio","Agosto","Septiembre","Octubre","Noviembre","Diciembre"},MONTH(F2287))))</f>
        <v>Septiembre</v>
      </c>
      <c r="N2287" s="18" t="str">
        <f t="shared" si="107"/>
        <v>Septiembre|185</v>
      </c>
    </row>
    <row r="2288" spans="1:14" ht="14.5" x14ac:dyDescent="0.25">
      <c r="A2288" s="19">
        <v>35</v>
      </c>
      <c r="B2288" s="18" t="s">
        <v>42</v>
      </c>
      <c r="C2288" s="18" t="s">
        <v>99</v>
      </c>
      <c r="D2288" s="18" t="s">
        <v>2685</v>
      </c>
      <c r="E2288" s="18" t="s">
        <v>2839</v>
      </c>
      <c r="F2288" s="101">
        <v>46268.020833333336</v>
      </c>
      <c r="G2288" s="101">
        <v>46270.454861111109</v>
      </c>
      <c r="H2288" s="18" t="s">
        <v>507</v>
      </c>
      <c r="I2288" s="18" t="s">
        <v>508</v>
      </c>
      <c r="J2288" s="18"/>
      <c r="K2288" s="21">
        <f t="shared" si="105"/>
        <v>58.416666666569654</v>
      </c>
      <c r="L2288" s="19">
        <f t="shared" si="106"/>
        <v>185</v>
      </c>
      <c r="M2288" s="18" t="str">
        <f>IF(I2288&lt;&gt;"Sí","",IF(YEAR(F2288)&lt;&gt;2026,"",INDEX({"Enero","Febrero","Marzo","Abril","Mayo","Junio","Julio","Agosto","Septiembre","Octubre","Noviembre","Diciembre"},MONTH(F2288))))</f>
        <v>Septiembre</v>
      </c>
      <c r="N2288" s="18" t="str">
        <f t="shared" si="107"/>
        <v>Septiembre|185</v>
      </c>
    </row>
    <row r="2289" spans="1:14" ht="14.5" x14ac:dyDescent="0.25">
      <c r="A2289" s="19">
        <v>35</v>
      </c>
      <c r="B2289" s="18" t="s">
        <v>42</v>
      </c>
      <c r="C2289" s="18" t="s">
        <v>99</v>
      </c>
      <c r="D2289" s="18" t="s">
        <v>2685</v>
      </c>
      <c r="E2289" s="18" t="s">
        <v>2840</v>
      </c>
      <c r="F2289" s="101">
        <v>46268.020833333336</v>
      </c>
      <c r="G2289" s="101">
        <v>46270.454861111109</v>
      </c>
      <c r="H2289" s="18" t="s">
        <v>507</v>
      </c>
      <c r="I2289" s="18" t="s">
        <v>508</v>
      </c>
      <c r="J2289" s="18"/>
      <c r="K2289" s="21">
        <f t="shared" si="105"/>
        <v>58.416666666569654</v>
      </c>
      <c r="L2289" s="19">
        <f t="shared" si="106"/>
        <v>185</v>
      </c>
      <c r="M2289" s="18" t="str">
        <f>IF(I2289&lt;&gt;"Sí","",IF(YEAR(F2289)&lt;&gt;2026,"",INDEX({"Enero","Febrero","Marzo","Abril","Mayo","Junio","Julio","Agosto","Septiembre","Octubre","Noviembre","Diciembre"},MONTH(F2289))))</f>
        <v>Septiembre</v>
      </c>
      <c r="N2289" s="18" t="str">
        <f t="shared" si="107"/>
        <v>Septiembre|185</v>
      </c>
    </row>
    <row r="2290" spans="1:14" ht="14.5" x14ac:dyDescent="0.25">
      <c r="A2290" s="19">
        <v>35</v>
      </c>
      <c r="B2290" s="18" t="s">
        <v>42</v>
      </c>
      <c r="C2290" s="18" t="s">
        <v>99</v>
      </c>
      <c r="D2290" s="18" t="s">
        <v>2685</v>
      </c>
      <c r="E2290" s="18" t="s">
        <v>2841</v>
      </c>
      <c r="F2290" s="101">
        <v>46268.02847222222</v>
      </c>
      <c r="G2290" s="101">
        <v>46270.454861111109</v>
      </c>
      <c r="H2290" s="18" t="s">
        <v>507</v>
      </c>
      <c r="I2290" s="18" t="s">
        <v>508</v>
      </c>
      <c r="J2290" s="18"/>
      <c r="K2290" s="21">
        <f t="shared" si="105"/>
        <v>58.233333333337214</v>
      </c>
      <c r="L2290" s="19">
        <f t="shared" si="106"/>
        <v>186</v>
      </c>
      <c r="M2290" s="18" t="str">
        <f>IF(I2290&lt;&gt;"Sí","",IF(YEAR(F2290)&lt;&gt;2026,"",INDEX({"Enero","Febrero","Marzo","Abril","Mayo","Junio","Julio","Agosto","Septiembre","Octubre","Noviembre","Diciembre"},MONTH(F2290))))</f>
        <v>Septiembre</v>
      </c>
      <c r="N2290" s="18" t="str">
        <f t="shared" si="107"/>
        <v>Septiembre|186</v>
      </c>
    </row>
    <row r="2291" spans="1:14" ht="14.5" x14ac:dyDescent="0.25">
      <c r="A2291" s="19">
        <v>35</v>
      </c>
      <c r="B2291" s="18" t="s">
        <v>42</v>
      </c>
      <c r="C2291" s="18" t="s">
        <v>99</v>
      </c>
      <c r="D2291" s="18" t="s">
        <v>2685</v>
      </c>
      <c r="E2291" s="18" t="s">
        <v>2842</v>
      </c>
      <c r="F2291" s="101">
        <v>46268.030555555553</v>
      </c>
      <c r="G2291" s="101">
        <v>46270.444444444445</v>
      </c>
      <c r="H2291" s="18" t="s">
        <v>507</v>
      </c>
      <c r="I2291" s="18" t="s">
        <v>508</v>
      </c>
      <c r="J2291" s="18"/>
      <c r="K2291" s="21">
        <f t="shared" si="105"/>
        <v>57.933333333407063</v>
      </c>
      <c r="L2291" s="19">
        <f t="shared" si="106"/>
        <v>187</v>
      </c>
      <c r="M2291" s="18" t="str">
        <f>IF(I2291&lt;&gt;"Sí","",IF(YEAR(F2291)&lt;&gt;2026,"",INDEX({"Enero","Febrero","Marzo","Abril","Mayo","Junio","Julio","Agosto","Septiembre","Octubre","Noviembre","Diciembre"},MONTH(F2291))))</f>
        <v>Septiembre</v>
      </c>
      <c r="N2291" s="18" t="str">
        <f t="shared" si="107"/>
        <v>Septiembre|187</v>
      </c>
    </row>
    <row r="2292" spans="1:14" ht="14.5" x14ac:dyDescent="0.25">
      <c r="A2292" s="19">
        <v>35</v>
      </c>
      <c r="B2292" s="18" t="s">
        <v>42</v>
      </c>
      <c r="C2292" s="18" t="s">
        <v>99</v>
      </c>
      <c r="D2292" s="18" t="s">
        <v>2685</v>
      </c>
      <c r="E2292" s="18" t="s">
        <v>2843</v>
      </c>
      <c r="F2292" s="101">
        <v>46268.03125</v>
      </c>
      <c r="G2292" s="101">
        <v>46270.444444444445</v>
      </c>
      <c r="H2292" s="18" t="s">
        <v>507</v>
      </c>
      <c r="I2292" s="18" t="s">
        <v>508</v>
      </c>
      <c r="J2292" s="18"/>
      <c r="K2292" s="21">
        <f t="shared" si="105"/>
        <v>57.916666666686069</v>
      </c>
      <c r="L2292" s="19">
        <f t="shared" si="106"/>
        <v>188</v>
      </c>
      <c r="M2292" s="18" t="str">
        <f>IF(I2292&lt;&gt;"Sí","",IF(YEAR(F2292)&lt;&gt;2026,"",INDEX({"Enero","Febrero","Marzo","Abril","Mayo","Junio","Julio","Agosto","Septiembre","Octubre","Noviembre","Diciembre"},MONTH(F2292))))</f>
        <v>Septiembre</v>
      </c>
      <c r="N2292" s="18" t="str">
        <f t="shared" si="107"/>
        <v>Septiembre|188</v>
      </c>
    </row>
    <row r="2293" spans="1:14" ht="14.5" x14ac:dyDescent="0.25">
      <c r="A2293" s="19">
        <v>35</v>
      </c>
      <c r="B2293" s="18" t="s">
        <v>42</v>
      </c>
      <c r="C2293" s="18" t="s">
        <v>99</v>
      </c>
      <c r="D2293" s="18" t="s">
        <v>2685</v>
      </c>
      <c r="E2293" s="18" t="s">
        <v>2844</v>
      </c>
      <c r="F2293" s="101">
        <v>46268.032638888886</v>
      </c>
      <c r="G2293" s="101">
        <v>46270.444444444445</v>
      </c>
      <c r="H2293" s="18" t="s">
        <v>507</v>
      </c>
      <c r="I2293" s="18" t="s">
        <v>508</v>
      </c>
      <c r="J2293" s="18"/>
      <c r="K2293" s="21">
        <f t="shared" si="105"/>
        <v>57.883333333418705</v>
      </c>
      <c r="L2293" s="19">
        <f t="shared" si="106"/>
        <v>189</v>
      </c>
      <c r="M2293" s="18" t="str">
        <f>IF(I2293&lt;&gt;"Sí","",IF(YEAR(F2293)&lt;&gt;2026,"",INDEX({"Enero","Febrero","Marzo","Abril","Mayo","Junio","Julio","Agosto","Septiembre","Octubre","Noviembre","Diciembre"},MONTH(F2293))))</f>
        <v>Septiembre</v>
      </c>
      <c r="N2293" s="18" t="str">
        <f t="shared" si="107"/>
        <v>Septiembre|189</v>
      </c>
    </row>
    <row r="2294" spans="1:14" ht="14.5" x14ac:dyDescent="0.25">
      <c r="A2294" s="19">
        <v>35</v>
      </c>
      <c r="B2294" s="18" t="s">
        <v>42</v>
      </c>
      <c r="C2294" s="18" t="s">
        <v>99</v>
      </c>
      <c r="D2294" s="18" t="s">
        <v>2685</v>
      </c>
      <c r="E2294" s="18" t="s">
        <v>2845</v>
      </c>
      <c r="F2294" s="101">
        <v>46268.035416666666</v>
      </c>
      <c r="G2294" s="101">
        <v>46270.434027777781</v>
      </c>
      <c r="H2294" s="18" t="s">
        <v>507</v>
      </c>
      <c r="I2294" s="18" t="s">
        <v>508</v>
      </c>
      <c r="J2294" s="18"/>
      <c r="K2294" s="21">
        <f t="shared" si="105"/>
        <v>57.56666666676756</v>
      </c>
      <c r="L2294" s="19">
        <f t="shared" si="106"/>
        <v>190</v>
      </c>
      <c r="M2294" s="18" t="str">
        <f>IF(I2294&lt;&gt;"Sí","",IF(YEAR(F2294)&lt;&gt;2026,"",INDEX({"Enero","Febrero","Marzo","Abril","Mayo","Junio","Julio","Agosto","Septiembre","Octubre","Noviembre","Diciembre"},MONTH(F2294))))</f>
        <v>Septiembre</v>
      </c>
      <c r="N2294" s="18" t="str">
        <f t="shared" si="107"/>
        <v>Septiembre|190</v>
      </c>
    </row>
    <row r="2295" spans="1:14" ht="14.5" x14ac:dyDescent="0.25">
      <c r="A2295" s="19">
        <v>35</v>
      </c>
      <c r="B2295" s="18" t="s">
        <v>42</v>
      </c>
      <c r="C2295" s="18" t="s">
        <v>99</v>
      </c>
      <c r="D2295" s="18" t="s">
        <v>2685</v>
      </c>
      <c r="E2295" s="18" t="s">
        <v>2846</v>
      </c>
      <c r="F2295" s="101">
        <v>46268.036805555559</v>
      </c>
      <c r="G2295" s="101">
        <v>46270.434027777781</v>
      </c>
      <c r="H2295" s="18" t="s">
        <v>507</v>
      </c>
      <c r="I2295" s="18" t="s">
        <v>508</v>
      </c>
      <c r="J2295" s="18"/>
      <c r="K2295" s="21">
        <f t="shared" si="105"/>
        <v>57.533333333325572</v>
      </c>
      <c r="L2295" s="19">
        <f t="shared" si="106"/>
        <v>191</v>
      </c>
      <c r="M2295" s="18" t="str">
        <f>IF(I2295&lt;&gt;"Sí","",IF(YEAR(F2295)&lt;&gt;2026,"",INDEX({"Enero","Febrero","Marzo","Abril","Mayo","Junio","Julio","Agosto","Septiembre","Octubre","Noviembre","Diciembre"},MONTH(F2295))))</f>
        <v>Septiembre</v>
      </c>
      <c r="N2295" s="18" t="str">
        <f t="shared" si="107"/>
        <v>Septiembre|191</v>
      </c>
    </row>
    <row r="2296" spans="1:14" ht="14.5" x14ac:dyDescent="0.25">
      <c r="A2296" s="19">
        <v>35</v>
      </c>
      <c r="B2296" s="18" t="s">
        <v>42</v>
      </c>
      <c r="C2296" s="18" t="s">
        <v>99</v>
      </c>
      <c r="D2296" s="18" t="s">
        <v>2685</v>
      </c>
      <c r="E2296" s="18" t="s">
        <v>2847</v>
      </c>
      <c r="F2296" s="101">
        <v>46268.040972222225</v>
      </c>
      <c r="G2296" s="101">
        <v>46270.434027777781</v>
      </c>
      <c r="H2296" s="18" t="s">
        <v>507</v>
      </c>
      <c r="I2296" s="18" t="s">
        <v>508</v>
      </c>
      <c r="J2296" s="18"/>
      <c r="K2296" s="21">
        <f t="shared" si="105"/>
        <v>57.433333333348855</v>
      </c>
      <c r="L2296" s="19">
        <f t="shared" si="106"/>
        <v>192</v>
      </c>
      <c r="M2296" s="18" t="str">
        <f>IF(I2296&lt;&gt;"Sí","",IF(YEAR(F2296)&lt;&gt;2026,"",INDEX({"Enero","Febrero","Marzo","Abril","Mayo","Junio","Julio","Agosto","Septiembre","Octubre","Noviembre","Diciembre"},MONTH(F2296))))</f>
        <v>Septiembre</v>
      </c>
      <c r="N2296" s="18" t="str">
        <f t="shared" si="107"/>
        <v>Septiembre|192</v>
      </c>
    </row>
    <row r="2297" spans="1:14" ht="14.5" x14ac:dyDescent="0.25">
      <c r="A2297" s="19">
        <v>35</v>
      </c>
      <c r="B2297" s="18" t="s">
        <v>42</v>
      </c>
      <c r="C2297" s="18" t="s">
        <v>99</v>
      </c>
      <c r="D2297" s="18" t="s">
        <v>2685</v>
      </c>
      <c r="E2297" s="18" t="s">
        <v>2848</v>
      </c>
      <c r="F2297" s="101">
        <v>46268.042361111111</v>
      </c>
      <c r="G2297" s="101">
        <v>46270.423611111109</v>
      </c>
      <c r="H2297" s="18" t="s">
        <v>507</v>
      </c>
      <c r="I2297" s="18" t="s">
        <v>508</v>
      </c>
      <c r="J2297" s="18"/>
      <c r="K2297" s="21">
        <f t="shared" si="105"/>
        <v>57.149999999965075</v>
      </c>
      <c r="L2297" s="19">
        <f t="shared" si="106"/>
        <v>193</v>
      </c>
      <c r="M2297" s="18" t="str">
        <f>IF(I2297&lt;&gt;"Sí","",IF(YEAR(F2297)&lt;&gt;2026,"",INDEX({"Enero","Febrero","Marzo","Abril","Mayo","Junio","Julio","Agosto","Septiembre","Octubre","Noviembre","Diciembre"},MONTH(F2297))))</f>
        <v>Septiembre</v>
      </c>
      <c r="N2297" s="18" t="str">
        <f t="shared" si="107"/>
        <v>Septiembre|193</v>
      </c>
    </row>
    <row r="2298" spans="1:14" ht="14.5" x14ac:dyDescent="0.25">
      <c r="A2298" s="19">
        <v>35</v>
      </c>
      <c r="B2298" s="18" t="s">
        <v>42</v>
      </c>
      <c r="C2298" s="18" t="s">
        <v>99</v>
      </c>
      <c r="D2298" s="18" t="s">
        <v>2685</v>
      </c>
      <c r="E2298" s="18" t="s">
        <v>2849</v>
      </c>
      <c r="F2298" s="101">
        <v>46268.043055555558</v>
      </c>
      <c r="G2298" s="101">
        <v>46270.423611111109</v>
      </c>
      <c r="H2298" s="18" t="s">
        <v>507</v>
      </c>
      <c r="I2298" s="18" t="s">
        <v>508</v>
      </c>
      <c r="J2298" s="18"/>
      <c r="K2298" s="21">
        <f t="shared" si="105"/>
        <v>57.133333333244082</v>
      </c>
      <c r="L2298" s="19">
        <f t="shared" si="106"/>
        <v>194</v>
      </c>
      <c r="M2298" s="18" t="str">
        <f>IF(I2298&lt;&gt;"Sí","",IF(YEAR(F2298)&lt;&gt;2026,"",INDEX({"Enero","Febrero","Marzo","Abril","Mayo","Junio","Julio","Agosto","Septiembre","Octubre","Noviembre","Diciembre"},MONTH(F2298))))</f>
        <v>Septiembre</v>
      </c>
      <c r="N2298" s="18" t="str">
        <f t="shared" si="107"/>
        <v>Septiembre|194</v>
      </c>
    </row>
    <row r="2299" spans="1:14" ht="14.5" x14ac:dyDescent="0.25">
      <c r="A2299" s="19">
        <v>35</v>
      </c>
      <c r="B2299" s="18" t="s">
        <v>42</v>
      </c>
      <c r="C2299" s="18" t="s">
        <v>99</v>
      </c>
      <c r="D2299" s="18" t="s">
        <v>2685</v>
      </c>
      <c r="E2299" s="18" t="s">
        <v>2850</v>
      </c>
      <c r="F2299" s="101">
        <v>46268.044444444444</v>
      </c>
      <c r="G2299" s="101">
        <v>46270.420138888891</v>
      </c>
      <c r="H2299" s="18" t="s">
        <v>507</v>
      </c>
      <c r="I2299" s="18" t="s">
        <v>508</v>
      </c>
      <c r="J2299" s="18"/>
      <c r="K2299" s="21">
        <f t="shared" si="105"/>
        <v>57.016666666720994</v>
      </c>
      <c r="L2299" s="19">
        <f t="shared" si="106"/>
        <v>195</v>
      </c>
      <c r="M2299" s="18" t="str">
        <f>IF(I2299&lt;&gt;"Sí","",IF(YEAR(F2299)&lt;&gt;2026,"",INDEX({"Enero","Febrero","Marzo","Abril","Mayo","Junio","Julio","Agosto","Septiembre","Octubre","Noviembre","Diciembre"},MONTH(F2299))))</f>
        <v>Septiembre</v>
      </c>
      <c r="N2299" s="18" t="str">
        <f t="shared" si="107"/>
        <v>Septiembre|195</v>
      </c>
    </row>
    <row r="2300" spans="1:14" ht="14.5" x14ac:dyDescent="0.25">
      <c r="A2300" s="19">
        <v>35</v>
      </c>
      <c r="B2300" s="18" t="s">
        <v>42</v>
      </c>
      <c r="C2300" s="18" t="s">
        <v>99</v>
      </c>
      <c r="D2300" s="18" t="s">
        <v>2685</v>
      </c>
      <c r="E2300" s="18" t="s">
        <v>2851</v>
      </c>
      <c r="F2300" s="101">
        <v>46268.05</v>
      </c>
      <c r="G2300" s="101">
        <v>46270.420138888891</v>
      </c>
      <c r="H2300" s="18" t="s">
        <v>507</v>
      </c>
      <c r="I2300" s="18" t="s">
        <v>508</v>
      </c>
      <c r="J2300" s="18"/>
      <c r="K2300" s="21">
        <f t="shared" si="105"/>
        <v>56.883333333302289</v>
      </c>
      <c r="L2300" s="19">
        <f t="shared" si="106"/>
        <v>196</v>
      </c>
      <c r="M2300" s="18" t="str">
        <f>IF(I2300&lt;&gt;"Sí","",IF(YEAR(F2300)&lt;&gt;2026,"",INDEX({"Enero","Febrero","Marzo","Abril","Mayo","Junio","Julio","Agosto","Septiembre","Octubre","Noviembre","Diciembre"},MONTH(F2300))))</f>
        <v>Septiembre</v>
      </c>
      <c r="N2300" s="18" t="str">
        <f t="shared" si="107"/>
        <v>Septiembre|196</v>
      </c>
    </row>
    <row r="2301" spans="1:14" ht="14.5" x14ac:dyDescent="0.25">
      <c r="A2301" s="19">
        <v>35</v>
      </c>
      <c r="B2301" s="18" t="s">
        <v>42</v>
      </c>
      <c r="C2301" s="18" t="s">
        <v>99</v>
      </c>
      <c r="D2301" s="18" t="s">
        <v>2685</v>
      </c>
      <c r="E2301" s="18" t="s">
        <v>2852</v>
      </c>
      <c r="F2301" s="101">
        <v>46268.050694444442</v>
      </c>
      <c r="G2301" s="101">
        <v>46270.40625</v>
      </c>
      <c r="H2301" s="18" t="s">
        <v>507</v>
      </c>
      <c r="I2301" s="18" t="s">
        <v>508</v>
      </c>
      <c r="J2301" s="18"/>
      <c r="K2301" s="21">
        <f t="shared" si="105"/>
        <v>56.53333333338378</v>
      </c>
      <c r="L2301" s="19">
        <f t="shared" si="106"/>
        <v>197</v>
      </c>
      <c r="M2301" s="18" t="str">
        <f>IF(I2301&lt;&gt;"Sí","",IF(YEAR(F2301)&lt;&gt;2026,"",INDEX({"Enero","Febrero","Marzo","Abril","Mayo","Junio","Julio","Agosto","Septiembre","Octubre","Noviembre","Diciembre"},MONTH(F2301))))</f>
        <v>Septiembre</v>
      </c>
      <c r="N2301" s="18" t="str">
        <f t="shared" si="107"/>
        <v>Septiembre|197</v>
      </c>
    </row>
    <row r="2302" spans="1:14" ht="14.5" x14ac:dyDescent="0.25">
      <c r="A2302" s="19">
        <v>35</v>
      </c>
      <c r="B2302" s="18" t="s">
        <v>42</v>
      </c>
      <c r="C2302" s="18" t="s">
        <v>99</v>
      </c>
      <c r="D2302" s="18" t="s">
        <v>2685</v>
      </c>
      <c r="E2302" s="18" t="s">
        <v>2853</v>
      </c>
      <c r="F2302" s="101">
        <v>46268.058333333334</v>
      </c>
      <c r="G2302" s="101">
        <v>46270.40625</v>
      </c>
      <c r="H2302" s="18" t="s">
        <v>507</v>
      </c>
      <c r="I2302" s="18" t="s">
        <v>508</v>
      </c>
      <c r="J2302" s="18"/>
      <c r="K2302" s="21">
        <f t="shared" si="105"/>
        <v>56.349999999976717</v>
      </c>
      <c r="L2302" s="19">
        <f t="shared" si="106"/>
        <v>198</v>
      </c>
      <c r="M2302" s="18" t="str">
        <f>IF(I2302&lt;&gt;"Sí","",IF(YEAR(F2302)&lt;&gt;2026,"",INDEX({"Enero","Febrero","Marzo","Abril","Mayo","Junio","Julio","Agosto","Septiembre","Octubre","Noviembre","Diciembre"},MONTH(F2302))))</f>
        <v>Septiembre</v>
      </c>
      <c r="N2302" s="18" t="str">
        <f t="shared" si="107"/>
        <v>Septiembre|198</v>
      </c>
    </row>
    <row r="2303" spans="1:14" ht="14.5" x14ac:dyDescent="0.25">
      <c r="A2303" s="19">
        <v>35</v>
      </c>
      <c r="B2303" s="18" t="s">
        <v>42</v>
      </c>
      <c r="C2303" s="18" t="s">
        <v>99</v>
      </c>
      <c r="D2303" s="18" t="s">
        <v>2685</v>
      </c>
      <c r="E2303" s="18" t="s">
        <v>2854</v>
      </c>
      <c r="F2303" s="101">
        <v>46268.059027777781</v>
      </c>
      <c r="G2303" s="101">
        <v>46270.40625</v>
      </c>
      <c r="H2303" s="18" t="s">
        <v>507</v>
      </c>
      <c r="I2303" s="18" t="s">
        <v>508</v>
      </c>
      <c r="J2303" s="18"/>
      <c r="K2303" s="21">
        <f t="shared" si="105"/>
        <v>56.333333333255723</v>
      </c>
      <c r="L2303" s="19">
        <f t="shared" si="106"/>
        <v>199</v>
      </c>
      <c r="M2303" s="18" t="str">
        <f>IF(I2303&lt;&gt;"Sí","",IF(YEAR(F2303)&lt;&gt;2026,"",INDEX({"Enero","Febrero","Marzo","Abril","Mayo","Junio","Julio","Agosto","Septiembre","Octubre","Noviembre","Diciembre"},MONTH(F2303))))</f>
        <v>Septiembre</v>
      </c>
      <c r="N2303" s="18" t="str">
        <f t="shared" si="107"/>
        <v>Septiembre|199</v>
      </c>
    </row>
    <row r="2304" spans="1:14" ht="14.5" x14ac:dyDescent="0.25">
      <c r="A2304" s="19">
        <v>35</v>
      </c>
      <c r="B2304" s="18" t="s">
        <v>42</v>
      </c>
      <c r="C2304" s="18" t="s">
        <v>99</v>
      </c>
      <c r="D2304" s="18" t="s">
        <v>2685</v>
      </c>
      <c r="E2304" s="18" t="s">
        <v>2855</v>
      </c>
      <c r="F2304" s="101">
        <v>46268.060416666667</v>
      </c>
      <c r="G2304" s="101">
        <v>46270.40625</v>
      </c>
      <c r="H2304" s="18" t="s">
        <v>507</v>
      </c>
      <c r="I2304" s="18" t="s">
        <v>508</v>
      </c>
      <c r="J2304" s="18"/>
      <c r="K2304" s="21">
        <f t="shared" si="105"/>
        <v>56.299999999988358</v>
      </c>
      <c r="L2304" s="19">
        <f t="shared" si="106"/>
        <v>200</v>
      </c>
      <c r="M2304" s="18" t="str">
        <f>IF(I2304&lt;&gt;"Sí","",IF(YEAR(F2304)&lt;&gt;2026,"",INDEX({"Enero","Febrero","Marzo","Abril","Mayo","Junio","Julio","Agosto","Septiembre","Octubre","Noviembre","Diciembre"},MONTH(F2304))))</f>
        <v>Septiembre</v>
      </c>
      <c r="N2304" s="18" t="str">
        <f t="shared" si="107"/>
        <v>Septiembre|200</v>
      </c>
    </row>
    <row r="2305" spans="1:14" ht="14.5" x14ac:dyDescent="0.25">
      <c r="A2305" s="19">
        <v>35</v>
      </c>
      <c r="B2305" s="18" t="s">
        <v>42</v>
      </c>
      <c r="C2305" s="18" t="s">
        <v>99</v>
      </c>
      <c r="D2305" s="18" t="s">
        <v>2685</v>
      </c>
      <c r="E2305" s="18" t="s">
        <v>2856</v>
      </c>
      <c r="F2305" s="101">
        <v>46268.0625</v>
      </c>
      <c r="G2305" s="101">
        <v>46270.40625</v>
      </c>
      <c r="H2305" s="18" t="s">
        <v>507</v>
      </c>
      <c r="I2305" s="18" t="s">
        <v>508</v>
      </c>
      <c r="J2305" s="18"/>
      <c r="K2305" s="21">
        <f t="shared" si="105"/>
        <v>56.25</v>
      </c>
      <c r="L2305" s="19">
        <f t="shared" si="106"/>
        <v>201</v>
      </c>
      <c r="M2305" s="18" t="str">
        <f>IF(I2305&lt;&gt;"Sí","",IF(YEAR(F2305)&lt;&gt;2026,"",INDEX({"Enero","Febrero","Marzo","Abril","Mayo","Junio","Julio","Agosto","Septiembre","Octubre","Noviembre","Diciembre"},MONTH(F2305))))</f>
        <v>Septiembre</v>
      </c>
      <c r="N2305" s="18" t="str">
        <f t="shared" si="107"/>
        <v>Septiembre|201</v>
      </c>
    </row>
    <row r="2306" spans="1:14" ht="14.5" x14ac:dyDescent="0.25">
      <c r="A2306" s="19">
        <v>35</v>
      </c>
      <c r="B2306" s="18" t="s">
        <v>42</v>
      </c>
      <c r="C2306" s="18" t="s">
        <v>99</v>
      </c>
      <c r="D2306" s="18" t="s">
        <v>2685</v>
      </c>
      <c r="E2306" s="18" t="s">
        <v>2857</v>
      </c>
      <c r="F2306" s="101">
        <v>46268.069444444445</v>
      </c>
      <c r="G2306" s="101">
        <v>46270.416666666664</v>
      </c>
      <c r="H2306" s="18" t="s">
        <v>507</v>
      </c>
      <c r="I2306" s="18" t="s">
        <v>508</v>
      </c>
      <c r="J2306" s="18"/>
      <c r="K2306" s="21">
        <f t="shared" si="105"/>
        <v>56.333333333255723</v>
      </c>
      <c r="L2306" s="19">
        <f t="shared" si="106"/>
        <v>202</v>
      </c>
      <c r="M2306" s="18" t="str">
        <f>IF(I2306&lt;&gt;"Sí","",IF(YEAR(F2306)&lt;&gt;2026,"",INDEX({"Enero","Febrero","Marzo","Abril","Mayo","Junio","Julio","Agosto","Septiembre","Octubre","Noviembre","Diciembre"},MONTH(F2306))))</f>
        <v>Septiembre</v>
      </c>
      <c r="N2306" s="18" t="str">
        <f t="shared" si="107"/>
        <v>Septiembre|202</v>
      </c>
    </row>
    <row r="2307" spans="1:14" ht="14.5" x14ac:dyDescent="0.25">
      <c r="A2307" s="19">
        <v>35</v>
      </c>
      <c r="B2307" s="18" t="s">
        <v>42</v>
      </c>
      <c r="C2307" s="18" t="s">
        <v>99</v>
      </c>
      <c r="D2307" s="18" t="s">
        <v>2685</v>
      </c>
      <c r="E2307" s="18" t="s">
        <v>2858</v>
      </c>
      <c r="F2307" s="101">
        <v>46268.071527777778</v>
      </c>
      <c r="G2307" s="101">
        <v>46270.40625</v>
      </c>
      <c r="H2307" s="18" t="s">
        <v>507</v>
      </c>
      <c r="I2307" s="18" t="s">
        <v>508</v>
      </c>
      <c r="J2307" s="18"/>
      <c r="K2307" s="21">
        <f t="shared" si="105"/>
        <v>56.033333333325572</v>
      </c>
      <c r="L2307" s="19">
        <f t="shared" si="106"/>
        <v>203</v>
      </c>
      <c r="M2307" s="18" t="str">
        <f>IF(I2307&lt;&gt;"Sí","",IF(YEAR(F2307)&lt;&gt;2026,"",INDEX({"Enero","Febrero","Marzo","Abril","Mayo","Junio","Julio","Agosto","Septiembre","Octubre","Noviembre","Diciembre"},MONTH(F2307))))</f>
        <v>Septiembre</v>
      </c>
      <c r="N2307" s="18" t="str">
        <f t="shared" si="107"/>
        <v>Septiembre|203</v>
      </c>
    </row>
    <row r="2308" spans="1:14" ht="14.5" x14ac:dyDescent="0.25">
      <c r="A2308" s="19">
        <v>35</v>
      </c>
      <c r="B2308" s="18" t="s">
        <v>42</v>
      </c>
      <c r="C2308" s="18" t="s">
        <v>99</v>
      </c>
      <c r="D2308" s="18" t="s">
        <v>2685</v>
      </c>
      <c r="E2308" s="18" t="s">
        <v>2859</v>
      </c>
      <c r="F2308" s="101">
        <v>46268.072222222225</v>
      </c>
      <c r="G2308" s="101">
        <v>46270.40625</v>
      </c>
      <c r="H2308" s="18" t="s">
        <v>507</v>
      </c>
      <c r="I2308" s="18" t="s">
        <v>508</v>
      </c>
      <c r="J2308" s="18"/>
      <c r="K2308" s="21">
        <f t="shared" si="105"/>
        <v>56.016666666604578</v>
      </c>
      <c r="L2308" s="19">
        <f t="shared" si="106"/>
        <v>204</v>
      </c>
      <c r="M2308" s="18" t="str">
        <f>IF(I2308&lt;&gt;"Sí","",IF(YEAR(F2308)&lt;&gt;2026,"",INDEX({"Enero","Febrero","Marzo","Abril","Mayo","Junio","Julio","Agosto","Septiembre","Octubre","Noviembre","Diciembre"},MONTH(F2308))))</f>
        <v>Septiembre</v>
      </c>
      <c r="N2308" s="18" t="str">
        <f t="shared" si="107"/>
        <v>Septiembre|204</v>
      </c>
    </row>
    <row r="2309" spans="1:14" ht="14.5" x14ac:dyDescent="0.25">
      <c r="A2309" s="19">
        <v>35</v>
      </c>
      <c r="B2309" s="18" t="s">
        <v>42</v>
      </c>
      <c r="C2309" s="18" t="s">
        <v>99</v>
      </c>
      <c r="D2309" s="18" t="s">
        <v>2685</v>
      </c>
      <c r="E2309" s="18" t="s">
        <v>2860</v>
      </c>
      <c r="F2309" s="101">
        <v>46268.073611111111</v>
      </c>
      <c r="G2309" s="101">
        <v>46270.40625</v>
      </c>
      <c r="H2309" s="18" t="s">
        <v>507</v>
      </c>
      <c r="I2309" s="18" t="s">
        <v>508</v>
      </c>
      <c r="J2309" s="18"/>
      <c r="K2309" s="21">
        <f t="shared" si="105"/>
        <v>55.983333333337214</v>
      </c>
      <c r="L2309" s="19">
        <f t="shared" si="106"/>
        <v>205</v>
      </c>
      <c r="M2309" s="18" t="str">
        <f>IF(I2309&lt;&gt;"Sí","",IF(YEAR(F2309)&lt;&gt;2026,"",INDEX({"Enero","Febrero","Marzo","Abril","Mayo","Junio","Julio","Agosto","Septiembre","Octubre","Noviembre","Diciembre"},MONTH(F2309))))</f>
        <v>Septiembre</v>
      </c>
      <c r="N2309" s="18" t="str">
        <f t="shared" si="107"/>
        <v>Septiembre|205</v>
      </c>
    </row>
    <row r="2310" spans="1:14" ht="14.5" x14ac:dyDescent="0.25">
      <c r="A2310" s="19">
        <v>35</v>
      </c>
      <c r="B2310" s="18" t="s">
        <v>42</v>
      </c>
      <c r="C2310" s="18" t="s">
        <v>99</v>
      </c>
      <c r="D2310" s="18" t="s">
        <v>2685</v>
      </c>
      <c r="E2310" s="18" t="s">
        <v>2861</v>
      </c>
      <c r="F2310" s="101">
        <v>46268.07708333333</v>
      </c>
      <c r="G2310" s="101">
        <v>46270.40625</v>
      </c>
      <c r="H2310" s="18" t="s">
        <v>507</v>
      </c>
      <c r="I2310" s="18" t="s">
        <v>508</v>
      </c>
      <c r="J2310" s="18"/>
      <c r="K2310" s="21">
        <f t="shared" si="105"/>
        <v>55.900000000081491</v>
      </c>
      <c r="L2310" s="19">
        <f t="shared" si="106"/>
        <v>206</v>
      </c>
      <c r="M2310" s="18" t="str">
        <f>IF(I2310&lt;&gt;"Sí","",IF(YEAR(F2310)&lt;&gt;2026,"",INDEX({"Enero","Febrero","Marzo","Abril","Mayo","Junio","Julio","Agosto","Septiembre","Octubre","Noviembre","Diciembre"},MONTH(F2310))))</f>
        <v>Septiembre</v>
      </c>
      <c r="N2310" s="18" t="str">
        <f t="shared" si="107"/>
        <v>Septiembre|206</v>
      </c>
    </row>
    <row r="2311" spans="1:14" ht="14.5" x14ac:dyDescent="0.25">
      <c r="A2311" s="19">
        <v>35</v>
      </c>
      <c r="B2311" s="18" t="s">
        <v>42</v>
      </c>
      <c r="C2311" s="18" t="s">
        <v>99</v>
      </c>
      <c r="D2311" s="18" t="s">
        <v>2685</v>
      </c>
      <c r="E2311" s="18" t="s">
        <v>2862</v>
      </c>
      <c r="F2311" s="101">
        <v>46268.078472222223</v>
      </c>
      <c r="G2311" s="101">
        <v>46270.40625</v>
      </c>
      <c r="H2311" s="18" t="s">
        <v>507</v>
      </c>
      <c r="I2311" s="18" t="s">
        <v>508</v>
      </c>
      <c r="J2311" s="18"/>
      <c r="K2311" s="21">
        <f t="shared" ref="K2311:K2374" si="108">IF(I2311="Sí",(G2311-F2311)*24,"")</f>
        <v>55.866666666639503</v>
      </c>
      <c r="L2311" s="19">
        <f t="shared" ref="L2311:L2374" si="109">IF(I2311="Sí",COUNTIFS($F$7:$F$4000,"&lt;="&amp;F2311,$G$7:$G$4000,"&gt;"&amp;F2311,$I$7:$I$4000,"Sí"),"")</f>
        <v>207</v>
      </c>
      <c r="M2311" s="18" t="str">
        <f>IF(I2311&lt;&gt;"Sí","",IF(YEAR(F2311)&lt;&gt;2026,"",INDEX({"Enero","Febrero","Marzo","Abril","Mayo","Junio","Julio","Agosto","Septiembre","Octubre","Noviembre","Diciembre"},MONTH(F2311))))</f>
        <v>Septiembre</v>
      </c>
      <c r="N2311" s="18" t="str">
        <f t="shared" ref="N2311:N2374" si="110">IF(M2311="","",M2311&amp;"|"&amp;L2311)</f>
        <v>Septiembre|207</v>
      </c>
    </row>
    <row r="2312" spans="1:14" ht="14.5" x14ac:dyDescent="0.25">
      <c r="A2312" s="19">
        <v>35</v>
      </c>
      <c r="B2312" s="18" t="s">
        <v>42</v>
      </c>
      <c r="C2312" s="18" t="s">
        <v>99</v>
      </c>
      <c r="D2312" s="18" t="s">
        <v>2685</v>
      </c>
      <c r="E2312" s="18" t="s">
        <v>2863</v>
      </c>
      <c r="F2312" s="101">
        <v>46268.07916666667</v>
      </c>
      <c r="G2312" s="101">
        <v>46270.40625</v>
      </c>
      <c r="H2312" s="18" t="s">
        <v>507</v>
      </c>
      <c r="I2312" s="18" t="s">
        <v>508</v>
      </c>
      <c r="J2312" s="18"/>
      <c r="K2312" s="21">
        <f t="shared" si="108"/>
        <v>55.849999999918509</v>
      </c>
      <c r="L2312" s="19">
        <f t="shared" si="109"/>
        <v>208</v>
      </c>
      <c r="M2312" s="18" t="str">
        <f>IF(I2312&lt;&gt;"Sí","",IF(YEAR(F2312)&lt;&gt;2026,"",INDEX({"Enero","Febrero","Marzo","Abril","Mayo","Junio","Julio","Agosto","Septiembre","Octubre","Noviembre","Diciembre"},MONTH(F2312))))</f>
        <v>Septiembre</v>
      </c>
      <c r="N2312" s="18" t="str">
        <f t="shared" si="110"/>
        <v>Septiembre|208</v>
      </c>
    </row>
    <row r="2313" spans="1:14" ht="14.5" x14ac:dyDescent="0.25">
      <c r="A2313" s="19">
        <v>35</v>
      </c>
      <c r="B2313" s="18" t="s">
        <v>42</v>
      </c>
      <c r="C2313" s="18" t="s">
        <v>99</v>
      </c>
      <c r="D2313" s="18" t="s">
        <v>2685</v>
      </c>
      <c r="E2313" s="18" t="s">
        <v>1032</v>
      </c>
      <c r="F2313" s="101">
        <v>46268.171527777777</v>
      </c>
      <c r="G2313" s="101">
        <v>46270.706944444442</v>
      </c>
      <c r="H2313" s="18" t="s">
        <v>507</v>
      </c>
      <c r="I2313" s="18" t="s">
        <v>508</v>
      </c>
      <c r="J2313" s="18"/>
      <c r="K2313" s="21">
        <f t="shared" si="108"/>
        <v>60.849999999976717</v>
      </c>
      <c r="L2313" s="19">
        <f t="shared" si="109"/>
        <v>209</v>
      </c>
      <c r="M2313" s="18" t="str">
        <f>IF(I2313&lt;&gt;"Sí","",IF(YEAR(F2313)&lt;&gt;2026,"",INDEX({"Enero","Febrero","Marzo","Abril","Mayo","Junio","Julio","Agosto","Septiembre","Octubre","Noviembre","Diciembre"},MONTH(F2313))))</f>
        <v>Septiembre</v>
      </c>
      <c r="N2313" s="18" t="str">
        <f t="shared" si="110"/>
        <v>Septiembre|209</v>
      </c>
    </row>
    <row r="2314" spans="1:14" ht="14.5" x14ac:dyDescent="0.25">
      <c r="A2314" s="19">
        <v>35</v>
      </c>
      <c r="B2314" s="18" t="s">
        <v>42</v>
      </c>
      <c r="C2314" s="18" t="s">
        <v>99</v>
      </c>
      <c r="D2314" s="18" t="s">
        <v>2685</v>
      </c>
      <c r="E2314" s="18" t="s">
        <v>2864</v>
      </c>
      <c r="F2314" s="101">
        <v>46268.172222222223</v>
      </c>
      <c r="G2314" s="101">
        <v>46270.706944444442</v>
      </c>
      <c r="H2314" s="18" t="s">
        <v>507</v>
      </c>
      <c r="I2314" s="18" t="s">
        <v>508</v>
      </c>
      <c r="J2314" s="18"/>
      <c r="K2314" s="21">
        <f t="shared" si="108"/>
        <v>60.833333333255723</v>
      </c>
      <c r="L2314" s="19">
        <f t="shared" si="109"/>
        <v>210</v>
      </c>
      <c r="M2314" s="18" t="str">
        <f>IF(I2314&lt;&gt;"Sí","",IF(YEAR(F2314)&lt;&gt;2026,"",INDEX({"Enero","Febrero","Marzo","Abril","Mayo","Junio","Julio","Agosto","Septiembre","Octubre","Noviembre","Diciembre"},MONTH(F2314))))</f>
        <v>Septiembre</v>
      </c>
      <c r="N2314" s="18" t="str">
        <f t="shared" si="110"/>
        <v>Septiembre|210</v>
      </c>
    </row>
    <row r="2315" spans="1:14" ht="14.5" x14ac:dyDescent="0.25">
      <c r="A2315" s="19">
        <v>35</v>
      </c>
      <c r="B2315" s="18" t="s">
        <v>42</v>
      </c>
      <c r="C2315" s="18" t="s">
        <v>99</v>
      </c>
      <c r="D2315" s="18" t="s">
        <v>2685</v>
      </c>
      <c r="E2315" s="18" t="s">
        <v>2865</v>
      </c>
      <c r="F2315" s="101">
        <v>46268.17291666667</v>
      </c>
      <c r="G2315" s="101">
        <v>46270.706944444442</v>
      </c>
      <c r="H2315" s="18" t="s">
        <v>507</v>
      </c>
      <c r="I2315" s="18" t="s">
        <v>508</v>
      </c>
      <c r="J2315" s="18"/>
      <c r="K2315" s="21">
        <f t="shared" si="108"/>
        <v>60.816666666534729</v>
      </c>
      <c r="L2315" s="19">
        <f t="shared" si="109"/>
        <v>211</v>
      </c>
      <c r="M2315" s="18" t="str">
        <f>IF(I2315&lt;&gt;"Sí","",IF(YEAR(F2315)&lt;&gt;2026,"",INDEX({"Enero","Febrero","Marzo","Abril","Mayo","Junio","Julio","Agosto","Septiembre","Octubre","Noviembre","Diciembre"},MONTH(F2315))))</f>
        <v>Septiembre</v>
      </c>
      <c r="N2315" s="18" t="str">
        <f t="shared" si="110"/>
        <v>Septiembre|211</v>
      </c>
    </row>
    <row r="2316" spans="1:14" ht="14.5" x14ac:dyDescent="0.25">
      <c r="A2316" s="19">
        <v>35</v>
      </c>
      <c r="B2316" s="18" t="s">
        <v>42</v>
      </c>
      <c r="C2316" s="18" t="s">
        <v>99</v>
      </c>
      <c r="D2316" s="18" t="s">
        <v>2685</v>
      </c>
      <c r="E2316" s="18" t="s">
        <v>2866</v>
      </c>
      <c r="F2316" s="101">
        <v>46268.175000000003</v>
      </c>
      <c r="G2316" s="101">
        <v>46270.706944444442</v>
      </c>
      <c r="H2316" s="18" t="s">
        <v>507</v>
      </c>
      <c r="I2316" s="18" t="s">
        <v>508</v>
      </c>
      <c r="J2316" s="18"/>
      <c r="K2316" s="21">
        <f t="shared" si="108"/>
        <v>60.766666666546371</v>
      </c>
      <c r="L2316" s="19">
        <f t="shared" si="109"/>
        <v>212</v>
      </c>
      <c r="M2316" s="18" t="str">
        <f>IF(I2316&lt;&gt;"Sí","",IF(YEAR(F2316)&lt;&gt;2026,"",INDEX({"Enero","Febrero","Marzo","Abril","Mayo","Junio","Julio","Agosto","Septiembre","Octubre","Noviembre","Diciembre"},MONTH(F2316))))</f>
        <v>Septiembre</v>
      </c>
      <c r="N2316" s="18" t="str">
        <f t="shared" si="110"/>
        <v>Septiembre|212</v>
      </c>
    </row>
    <row r="2317" spans="1:14" ht="14.5" x14ac:dyDescent="0.25">
      <c r="A2317" s="19">
        <v>35</v>
      </c>
      <c r="B2317" s="18" t="s">
        <v>42</v>
      </c>
      <c r="C2317" s="18" t="s">
        <v>99</v>
      </c>
      <c r="D2317" s="18" t="s">
        <v>2685</v>
      </c>
      <c r="E2317" s="18" t="s">
        <v>2867</v>
      </c>
      <c r="F2317" s="101">
        <v>46268.177777777775</v>
      </c>
      <c r="G2317" s="101">
        <v>46270.706944444442</v>
      </c>
      <c r="H2317" s="18" t="s">
        <v>507</v>
      </c>
      <c r="I2317" s="18" t="s">
        <v>508</v>
      </c>
      <c r="J2317" s="18"/>
      <c r="K2317" s="21">
        <f t="shared" si="108"/>
        <v>60.700000000011642</v>
      </c>
      <c r="L2317" s="19">
        <f t="shared" si="109"/>
        <v>213</v>
      </c>
      <c r="M2317" s="18" t="str">
        <f>IF(I2317&lt;&gt;"Sí","",IF(YEAR(F2317)&lt;&gt;2026,"",INDEX({"Enero","Febrero","Marzo","Abril","Mayo","Junio","Julio","Agosto","Septiembre","Octubre","Noviembre","Diciembre"},MONTH(F2317))))</f>
        <v>Septiembre</v>
      </c>
      <c r="N2317" s="18" t="str">
        <f t="shared" si="110"/>
        <v>Septiembre|213</v>
      </c>
    </row>
    <row r="2318" spans="1:14" ht="14.5" x14ac:dyDescent="0.25">
      <c r="A2318" s="19">
        <v>35</v>
      </c>
      <c r="B2318" s="18" t="s">
        <v>42</v>
      </c>
      <c r="C2318" s="18" t="s">
        <v>99</v>
      </c>
      <c r="D2318" s="18" t="s">
        <v>2685</v>
      </c>
      <c r="E2318" s="18" t="s">
        <v>2868</v>
      </c>
      <c r="F2318" s="101">
        <v>46268.180555555555</v>
      </c>
      <c r="G2318" s="101">
        <v>46270.706944444442</v>
      </c>
      <c r="H2318" s="18" t="s">
        <v>507</v>
      </c>
      <c r="I2318" s="18" t="s">
        <v>508</v>
      </c>
      <c r="J2318" s="18"/>
      <c r="K2318" s="21">
        <f t="shared" si="108"/>
        <v>60.633333333302289</v>
      </c>
      <c r="L2318" s="19">
        <f t="shared" si="109"/>
        <v>214</v>
      </c>
      <c r="M2318" s="18" t="str">
        <f>IF(I2318&lt;&gt;"Sí","",IF(YEAR(F2318)&lt;&gt;2026,"",INDEX({"Enero","Febrero","Marzo","Abril","Mayo","Junio","Julio","Agosto","Septiembre","Octubre","Noviembre","Diciembre"},MONTH(F2318))))</f>
        <v>Septiembre</v>
      </c>
      <c r="N2318" s="18" t="str">
        <f t="shared" si="110"/>
        <v>Septiembre|214</v>
      </c>
    </row>
    <row r="2319" spans="1:14" ht="14.5" x14ac:dyDescent="0.25">
      <c r="A2319" s="19">
        <v>35</v>
      </c>
      <c r="B2319" s="18" t="s">
        <v>42</v>
      </c>
      <c r="C2319" s="18" t="s">
        <v>99</v>
      </c>
      <c r="D2319" s="18" t="s">
        <v>2685</v>
      </c>
      <c r="E2319" s="18" t="s">
        <v>2869</v>
      </c>
      <c r="F2319" s="101">
        <v>46268.181944444441</v>
      </c>
      <c r="G2319" s="101">
        <v>46270.666666666664</v>
      </c>
      <c r="H2319" s="18" t="s">
        <v>507</v>
      </c>
      <c r="I2319" s="18" t="s">
        <v>508</v>
      </c>
      <c r="J2319" s="18"/>
      <c r="K2319" s="21">
        <f t="shared" si="108"/>
        <v>59.633333333360497</v>
      </c>
      <c r="L2319" s="19">
        <f t="shared" si="109"/>
        <v>216</v>
      </c>
      <c r="M2319" s="18" t="str">
        <f>IF(I2319&lt;&gt;"Sí","",IF(YEAR(F2319)&lt;&gt;2026,"",INDEX({"Enero","Febrero","Marzo","Abril","Mayo","Junio","Julio","Agosto","Septiembre","Octubre","Noviembre","Diciembre"},MONTH(F2319))))</f>
        <v>Septiembre</v>
      </c>
      <c r="N2319" s="18" t="str">
        <f t="shared" si="110"/>
        <v>Septiembre|216</v>
      </c>
    </row>
    <row r="2320" spans="1:14" ht="14.5" x14ac:dyDescent="0.25">
      <c r="A2320" s="19">
        <v>35</v>
      </c>
      <c r="B2320" s="18" t="s">
        <v>42</v>
      </c>
      <c r="C2320" s="18" t="s">
        <v>99</v>
      </c>
      <c r="D2320" s="18" t="s">
        <v>2685</v>
      </c>
      <c r="E2320" s="18" t="s">
        <v>2870</v>
      </c>
      <c r="F2320" s="101">
        <v>46268.181944444441</v>
      </c>
      <c r="G2320" s="101">
        <v>46270.666666666664</v>
      </c>
      <c r="H2320" s="18" t="s">
        <v>507</v>
      </c>
      <c r="I2320" s="18" t="s">
        <v>508</v>
      </c>
      <c r="J2320" s="18"/>
      <c r="K2320" s="21">
        <f t="shared" si="108"/>
        <v>59.633333333360497</v>
      </c>
      <c r="L2320" s="19">
        <f t="shared" si="109"/>
        <v>216</v>
      </c>
      <c r="M2320" s="18" t="str">
        <f>IF(I2320&lt;&gt;"Sí","",IF(YEAR(F2320)&lt;&gt;2026,"",INDEX({"Enero","Febrero","Marzo","Abril","Mayo","Junio","Julio","Agosto","Septiembre","Octubre","Noviembre","Diciembre"},MONTH(F2320))))</f>
        <v>Septiembre</v>
      </c>
      <c r="N2320" s="18" t="str">
        <f t="shared" si="110"/>
        <v>Septiembre|216</v>
      </c>
    </row>
    <row r="2321" spans="1:14" ht="14.5" x14ac:dyDescent="0.25">
      <c r="A2321" s="19">
        <v>35</v>
      </c>
      <c r="B2321" s="18" t="s">
        <v>42</v>
      </c>
      <c r="C2321" s="18" t="s">
        <v>99</v>
      </c>
      <c r="D2321" s="18" t="s">
        <v>2685</v>
      </c>
      <c r="E2321" s="18" t="s">
        <v>2871</v>
      </c>
      <c r="F2321" s="101">
        <v>46268.18472222222</v>
      </c>
      <c r="G2321" s="101">
        <v>46270.706944444442</v>
      </c>
      <c r="H2321" s="18" t="s">
        <v>507</v>
      </c>
      <c r="I2321" s="18" t="s">
        <v>508</v>
      </c>
      <c r="J2321" s="18"/>
      <c r="K2321" s="21">
        <f t="shared" si="108"/>
        <v>60.533333333325572</v>
      </c>
      <c r="L2321" s="19">
        <f t="shared" si="109"/>
        <v>218</v>
      </c>
      <c r="M2321" s="18" t="str">
        <f>IF(I2321&lt;&gt;"Sí","",IF(YEAR(F2321)&lt;&gt;2026,"",INDEX({"Enero","Febrero","Marzo","Abril","Mayo","Junio","Julio","Agosto","Septiembre","Octubre","Noviembre","Diciembre"},MONTH(F2321))))</f>
        <v>Septiembre</v>
      </c>
      <c r="N2321" s="18" t="str">
        <f t="shared" si="110"/>
        <v>Septiembre|218</v>
      </c>
    </row>
    <row r="2322" spans="1:14" ht="14.5" x14ac:dyDescent="0.25">
      <c r="A2322" s="19">
        <v>35</v>
      </c>
      <c r="B2322" s="18" t="s">
        <v>42</v>
      </c>
      <c r="C2322" s="18" t="s">
        <v>99</v>
      </c>
      <c r="D2322" s="18" t="s">
        <v>2685</v>
      </c>
      <c r="E2322" s="18" t="s">
        <v>2872</v>
      </c>
      <c r="F2322" s="101">
        <v>46268.18472222222</v>
      </c>
      <c r="G2322" s="101">
        <v>46270.645833333336</v>
      </c>
      <c r="H2322" s="18" t="s">
        <v>507</v>
      </c>
      <c r="I2322" s="18" t="s">
        <v>508</v>
      </c>
      <c r="J2322" s="18"/>
      <c r="K2322" s="21">
        <f t="shared" si="108"/>
        <v>59.06666666676756</v>
      </c>
      <c r="L2322" s="19">
        <f t="shared" si="109"/>
        <v>218</v>
      </c>
      <c r="M2322" s="18" t="str">
        <f>IF(I2322&lt;&gt;"Sí","",IF(YEAR(F2322)&lt;&gt;2026,"",INDEX({"Enero","Febrero","Marzo","Abril","Mayo","Junio","Julio","Agosto","Septiembre","Octubre","Noviembre","Diciembre"},MONTH(F2322))))</f>
        <v>Septiembre</v>
      </c>
      <c r="N2322" s="18" t="str">
        <f t="shared" si="110"/>
        <v>Septiembre|218</v>
      </c>
    </row>
    <row r="2323" spans="1:14" ht="14.5" x14ac:dyDescent="0.25">
      <c r="A2323" s="19">
        <v>35</v>
      </c>
      <c r="B2323" s="18" t="s">
        <v>42</v>
      </c>
      <c r="C2323" s="18" t="s">
        <v>2873</v>
      </c>
      <c r="D2323" s="18" t="s">
        <v>2873</v>
      </c>
      <c r="E2323" s="18" t="s">
        <v>2874</v>
      </c>
      <c r="F2323" s="101"/>
      <c r="G2323" s="101">
        <v>46268.354166666664</v>
      </c>
      <c r="H2323" s="18" t="s">
        <v>554</v>
      </c>
      <c r="I2323" s="18" t="s">
        <v>555</v>
      </c>
      <c r="J2323" s="18" t="s">
        <v>556</v>
      </c>
      <c r="K2323" s="21" t="str">
        <f t="shared" si="108"/>
        <v/>
      </c>
      <c r="L2323" s="19" t="str">
        <f t="shared" si="109"/>
        <v/>
      </c>
      <c r="M2323" s="18" t="str">
        <f>IF(I2323&lt;&gt;"Sí","",IF(YEAR(F2323)&lt;&gt;2026,"",INDEX({"Enero","Febrero","Marzo","Abril","Mayo","Junio","Julio","Agosto","Septiembre","Octubre","Noviembre","Diciembre"},MONTH(F2323))))</f>
        <v/>
      </c>
      <c r="N2323" s="18" t="str">
        <f t="shared" si="110"/>
        <v/>
      </c>
    </row>
    <row r="2324" spans="1:14" ht="14.5" x14ac:dyDescent="0.25">
      <c r="A2324" s="19">
        <v>35</v>
      </c>
      <c r="B2324" s="18" t="s">
        <v>42</v>
      </c>
      <c r="C2324" s="18" t="s">
        <v>99</v>
      </c>
      <c r="D2324" s="18" t="s">
        <v>2685</v>
      </c>
      <c r="E2324" s="18" t="s">
        <v>2875</v>
      </c>
      <c r="F2324" s="101">
        <v>46268.482638888891</v>
      </c>
      <c r="G2324" s="101">
        <v>46270.847222222219</v>
      </c>
      <c r="H2324" s="18" t="s">
        <v>507</v>
      </c>
      <c r="I2324" s="18" t="s">
        <v>508</v>
      </c>
      <c r="J2324" s="18"/>
      <c r="K2324" s="21">
        <f t="shared" si="108"/>
        <v>56.749999999883585</v>
      </c>
      <c r="L2324" s="19">
        <f t="shared" si="109"/>
        <v>259</v>
      </c>
      <c r="M2324" s="18" t="str">
        <f>IF(I2324&lt;&gt;"Sí","",IF(YEAR(F2324)&lt;&gt;2026,"",INDEX({"Enero","Febrero","Marzo","Abril","Mayo","Junio","Julio","Agosto","Septiembre","Octubre","Noviembre","Diciembre"},MONTH(F2324))))</f>
        <v>Septiembre</v>
      </c>
      <c r="N2324" s="18" t="str">
        <f t="shared" si="110"/>
        <v>Septiembre|259</v>
      </c>
    </row>
    <row r="2325" spans="1:14" ht="14.5" x14ac:dyDescent="0.25">
      <c r="A2325" s="19">
        <v>35</v>
      </c>
      <c r="B2325" s="18" t="s">
        <v>42</v>
      </c>
      <c r="C2325" s="18" t="s">
        <v>99</v>
      </c>
      <c r="D2325" s="18" t="s">
        <v>2685</v>
      </c>
      <c r="E2325" s="18" t="s">
        <v>2876</v>
      </c>
      <c r="F2325" s="101">
        <v>46268.482638888891</v>
      </c>
      <c r="G2325" s="101">
        <v>46270.739583333336</v>
      </c>
      <c r="H2325" s="18" t="s">
        <v>507</v>
      </c>
      <c r="I2325" s="18" t="s">
        <v>508</v>
      </c>
      <c r="J2325" s="18"/>
      <c r="K2325" s="21">
        <f t="shared" si="108"/>
        <v>54.166666666686069</v>
      </c>
      <c r="L2325" s="19">
        <f t="shared" si="109"/>
        <v>259</v>
      </c>
      <c r="M2325" s="18" t="str">
        <f>IF(I2325&lt;&gt;"Sí","",IF(YEAR(F2325)&lt;&gt;2026,"",INDEX({"Enero","Febrero","Marzo","Abril","Mayo","Junio","Julio","Agosto","Septiembre","Octubre","Noviembre","Diciembre"},MONTH(F2325))))</f>
        <v>Septiembre</v>
      </c>
      <c r="N2325" s="18" t="str">
        <f t="shared" si="110"/>
        <v>Septiembre|259</v>
      </c>
    </row>
    <row r="2326" spans="1:14" ht="14.5" x14ac:dyDescent="0.25">
      <c r="A2326" s="19">
        <v>35</v>
      </c>
      <c r="B2326" s="18" t="s">
        <v>42</v>
      </c>
      <c r="C2326" s="18" t="s">
        <v>99</v>
      </c>
      <c r="D2326" s="18" t="s">
        <v>2685</v>
      </c>
      <c r="E2326" s="18" t="s">
        <v>2877</v>
      </c>
      <c r="F2326" s="101">
        <v>46268.482638888891</v>
      </c>
      <c r="G2326" s="101">
        <v>46270.739583333336</v>
      </c>
      <c r="H2326" s="18" t="s">
        <v>507</v>
      </c>
      <c r="I2326" s="18" t="s">
        <v>508</v>
      </c>
      <c r="J2326" s="18"/>
      <c r="K2326" s="21">
        <f t="shared" si="108"/>
        <v>54.166666666686069</v>
      </c>
      <c r="L2326" s="19">
        <f t="shared" si="109"/>
        <v>259</v>
      </c>
      <c r="M2326" s="18" t="str">
        <f>IF(I2326&lt;&gt;"Sí","",IF(YEAR(F2326)&lt;&gt;2026,"",INDEX({"Enero","Febrero","Marzo","Abril","Mayo","Junio","Julio","Agosto","Septiembre","Octubre","Noviembre","Diciembre"},MONTH(F2326))))</f>
        <v>Septiembre</v>
      </c>
      <c r="N2326" s="18" t="str">
        <f t="shared" si="110"/>
        <v>Septiembre|259</v>
      </c>
    </row>
    <row r="2327" spans="1:14" ht="14.5" x14ac:dyDescent="0.25">
      <c r="A2327" s="19">
        <v>35</v>
      </c>
      <c r="B2327" s="18" t="s">
        <v>42</v>
      </c>
      <c r="C2327" s="18" t="s">
        <v>99</v>
      </c>
      <c r="D2327" s="18" t="s">
        <v>2685</v>
      </c>
      <c r="E2327" s="18" t="s">
        <v>2878</v>
      </c>
      <c r="F2327" s="101">
        <v>46268.482638888891</v>
      </c>
      <c r="G2327" s="101">
        <v>46270.739583333336</v>
      </c>
      <c r="H2327" s="18" t="s">
        <v>507</v>
      </c>
      <c r="I2327" s="18" t="s">
        <v>508</v>
      </c>
      <c r="J2327" s="18"/>
      <c r="K2327" s="21">
        <f t="shared" si="108"/>
        <v>54.166666666686069</v>
      </c>
      <c r="L2327" s="19">
        <f t="shared" si="109"/>
        <v>259</v>
      </c>
      <c r="M2327" s="18" t="str">
        <f>IF(I2327&lt;&gt;"Sí","",IF(YEAR(F2327)&lt;&gt;2026,"",INDEX({"Enero","Febrero","Marzo","Abril","Mayo","Junio","Julio","Agosto","Septiembre","Octubre","Noviembre","Diciembre"},MONTH(F2327))))</f>
        <v>Septiembre</v>
      </c>
      <c r="N2327" s="18" t="str">
        <f t="shared" si="110"/>
        <v>Septiembre|259</v>
      </c>
    </row>
    <row r="2328" spans="1:14" ht="14.5" x14ac:dyDescent="0.25">
      <c r="A2328" s="19">
        <v>35</v>
      </c>
      <c r="B2328" s="18" t="s">
        <v>42</v>
      </c>
      <c r="C2328" s="18" t="s">
        <v>99</v>
      </c>
      <c r="D2328" s="18" t="s">
        <v>2685</v>
      </c>
      <c r="E2328" s="18" t="s">
        <v>2879</v>
      </c>
      <c r="F2328" s="101">
        <v>46268.482638888891</v>
      </c>
      <c r="G2328" s="101">
        <v>46270.739583333336</v>
      </c>
      <c r="H2328" s="18" t="s">
        <v>507</v>
      </c>
      <c r="I2328" s="18" t="s">
        <v>508</v>
      </c>
      <c r="J2328" s="18"/>
      <c r="K2328" s="21">
        <f t="shared" si="108"/>
        <v>54.166666666686069</v>
      </c>
      <c r="L2328" s="19">
        <f t="shared" si="109"/>
        <v>259</v>
      </c>
      <c r="M2328" s="18" t="str">
        <f>IF(I2328&lt;&gt;"Sí","",IF(YEAR(F2328)&lt;&gt;2026,"",INDEX({"Enero","Febrero","Marzo","Abril","Mayo","Junio","Julio","Agosto","Septiembre","Octubre","Noviembre","Diciembre"},MONTH(F2328))))</f>
        <v>Septiembre</v>
      </c>
      <c r="N2328" s="18" t="str">
        <f t="shared" si="110"/>
        <v>Septiembre|259</v>
      </c>
    </row>
    <row r="2329" spans="1:14" ht="14.5" x14ac:dyDescent="0.25">
      <c r="A2329" s="19">
        <v>35</v>
      </c>
      <c r="B2329" s="18" t="s">
        <v>42</v>
      </c>
      <c r="C2329" s="18" t="s">
        <v>99</v>
      </c>
      <c r="D2329" s="18" t="s">
        <v>2685</v>
      </c>
      <c r="E2329" s="18" t="s">
        <v>2880</v>
      </c>
      <c r="F2329" s="101">
        <v>46268.482638888891</v>
      </c>
      <c r="G2329" s="101">
        <v>46270.739583333336</v>
      </c>
      <c r="H2329" s="18" t="s">
        <v>507</v>
      </c>
      <c r="I2329" s="18" t="s">
        <v>508</v>
      </c>
      <c r="J2329" s="18"/>
      <c r="K2329" s="21">
        <f t="shared" si="108"/>
        <v>54.166666666686069</v>
      </c>
      <c r="L2329" s="19">
        <f t="shared" si="109"/>
        <v>259</v>
      </c>
      <c r="M2329" s="18" t="str">
        <f>IF(I2329&lt;&gt;"Sí","",IF(YEAR(F2329)&lt;&gt;2026,"",INDEX({"Enero","Febrero","Marzo","Abril","Mayo","Junio","Julio","Agosto","Septiembre","Octubre","Noviembre","Diciembre"},MONTH(F2329))))</f>
        <v>Septiembre</v>
      </c>
      <c r="N2329" s="18" t="str">
        <f t="shared" si="110"/>
        <v>Septiembre|259</v>
      </c>
    </row>
    <row r="2330" spans="1:14" ht="14.5" x14ac:dyDescent="0.25">
      <c r="A2330" s="19">
        <v>35</v>
      </c>
      <c r="B2330" s="18" t="s">
        <v>42</v>
      </c>
      <c r="C2330" s="18" t="s">
        <v>99</v>
      </c>
      <c r="D2330" s="18" t="s">
        <v>2685</v>
      </c>
      <c r="E2330" s="18" t="s">
        <v>2881</v>
      </c>
      <c r="F2330" s="101">
        <v>46268.482638888891</v>
      </c>
      <c r="G2330" s="101">
        <v>46270.739583333336</v>
      </c>
      <c r="H2330" s="18" t="s">
        <v>507</v>
      </c>
      <c r="I2330" s="18" t="s">
        <v>508</v>
      </c>
      <c r="J2330" s="18"/>
      <c r="K2330" s="21">
        <f t="shared" si="108"/>
        <v>54.166666666686069</v>
      </c>
      <c r="L2330" s="19">
        <f t="shared" si="109"/>
        <v>259</v>
      </c>
      <c r="M2330" s="18" t="str">
        <f>IF(I2330&lt;&gt;"Sí","",IF(YEAR(F2330)&lt;&gt;2026,"",INDEX({"Enero","Febrero","Marzo","Abril","Mayo","Junio","Julio","Agosto","Septiembre","Octubre","Noviembre","Diciembre"},MONTH(F2330))))</f>
        <v>Septiembre</v>
      </c>
      <c r="N2330" s="18" t="str">
        <f t="shared" si="110"/>
        <v>Septiembre|259</v>
      </c>
    </row>
    <row r="2331" spans="1:14" ht="14.5" x14ac:dyDescent="0.25">
      <c r="A2331" s="19">
        <v>35</v>
      </c>
      <c r="B2331" s="18" t="s">
        <v>42</v>
      </c>
      <c r="C2331" s="18" t="s">
        <v>99</v>
      </c>
      <c r="D2331" s="18" t="s">
        <v>2685</v>
      </c>
      <c r="E2331" s="18" t="s">
        <v>2882</v>
      </c>
      <c r="F2331" s="101">
        <v>46268.482638888891</v>
      </c>
      <c r="G2331" s="101">
        <v>46270.739583333336</v>
      </c>
      <c r="H2331" s="18" t="s">
        <v>507</v>
      </c>
      <c r="I2331" s="18" t="s">
        <v>508</v>
      </c>
      <c r="J2331" s="18"/>
      <c r="K2331" s="21">
        <f t="shared" si="108"/>
        <v>54.166666666686069</v>
      </c>
      <c r="L2331" s="19">
        <f t="shared" si="109"/>
        <v>259</v>
      </c>
      <c r="M2331" s="18" t="str">
        <f>IF(I2331&lt;&gt;"Sí","",IF(YEAR(F2331)&lt;&gt;2026,"",INDEX({"Enero","Febrero","Marzo","Abril","Mayo","Junio","Julio","Agosto","Septiembre","Octubre","Noviembre","Diciembre"},MONTH(F2331))))</f>
        <v>Septiembre</v>
      </c>
      <c r="N2331" s="18" t="str">
        <f t="shared" si="110"/>
        <v>Septiembre|259</v>
      </c>
    </row>
    <row r="2332" spans="1:14" ht="14.5" x14ac:dyDescent="0.25">
      <c r="A2332" s="19">
        <v>35</v>
      </c>
      <c r="B2332" s="18" t="s">
        <v>42</v>
      </c>
      <c r="C2332" s="18" t="s">
        <v>99</v>
      </c>
      <c r="D2332" s="18" t="s">
        <v>2685</v>
      </c>
      <c r="E2332" s="18" t="s">
        <v>2883</v>
      </c>
      <c r="F2332" s="101">
        <v>46268.482638888891</v>
      </c>
      <c r="G2332" s="101">
        <v>46270.739583333336</v>
      </c>
      <c r="H2332" s="18" t="s">
        <v>507</v>
      </c>
      <c r="I2332" s="18" t="s">
        <v>508</v>
      </c>
      <c r="J2332" s="18"/>
      <c r="K2332" s="21">
        <f t="shared" si="108"/>
        <v>54.166666666686069</v>
      </c>
      <c r="L2332" s="19">
        <f t="shared" si="109"/>
        <v>259</v>
      </c>
      <c r="M2332" s="18" t="str">
        <f>IF(I2332&lt;&gt;"Sí","",IF(YEAR(F2332)&lt;&gt;2026,"",INDEX({"Enero","Febrero","Marzo","Abril","Mayo","Junio","Julio","Agosto","Septiembre","Octubre","Noviembre","Diciembre"},MONTH(F2332))))</f>
        <v>Septiembre</v>
      </c>
      <c r="N2332" s="18" t="str">
        <f t="shared" si="110"/>
        <v>Septiembre|259</v>
      </c>
    </row>
    <row r="2333" spans="1:14" ht="14.5" x14ac:dyDescent="0.25">
      <c r="A2333" s="19">
        <v>35</v>
      </c>
      <c r="B2333" s="18" t="s">
        <v>42</v>
      </c>
      <c r="C2333" s="18" t="s">
        <v>99</v>
      </c>
      <c r="D2333" s="18" t="s">
        <v>2685</v>
      </c>
      <c r="E2333" s="18" t="s">
        <v>2884</v>
      </c>
      <c r="F2333" s="101">
        <v>46268.482638888891</v>
      </c>
      <c r="G2333" s="101">
        <v>46270.739583333336</v>
      </c>
      <c r="H2333" s="18" t="s">
        <v>507</v>
      </c>
      <c r="I2333" s="18" t="s">
        <v>508</v>
      </c>
      <c r="J2333" s="18"/>
      <c r="K2333" s="21">
        <f t="shared" si="108"/>
        <v>54.166666666686069</v>
      </c>
      <c r="L2333" s="19">
        <f t="shared" si="109"/>
        <v>259</v>
      </c>
      <c r="M2333" s="18" t="str">
        <f>IF(I2333&lt;&gt;"Sí","",IF(YEAR(F2333)&lt;&gt;2026,"",INDEX({"Enero","Febrero","Marzo","Abril","Mayo","Junio","Julio","Agosto","Septiembre","Octubre","Noviembre","Diciembre"},MONTH(F2333))))</f>
        <v>Septiembre</v>
      </c>
      <c r="N2333" s="18" t="str">
        <f t="shared" si="110"/>
        <v>Septiembre|259</v>
      </c>
    </row>
    <row r="2334" spans="1:14" ht="14.5" x14ac:dyDescent="0.25">
      <c r="A2334" s="19">
        <v>35</v>
      </c>
      <c r="B2334" s="18" t="s">
        <v>42</v>
      </c>
      <c r="C2334" s="18" t="s">
        <v>99</v>
      </c>
      <c r="D2334" s="18" t="s">
        <v>2685</v>
      </c>
      <c r="E2334" s="18" t="s">
        <v>2885</v>
      </c>
      <c r="F2334" s="101">
        <v>46268.482638888891</v>
      </c>
      <c r="G2334" s="101">
        <v>46270.739583333336</v>
      </c>
      <c r="H2334" s="18" t="s">
        <v>507</v>
      </c>
      <c r="I2334" s="18" t="s">
        <v>508</v>
      </c>
      <c r="J2334" s="18"/>
      <c r="K2334" s="21">
        <f t="shared" si="108"/>
        <v>54.166666666686069</v>
      </c>
      <c r="L2334" s="19">
        <f t="shared" si="109"/>
        <v>259</v>
      </c>
      <c r="M2334" s="18" t="str">
        <f>IF(I2334&lt;&gt;"Sí","",IF(YEAR(F2334)&lt;&gt;2026,"",INDEX({"Enero","Febrero","Marzo","Abril","Mayo","Junio","Julio","Agosto","Septiembre","Octubre","Noviembre","Diciembre"},MONTH(F2334))))</f>
        <v>Septiembre</v>
      </c>
      <c r="N2334" s="18" t="str">
        <f t="shared" si="110"/>
        <v>Septiembre|259</v>
      </c>
    </row>
    <row r="2335" spans="1:14" ht="14.5" x14ac:dyDescent="0.25">
      <c r="A2335" s="19">
        <v>35</v>
      </c>
      <c r="B2335" s="18" t="s">
        <v>42</v>
      </c>
      <c r="C2335" s="18" t="s">
        <v>99</v>
      </c>
      <c r="D2335" s="18" t="s">
        <v>2685</v>
      </c>
      <c r="E2335" s="18" t="s">
        <v>2886</v>
      </c>
      <c r="F2335" s="101">
        <v>46268.482638888891</v>
      </c>
      <c r="G2335" s="101">
        <v>46270.739583333336</v>
      </c>
      <c r="H2335" s="18" t="s">
        <v>507</v>
      </c>
      <c r="I2335" s="18" t="s">
        <v>508</v>
      </c>
      <c r="J2335" s="18"/>
      <c r="K2335" s="21">
        <f t="shared" si="108"/>
        <v>54.166666666686069</v>
      </c>
      <c r="L2335" s="19">
        <f t="shared" si="109"/>
        <v>259</v>
      </c>
      <c r="M2335" s="18" t="str">
        <f>IF(I2335&lt;&gt;"Sí","",IF(YEAR(F2335)&lt;&gt;2026,"",INDEX({"Enero","Febrero","Marzo","Abril","Mayo","Junio","Julio","Agosto","Septiembre","Octubre","Noviembre","Diciembre"},MONTH(F2335))))</f>
        <v>Septiembre</v>
      </c>
      <c r="N2335" s="18" t="str">
        <f t="shared" si="110"/>
        <v>Septiembre|259</v>
      </c>
    </row>
    <row r="2336" spans="1:14" ht="14.5" x14ac:dyDescent="0.25">
      <c r="A2336" s="19">
        <v>35</v>
      </c>
      <c r="B2336" s="18" t="s">
        <v>42</v>
      </c>
      <c r="C2336" s="18" t="s">
        <v>99</v>
      </c>
      <c r="D2336" s="18" t="s">
        <v>2685</v>
      </c>
      <c r="E2336" s="18" t="s">
        <v>2887</v>
      </c>
      <c r="F2336" s="101">
        <v>46268.482638888891</v>
      </c>
      <c r="G2336" s="101">
        <v>46270.739583333336</v>
      </c>
      <c r="H2336" s="18" t="s">
        <v>507</v>
      </c>
      <c r="I2336" s="18" t="s">
        <v>508</v>
      </c>
      <c r="J2336" s="18"/>
      <c r="K2336" s="21">
        <f t="shared" si="108"/>
        <v>54.166666666686069</v>
      </c>
      <c r="L2336" s="19">
        <f t="shared" si="109"/>
        <v>259</v>
      </c>
      <c r="M2336" s="18" t="str">
        <f>IF(I2336&lt;&gt;"Sí","",IF(YEAR(F2336)&lt;&gt;2026,"",INDEX({"Enero","Febrero","Marzo","Abril","Mayo","Junio","Julio","Agosto","Septiembre","Octubre","Noviembre","Diciembre"},MONTH(F2336))))</f>
        <v>Septiembre</v>
      </c>
      <c r="N2336" s="18" t="str">
        <f t="shared" si="110"/>
        <v>Septiembre|259</v>
      </c>
    </row>
    <row r="2337" spans="1:14" ht="14.5" x14ac:dyDescent="0.25">
      <c r="A2337" s="19">
        <v>35</v>
      </c>
      <c r="B2337" s="18" t="s">
        <v>42</v>
      </c>
      <c r="C2337" s="18" t="s">
        <v>99</v>
      </c>
      <c r="D2337" s="18" t="s">
        <v>2685</v>
      </c>
      <c r="E2337" s="18" t="s">
        <v>2888</v>
      </c>
      <c r="F2337" s="101">
        <v>46268.482638888891</v>
      </c>
      <c r="G2337" s="101">
        <v>46270.739583333336</v>
      </c>
      <c r="H2337" s="18" t="s">
        <v>507</v>
      </c>
      <c r="I2337" s="18" t="s">
        <v>508</v>
      </c>
      <c r="J2337" s="18"/>
      <c r="K2337" s="21">
        <f t="shared" si="108"/>
        <v>54.166666666686069</v>
      </c>
      <c r="L2337" s="19">
        <f t="shared" si="109"/>
        <v>259</v>
      </c>
      <c r="M2337" s="18" t="str">
        <f>IF(I2337&lt;&gt;"Sí","",IF(YEAR(F2337)&lt;&gt;2026,"",INDEX({"Enero","Febrero","Marzo","Abril","Mayo","Junio","Julio","Agosto","Septiembre","Octubre","Noviembre","Diciembre"},MONTH(F2337))))</f>
        <v>Septiembre</v>
      </c>
      <c r="N2337" s="18" t="str">
        <f t="shared" si="110"/>
        <v>Septiembre|259</v>
      </c>
    </row>
    <row r="2338" spans="1:14" ht="14.5" x14ac:dyDescent="0.25">
      <c r="A2338" s="19">
        <v>35</v>
      </c>
      <c r="B2338" s="18" t="s">
        <v>42</v>
      </c>
      <c r="C2338" s="18" t="s">
        <v>99</v>
      </c>
      <c r="D2338" s="18" t="s">
        <v>2685</v>
      </c>
      <c r="E2338" s="18" t="s">
        <v>2889</v>
      </c>
      <c r="F2338" s="101">
        <v>46268.482638888891</v>
      </c>
      <c r="G2338" s="101">
        <v>46270.739583333336</v>
      </c>
      <c r="H2338" s="18" t="s">
        <v>507</v>
      </c>
      <c r="I2338" s="18" t="s">
        <v>508</v>
      </c>
      <c r="J2338" s="18"/>
      <c r="K2338" s="21">
        <f t="shared" si="108"/>
        <v>54.166666666686069</v>
      </c>
      <c r="L2338" s="19">
        <f t="shared" si="109"/>
        <v>259</v>
      </c>
      <c r="M2338" s="18" t="str">
        <f>IF(I2338&lt;&gt;"Sí","",IF(YEAR(F2338)&lt;&gt;2026,"",INDEX({"Enero","Febrero","Marzo","Abril","Mayo","Junio","Julio","Agosto","Septiembre","Octubre","Noviembre","Diciembre"},MONTH(F2338))))</f>
        <v>Septiembre</v>
      </c>
      <c r="N2338" s="18" t="str">
        <f t="shared" si="110"/>
        <v>Septiembre|259</v>
      </c>
    </row>
    <row r="2339" spans="1:14" ht="14.5" x14ac:dyDescent="0.25">
      <c r="A2339" s="19">
        <v>35</v>
      </c>
      <c r="B2339" s="18" t="s">
        <v>42</v>
      </c>
      <c r="C2339" s="18" t="s">
        <v>99</v>
      </c>
      <c r="D2339" s="18" t="s">
        <v>2685</v>
      </c>
      <c r="E2339" s="18" t="s">
        <v>2890</v>
      </c>
      <c r="F2339" s="101">
        <v>46268.482638888891</v>
      </c>
      <c r="G2339" s="101">
        <v>46270.739583333336</v>
      </c>
      <c r="H2339" s="18" t="s">
        <v>507</v>
      </c>
      <c r="I2339" s="18" t="s">
        <v>508</v>
      </c>
      <c r="J2339" s="18"/>
      <c r="K2339" s="21">
        <f t="shared" si="108"/>
        <v>54.166666666686069</v>
      </c>
      <c r="L2339" s="19">
        <f t="shared" si="109"/>
        <v>259</v>
      </c>
      <c r="M2339" s="18" t="str">
        <f>IF(I2339&lt;&gt;"Sí","",IF(YEAR(F2339)&lt;&gt;2026,"",INDEX({"Enero","Febrero","Marzo","Abril","Mayo","Junio","Julio","Agosto","Septiembre","Octubre","Noviembre","Diciembre"},MONTH(F2339))))</f>
        <v>Septiembre</v>
      </c>
      <c r="N2339" s="18" t="str">
        <f t="shared" si="110"/>
        <v>Septiembre|259</v>
      </c>
    </row>
    <row r="2340" spans="1:14" ht="14.5" x14ac:dyDescent="0.25">
      <c r="A2340" s="19">
        <v>35</v>
      </c>
      <c r="B2340" s="18" t="s">
        <v>42</v>
      </c>
      <c r="C2340" s="18" t="s">
        <v>99</v>
      </c>
      <c r="D2340" s="18" t="s">
        <v>2685</v>
      </c>
      <c r="E2340" s="18" t="s">
        <v>2891</v>
      </c>
      <c r="F2340" s="101">
        <v>46268.482638888891</v>
      </c>
      <c r="G2340" s="101">
        <v>46270.663194444445</v>
      </c>
      <c r="H2340" s="18" t="s">
        <v>507</v>
      </c>
      <c r="I2340" s="18" t="s">
        <v>508</v>
      </c>
      <c r="J2340" s="18"/>
      <c r="K2340" s="21">
        <f t="shared" si="108"/>
        <v>52.333333333313931</v>
      </c>
      <c r="L2340" s="19">
        <f t="shared" si="109"/>
        <v>259</v>
      </c>
      <c r="M2340" s="18" t="str">
        <f>IF(I2340&lt;&gt;"Sí","",IF(YEAR(F2340)&lt;&gt;2026,"",INDEX({"Enero","Febrero","Marzo","Abril","Mayo","Junio","Julio","Agosto","Septiembre","Octubre","Noviembre","Diciembre"},MONTH(F2340))))</f>
        <v>Septiembre</v>
      </c>
      <c r="N2340" s="18" t="str">
        <f t="shared" si="110"/>
        <v>Septiembre|259</v>
      </c>
    </row>
    <row r="2341" spans="1:14" ht="14.5" x14ac:dyDescent="0.25">
      <c r="A2341" s="19">
        <v>35</v>
      </c>
      <c r="B2341" s="18" t="s">
        <v>42</v>
      </c>
      <c r="C2341" s="18" t="s">
        <v>99</v>
      </c>
      <c r="D2341" s="18" t="s">
        <v>2685</v>
      </c>
      <c r="E2341" s="18" t="s">
        <v>2892</v>
      </c>
      <c r="F2341" s="101">
        <v>46268.482638888891</v>
      </c>
      <c r="G2341" s="101">
        <v>46270.663194444445</v>
      </c>
      <c r="H2341" s="18" t="s">
        <v>507</v>
      </c>
      <c r="I2341" s="18" t="s">
        <v>508</v>
      </c>
      <c r="J2341" s="18"/>
      <c r="K2341" s="21">
        <f t="shared" si="108"/>
        <v>52.333333333313931</v>
      </c>
      <c r="L2341" s="19">
        <f t="shared" si="109"/>
        <v>259</v>
      </c>
      <c r="M2341" s="18" t="str">
        <f>IF(I2341&lt;&gt;"Sí","",IF(YEAR(F2341)&lt;&gt;2026,"",INDEX({"Enero","Febrero","Marzo","Abril","Mayo","Junio","Julio","Agosto","Septiembre","Octubre","Noviembre","Diciembre"},MONTH(F2341))))</f>
        <v>Septiembre</v>
      </c>
      <c r="N2341" s="18" t="str">
        <f t="shared" si="110"/>
        <v>Septiembre|259</v>
      </c>
    </row>
    <row r="2342" spans="1:14" ht="14.5" x14ac:dyDescent="0.25">
      <c r="A2342" s="19">
        <v>35</v>
      </c>
      <c r="B2342" s="18" t="s">
        <v>42</v>
      </c>
      <c r="C2342" s="18" t="s">
        <v>99</v>
      </c>
      <c r="D2342" s="18" t="s">
        <v>2685</v>
      </c>
      <c r="E2342" s="18" t="s">
        <v>2893</v>
      </c>
      <c r="F2342" s="101">
        <v>46268.482638888891</v>
      </c>
      <c r="G2342" s="101">
        <v>46270.663194444445</v>
      </c>
      <c r="H2342" s="18" t="s">
        <v>507</v>
      </c>
      <c r="I2342" s="18" t="s">
        <v>508</v>
      </c>
      <c r="J2342" s="18"/>
      <c r="K2342" s="21">
        <f t="shared" si="108"/>
        <v>52.333333333313931</v>
      </c>
      <c r="L2342" s="19">
        <f t="shared" si="109"/>
        <v>259</v>
      </c>
      <c r="M2342" s="18" t="str">
        <f>IF(I2342&lt;&gt;"Sí","",IF(YEAR(F2342)&lt;&gt;2026,"",INDEX({"Enero","Febrero","Marzo","Abril","Mayo","Junio","Julio","Agosto","Septiembre","Octubre","Noviembre","Diciembre"},MONTH(F2342))))</f>
        <v>Septiembre</v>
      </c>
      <c r="N2342" s="18" t="str">
        <f t="shared" si="110"/>
        <v>Septiembre|259</v>
      </c>
    </row>
    <row r="2343" spans="1:14" ht="14.5" x14ac:dyDescent="0.25">
      <c r="A2343" s="19">
        <v>35</v>
      </c>
      <c r="B2343" s="18" t="s">
        <v>42</v>
      </c>
      <c r="C2343" s="18" t="s">
        <v>99</v>
      </c>
      <c r="D2343" s="18" t="s">
        <v>2685</v>
      </c>
      <c r="E2343" s="18" t="s">
        <v>2894</v>
      </c>
      <c r="F2343" s="101">
        <v>46268.482638888891</v>
      </c>
      <c r="G2343" s="101">
        <v>46270.663194444445</v>
      </c>
      <c r="H2343" s="18" t="s">
        <v>507</v>
      </c>
      <c r="I2343" s="18" t="s">
        <v>508</v>
      </c>
      <c r="J2343" s="18"/>
      <c r="K2343" s="21">
        <f t="shared" si="108"/>
        <v>52.333333333313931</v>
      </c>
      <c r="L2343" s="19">
        <f t="shared" si="109"/>
        <v>259</v>
      </c>
      <c r="M2343" s="18" t="str">
        <f>IF(I2343&lt;&gt;"Sí","",IF(YEAR(F2343)&lt;&gt;2026,"",INDEX({"Enero","Febrero","Marzo","Abril","Mayo","Junio","Julio","Agosto","Septiembre","Octubre","Noviembre","Diciembre"},MONTH(F2343))))</f>
        <v>Septiembre</v>
      </c>
      <c r="N2343" s="18" t="str">
        <f t="shared" si="110"/>
        <v>Septiembre|259</v>
      </c>
    </row>
    <row r="2344" spans="1:14" ht="14.5" x14ac:dyDescent="0.25">
      <c r="A2344" s="19">
        <v>35</v>
      </c>
      <c r="B2344" s="18" t="s">
        <v>42</v>
      </c>
      <c r="C2344" s="18" t="s">
        <v>99</v>
      </c>
      <c r="D2344" s="18" t="s">
        <v>2685</v>
      </c>
      <c r="E2344" s="18" t="s">
        <v>2895</v>
      </c>
      <c r="F2344" s="101">
        <v>46268.482638888891</v>
      </c>
      <c r="G2344" s="101">
        <v>46270.663194444445</v>
      </c>
      <c r="H2344" s="18" t="s">
        <v>507</v>
      </c>
      <c r="I2344" s="18" t="s">
        <v>508</v>
      </c>
      <c r="J2344" s="18"/>
      <c r="K2344" s="21">
        <f t="shared" si="108"/>
        <v>52.333333333313931</v>
      </c>
      <c r="L2344" s="19">
        <f t="shared" si="109"/>
        <v>259</v>
      </c>
      <c r="M2344" s="18" t="str">
        <f>IF(I2344&lt;&gt;"Sí","",IF(YEAR(F2344)&lt;&gt;2026,"",INDEX({"Enero","Febrero","Marzo","Abril","Mayo","Junio","Julio","Agosto","Septiembre","Octubre","Noviembre","Diciembre"},MONTH(F2344))))</f>
        <v>Septiembre</v>
      </c>
      <c r="N2344" s="18" t="str">
        <f t="shared" si="110"/>
        <v>Septiembre|259</v>
      </c>
    </row>
    <row r="2345" spans="1:14" ht="14.5" x14ac:dyDescent="0.25">
      <c r="A2345" s="19">
        <v>35</v>
      </c>
      <c r="B2345" s="18" t="s">
        <v>42</v>
      </c>
      <c r="C2345" s="18" t="s">
        <v>99</v>
      </c>
      <c r="D2345" s="18" t="s">
        <v>2685</v>
      </c>
      <c r="E2345" s="18" t="s">
        <v>2896</v>
      </c>
      <c r="F2345" s="101">
        <v>46268.482638888891</v>
      </c>
      <c r="G2345" s="101">
        <v>46270.663194444445</v>
      </c>
      <c r="H2345" s="18" t="s">
        <v>507</v>
      </c>
      <c r="I2345" s="18" t="s">
        <v>508</v>
      </c>
      <c r="J2345" s="18"/>
      <c r="K2345" s="21">
        <f t="shared" si="108"/>
        <v>52.333333333313931</v>
      </c>
      <c r="L2345" s="19">
        <f t="shared" si="109"/>
        <v>259</v>
      </c>
      <c r="M2345" s="18" t="str">
        <f>IF(I2345&lt;&gt;"Sí","",IF(YEAR(F2345)&lt;&gt;2026,"",INDEX({"Enero","Febrero","Marzo","Abril","Mayo","Junio","Julio","Agosto","Septiembre","Octubre","Noviembre","Diciembre"},MONTH(F2345))))</f>
        <v>Septiembre</v>
      </c>
      <c r="N2345" s="18" t="str">
        <f t="shared" si="110"/>
        <v>Septiembre|259</v>
      </c>
    </row>
    <row r="2346" spans="1:14" ht="14.5" x14ac:dyDescent="0.25">
      <c r="A2346" s="19">
        <v>35</v>
      </c>
      <c r="B2346" s="18" t="s">
        <v>42</v>
      </c>
      <c r="C2346" s="18" t="s">
        <v>99</v>
      </c>
      <c r="D2346" s="18" t="s">
        <v>2685</v>
      </c>
      <c r="E2346" s="18" t="s">
        <v>2897</v>
      </c>
      <c r="F2346" s="101">
        <v>46268.482638888891</v>
      </c>
      <c r="G2346" s="101">
        <v>46270.243055555555</v>
      </c>
      <c r="H2346" s="18" t="s">
        <v>507</v>
      </c>
      <c r="I2346" s="18" t="s">
        <v>508</v>
      </c>
      <c r="J2346" s="18"/>
      <c r="K2346" s="21">
        <f t="shared" si="108"/>
        <v>42.249999999941792</v>
      </c>
      <c r="L2346" s="19">
        <f t="shared" si="109"/>
        <v>259</v>
      </c>
      <c r="M2346" s="18" t="str">
        <f>IF(I2346&lt;&gt;"Sí","",IF(YEAR(F2346)&lt;&gt;2026,"",INDEX({"Enero","Febrero","Marzo","Abril","Mayo","Junio","Julio","Agosto","Septiembre","Octubre","Noviembre","Diciembre"},MONTH(F2346))))</f>
        <v>Septiembre</v>
      </c>
      <c r="N2346" s="18" t="str">
        <f t="shared" si="110"/>
        <v>Septiembre|259</v>
      </c>
    </row>
    <row r="2347" spans="1:14" ht="14.5" x14ac:dyDescent="0.25">
      <c r="A2347" s="19">
        <v>35</v>
      </c>
      <c r="B2347" s="18" t="s">
        <v>42</v>
      </c>
      <c r="C2347" s="18" t="s">
        <v>99</v>
      </c>
      <c r="D2347" s="18" t="s">
        <v>2685</v>
      </c>
      <c r="E2347" s="18" t="s">
        <v>2898</v>
      </c>
      <c r="F2347" s="101">
        <v>46268.482638888891</v>
      </c>
      <c r="G2347" s="101">
        <v>46270.739583333336</v>
      </c>
      <c r="H2347" s="18" t="s">
        <v>507</v>
      </c>
      <c r="I2347" s="18" t="s">
        <v>508</v>
      </c>
      <c r="J2347" s="18"/>
      <c r="K2347" s="21">
        <f t="shared" si="108"/>
        <v>54.166666666686069</v>
      </c>
      <c r="L2347" s="19">
        <f t="shared" si="109"/>
        <v>259</v>
      </c>
      <c r="M2347" s="18" t="str">
        <f>IF(I2347&lt;&gt;"Sí","",IF(YEAR(F2347)&lt;&gt;2026,"",INDEX({"Enero","Febrero","Marzo","Abril","Mayo","Junio","Julio","Agosto","Septiembre","Octubre","Noviembre","Diciembre"},MONTH(F2347))))</f>
        <v>Septiembre</v>
      </c>
      <c r="N2347" s="18" t="str">
        <f t="shared" si="110"/>
        <v>Septiembre|259</v>
      </c>
    </row>
    <row r="2348" spans="1:14" ht="14.5" x14ac:dyDescent="0.25">
      <c r="A2348" s="19">
        <v>35</v>
      </c>
      <c r="B2348" s="18" t="s">
        <v>42</v>
      </c>
      <c r="C2348" s="18" t="s">
        <v>99</v>
      </c>
      <c r="D2348" s="18" t="s">
        <v>2685</v>
      </c>
      <c r="E2348" s="18" t="s">
        <v>2899</v>
      </c>
      <c r="F2348" s="101">
        <v>46268.482638888891</v>
      </c>
      <c r="G2348" s="101">
        <v>46270.243055555555</v>
      </c>
      <c r="H2348" s="18" t="s">
        <v>507</v>
      </c>
      <c r="I2348" s="18" t="s">
        <v>508</v>
      </c>
      <c r="J2348" s="18"/>
      <c r="K2348" s="21">
        <f t="shared" si="108"/>
        <v>42.249999999941792</v>
      </c>
      <c r="L2348" s="19">
        <f t="shared" si="109"/>
        <v>259</v>
      </c>
      <c r="M2348" s="18" t="str">
        <f>IF(I2348&lt;&gt;"Sí","",IF(YEAR(F2348)&lt;&gt;2026,"",INDEX({"Enero","Febrero","Marzo","Abril","Mayo","Junio","Julio","Agosto","Septiembre","Octubre","Noviembre","Diciembre"},MONTH(F2348))))</f>
        <v>Septiembre</v>
      </c>
      <c r="N2348" s="18" t="str">
        <f t="shared" si="110"/>
        <v>Septiembre|259</v>
      </c>
    </row>
    <row r="2349" spans="1:14" ht="14.5" x14ac:dyDescent="0.25">
      <c r="A2349" s="19">
        <v>35</v>
      </c>
      <c r="B2349" s="18" t="s">
        <v>42</v>
      </c>
      <c r="C2349" s="18" t="s">
        <v>99</v>
      </c>
      <c r="D2349" s="18" t="s">
        <v>2685</v>
      </c>
      <c r="E2349" s="18" t="s">
        <v>2900</v>
      </c>
      <c r="F2349" s="101">
        <v>46268.482638888891</v>
      </c>
      <c r="G2349" s="101">
        <v>46270.243055555555</v>
      </c>
      <c r="H2349" s="18" t="s">
        <v>507</v>
      </c>
      <c r="I2349" s="18" t="s">
        <v>508</v>
      </c>
      <c r="J2349" s="18"/>
      <c r="K2349" s="21">
        <f t="shared" si="108"/>
        <v>42.249999999941792</v>
      </c>
      <c r="L2349" s="19">
        <f t="shared" si="109"/>
        <v>259</v>
      </c>
      <c r="M2349" s="18" t="str">
        <f>IF(I2349&lt;&gt;"Sí","",IF(YEAR(F2349)&lt;&gt;2026,"",INDEX({"Enero","Febrero","Marzo","Abril","Mayo","Junio","Julio","Agosto","Septiembre","Octubre","Noviembre","Diciembre"},MONTH(F2349))))</f>
        <v>Septiembre</v>
      </c>
      <c r="N2349" s="18" t="str">
        <f t="shared" si="110"/>
        <v>Septiembre|259</v>
      </c>
    </row>
    <row r="2350" spans="1:14" ht="14.5" x14ac:dyDescent="0.25">
      <c r="A2350" s="19">
        <v>35</v>
      </c>
      <c r="B2350" s="18" t="s">
        <v>42</v>
      </c>
      <c r="C2350" s="18" t="s">
        <v>99</v>
      </c>
      <c r="D2350" s="18" t="s">
        <v>2685</v>
      </c>
      <c r="E2350" s="18" t="s">
        <v>2901</v>
      </c>
      <c r="F2350" s="101">
        <v>46268.482638888891</v>
      </c>
      <c r="G2350" s="101">
        <v>46270.243055555555</v>
      </c>
      <c r="H2350" s="18" t="s">
        <v>507</v>
      </c>
      <c r="I2350" s="18" t="s">
        <v>508</v>
      </c>
      <c r="J2350" s="18"/>
      <c r="K2350" s="21">
        <f t="shared" si="108"/>
        <v>42.249999999941792</v>
      </c>
      <c r="L2350" s="19">
        <f t="shared" si="109"/>
        <v>259</v>
      </c>
      <c r="M2350" s="18" t="str">
        <f>IF(I2350&lt;&gt;"Sí","",IF(YEAR(F2350)&lt;&gt;2026,"",INDEX({"Enero","Febrero","Marzo","Abril","Mayo","Junio","Julio","Agosto","Septiembre","Octubre","Noviembre","Diciembre"},MONTH(F2350))))</f>
        <v>Septiembre</v>
      </c>
      <c r="N2350" s="18" t="str">
        <f t="shared" si="110"/>
        <v>Septiembre|259</v>
      </c>
    </row>
    <row r="2351" spans="1:14" ht="14.5" x14ac:dyDescent="0.25">
      <c r="A2351" s="19">
        <v>35</v>
      </c>
      <c r="B2351" s="18" t="s">
        <v>42</v>
      </c>
      <c r="C2351" s="18" t="s">
        <v>99</v>
      </c>
      <c r="D2351" s="18" t="s">
        <v>2685</v>
      </c>
      <c r="E2351" s="18" t="s">
        <v>2902</v>
      </c>
      <c r="F2351" s="101">
        <v>46268.482638888891</v>
      </c>
      <c r="G2351" s="101">
        <v>46270.243055555555</v>
      </c>
      <c r="H2351" s="18" t="s">
        <v>507</v>
      </c>
      <c r="I2351" s="18" t="s">
        <v>508</v>
      </c>
      <c r="J2351" s="18"/>
      <c r="K2351" s="21">
        <f t="shared" si="108"/>
        <v>42.249999999941792</v>
      </c>
      <c r="L2351" s="19">
        <f t="shared" si="109"/>
        <v>259</v>
      </c>
      <c r="M2351" s="18" t="str">
        <f>IF(I2351&lt;&gt;"Sí","",IF(YEAR(F2351)&lt;&gt;2026,"",INDEX({"Enero","Febrero","Marzo","Abril","Mayo","Junio","Julio","Agosto","Septiembre","Octubre","Noviembre","Diciembre"},MONTH(F2351))))</f>
        <v>Septiembre</v>
      </c>
      <c r="N2351" s="18" t="str">
        <f t="shared" si="110"/>
        <v>Septiembre|259</v>
      </c>
    </row>
    <row r="2352" spans="1:14" ht="14.5" x14ac:dyDescent="0.25">
      <c r="A2352" s="19">
        <v>35</v>
      </c>
      <c r="B2352" s="18" t="s">
        <v>42</v>
      </c>
      <c r="C2352" s="18" t="s">
        <v>99</v>
      </c>
      <c r="D2352" s="18" t="s">
        <v>2685</v>
      </c>
      <c r="E2352" s="18" t="s">
        <v>2903</v>
      </c>
      <c r="F2352" s="101">
        <v>46268.482638888891</v>
      </c>
      <c r="G2352" s="101">
        <v>46270.243055555555</v>
      </c>
      <c r="H2352" s="18" t="s">
        <v>507</v>
      </c>
      <c r="I2352" s="18" t="s">
        <v>508</v>
      </c>
      <c r="J2352" s="18"/>
      <c r="K2352" s="21">
        <f t="shared" si="108"/>
        <v>42.249999999941792</v>
      </c>
      <c r="L2352" s="19">
        <f t="shared" si="109"/>
        <v>259</v>
      </c>
      <c r="M2352" s="18" t="str">
        <f>IF(I2352&lt;&gt;"Sí","",IF(YEAR(F2352)&lt;&gt;2026,"",INDEX({"Enero","Febrero","Marzo","Abril","Mayo","Junio","Julio","Agosto","Septiembre","Octubre","Noviembre","Diciembre"},MONTH(F2352))))</f>
        <v>Septiembre</v>
      </c>
      <c r="N2352" s="18" t="str">
        <f t="shared" si="110"/>
        <v>Septiembre|259</v>
      </c>
    </row>
    <row r="2353" spans="1:14" ht="14.5" x14ac:dyDescent="0.25">
      <c r="A2353" s="19">
        <v>35</v>
      </c>
      <c r="B2353" s="18" t="s">
        <v>42</v>
      </c>
      <c r="C2353" s="18" t="s">
        <v>99</v>
      </c>
      <c r="D2353" s="18" t="s">
        <v>2685</v>
      </c>
      <c r="E2353" s="18" t="s">
        <v>2904</v>
      </c>
      <c r="F2353" s="101">
        <v>46268.482638888891</v>
      </c>
      <c r="G2353" s="101">
        <v>46270.243055555555</v>
      </c>
      <c r="H2353" s="18" t="s">
        <v>507</v>
      </c>
      <c r="I2353" s="18" t="s">
        <v>508</v>
      </c>
      <c r="J2353" s="18"/>
      <c r="K2353" s="21">
        <f t="shared" si="108"/>
        <v>42.249999999941792</v>
      </c>
      <c r="L2353" s="19">
        <f t="shared" si="109"/>
        <v>259</v>
      </c>
      <c r="M2353" s="18" t="str">
        <f>IF(I2353&lt;&gt;"Sí","",IF(YEAR(F2353)&lt;&gt;2026,"",INDEX({"Enero","Febrero","Marzo","Abril","Mayo","Junio","Julio","Agosto","Septiembre","Octubre","Noviembre","Diciembre"},MONTH(F2353))))</f>
        <v>Septiembre</v>
      </c>
      <c r="N2353" s="18" t="str">
        <f t="shared" si="110"/>
        <v>Septiembre|259</v>
      </c>
    </row>
    <row r="2354" spans="1:14" ht="14.5" x14ac:dyDescent="0.25">
      <c r="A2354" s="19">
        <v>35</v>
      </c>
      <c r="B2354" s="18" t="s">
        <v>42</v>
      </c>
      <c r="C2354" s="18" t="s">
        <v>99</v>
      </c>
      <c r="D2354" s="18" t="s">
        <v>2685</v>
      </c>
      <c r="E2354" s="18" t="s">
        <v>2905</v>
      </c>
      <c r="F2354" s="101">
        <v>46268.482638888891</v>
      </c>
      <c r="G2354" s="101">
        <v>46270.243055555555</v>
      </c>
      <c r="H2354" s="18" t="s">
        <v>507</v>
      </c>
      <c r="I2354" s="18" t="s">
        <v>508</v>
      </c>
      <c r="J2354" s="18"/>
      <c r="K2354" s="21">
        <f t="shared" si="108"/>
        <v>42.249999999941792</v>
      </c>
      <c r="L2354" s="19">
        <f t="shared" si="109"/>
        <v>259</v>
      </c>
      <c r="M2354" s="18" t="str">
        <f>IF(I2354&lt;&gt;"Sí","",IF(YEAR(F2354)&lt;&gt;2026,"",INDEX({"Enero","Febrero","Marzo","Abril","Mayo","Junio","Julio","Agosto","Septiembre","Octubre","Noviembre","Diciembre"},MONTH(F2354))))</f>
        <v>Septiembre</v>
      </c>
      <c r="N2354" s="18" t="str">
        <f t="shared" si="110"/>
        <v>Septiembre|259</v>
      </c>
    </row>
    <row r="2355" spans="1:14" ht="14.5" x14ac:dyDescent="0.25">
      <c r="A2355" s="19">
        <v>35</v>
      </c>
      <c r="B2355" s="18" t="s">
        <v>42</v>
      </c>
      <c r="C2355" s="18" t="s">
        <v>99</v>
      </c>
      <c r="D2355" s="18" t="s">
        <v>2685</v>
      </c>
      <c r="E2355" s="18" t="s">
        <v>2906</v>
      </c>
      <c r="F2355" s="101">
        <v>46268.482638888891</v>
      </c>
      <c r="G2355" s="101">
        <v>46270.243055555555</v>
      </c>
      <c r="H2355" s="18" t="s">
        <v>507</v>
      </c>
      <c r="I2355" s="18" t="s">
        <v>508</v>
      </c>
      <c r="J2355" s="18"/>
      <c r="K2355" s="21">
        <f t="shared" si="108"/>
        <v>42.249999999941792</v>
      </c>
      <c r="L2355" s="19">
        <f t="shared" si="109"/>
        <v>259</v>
      </c>
      <c r="M2355" s="18" t="str">
        <f>IF(I2355&lt;&gt;"Sí","",IF(YEAR(F2355)&lt;&gt;2026,"",INDEX({"Enero","Febrero","Marzo","Abril","Mayo","Junio","Julio","Agosto","Septiembre","Octubre","Noviembre","Diciembre"},MONTH(F2355))))</f>
        <v>Septiembre</v>
      </c>
      <c r="N2355" s="18" t="str">
        <f t="shared" si="110"/>
        <v>Septiembre|259</v>
      </c>
    </row>
    <row r="2356" spans="1:14" ht="14.5" x14ac:dyDescent="0.25">
      <c r="A2356" s="19">
        <v>35</v>
      </c>
      <c r="B2356" s="18" t="s">
        <v>42</v>
      </c>
      <c r="C2356" s="18" t="s">
        <v>99</v>
      </c>
      <c r="D2356" s="18" t="s">
        <v>2685</v>
      </c>
      <c r="E2356" s="18" t="s">
        <v>2907</v>
      </c>
      <c r="F2356" s="101">
        <v>46268.482638888891</v>
      </c>
      <c r="G2356" s="101">
        <v>46270.243055555555</v>
      </c>
      <c r="H2356" s="18" t="s">
        <v>507</v>
      </c>
      <c r="I2356" s="18" t="s">
        <v>508</v>
      </c>
      <c r="J2356" s="18"/>
      <c r="K2356" s="21">
        <f t="shared" si="108"/>
        <v>42.249999999941792</v>
      </c>
      <c r="L2356" s="19">
        <f t="shared" si="109"/>
        <v>259</v>
      </c>
      <c r="M2356" s="18" t="str">
        <f>IF(I2356&lt;&gt;"Sí","",IF(YEAR(F2356)&lt;&gt;2026,"",INDEX({"Enero","Febrero","Marzo","Abril","Mayo","Junio","Julio","Agosto","Septiembre","Octubre","Noviembre","Diciembre"},MONTH(F2356))))</f>
        <v>Septiembre</v>
      </c>
      <c r="N2356" s="18" t="str">
        <f t="shared" si="110"/>
        <v>Septiembre|259</v>
      </c>
    </row>
    <row r="2357" spans="1:14" ht="14.5" x14ac:dyDescent="0.25">
      <c r="A2357" s="19">
        <v>35</v>
      </c>
      <c r="B2357" s="18" t="s">
        <v>42</v>
      </c>
      <c r="C2357" s="18" t="s">
        <v>99</v>
      </c>
      <c r="D2357" s="18" t="s">
        <v>2685</v>
      </c>
      <c r="E2357" s="18" t="s">
        <v>2908</v>
      </c>
      <c r="F2357" s="101">
        <v>46268.482638888891</v>
      </c>
      <c r="G2357" s="101">
        <v>46270.243055555555</v>
      </c>
      <c r="H2357" s="18" t="s">
        <v>507</v>
      </c>
      <c r="I2357" s="18" t="s">
        <v>508</v>
      </c>
      <c r="J2357" s="18"/>
      <c r="K2357" s="21">
        <f t="shared" si="108"/>
        <v>42.249999999941792</v>
      </c>
      <c r="L2357" s="19">
        <f t="shared" si="109"/>
        <v>259</v>
      </c>
      <c r="M2357" s="18" t="str">
        <f>IF(I2357&lt;&gt;"Sí","",IF(YEAR(F2357)&lt;&gt;2026,"",INDEX({"Enero","Febrero","Marzo","Abril","Mayo","Junio","Julio","Agosto","Septiembre","Octubre","Noviembre","Diciembre"},MONTH(F2357))))</f>
        <v>Septiembre</v>
      </c>
      <c r="N2357" s="18" t="str">
        <f t="shared" si="110"/>
        <v>Septiembre|259</v>
      </c>
    </row>
    <row r="2358" spans="1:14" ht="14.5" x14ac:dyDescent="0.25">
      <c r="A2358" s="19">
        <v>35</v>
      </c>
      <c r="B2358" s="18" t="s">
        <v>42</v>
      </c>
      <c r="C2358" s="18" t="s">
        <v>99</v>
      </c>
      <c r="D2358" s="18" t="s">
        <v>2685</v>
      </c>
      <c r="E2358" s="18" t="s">
        <v>2909</v>
      </c>
      <c r="F2358" s="101">
        <v>46268.482638888891</v>
      </c>
      <c r="G2358" s="101">
        <v>46270.243055555555</v>
      </c>
      <c r="H2358" s="18" t="s">
        <v>507</v>
      </c>
      <c r="I2358" s="18" t="s">
        <v>508</v>
      </c>
      <c r="J2358" s="18"/>
      <c r="K2358" s="21">
        <f t="shared" si="108"/>
        <v>42.249999999941792</v>
      </c>
      <c r="L2358" s="19">
        <f t="shared" si="109"/>
        <v>259</v>
      </c>
      <c r="M2358" s="18" t="str">
        <f>IF(I2358&lt;&gt;"Sí","",IF(YEAR(F2358)&lt;&gt;2026,"",INDEX({"Enero","Febrero","Marzo","Abril","Mayo","Junio","Julio","Agosto","Septiembre","Octubre","Noviembre","Diciembre"},MONTH(F2358))))</f>
        <v>Septiembre</v>
      </c>
      <c r="N2358" s="18" t="str">
        <f t="shared" si="110"/>
        <v>Septiembre|259</v>
      </c>
    </row>
    <row r="2359" spans="1:14" ht="14.5" x14ac:dyDescent="0.25">
      <c r="A2359" s="19">
        <v>35</v>
      </c>
      <c r="B2359" s="18" t="s">
        <v>42</v>
      </c>
      <c r="C2359" s="18" t="s">
        <v>99</v>
      </c>
      <c r="D2359" s="18" t="s">
        <v>2685</v>
      </c>
      <c r="E2359" s="18" t="s">
        <v>2910</v>
      </c>
      <c r="F2359" s="101">
        <v>46268.482638888891</v>
      </c>
      <c r="G2359" s="101">
        <v>46270.243055555555</v>
      </c>
      <c r="H2359" s="18" t="s">
        <v>507</v>
      </c>
      <c r="I2359" s="18" t="s">
        <v>508</v>
      </c>
      <c r="J2359" s="18"/>
      <c r="K2359" s="21">
        <f t="shared" si="108"/>
        <v>42.249999999941792</v>
      </c>
      <c r="L2359" s="19">
        <f t="shared" si="109"/>
        <v>259</v>
      </c>
      <c r="M2359" s="18" t="str">
        <f>IF(I2359&lt;&gt;"Sí","",IF(YEAR(F2359)&lt;&gt;2026,"",INDEX({"Enero","Febrero","Marzo","Abril","Mayo","Junio","Julio","Agosto","Septiembre","Octubre","Noviembre","Diciembre"},MONTH(F2359))))</f>
        <v>Septiembre</v>
      </c>
      <c r="N2359" s="18" t="str">
        <f t="shared" si="110"/>
        <v>Septiembre|259</v>
      </c>
    </row>
    <row r="2360" spans="1:14" ht="14.5" x14ac:dyDescent="0.25">
      <c r="A2360" s="19">
        <v>35</v>
      </c>
      <c r="B2360" s="18" t="s">
        <v>42</v>
      </c>
      <c r="C2360" s="18" t="s">
        <v>99</v>
      </c>
      <c r="D2360" s="18" t="s">
        <v>2685</v>
      </c>
      <c r="E2360" s="18" t="s">
        <v>2911</v>
      </c>
      <c r="F2360" s="101">
        <v>46268.482638888891</v>
      </c>
      <c r="G2360" s="101">
        <v>46270.243055555555</v>
      </c>
      <c r="H2360" s="18" t="s">
        <v>507</v>
      </c>
      <c r="I2360" s="18" t="s">
        <v>508</v>
      </c>
      <c r="J2360" s="18"/>
      <c r="K2360" s="21">
        <f t="shared" si="108"/>
        <v>42.249999999941792</v>
      </c>
      <c r="L2360" s="19">
        <f t="shared" si="109"/>
        <v>259</v>
      </c>
      <c r="M2360" s="18" t="str">
        <f>IF(I2360&lt;&gt;"Sí","",IF(YEAR(F2360)&lt;&gt;2026,"",INDEX({"Enero","Febrero","Marzo","Abril","Mayo","Junio","Julio","Agosto","Septiembre","Octubre","Noviembre","Diciembre"},MONTH(F2360))))</f>
        <v>Septiembre</v>
      </c>
      <c r="N2360" s="18" t="str">
        <f t="shared" si="110"/>
        <v>Septiembre|259</v>
      </c>
    </row>
    <row r="2361" spans="1:14" ht="14.5" x14ac:dyDescent="0.25">
      <c r="A2361" s="19">
        <v>35</v>
      </c>
      <c r="B2361" s="18" t="s">
        <v>42</v>
      </c>
      <c r="C2361" s="18" t="s">
        <v>99</v>
      </c>
      <c r="D2361" s="18" t="s">
        <v>2685</v>
      </c>
      <c r="E2361" s="18" t="s">
        <v>2912</v>
      </c>
      <c r="F2361" s="101">
        <v>46268.482638888891</v>
      </c>
      <c r="G2361" s="101">
        <v>46270.243055555555</v>
      </c>
      <c r="H2361" s="18" t="s">
        <v>507</v>
      </c>
      <c r="I2361" s="18" t="s">
        <v>508</v>
      </c>
      <c r="J2361" s="18"/>
      <c r="K2361" s="21">
        <f t="shared" si="108"/>
        <v>42.249999999941792</v>
      </c>
      <c r="L2361" s="19">
        <f t="shared" si="109"/>
        <v>259</v>
      </c>
      <c r="M2361" s="18" t="str">
        <f>IF(I2361&lt;&gt;"Sí","",IF(YEAR(F2361)&lt;&gt;2026,"",INDEX({"Enero","Febrero","Marzo","Abril","Mayo","Junio","Julio","Agosto","Septiembre","Octubre","Noviembre","Diciembre"},MONTH(F2361))))</f>
        <v>Septiembre</v>
      </c>
      <c r="N2361" s="18" t="str">
        <f t="shared" si="110"/>
        <v>Septiembre|259</v>
      </c>
    </row>
    <row r="2362" spans="1:14" ht="14.5" x14ac:dyDescent="0.25">
      <c r="A2362" s="19">
        <v>35</v>
      </c>
      <c r="B2362" s="18" t="s">
        <v>42</v>
      </c>
      <c r="C2362" s="18" t="s">
        <v>99</v>
      </c>
      <c r="D2362" s="18" t="s">
        <v>2685</v>
      </c>
      <c r="E2362" s="18" t="s">
        <v>2913</v>
      </c>
      <c r="F2362" s="101">
        <v>46268.482638888891</v>
      </c>
      <c r="G2362" s="101">
        <v>46270.243055555555</v>
      </c>
      <c r="H2362" s="18" t="s">
        <v>507</v>
      </c>
      <c r="I2362" s="18" t="s">
        <v>508</v>
      </c>
      <c r="J2362" s="18"/>
      <c r="K2362" s="21">
        <f t="shared" si="108"/>
        <v>42.249999999941792</v>
      </c>
      <c r="L2362" s="19">
        <f t="shared" si="109"/>
        <v>259</v>
      </c>
      <c r="M2362" s="18" t="str">
        <f>IF(I2362&lt;&gt;"Sí","",IF(YEAR(F2362)&lt;&gt;2026,"",INDEX({"Enero","Febrero","Marzo","Abril","Mayo","Junio","Julio","Agosto","Septiembre","Octubre","Noviembre","Diciembre"},MONTH(F2362))))</f>
        <v>Septiembre</v>
      </c>
      <c r="N2362" s="18" t="str">
        <f t="shared" si="110"/>
        <v>Septiembre|259</v>
      </c>
    </row>
    <row r="2363" spans="1:14" ht="14.5" x14ac:dyDescent="0.25">
      <c r="A2363" s="19">
        <v>35</v>
      </c>
      <c r="B2363" s="18" t="s">
        <v>42</v>
      </c>
      <c r="C2363" s="18" t="s">
        <v>99</v>
      </c>
      <c r="D2363" s="18" t="s">
        <v>2685</v>
      </c>
      <c r="E2363" s="18" t="s">
        <v>2914</v>
      </c>
      <c r="F2363" s="101">
        <v>46268.482638888891</v>
      </c>
      <c r="G2363" s="101">
        <v>46270.243055555555</v>
      </c>
      <c r="H2363" s="18" t="s">
        <v>507</v>
      </c>
      <c r="I2363" s="18" t="s">
        <v>508</v>
      </c>
      <c r="J2363" s="18"/>
      <c r="K2363" s="21">
        <f t="shared" si="108"/>
        <v>42.249999999941792</v>
      </c>
      <c r="L2363" s="19">
        <f t="shared" si="109"/>
        <v>259</v>
      </c>
      <c r="M2363" s="18" t="str">
        <f>IF(I2363&lt;&gt;"Sí","",IF(YEAR(F2363)&lt;&gt;2026,"",INDEX({"Enero","Febrero","Marzo","Abril","Mayo","Junio","Julio","Agosto","Septiembre","Octubre","Noviembre","Diciembre"},MONTH(F2363))))</f>
        <v>Septiembre</v>
      </c>
      <c r="N2363" s="18" t="str">
        <f t="shared" si="110"/>
        <v>Septiembre|259</v>
      </c>
    </row>
    <row r="2364" spans="1:14" ht="14.5" x14ac:dyDescent="0.25">
      <c r="A2364" s="19">
        <v>35</v>
      </c>
      <c r="B2364" s="18" t="s">
        <v>42</v>
      </c>
      <c r="C2364" s="18" t="s">
        <v>99</v>
      </c>
      <c r="D2364" s="18" t="s">
        <v>2685</v>
      </c>
      <c r="E2364" s="18" t="s">
        <v>2915</v>
      </c>
      <c r="F2364" s="101">
        <v>46268.482638888891</v>
      </c>
      <c r="G2364" s="101">
        <v>46270.243055555555</v>
      </c>
      <c r="H2364" s="18" t="s">
        <v>507</v>
      </c>
      <c r="I2364" s="18" t="s">
        <v>508</v>
      </c>
      <c r="J2364" s="18"/>
      <c r="K2364" s="21">
        <f t="shared" si="108"/>
        <v>42.249999999941792</v>
      </c>
      <c r="L2364" s="19">
        <f t="shared" si="109"/>
        <v>259</v>
      </c>
      <c r="M2364" s="18" t="str">
        <f>IF(I2364&lt;&gt;"Sí","",IF(YEAR(F2364)&lt;&gt;2026,"",INDEX({"Enero","Febrero","Marzo","Abril","Mayo","Junio","Julio","Agosto","Septiembre","Octubre","Noviembre","Diciembre"},MONTH(F2364))))</f>
        <v>Septiembre</v>
      </c>
      <c r="N2364" s="18" t="str">
        <f t="shared" si="110"/>
        <v>Septiembre|259</v>
      </c>
    </row>
    <row r="2365" spans="1:14" ht="14.5" x14ac:dyDescent="0.25">
      <c r="A2365" s="19">
        <v>35</v>
      </c>
      <c r="B2365" s="18" t="s">
        <v>42</v>
      </c>
      <c r="C2365" s="18" t="s">
        <v>447</v>
      </c>
      <c r="D2365" s="18" t="s">
        <v>2679</v>
      </c>
      <c r="E2365" s="18" t="s">
        <v>2916</v>
      </c>
      <c r="F2365" s="101">
        <v>46268.488888888889</v>
      </c>
      <c r="G2365" s="101">
        <v>46275.054861111108</v>
      </c>
      <c r="H2365" s="18" t="s">
        <v>507</v>
      </c>
      <c r="I2365" s="18" t="s">
        <v>508</v>
      </c>
      <c r="J2365" s="18"/>
      <c r="K2365" s="21">
        <f t="shared" si="108"/>
        <v>157.58333333325572</v>
      </c>
      <c r="L2365" s="19">
        <f t="shared" si="109"/>
        <v>260</v>
      </c>
      <c r="M2365" s="18" t="str">
        <f>IF(I2365&lt;&gt;"Sí","",IF(YEAR(F2365)&lt;&gt;2026,"",INDEX({"Enero","Febrero","Marzo","Abril","Mayo","Junio","Julio","Agosto","Septiembre","Octubre","Noviembre","Diciembre"},MONTH(F2365))))</f>
        <v>Septiembre</v>
      </c>
      <c r="N2365" s="18" t="str">
        <f t="shared" si="110"/>
        <v>Septiembre|260</v>
      </c>
    </row>
    <row r="2366" spans="1:14" ht="14.5" x14ac:dyDescent="0.25">
      <c r="A2366" s="19">
        <v>35</v>
      </c>
      <c r="B2366" s="18" t="s">
        <v>42</v>
      </c>
      <c r="C2366" s="18" t="s">
        <v>99</v>
      </c>
      <c r="D2366" s="18" t="s">
        <v>2685</v>
      </c>
      <c r="E2366" s="18" t="s">
        <v>2917</v>
      </c>
      <c r="F2366" s="101">
        <v>46268.489583333336</v>
      </c>
      <c r="G2366" s="101">
        <v>46270.826388888891</v>
      </c>
      <c r="H2366" s="18" t="s">
        <v>507</v>
      </c>
      <c r="I2366" s="18" t="s">
        <v>508</v>
      </c>
      <c r="J2366" s="18"/>
      <c r="K2366" s="21">
        <f t="shared" si="108"/>
        <v>56.083333333313931</v>
      </c>
      <c r="L2366" s="19">
        <f t="shared" si="109"/>
        <v>268</v>
      </c>
      <c r="M2366" s="18" t="str">
        <f>IF(I2366&lt;&gt;"Sí","",IF(YEAR(F2366)&lt;&gt;2026,"",INDEX({"Enero","Febrero","Marzo","Abril","Mayo","Junio","Julio","Agosto","Septiembre","Octubre","Noviembre","Diciembre"},MONTH(F2366))))</f>
        <v>Septiembre</v>
      </c>
      <c r="N2366" s="18" t="str">
        <f t="shared" si="110"/>
        <v>Septiembre|268</v>
      </c>
    </row>
    <row r="2367" spans="1:14" ht="14.5" x14ac:dyDescent="0.25">
      <c r="A2367" s="19">
        <v>35</v>
      </c>
      <c r="B2367" s="18" t="s">
        <v>42</v>
      </c>
      <c r="C2367" s="18" t="s">
        <v>99</v>
      </c>
      <c r="D2367" s="18" t="s">
        <v>2685</v>
      </c>
      <c r="E2367" s="18" t="s">
        <v>2918</v>
      </c>
      <c r="F2367" s="101">
        <v>46268.489583333336</v>
      </c>
      <c r="G2367" s="101">
        <v>46270.826388888891</v>
      </c>
      <c r="H2367" s="18" t="s">
        <v>507</v>
      </c>
      <c r="I2367" s="18" t="s">
        <v>508</v>
      </c>
      <c r="J2367" s="18"/>
      <c r="K2367" s="21">
        <f t="shared" si="108"/>
        <v>56.083333333313931</v>
      </c>
      <c r="L2367" s="19">
        <f t="shared" si="109"/>
        <v>268</v>
      </c>
      <c r="M2367" s="18" t="str">
        <f>IF(I2367&lt;&gt;"Sí","",IF(YEAR(F2367)&lt;&gt;2026,"",INDEX({"Enero","Febrero","Marzo","Abril","Mayo","Junio","Julio","Agosto","Septiembre","Octubre","Noviembre","Diciembre"},MONTH(F2367))))</f>
        <v>Septiembre</v>
      </c>
      <c r="N2367" s="18" t="str">
        <f t="shared" si="110"/>
        <v>Septiembre|268</v>
      </c>
    </row>
    <row r="2368" spans="1:14" ht="14.5" x14ac:dyDescent="0.25">
      <c r="A2368" s="19">
        <v>35</v>
      </c>
      <c r="B2368" s="18" t="s">
        <v>42</v>
      </c>
      <c r="C2368" s="18" t="s">
        <v>99</v>
      </c>
      <c r="D2368" s="18" t="s">
        <v>2685</v>
      </c>
      <c r="E2368" s="18" t="s">
        <v>2919</v>
      </c>
      <c r="F2368" s="101">
        <v>46268.489583333336</v>
      </c>
      <c r="G2368" s="101">
        <v>46270.826388888891</v>
      </c>
      <c r="H2368" s="18" t="s">
        <v>507</v>
      </c>
      <c r="I2368" s="18" t="s">
        <v>508</v>
      </c>
      <c r="J2368" s="18"/>
      <c r="K2368" s="21">
        <f t="shared" si="108"/>
        <v>56.083333333313931</v>
      </c>
      <c r="L2368" s="19">
        <f t="shared" si="109"/>
        <v>268</v>
      </c>
      <c r="M2368" s="18" t="str">
        <f>IF(I2368&lt;&gt;"Sí","",IF(YEAR(F2368)&lt;&gt;2026,"",INDEX({"Enero","Febrero","Marzo","Abril","Mayo","Junio","Julio","Agosto","Septiembre","Octubre","Noviembre","Diciembre"},MONTH(F2368))))</f>
        <v>Septiembre</v>
      </c>
      <c r="N2368" s="18" t="str">
        <f t="shared" si="110"/>
        <v>Septiembre|268</v>
      </c>
    </row>
    <row r="2369" spans="1:14" ht="14.5" x14ac:dyDescent="0.25">
      <c r="A2369" s="19">
        <v>35</v>
      </c>
      <c r="B2369" s="18" t="s">
        <v>42</v>
      </c>
      <c r="C2369" s="18" t="s">
        <v>99</v>
      </c>
      <c r="D2369" s="18" t="s">
        <v>2685</v>
      </c>
      <c r="E2369" s="18" t="s">
        <v>2920</v>
      </c>
      <c r="F2369" s="101">
        <v>46268.489583333336</v>
      </c>
      <c r="G2369" s="101">
        <v>46270.763888888891</v>
      </c>
      <c r="H2369" s="18" t="s">
        <v>507</v>
      </c>
      <c r="I2369" s="18" t="s">
        <v>508</v>
      </c>
      <c r="J2369" s="18"/>
      <c r="K2369" s="21">
        <f t="shared" si="108"/>
        <v>54.583333333313931</v>
      </c>
      <c r="L2369" s="19">
        <f t="shared" si="109"/>
        <v>268</v>
      </c>
      <c r="M2369" s="18" t="str">
        <f>IF(I2369&lt;&gt;"Sí","",IF(YEAR(F2369)&lt;&gt;2026,"",INDEX({"Enero","Febrero","Marzo","Abril","Mayo","Junio","Julio","Agosto","Septiembre","Octubre","Noviembre","Diciembre"},MONTH(F2369))))</f>
        <v>Septiembre</v>
      </c>
      <c r="N2369" s="18" t="str">
        <f t="shared" si="110"/>
        <v>Septiembre|268</v>
      </c>
    </row>
    <row r="2370" spans="1:14" ht="14.5" x14ac:dyDescent="0.25">
      <c r="A2370" s="19">
        <v>35</v>
      </c>
      <c r="B2370" s="18" t="s">
        <v>42</v>
      </c>
      <c r="C2370" s="18" t="s">
        <v>99</v>
      </c>
      <c r="D2370" s="18" t="s">
        <v>2685</v>
      </c>
      <c r="E2370" s="18" t="s">
        <v>2921</v>
      </c>
      <c r="F2370" s="101">
        <v>46268.489583333336</v>
      </c>
      <c r="G2370" s="101">
        <v>46270.763888888891</v>
      </c>
      <c r="H2370" s="18" t="s">
        <v>507</v>
      </c>
      <c r="I2370" s="18" t="s">
        <v>508</v>
      </c>
      <c r="J2370" s="18"/>
      <c r="K2370" s="21">
        <f t="shared" si="108"/>
        <v>54.583333333313931</v>
      </c>
      <c r="L2370" s="19">
        <f t="shared" si="109"/>
        <v>268</v>
      </c>
      <c r="M2370" s="18" t="str">
        <f>IF(I2370&lt;&gt;"Sí","",IF(YEAR(F2370)&lt;&gt;2026,"",INDEX({"Enero","Febrero","Marzo","Abril","Mayo","Junio","Julio","Agosto","Septiembre","Octubre","Noviembre","Diciembre"},MONTH(F2370))))</f>
        <v>Septiembre</v>
      </c>
      <c r="N2370" s="18" t="str">
        <f t="shared" si="110"/>
        <v>Septiembre|268</v>
      </c>
    </row>
    <row r="2371" spans="1:14" ht="14.5" x14ac:dyDescent="0.25">
      <c r="A2371" s="19">
        <v>35</v>
      </c>
      <c r="B2371" s="18" t="s">
        <v>42</v>
      </c>
      <c r="C2371" s="18" t="s">
        <v>99</v>
      </c>
      <c r="D2371" s="18" t="s">
        <v>2685</v>
      </c>
      <c r="E2371" s="18" t="s">
        <v>2922</v>
      </c>
      <c r="F2371" s="101">
        <v>46268.489583333336</v>
      </c>
      <c r="G2371" s="101">
        <v>46270.763888888891</v>
      </c>
      <c r="H2371" s="18" t="s">
        <v>507</v>
      </c>
      <c r="I2371" s="18" t="s">
        <v>508</v>
      </c>
      <c r="J2371" s="18"/>
      <c r="K2371" s="21">
        <f t="shared" si="108"/>
        <v>54.583333333313931</v>
      </c>
      <c r="L2371" s="19">
        <f t="shared" si="109"/>
        <v>268</v>
      </c>
      <c r="M2371" s="18" t="str">
        <f>IF(I2371&lt;&gt;"Sí","",IF(YEAR(F2371)&lt;&gt;2026,"",INDEX({"Enero","Febrero","Marzo","Abril","Mayo","Junio","Julio","Agosto","Septiembre","Octubre","Noviembre","Diciembre"},MONTH(F2371))))</f>
        <v>Septiembre</v>
      </c>
      <c r="N2371" s="18" t="str">
        <f t="shared" si="110"/>
        <v>Septiembre|268</v>
      </c>
    </row>
    <row r="2372" spans="1:14" ht="14.5" x14ac:dyDescent="0.25">
      <c r="A2372" s="19">
        <v>35</v>
      </c>
      <c r="B2372" s="18" t="s">
        <v>42</v>
      </c>
      <c r="C2372" s="18" t="s">
        <v>99</v>
      </c>
      <c r="D2372" s="18" t="s">
        <v>2685</v>
      </c>
      <c r="E2372" s="18" t="s">
        <v>2923</v>
      </c>
      <c r="F2372" s="101">
        <v>46268.489583333336</v>
      </c>
      <c r="G2372" s="101">
        <v>46270.763888888891</v>
      </c>
      <c r="H2372" s="18" t="s">
        <v>507</v>
      </c>
      <c r="I2372" s="18" t="s">
        <v>508</v>
      </c>
      <c r="J2372" s="18"/>
      <c r="K2372" s="21">
        <f t="shared" si="108"/>
        <v>54.583333333313931</v>
      </c>
      <c r="L2372" s="19">
        <f t="shared" si="109"/>
        <v>268</v>
      </c>
      <c r="M2372" s="18" t="str">
        <f>IF(I2372&lt;&gt;"Sí","",IF(YEAR(F2372)&lt;&gt;2026,"",INDEX({"Enero","Febrero","Marzo","Abril","Mayo","Junio","Julio","Agosto","Septiembre","Octubre","Noviembre","Diciembre"},MONTH(F2372))))</f>
        <v>Septiembre</v>
      </c>
      <c r="N2372" s="18" t="str">
        <f t="shared" si="110"/>
        <v>Septiembre|268</v>
      </c>
    </row>
    <row r="2373" spans="1:14" ht="14.5" x14ac:dyDescent="0.25">
      <c r="A2373" s="19">
        <v>35</v>
      </c>
      <c r="B2373" s="18" t="s">
        <v>42</v>
      </c>
      <c r="C2373" s="18" t="s">
        <v>99</v>
      </c>
      <c r="D2373" s="18" t="s">
        <v>2685</v>
      </c>
      <c r="E2373" s="18" t="s">
        <v>2924</v>
      </c>
      <c r="F2373" s="101">
        <v>46268.489583333336</v>
      </c>
      <c r="G2373" s="101">
        <v>46270.763888888891</v>
      </c>
      <c r="H2373" s="18" t="s">
        <v>507</v>
      </c>
      <c r="I2373" s="18" t="s">
        <v>508</v>
      </c>
      <c r="J2373" s="18"/>
      <c r="K2373" s="21">
        <f t="shared" si="108"/>
        <v>54.583333333313931</v>
      </c>
      <c r="L2373" s="19">
        <f t="shared" si="109"/>
        <v>268</v>
      </c>
      <c r="M2373" s="18" t="str">
        <f>IF(I2373&lt;&gt;"Sí","",IF(YEAR(F2373)&lt;&gt;2026,"",INDEX({"Enero","Febrero","Marzo","Abril","Mayo","Junio","Julio","Agosto","Septiembre","Octubre","Noviembre","Diciembre"},MONTH(F2373))))</f>
        <v>Septiembre</v>
      </c>
      <c r="N2373" s="18" t="str">
        <f t="shared" si="110"/>
        <v>Septiembre|268</v>
      </c>
    </row>
    <row r="2374" spans="1:14" ht="14.5" x14ac:dyDescent="0.25">
      <c r="A2374" s="19">
        <v>35</v>
      </c>
      <c r="B2374" s="18" t="s">
        <v>42</v>
      </c>
      <c r="C2374" s="18" t="s">
        <v>99</v>
      </c>
      <c r="D2374" s="18" t="s">
        <v>2685</v>
      </c>
      <c r="E2374" s="18" t="s">
        <v>2925</v>
      </c>
      <c r="F2374" s="101">
        <v>46268.557638888888</v>
      </c>
      <c r="G2374" s="101">
        <v>46270.71875</v>
      </c>
      <c r="H2374" s="18" t="s">
        <v>507</v>
      </c>
      <c r="I2374" s="18" t="s">
        <v>508</v>
      </c>
      <c r="J2374" s="18"/>
      <c r="K2374" s="21">
        <f t="shared" si="108"/>
        <v>51.866666666697711</v>
      </c>
      <c r="L2374" s="19">
        <f t="shared" si="109"/>
        <v>290</v>
      </c>
      <c r="M2374" s="18" t="str">
        <f>IF(I2374&lt;&gt;"Sí","",IF(YEAR(F2374)&lt;&gt;2026,"",INDEX({"Enero","Febrero","Marzo","Abril","Mayo","Junio","Julio","Agosto","Septiembre","Octubre","Noviembre","Diciembre"},MONTH(F2374))))</f>
        <v>Septiembre</v>
      </c>
      <c r="N2374" s="18" t="str">
        <f t="shared" si="110"/>
        <v>Septiembre|290</v>
      </c>
    </row>
    <row r="2375" spans="1:14" ht="14.5" x14ac:dyDescent="0.25">
      <c r="A2375" s="19">
        <v>35</v>
      </c>
      <c r="B2375" s="18" t="s">
        <v>42</v>
      </c>
      <c r="C2375" s="18" t="s">
        <v>99</v>
      </c>
      <c r="D2375" s="18" t="s">
        <v>2685</v>
      </c>
      <c r="E2375" s="18" t="s">
        <v>2926</v>
      </c>
      <c r="F2375" s="101">
        <v>46268.557638888888</v>
      </c>
      <c r="G2375" s="101">
        <v>46270.71875</v>
      </c>
      <c r="H2375" s="18" t="s">
        <v>507</v>
      </c>
      <c r="I2375" s="18" t="s">
        <v>508</v>
      </c>
      <c r="J2375" s="18"/>
      <c r="K2375" s="21">
        <f t="shared" ref="K2375:K2438" si="111">IF(I2375="Sí",(G2375-F2375)*24,"")</f>
        <v>51.866666666697711</v>
      </c>
      <c r="L2375" s="19">
        <f t="shared" ref="L2375:L2438" si="112">IF(I2375="Sí",COUNTIFS($F$7:$F$4000,"&lt;="&amp;F2375,$G$7:$G$4000,"&gt;"&amp;F2375,$I$7:$I$4000,"Sí"),"")</f>
        <v>290</v>
      </c>
      <c r="M2375" s="18" t="str">
        <f>IF(I2375&lt;&gt;"Sí","",IF(YEAR(F2375)&lt;&gt;2026,"",INDEX({"Enero","Febrero","Marzo","Abril","Mayo","Junio","Julio","Agosto","Septiembre","Octubre","Noviembre","Diciembre"},MONTH(F2375))))</f>
        <v>Septiembre</v>
      </c>
      <c r="N2375" s="18" t="str">
        <f t="shared" ref="N2375:N2438" si="113">IF(M2375="","",M2375&amp;"|"&amp;L2375)</f>
        <v>Septiembre|290</v>
      </c>
    </row>
    <row r="2376" spans="1:14" ht="14.5" x14ac:dyDescent="0.25">
      <c r="A2376" s="19">
        <v>35</v>
      </c>
      <c r="B2376" s="18" t="s">
        <v>42</v>
      </c>
      <c r="C2376" s="18" t="s">
        <v>99</v>
      </c>
      <c r="D2376" s="18" t="s">
        <v>2685</v>
      </c>
      <c r="E2376" s="18" t="s">
        <v>2927</v>
      </c>
      <c r="F2376" s="101">
        <v>46268.557638888888</v>
      </c>
      <c r="G2376" s="101">
        <v>46270.71875</v>
      </c>
      <c r="H2376" s="18" t="s">
        <v>507</v>
      </c>
      <c r="I2376" s="18" t="s">
        <v>508</v>
      </c>
      <c r="J2376" s="18"/>
      <c r="K2376" s="21">
        <f t="shared" si="111"/>
        <v>51.866666666697711</v>
      </c>
      <c r="L2376" s="19">
        <f t="shared" si="112"/>
        <v>290</v>
      </c>
      <c r="M2376" s="18" t="str">
        <f>IF(I2376&lt;&gt;"Sí","",IF(YEAR(F2376)&lt;&gt;2026,"",INDEX({"Enero","Febrero","Marzo","Abril","Mayo","Junio","Julio","Agosto","Septiembre","Octubre","Noviembre","Diciembre"},MONTH(F2376))))</f>
        <v>Septiembre</v>
      </c>
      <c r="N2376" s="18" t="str">
        <f t="shared" si="113"/>
        <v>Septiembre|290</v>
      </c>
    </row>
    <row r="2377" spans="1:14" ht="14.5" x14ac:dyDescent="0.25">
      <c r="A2377" s="19">
        <v>35</v>
      </c>
      <c r="B2377" s="18" t="s">
        <v>42</v>
      </c>
      <c r="C2377" s="18" t="s">
        <v>99</v>
      </c>
      <c r="D2377" s="18" t="s">
        <v>2685</v>
      </c>
      <c r="E2377" s="18" t="s">
        <v>2928</v>
      </c>
      <c r="F2377" s="101">
        <v>46268.557638888888</v>
      </c>
      <c r="G2377" s="101">
        <v>46270.71875</v>
      </c>
      <c r="H2377" s="18" t="s">
        <v>507</v>
      </c>
      <c r="I2377" s="18" t="s">
        <v>508</v>
      </c>
      <c r="J2377" s="18"/>
      <c r="K2377" s="21">
        <f t="shared" si="111"/>
        <v>51.866666666697711</v>
      </c>
      <c r="L2377" s="19">
        <f t="shared" si="112"/>
        <v>290</v>
      </c>
      <c r="M2377" s="18" t="str">
        <f>IF(I2377&lt;&gt;"Sí","",IF(YEAR(F2377)&lt;&gt;2026,"",INDEX({"Enero","Febrero","Marzo","Abril","Mayo","Junio","Julio","Agosto","Septiembre","Octubre","Noviembre","Diciembre"},MONTH(F2377))))</f>
        <v>Septiembre</v>
      </c>
      <c r="N2377" s="18" t="str">
        <f t="shared" si="113"/>
        <v>Septiembre|290</v>
      </c>
    </row>
    <row r="2378" spans="1:14" ht="14.5" x14ac:dyDescent="0.25">
      <c r="A2378" s="19">
        <v>35</v>
      </c>
      <c r="B2378" s="18" t="s">
        <v>42</v>
      </c>
      <c r="C2378" s="18" t="s">
        <v>99</v>
      </c>
      <c r="D2378" s="18" t="s">
        <v>2685</v>
      </c>
      <c r="E2378" s="18" t="s">
        <v>2929</v>
      </c>
      <c r="F2378" s="101">
        <v>46268.557638888888</v>
      </c>
      <c r="G2378" s="101">
        <v>46270.701388888891</v>
      </c>
      <c r="H2378" s="18" t="s">
        <v>507</v>
      </c>
      <c r="I2378" s="18" t="s">
        <v>508</v>
      </c>
      <c r="J2378" s="18"/>
      <c r="K2378" s="21">
        <f t="shared" si="111"/>
        <v>51.450000000069849</v>
      </c>
      <c r="L2378" s="19">
        <f t="shared" si="112"/>
        <v>290</v>
      </c>
      <c r="M2378" s="18" t="str">
        <f>IF(I2378&lt;&gt;"Sí","",IF(YEAR(F2378)&lt;&gt;2026,"",INDEX({"Enero","Febrero","Marzo","Abril","Mayo","Junio","Julio","Agosto","Septiembre","Octubre","Noviembre","Diciembre"},MONTH(F2378))))</f>
        <v>Septiembre</v>
      </c>
      <c r="N2378" s="18" t="str">
        <f t="shared" si="113"/>
        <v>Septiembre|290</v>
      </c>
    </row>
    <row r="2379" spans="1:14" ht="14.5" x14ac:dyDescent="0.25">
      <c r="A2379" s="19">
        <v>35</v>
      </c>
      <c r="B2379" s="18" t="s">
        <v>42</v>
      </c>
      <c r="C2379" s="18" t="s">
        <v>99</v>
      </c>
      <c r="D2379" s="18" t="s">
        <v>2685</v>
      </c>
      <c r="E2379" s="18" t="s">
        <v>2930</v>
      </c>
      <c r="F2379" s="101">
        <v>46268.557638888888</v>
      </c>
      <c r="G2379" s="101">
        <v>46270.701388888891</v>
      </c>
      <c r="H2379" s="18" t="s">
        <v>507</v>
      </c>
      <c r="I2379" s="18" t="s">
        <v>508</v>
      </c>
      <c r="J2379" s="18"/>
      <c r="K2379" s="21">
        <f t="shared" si="111"/>
        <v>51.450000000069849</v>
      </c>
      <c r="L2379" s="19">
        <f t="shared" si="112"/>
        <v>290</v>
      </c>
      <c r="M2379" s="18" t="str">
        <f>IF(I2379&lt;&gt;"Sí","",IF(YEAR(F2379)&lt;&gt;2026,"",INDEX({"Enero","Febrero","Marzo","Abril","Mayo","Junio","Julio","Agosto","Septiembre","Octubre","Noviembre","Diciembre"},MONTH(F2379))))</f>
        <v>Septiembre</v>
      </c>
      <c r="N2379" s="18" t="str">
        <f t="shared" si="113"/>
        <v>Septiembre|290</v>
      </c>
    </row>
    <row r="2380" spans="1:14" ht="14.5" x14ac:dyDescent="0.25">
      <c r="A2380" s="19">
        <v>35</v>
      </c>
      <c r="B2380" s="18" t="s">
        <v>42</v>
      </c>
      <c r="C2380" s="18" t="s">
        <v>99</v>
      </c>
      <c r="D2380" s="18" t="s">
        <v>2685</v>
      </c>
      <c r="E2380" s="18" t="s">
        <v>2931</v>
      </c>
      <c r="F2380" s="101">
        <v>46268.557638888888</v>
      </c>
      <c r="G2380" s="101">
        <v>46270.701388888891</v>
      </c>
      <c r="H2380" s="18" t="s">
        <v>507</v>
      </c>
      <c r="I2380" s="18" t="s">
        <v>508</v>
      </c>
      <c r="J2380" s="18"/>
      <c r="K2380" s="21">
        <f t="shared" si="111"/>
        <v>51.450000000069849</v>
      </c>
      <c r="L2380" s="19">
        <f t="shared" si="112"/>
        <v>290</v>
      </c>
      <c r="M2380" s="18" t="str">
        <f>IF(I2380&lt;&gt;"Sí","",IF(YEAR(F2380)&lt;&gt;2026,"",INDEX({"Enero","Febrero","Marzo","Abril","Mayo","Junio","Julio","Agosto","Septiembre","Octubre","Noviembre","Diciembre"},MONTH(F2380))))</f>
        <v>Septiembre</v>
      </c>
      <c r="N2380" s="18" t="str">
        <f t="shared" si="113"/>
        <v>Septiembre|290</v>
      </c>
    </row>
    <row r="2381" spans="1:14" ht="14.5" x14ac:dyDescent="0.25">
      <c r="A2381" s="19">
        <v>35</v>
      </c>
      <c r="B2381" s="18" t="s">
        <v>42</v>
      </c>
      <c r="C2381" s="18" t="s">
        <v>99</v>
      </c>
      <c r="D2381" s="18" t="s">
        <v>2685</v>
      </c>
      <c r="E2381" s="18" t="s">
        <v>2932</v>
      </c>
      <c r="F2381" s="101">
        <v>46268.557638888888</v>
      </c>
      <c r="G2381" s="101">
        <v>46270.701388888891</v>
      </c>
      <c r="H2381" s="18" t="s">
        <v>507</v>
      </c>
      <c r="I2381" s="18" t="s">
        <v>508</v>
      </c>
      <c r="J2381" s="18"/>
      <c r="K2381" s="21">
        <f t="shared" si="111"/>
        <v>51.450000000069849</v>
      </c>
      <c r="L2381" s="19">
        <f t="shared" si="112"/>
        <v>290</v>
      </c>
      <c r="M2381" s="18" t="str">
        <f>IF(I2381&lt;&gt;"Sí","",IF(YEAR(F2381)&lt;&gt;2026,"",INDEX({"Enero","Febrero","Marzo","Abril","Mayo","Junio","Julio","Agosto","Septiembre","Octubre","Noviembre","Diciembre"},MONTH(F2381))))</f>
        <v>Septiembre</v>
      </c>
      <c r="N2381" s="18" t="str">
        <f t="shared" si="113"/>
        <v>Septiembre|290</v>
      </c>
    </row>
    <row r="2382" spans="1:14" ht="14.5" x14ac:dyDescent="0.25">
      <c r="A2382" s="19">
        <v>35</v>
      </c>
      <c r="B2382" s="18" t="s">
        <v>42</v>
      </c>
      <c r="C2382" s="18" t="s">
        <v>99</v>
      </c>
      <c r="D2382" s="18" t="s">
        <v>2685</v>
      </c>
      <c r="E2382" s="18" t="s">
        <v>2933</v>
      </c>
      <c r="F2382" s="101">
        <v>46268.557638888888</v>
      </c>
      <c r="G2382" s="101">
        <v>46270.701388888891</v>
      </c>
      <c r="H2382" s="18" t="s">
        <v>507</v>
      </c>
      <c r="I2382" s="18" t="s">
        <v>508</v>
      </c>
      <c r="J2382" s="18"/>
      <c r="K2382" s="21">
        <f t="shared" si="111"/>
        <v>51.450000000069849</v>
      </c>
      <c r="L2382" s="19">
        <f t="shared" si="112"/>
        <v>290</v>
      </c>
      <c r="M2382" s="18" t="str">
        <f>IF(I2382&lt;&gt;"Sí","",IF(YEAR(F2382)&lt;&gt;2026,"",INDEX({"Enero","Febrero","Marzo","Abril","Mayo","Junio","Julio","Agosto","Septiembre","Octubre","Noviembre","Diciembre"},MONTH(F2382))))</f>
        <v>Septiembre</v>
      </c>
      <c r="N2382" s="18" t="str">
        <f t="shared" si="113"/>
        <v>Septiembre|290</v>
      </c>
    </row>
    <row r="2383" spans="1:14" ht="14.5" x14ac:dyDescent="0.25">
      <c r="A2383" s="19">
        <v>35</v>
      </c>
      <c r="B2383" s="18" t="s">
        <v>42</v>
      </c>
      <c r="C2383" s="18" t="s">
        <v>99</v>
      </c>
      <c r="D2383" s="18" t="s">
        <v>2685</v>
      </c>
      <c r="E2383" s="18" t="s">
        <v>2934</v>
      </c>
      <c r="F2383" s="101">
        <v>46268.557638888888</v>
      </c>
      <c r="G2383" s="101">
        <v>46270.701388888891</v>
      </c>
      <c r="H2383" s="18" t="s">
        <v>507</v>
      </c>
      <c r="I2383" s="18" t="s">
        <v>508</v>
      </c>
      <c r="J2383" s="18"/>
      <c r="K2383" s="21">
        <f t="shared" si="111"/>
        <v>51.450000000069849</v>
      </c>
      <c r="L2383" s="19">
        <f t="shared" si="112"/>
        <v>290</v>
      </c>
      <c r="M2383" s="18" t="str">
        <f>IF(I2383&lt;&gt;"Sí","",IF(YEAR(F2383)&lt;&gt;2026,"",INDEX({"Enero","Febrero","Marzo","Abril","Mayo","Junio","Julio","Agosto","Septiembre","Octubre","Noviembre","Diciembre"},MONTH(F2383))))</f>
        <v>Septiembre</v>
      </c>
      <c r="N2383" s="18" t="str">
        <f t="shared" si="113"/>
        <v>Septiembre|290</v>
      </c>
    </row>
    <row r="2384" spans="1:14" ht="14.5" x14ac:dyDescent="0.25">
      <c r="A2384" s="19">
        <v>35</v>
      </c>
      <c r="B2384" s="18" t="s">
        <v>42</v>
      </c>
      <c r="C2384" s="18" t="s">
        <v>99</v>
      </c>
      <c r="D2384" s="18" t="s">
        <v>2685</v>
      </c>
      <c r="E2384" s="18" t="s">
        <v>2935</v>
      </c>
      <c r="F2384" s="101">
        <v>46268.557638888888</v>
      </c>
      <c r="G2384" s="101">
        <v>46270.701388888891</v>
      </c>
      <c r="H2384" s="18" t="s">
        <v>507</v>
      </c>
      <c r="I2384" s="18" t="s">
        <v>508</v>
      </c>
      <c r="J2384" s="18"/>
      <c r="K2384" s="21">
        <f t="shared" si="111"/>
        <v>51.450000000069849</v>
      </c>
      <c r="L2384" s="19">
        <f t="shared" si="112"/>
        <v>290</v>
      </c>
      <c r="M2384" s="18" t="str">
        <f>IF(I2384&lt;&gt;"Sí","",IF(YEAR(F2384)&lt;&gt;2026,"",INDEX({"Enero","Febrero","Marzo","Abril","Mayo","Junio","Julio","Agosto","Septiembre","Octubre","Noviembre","Diciembre"},MONTH(F2384))))</f>
        <v>Septiembre</v>
      </c>
      <c r="N2384" s="18" t="str">
        <f t="shared" si="113"/>
        <v>Septiembre|290</v>
      </c>
    </row>
    <row r="2385" spans="1:14" ht="14.5" x14ac:dyDescent="0.25">
      <c r="A2385" s="19">
        <v>35</v>
      </c>
      <c r="B2385" s="18" t="s">
        <v>42</v>
      </c>
      <c r="C2385" s="18" t="s">
        <v>99</v>
      </c>
      <c r="D2385" s="18" t="s">
        <v>2685</v>
      </c>
      <c r="E2385" s="18" t="s">
        <v>2936</v>
      </c>
      <c r="F2385" s="101">
        <v>46268.557638888888</v>
      </c>
      <c r="G2385" s="101">
        <v>46270.663194444445</v>
      </c>
      <c r="H2385" s="18" t="s">
        <v>507</v>
      </c>
      <c r="I2385" s="18" t="s">
        <v>508</v>
      </c>
      <c r="J2385" s="18"/>
      <c r="K2385" s="21">
        <f t="shared" si="111"/>
        <v>50.53333333338378</v>
      </c>
      <c r="L2385" s="19">
        <f t="shared" si="112"/>
        <v>290</v>
      </c>
      <c r="M2385" s="18" t="str">
        <f>IF(I2385&lt;&gt;"Sí","",IF(YEAR(F2385)&lt;&gt;2026,"",INDEX({"Enero","Febrero","Marzo","Abril","Mayo","Junio","Julio","Agosto","Septiembre","Octubre","Noviembre","Diciembre"},MONTH(F2385))))</f>
        <v>Septiembre</v>
      </c>
      <c r="N2385" s="18" t="str">
        <f t="shared" si="113"/>
        <v>Septiembre|290</v>
      </c>
    </row>
    <row r="2386" spans="1:14" ht="14.5" x14ac:dyDescent="0.25">
      <c r="A2386" s="19">
        <v>35</v>
      </c>
      <c r="B2386" s="18" t="s">
        <v>42</v>
      </c>
      <c r="C2386" s="18" t="s">
        <v>99</v>
      </c>
      <c r="D2386" s="18" t="s">
        <v>2685</v>
      </c>
      <c r="E2386" s="18" t="s">
        <v>2937</v>
      </c>
      <c r="F2386" s="101">
        <v>46268.557638888888</v>
      </c>
      <c r="G2386" s="101">
        <v>46270.701388888891</v>
      </c>
      <c r="H2386" s="18" t="s">
        <v>507</v>
      </c>
      <c r="I2386" s="18" t="s">
        <v>508</v>
      </c>
      <c r="J2386" s="18"/>
      <c r="K2386" s="21">
        <f t="shared" si="111"/>
        <v>51.450000000069849</v>
      </c>
      <c r="L2386" s="19">
        <f t="shared" si="112"/>
        <v>290</v>
      </c>
      <c r="M2386" s="18" t="str">
        <f>IF(I2386&lt;&gt;"Sí","",IF(YEAR(F2386)&lt;&gt;2026,"",INDEX({"Enero","Febrero","Marzo","Abril","Mayo","Junio","Julio","Agosto","Septiembre","Octubre","Noviembre","Diciembre"},MONTH(F2386))))</f>
        <v>Septiembre</v>
      </c>
      <c r="N2386" s="18" t="str">
        <f t="shared" si="113"/>
        <v>Septiembre|290</v>
      </c>
    </row>
    <row r="2387" spans="1:14" ht="14.5" x14ac:dyDescent="0.25">
      <c r="A2387" s="19">
        <v>35</v>
      </c>
      <c r="B2387" s="18" t="s">
        <v>42</v>
      </c>
      <c r="C2387" s="18" t="s">
        <v>99</v>
      </c>
      <c r="D2387" s="18" t="s">
        <v>2685</v>
      </c>
      <c r="E2387" s="18" t="s">
        <v>2938</v>
      </c>
      <c r="F2387" s="101">
        <v>46268.557638888888</v>
      </c>
      <c r="G2387" s="101">
        <v>46270.663194444445</v>
      </c>
      <c r="H2387" s="18" t="s">
        <v>507</v>
      </c>
      <c r="I2387" s="18" t="s">
        <v>508</v>
      </c>
      <c r="J2387" s="18"/>
      <c r="K2387" s="21">
        <f t="shared" si="111"/>
        <v>50.53333333338378</v>
      </c>
      <c r="L2387" s="19">
        <f t="shared" si="112"/>
        <v>290</v>
      </c>
      <c r="M2387" s="18" t="str">
        <f>IF(I2387&lt;&gt;"Sí","",IF(YEAR(F2387)&lt;&gt;2026,"",INDEX({"Enero","Febrero","Marzo","Abril","Mayo","Junio","Julio","Agosto","Septiembre","Octubre","Noviembre","Diciembre"},MONTH(F2387))))</f>
        <v>Septiembre</v>
      </c>
      <c r="N2387" s="18" t="str">
        <f t="shared" si="113"/>
        <v>Septiembre|290</v>
      </c>
    </row>
    <row r="2388" spans="1:14" ht="14.5" x14ac:dyDescent="0.25">
      <c r="A2388" s="19">
        <v>35</v>
      </c>
      <c r="B2388" s="18" t="s">
        <v>42</v>
      </c>
      <c r="C2388" s="18" t="s">
        <v>99</v>
      </c>
      <c r="D2388" s="18" t="s">
        <v>2685</v>
      </c>
      <c r="E2388" s="18" t="s">
        <v>2939</v>
      </c>
      <c r="F2388" s="101">
        <v>46268.557638888888</v>
      </c>
      <c r="G2388" s="101">
        <v>46270.663194444445</v>
      </c>
      <c r="H2388" s="18" t="s">
        <v>507</v>
      </c>
      <c r="I2388" s="18" t="s">
        <v>508</v>
      </c>
      <c r="J2388" s="18"/>
      <c r="K2388" s="21">
        <f t="shared" si="111"/>
        <v>50.53333333338378</v>
      </c>
      <c r="L2388" s="19">
        <f t="shared" si="112"/>
        <v>290</v>
      </c>
      <c r="M2388" s="18" t="str">
        <f>IF(I2388&lt;&gt;"Sí","",IF(YEAR(F2388)&lt;&gt;2026,"",INDEX({"Enero","Febrero","Marzo","Abril","Mayo","Junio","Julio","Agosto","Septiembre","Octubre","Noviembre","Diciembre"},MONTH(F2388))))</f>
        <v>Septiembre</v>
      </c>
      <c r="N2388" s="18" t="str">
        <f t="shared" si="113"/>
        <v>Septiembre|290</v>
      </c>
    </row>
    <row r="2389" spans="1:14" ht="14.5" x14ac:dyDescent="0.25">
      <c r="A2389" s="19">
        <v>35</v>
      </c>
      <c r="B2389" s="18" t="s">
        <v>42</v>
      </c>
      <c r="C2389" s="18" t="s">
        <v>99</v>
      </c>
      <c r="D2389" s="18" t="s">
        <v>2685</v>
      </c>
      <c r="E2389" s="18" t="s">
        <v>2940</v>
      </c>
      <c r="F2389" s="101">
        <v>46268.557638888888</v>
      </c>
      <c r="G2389" s="101">
        <v>46270.663194444445</v>
      </c>
      <c r="H2389" s="18" t="s">
        <v>507</v>
      </c>
      <c r="I2389" s="18" t="s">
        <v>508</v>
      </c>
      <c r="J2389" s="18"/>
      <c r="K2389" s="21">
        <f t="shared" si="111"/>
        <v>50.53333333338378</v>
      </c>
      <c r="L2389" s="19">
        <f t="shared" si="112"/>
        <v>290</v>
      </c>
      <c r="M2389" s="18" t="str">
        <f>IF(I2389&lt;&gt;"Sí","",IF(YEAR(F2389)&lt;&gt;2026,"",INDEX({"Enero","Febrero","Marzo","Abril","Mayo","Junio","Julio","Agosto","Septiembre","Octubre","Noviembre","Diciembre"},MONTH(F2389))))</f>
        <v>Septiembre</v>
      </c>
      <c r="N2389" s="18" t="str">
        <f t="shared" si="113"/>
        <v>Septiembre|290</v>
      </c>
    </row>
    <row r="2390" spans="1:14" ht="14.5" x14ac:dyDescent="0.25">
      <c r="A2390" s="19">
        <v>35</v>
      </c>
      <c r="B2390" s="18" t="s">
        <v>42</v>
      </c>
      <c r="C2390" s="18" t="s">
        <v>99</v>
      </c>
      <c r="D2390" s="18" t="s">
        <v>2685</v>
      </c>
      <c r="E2390" s="18" t="s">
        <v>2941</v>
      </c>
      <c r="F2390" s="101">
        <v>46268.557638888888</v>
      </c>
      <c r="G2390" s="101">
        <v>46270.663194444445</v>
      </c>
      <c r="H2390" s="18" t="s">
        <v>507</v>
      </c>
      <c r="I2390" s="18" t="s">
        <v>508</v>
      </c>
      <c r="J2390" s="18"/>
      <c r="K2390" s="21">
        <f t="shared" si="111"/>
        <v>50.53333333338378</v>
      </c>
      <c r="L2390" s="19">
        <f t="shared" si="112"/>
        <v>290</v>
      </c>
      <c r="M2390" s="18" t="str">
        <f>IF(I2390&lt;&gt;"Sí","",IF(YEAR(F2390)&lt;&gt;2026,"",INDEX({"Enero","Febrero","Marzo","Abril","Mayo","Junio","Julio","Agosto","Septiembre","Octubre","Noviembre","Diciembre"},MONTH(F2390))))</f>
        <v>Septiembre</v>
      </c>
      <c r="N2390" s="18" t="str">
        <f t="shared" si="113"/>
        <v>Septiembre|290</v>
      </c>
    </row>
    <row r="2391" spans="1:14" ht="14.5" x14ac:dyDescent="0.25">
      <c r="A2391" s="19">
        <v>35</v>
      </c>
      <c r="B2391" s="18" t="s">
        <v>42</v>
      </c>
      <c r="C2391" s="18" t="s">
        <v>99</v>
      </c>
      <c r="D2391" s="18" t="s">
        <v>2685</v>
      </c>
      <c r="E2391" s="18" t="s">
        <v>2942</v>
      </c>
      <c r="F2391" s="101">
        <v>46268.557638888888</v>
      </c>
      <c r="G2391" s="101">
        <v>46270.663194444445</v>
      </c>
      <c r="H2391" s="18" t="s">
        <v>507</v>
      </c>
      <c r="I2391" s="18" t="s">
        <v>508</v>
      </c>
      <c r="J2391" s="18"/>
      <c r="K2391" s="21">
        <f t="shared" si="111"/>
        <v>50.53333333338378</v>
      </c>
      <c r="L2391" s="19">
        <f t="shared" si="112"/>
        <v>290</v>
      </c>
      <c r="M2391" s="18" t="str">
        <f>IF(I2391&lt;&gt;"Sí","",IF(YEAR(F2391)&lt;&gt;2026,"",INDEX({"Enero","Febrero","Marzo","Abril","Mayo","Junio","Julio","Agosto","Septiembre","Octubre","Noviembre","Diciembre"},MONTH(F2391))))</f>
        <v>Septiembre</v>
      </c>
      <c r="N2391" s="18" t="str">
        <f t="shared" si="113"/>
        <v>Septiembre|290</v>
      </c>
    </row>
    <row r="2392" spans="1:14" ht="14.5" x14ac:dyDescent="0.25">
      <c r="A2392" s="19">
        <v>35</v>
      </c>
      <c r="B2392" s="18" t="s">
        <v>42</v>
      </c>
      <c r="C2392" s="18" t="s">
        <v>99</v>
      </c>
      <c r="D2392" s="18" t="s">
        <v>2685</v>
      </c>
      <c r="E2392" s="18" t="s">
        <v>2943</v>
      </c>
      <c r="F2392" s="101">
        <v>46268.557638888888</v>
      </c>
      <c r="G2392" s="101">
        <v>46270.663194444445</v>
      </c>
      <c r="H2392" s="18" t="s">
        <v>507</v>
      </c>
      <c r="I2392" s="18" t="s">
        <v>508</v>
      </c>
      <c r="J2392" s="18"/>
      <c r="K2392" s="21">
        <f t="shared" si="111"/>
        <v>50.53333333338378</v>
      </c>
      <c r="L2392" s="19">
        <f t="shared" si="112"/>
        <v>290</v>
      </c>
      <c r="M2392" s="18" t="str">
        <f>IF(I2392&lt;&gt;"Sí","",IF(YEAR(F2392)&lt;&gt;2026,"",INDEX({"Enero","Febrero","Marzo","Abril","Mayo","Junio","Julio","Agosto","Septiembre","Octubre","Noviembre","Diciembre"},MONTH(F2392))))</f>
        <v>Septiembre</v>
      </c>
      <c r="N2392" s="18" t="str">
        <f t="shared" si="113"/>
        <v>Septiembre|290</v>
      </c>
    </row>
    <row r="2393" spans="1:14" ht="14.5" x14ac:dyDescent="0.25">
      <c r="A2393" s="19">
        <v>35</v>
      </c>
      <c r="B2393" s="18" t="s">
        <v>42</v>
      </c>
      <c r="C2393" s="18" t="s">
        <v>99</v>
      </c>
      <c r="D2393" s="18" t="s">
        <v>2685</v>
      </c>
      <c r="E2393" s="18" t="s">
        <v>2944</v>
      </c>
      <c r="F2393" s="101">
        <v>46268.557638888888</v>
      </c>
      <c r="G2393" s="101">
        <v>46270.663194444445</v>
      </c>
      <c r="H2393" s="18" t="s">
        <v>507</v>
      </c>
      <c r="I2393" s="18" t="s">
        <v>508</v>
      </c>
      <c r="J2393" s="18"/>
      <c r="K2393" s="21">
        <f t="shared" si="111"/>
        <v>50.53333333338378</v>
      </c>
      <c r="L2393" s="19">
        <f t="shared" si="112"/>
        <v>290</v>
      </c>
      <c r="M2393" s="18" t="str">
        <f>IF(I2393&lt;&gt;"Sí","",IF(YEAR(F2393)&lt;&gt;2026,"",INDEX({"Enero","Febrero","Marzo","Abril","Mayo","Junio","Julio","Agosto","Septiembre","Octubre","Noviembre","Diciembre"},MONTH(F2393))))</f>
        <v>Septiembre</v>
      </c>
      <c r="N2393" s="18" t="str">
        <f t="shared" si="113"/>
        <v>Septiembre|290</v>
      </c>
    </row>
    <row r="2394" spans="1:14" ht="14.5" x14ac:dyDescent="0.25">
      <c r="A2394" s="19">
        <v>35</v>
      </c>
      <c r="B2394" s="18" t="s">
        <v>42</v>
      </c>
      <c r="C2394" s="18" t="s">
        <v>99</v>
      </c>
      <c r="D2394" s="18" t="s">
        <v>2685</v>
      </c>
      <c r="E2394" s="18" t="s">
        <v>2945</v>
      </c>
      <c r="F2394" s="101">
        <v>46268.557638888888</v>
      </c>
      <c r="G2394" s="101">
        <v>46270.663194444445</v>
      </c>
      <c r="H2394" s="18" t="s">
        <v>507</v>
      </c>
      <c r="I2394" s="18" t="s">
        <v>508</v>
      </c>
      <c r="J2394" s="18"/>
      <c r="K2394" s="21">
        <f t="shared" si="111"/>
        <v>50.53333333338378</v>
      </c>
      <c r="L2394" s="19">
        <f t="shared" si="112"/>
        <v>290</v>
      </c>
      <c r="M2394" s="18" t="str">
        <f>IF(I2394&lt;&gt;"Sí","",IF(YEAR(F2394)&lt;&gt;2026,"",INDEX({"Enero","Febrero","Marzo","Abril","Mayo","Junio","Julio","Agosto","Septiembre","Octubre","Noviembre","Diciembre"},MONTH(F2394))))</f>
        <v>Septiembre</v>
      </c>
      <c r="N2394" s="18" t="str">
        <f t="shared" si="113"/>
        <v>Septiembre|290</v>
      </c>
    </row>
    <row r="2395" spans="1:14" ht="14.5" x14ac:dyDescent="0.25">
      <c r="A2395" s="19">
        <v>35</v>
      </c>
      <c r="B2395" s="18" t="s">
        <v>42</v>
      </c>
      <c r="C2395" s="18" t="s">
        <v>99</v>
      </c>
      <c r="D2395" s="18" t="s">
        <v>2685</v>
      </c>
      <c r="E2395" s="18" t="s">
        <v>2946</v>
      </c>
      <c r="F2395" s="101">
        <v>46268.557638888888</v>
      </c>
      <c r="G2395" s="101">
        <v>46270.663194444445</v>
      </c>
      <c r="H2395" s="18" t="s">
        <v>507</v>
      </c>
      <c r="I2395" s="18" t="s">
        <v>508</v>
      </c>
      <c r="J2395" s="18"/>
      <c r="K2395" s="21">
        <f t="shared" si="111"/>
        <v>50.53333333338378</v>
      </c>
      <c r="L2395" s="19">
        <f t="shared" si="112"/>
        <v>290</v>
      </c>
      <c r="M2395" s="18" t="str">
        <f>IF(I2395&lt;&gt;"Sí","",IF(YEAR(F2395)&lt;&gt;2026,"",INDEX({"Enero","Febrero","Marzo","Abril","Mayo","Junio","Julio","Agosto","Septiembre","Octubre","Noviembre","Diciembre"},MONTH(F2395))))</f>
        <v>Septiembre</v>
      </c>
      <c r="N2395" s="18" t="str">
        <f t="shared" si="113"/>
        <v>Septiembre|290</v>
      </c>
    </row>
    <row r="2396" spans="1:14" ht="14.5" x14ac:dyDescent="0.25">
      <c r="A2396" s="19">
        <v>35</v>
      </c>
      <c r="B2396" s="18" t="s">
        <v>42</v>
      </c>
      <c r="C2396" s="18" t="s">
        <v>99</v>
      </c>
      <c r="D2396" s="18" t="s">
        <v>2685</v>
      </c>
      <c r="E2396" s="18" t="s">
        <v>2947</v>
      </c>
      <c r="F2396" s="101">
        <v>46268.565972222219</v>
      </c>
      <c r="G2396" s="101">
        <v>46270.663194444445</v>
      </c>
      <c r="H2396" s="18" t="s">
        <v>507</v>
      </c>
      <c r="I2396" s="18" t="s">
        <v>508</v>
      </c>
      <c r="J2396" s="18"/>
      <c r="K2396" s="21">
        <f t="shared" si="111"/>
        <v>50.333333333430346</v>
      </c>
      <c r="L2396" s="19">
        <f t="shared" si="112"/>
        <v>291</v>
      </c>
      <c r="M2396" s="18" t="str">
        <f>IF(I2396&lt;&gt;"Sí","",IF(YEAR(F2396)&lt;&gt;2026,"",INDEX({"Enero","Febrero","Marzo","Abril","Mayo","Junio","Julio","Agosto","Septiembre","Octubre","Noviembre","Diciembre"},MONTH(F2396))))</f>
        <v>Septiembre</v>
      </c>
      <c r="N2396" s="18" t="str">
        <f t="shared" si="113"/>
        <v>Septiembre|291</v>
      </c>
    </row>
    <row r="2397" spans="1:14" ht="14.5" x14ac:dyDescent="0.25">
      <c r="A2397" s="19">
        <v>35</v>
      </c>
      <c r="B2397" s="18" t="s">
        <v>42</v>
      </c>
      <c r="C2397" s="18" t="s">
        <v>99</v>
      </c>
      <c r="D2397" s="18" t="s">
        <v>2685</v>
      </c>
      <c r="E2397" s="18" t="s">
        <v>2948</v>
      </c>
      <c r="F2397" s="101">
        <v>46268.566666666666</v>
      </c>
      <c r="G2397" s="101">
        <v>46270.444444444445</v>
      </c>
      <c r="H2397" s="18" t="s">
        <v>507</v>
      </c>
      <c r="I2397" s="18" t="s">
        <v>508</v>
      </c>
      <c r="J2397" s="18"/>
      <c r="K2397" s="21">
        <f t="shared" si="111"/>
        <v>45.066666666709352</v>
      </c>
      <c r="L2397" s="19">
        <f t="shared" si="112"/>
        <v>292</v>
      </c>
      <c r="M2397" s="18" t="str">
        <f>IF(I2397&lt;&gt;"Sí","",IF(YEAR(F2397)&lt;&gt;2026,"",INDEX({"Enero","Febrero","Marzo","Abril","Mayo","Junio","Julio","Agosto","Septiembre","Octubre","Noviembre","Diciembre"},MONTH(F2397))))</f>
        <v>Septiembre</v>
      </c>
      <c r="N2397" s="18" t="str">
        <f t="shared" si="113"/>
        <v>Septiembre|292</v>
      </c>
    </row>
    <row r="2398" spans="1:14" ht="14.5" x14ac:dyDescent="0.25">
      <c r="A2398" s="19">
        <v>35</v>
      </c>
      <c r="B2398" s="18" t="s">
        <v>42</v>
      </c>
      <c r="C2398" s="18" t="s">
        <v>99</v>
      </c>
      <c r="D2398" s="18" t="s">
        <v>2685</v>
      </c>
      <c r="E2398" s="18" t="s">
        <v>2949</v>
      </c>
      <c r="F2398" s="101">
        <v>46268.570138888892</v>
      </c>
      <c r="G2398" s="101">
        <v>46270.40625</v>
      </c>
      <c r="H2398" s="18" t="s">
        <v>507</v>
      </c>
      <c r="I2398" s="18" t="s">
        <v>508</v>
      </c>
      <c r="J2398" s="18"/>
      <c r="K2398" s="21">
        <f t="shared" si="111"/>
        <v>44.066666666592937</v>
      </c>
      <c r="L2398" s="19">
        <f t="shared" si="112"/>
        <v>293</v>
      </c>
      <c r="M2398" s="18" t="str">
        <f>IF(I2398&lt;&gt;"Sí","",IF(YEAR(F2398)&lt;&gt;2026,"",INDEX({"Enero","Febrero","Marzo","Abril","Mayo","Junio","Julio","Agosto","Septiembre","Octubre","Noviembre","Diciembre"},MONTH(F2398))))</f>
        <v>Septiembre</v>
      </c>
      <c r="N2398" s="18" t="str">
        <f t="shared" si="113"/>
        <v>Septiembre|293</v>
      </c>
    </row>
    <row r="2399" spans="1:14" ht="14.5" x14ac:dyDescent="0.25">
      <c r="A2399" s="19">
        <v>35</v>
      </c>
      <c r="B2399" s="18" t="s">
        <v>42</v>
      </c>
      <c r="C2399" s="18" t="s">
        <v>99</v>
      </c>
      <c r="D2399" s="18" t="s">
        <v>2685</v>
      </c>
      <c r="E2399" s="18" t="s">
        <v>2950</v>
      </c>
      <c r="F2399" s="101">
        <v>46268.602083333331</v>
      </c>
      <c r="G2399" s="101">
        <v>46270.181250000001</v>
      </c>
      <c r="H2399" s="18" t="s">
        <v>507</v>
      </c>
      <c r="I2399" s="18" t="s">
        <v>508</v>
      </c>
      <c r="J2399" s="18"/>
      <c r="K2399" s="21">
        <f t="shared" si="111"/>
        <v>37.900000000081491</v>
      </c>
      <c r="L2399" s="19">
        <f t="shared" si="112"/>
        <v>295</v>
      </c>
      <c r="M2399" s="18" t="str">
        <f>IF(I2399&lt;&gt;"Sí","",IF(YEAR(F2399)&lt;&gt;2026,"",INDEX({"Enero","Febrero","Marzo","Abril","Mayo","Junio","Julio","Agosto","Septiembre","Octubre","Noviembre","Diciembre"},MONTH(F2399))))</f>
        <v>Septiembre</v>
      </c>
      <c r="N2399" s="18" t="str">
        <f t="shared" si="113"/>
        <v>Septiembre|295</v>
      </c>
    </row>
    <row r="2400" spans="1:14" ht="14.5" x14ac:dyDescent="0.25">
      <c r="A2400" s="19">
        <v>35</v>
      </c>
      <c r="B2400" s="18" t="s">
        <v>42</v>
      </c>
      <c r="C2400" s="18" t="s">
        <v>99</v>
      </c>
      <c r="D2400" s="18" t="s">
        <v>2685</v>
      </c>
      <c r="E2400" s="18" t="s">
        <v>2951</v>
      </c>
      <c r="F2400" s="101">
        <v>46268.602083333331</v>
      </c>
      <c r="G2400" s="101">
        <v>46270.181250000001</v>
      </c>
      <c r="H2400" s="18" t="s">
        <v>507</v>
      </c>
      <c r="I2400" s="18" t="s">
        <v>508</v>
      </c>
      <c r="J2400" s="18"/>
      <c r="K2400" s="21">
        <f t="shared" si="111"/>
        <v>37.900000000081491</v>
      </c>
      <c r="L2400" s="19">
        <f t="shared" si="112"/>
        <v>295</v>
      </c>
      <c r="M2400" s="18" t="str">
        <f>IF(I2400&lt;&gt;"Sí","",IF(YEAR(F2400)&lt;&gt;2026,"",INDEX({"Enero","Febrero","Marzo","Abril","Mayo","Junio","Julio","Agosto","Septiembre","Octubre","Noviembre","Diciembre"},MONTH(F2400))))</f>
        <v>Septiembre</v>
      </c>
      <c r="N2400" s="18" t="str">
        <f t="shared" si="113"/>
        <v>Septiembre|295</v>
      </c>
    </row>
    <row r="2401" spans="1:14" ht="14.5" x14ac:dyDescent="0.25">
      <c r="A2401" s="19">
        <v>35</v>
      </c>
      <c r="B2401" s="18" t="s">
        <v>42</v>
      </c>
      <c r="C2401" s="18" t="s">
        <v>99</v>
      </c>
      <c r="D2401" s="18" t="s">
        <v>2685</v>
      </c>
      <c r="E2401" s="18" t="s">
        <v>2952</v>
      </c>
      <c r="F2401" s="101">
        <v>46268.604166666664</v>
      </c>
      <c r="G2401" s="101">
        <v>46270.181250000001</v>
      </c>
      <c r="H2401" s="18" t="s">
        <v>507</v>
      </c>
      <c r="I2401" s="18" t="s">
        <v>508</v>
      </c>
      <c r="J2401" s="18"/>
      <c r="K2401" s="21">
        <f t="shared" si="111"/>
        <v>37.850000000093132</v>
      </c>
      <c r="L2401" s="19">
        <f t="shared" si="112"/>
        <v>296</v>
      </c>
      <c r="M2401" s="18" t="str">
        <f>IF(I2401&lt;&gt;"Sí","",IF(YEAR(F2401)&lt;&gt;2026,"",INDEX({"Enero","Febrero","Marzo","Abril","Mayo","Junio","Julio","Agosto","Septiembre","Octubre","Noviembre","Diciembre"},MONTH(F2401))))</f>
        <v>Septiembre</v>
      </c>
      <c r="N2401" s="18" t="str">
        <f t="shared" si="113"/>
        <v>Septiembre|296</v>
      </c>
    </row>
    <row r="2402" spans="1:14" ht="14.5" x14ac:dyDescent="0.25">
      <c r="A2402" s="19">
        <v>35</v>
      </c>
      <c r="B2402" s="18" t="s">
        <v>42</v>
      </c>
      <c r="C2402" s="18" t="s">
        <v>99</v>
      </c>
      <c r="D2402" s="18" t="s">
        <v>2685</v>
      </c>
      <c r="E2402" s="18" t="s">
        <v>2953</v>
      </c>
      <c r="F2402" s="101">
        <v>46268.605555555558</v>
      </c>
      <c r="G2402" s="101">
        <v>46270.743055555555</v>
      </c>
      <c r="H2402" s="18" t="s">
        <v>507</v>
      </c>
      <c r="I2402" s="18" t="s">
        <v>508</v>
      </c>
      <c r="J2402" s="18"/>
      <c r="K2402" s="21">
        <f t="shared" si="111"/>
        <v>51.299999999930151</v>
      </c>
      <c r="L2402" s="19">
        <f t="shared" si="112"/>
        <v>297</v>
      </c>
      <c r="M2402" s="18" t="str">
        <f>IF(I2402&lt;&gt;"Sí","",IF(YEAR(F2402)&lt;&gt;2026,"",INDEX({"Enero","Febrero","Marzo","Abril","Mayo","Junio","Julio","Agosto","Septiembre","Octubre","Noviembre","Diciembre"},MONTH(F2402))))</f>
        <v>Septiembre</v>
      </c>
      <c r="N2402" s="18" t="str">
        <f t="shared" si="113"/>
        <v>Septiembre|297</v>
      </c>
    </row>
    <row r="2403" spans="1:14" ht="14.5" x14ac:dyDescent="0.25">
      <c r="A2403" s="19">
        <v>35</v>
      </c>
      <c r="B2403" s="18" t="s">
        <v>42</v>
      </c>
      <c r="C2403" s="18" t="s">
        <v>99</v>
      </c>
      <c r="D2403" s="18" t="s">
        <v>2685</v>
      </c>
      <c r="E2403" s="18" t="s">
        <v>2954</v>
      </c>
      <c r="F2403" s="101">
        <v>46268.607638888891</v>
      </c>
      <c r="G2403" s="101">
        <v>46270.181250000001</v>
      </c>
      <c r="H2403" s="18" t="s">
        <v>507</v>
      </c>
      <c r="I2403" s="18" t="s">
        <v>508</v>
      </c>
      <c r="J2403" s="18"/>
      <c r="K2403" s="21">
        <f t="shared" si="111"/>
        <v>37.766666666662786</v>
      </c>
      <c r="L2403" s="19">
        <f t="shared" si="112"/>
        <v>298</v>
      </c>
      <c r="M2403" s="18" t="str">
        <f>IF(I2403&lt;&gt;"Sí","",IF(YEAR(F2403)&lt;&gt;2026,"",INDEX({"Enero","Febrero","Marzo","Abril","Mayo","Junio","Julio","Agosto","Septiembre","Octubre","Noviembre","Diciembre"},MONTH(F2403))))</f>
        <v>Septiembre</v>
      </c>
      <c r="N2403" s="18" t="str">
        <f t="shared" si="113"/>
        <v>Septiembre|298</v>
      </c>
    </row>
    <row r="2404" spans="1:14" ht="14.5" x14ac:dyDescent="0.25">
      <c r="A2404" s="19">
        <v>35</v>
      </c>
      <c r="B2404" s="18" t="s">
        <v>42</v>
      </c>
      <c r="C2404" s="18" t="s">
        <v>99</v>
      </c>
      <c r="D2404" s="18" t="s">
        <v>2685</v>
      </c>
      <c r="E2404" s="18" t="s">
        <v>2955</v>
      </c>
      <c r="F2404" s="101">
        <v>46268.609722222223</v>
      </c>
      <c r="G2404" s="101">
        <v>46270.826388888891</v>
      </c>
      <c r="H2404" s="18" t="s">
        <v>507</v>
      </c>
      <c r="I2404" s="18" t="s">
        <v>508</v>
      </c>
      <c r="J2404" s="18"/>
      <c r="K2404" s="21">
        <f t="shared" si="111"/>
        <v>53.200000000011642</v>
      </c>
      <c r="L2404" s="19">
        <f t="shared" si="112"/>
        <v>299</v>
      </c>
      <c r="M2404" s="18" t="str">
        <f>IF(I2404&lt;&gt;"Sí","",IF(YEAR(F2404)&lt;&gt;2026,"",INDEX({"Enero","Febrero","Marzo","Abril","Mayo","Junio","Julio","Agosto","Septiembre","Octubre","Noviembre","Diciembre"},MONTH(F2404))))</f>
        <v>Septiembre</v>
      </c>
      <c r="N2404" s="18" t="str">
        <f t="shared" si="113"/>
        <v>Septiembre|299</v>
      </c>
    </row>
    <row r="2405" spans="1:14" ht="14.5" x14ac:dyDescent="0.25">
      <c r="A2405" s="19">
        <v>35</v>
      </c>
      <c r="B2405" s="18" t="s">
        <v>42</v>
      </c>
      <c r="C2405" s="18" t="s">
        <v>99</v>
      </c>
      <c r="D2405" s="18" t="s">
        <v>2685</v>
      </c>
      <c r="E2405" s="18" t="s">
        <v>2956</v>
      </c>
      <c r="F2405" s="101">
        <v>46268.611111111109</v>
      </c>
      <c r="G2405" s="101">
        <v>46270.826388888891</v>
      </c>
      <c r="H2405" s="18" t="s">
        <v>507</v>
      </c>
      <c r="I2405" s="18" t="s">
        <v>508</v>
      </c>
      <c r="J2405" s="18"/>
      <c r="K2405" s="21">
        <f t="shared" si="111"/>
        <v>53.166666666744277</v>
      </c>
      <c r="L2405" s="19">
        <f t="shared" si="112"/>
        <v>300</v>
      </c>
      <c r="M2405" s="18" t="str">
        <f>IF(I2405&lt;&gt;"Sí","",IF(YEAR(F2405)&lt;&gt;2026,"",INDEX({"Enero","Febrero","Marzo","Abril","Mayo","Junio","Julio","Agosto","Septiembre","Octubre","Noviembre","Diciembre"},MONTH(F2405))))</f>
        <v>Septiembre</v>
      </c>
      <c r="N2405" s="18" t="str">
        <f t="shared" si="113"/>
        <v>Septiembre|300</v>
      </c>
    </row>
    <row r="2406" spans="1:14" ht="14.5" x14ac:dyDescent="0.25">
      <c r="A2406" s="19">
        <v>35</v>
      </c>
      <c r="B2406" s="18" t="s">
        <v>42</v>
      </c>
      <c r="C2406" s="18" t="s">
        <v>99</v>
      </c>
      <c r="D2406" s="18" t="s">
        <v>2685</v>
      </c>
      <c r="E2406" s="18" t="s">
        <v>2957</v>
      </c>
      <c r="F2406" s="101">
        <v>46268.613194444442</v>
      </c>
      <c r="G2406" s="101">
        <v>46270.826388888891</v>
      </c>
      <c r="H2406" s="18" t="s">
        <v>507</v>
      </c>
      <c r="I2406" s="18" t="s">
        <v>508</v>
      </c>
      <c r="J2406" s="18"/>
      <c r="K2406" s="21">
        <f t="shared" si="111"/>
        <v>53.116666666755918</v>
      </c>
      <c r="L2406" s="19">
        <f t="shared" si="112"/>
        <v>301</v>
      </c>
      <c r="M2406" s="18" t="str">
        <f>IF(I2406&lt;&gt;"Sí","",IF(YEAR(F2406)&lt;&gt;2026,"",INDEX({"Enero","Febrero","Marzo","Abril","Mayo","Junio","Julio","Agosto","Septiembre","Octubre","Noviembre","Diciembre"},MONTH(F2406))))</f>
        <v>Septiembre</v>
      </c>
      <c r="N2406" s="18" t="str">
        <f t="shared" si="113"/>
        <v>Septiembre|301</v>
      </c>
    </row>
    <row r="2407" spans="1:14" ht="14.5" x14ac:dyDescent="0.25">
      <c r="A2407" s="19">
        <v>35</v>
      </c>
      <c r="B2407" s="18" t="s">
        <v>42</v>
      </c>
      <c r="C2407" s="18" t="s">
        <v>99</v>
      </c>
      <c r="D2407" s="18" t="s">
        <v>2685</v>
      </c>
      <c r="E2407" s="18" t="s">
        <v>2958</v>
      </c>
      <c r="F2407" s="101">
        <v>46268.618055555555</v>
      </c>
      <c r="G2407" s="101">
        <v>46270.826388888891</v>
      </c>
      <c r="H2407" s="18" t="s">
        <v>507</v>
      </c>
      <c r="I2407" s="18" t="s">
        <v>508</v>
      </c>
      <c r="J2407" s="18"/>
      <c r="K2407" s="21">
        <f t="shared" si="111"/>
        <v>53.000000000058208</v>
      </c>
      <c r="L2407" s="19">
        <f t="shared" si="112"/>
        <v>303</v>
      </c>
      <c r="M2407" s="18" t="str">
        <f>IF(I2407&lt;&gt;"Sí","",IF(YEAR(F2407)&lt;&gt;2026,"",INDEX({"Enero","Febrero","Marzo","Abril","Mayo","Junio","Julio","Agosto","Septiembre","Octubre","Noviembre","Diciembre"},MONTH(F2407))))</f>
        <v>Septiembre</v>
      </c>
      <c r="N2407" s="18" t="str">
        <f t="shared" si="113"/>
        <v>Septiembre|303</v>
      </c>
    </row>
    <row r="2408" spans="1:14" ht="14.5" x14ac:dyDescent="0.25">
      <c r="A2408" s="19">
        <v>35</v>
      </c>
      <c r="B2408" s="18" t="s">
        <v>42</v>
      </c>
      <c r="C2408" s="18" t="s">
        <v>99</v>
      </c>
      <c r="D2408" s="18" t="s">
        <v>2685</v>
      </c>
      <c r="E2408" s="18" t="s">
        <v>2959</v>
      </c>
      <c r="F2408" s="101">
        <v>46268.618055555555</v>
      </c>
      <c r="G2408" s="101">
        <v>46270.826388888891</v>
      </c>
      <c r="H2408" s="18" t="s">
        <v>507</v>
      </c>
      <c r="I2408" s="18" t="s">
        <v>508</v>
      </c>
      <c r="J2408" s="18"/>
      <c r="K2408" s="21">
        <f t="shared" si="111"/>
        <v>53.000000000058208</v>
      </c>
      <c r="L2408" s="19">
        <f t="shared" si="112"/>
        <v>303</v>
      </c>
      <c r="M2408" s="18" t="str">
        <f>IF(I2408&lt;&gt;"Sí","",IF(YEAR(F2408)&lt;&gt;2026,"",INDEX({"Enero","Febrero","Marzo","Abril","Mayo","Junio","Julio","Agosto","Septiembre","Octubre","Noviembre","Diciembre"},MONTH(F2408))))</f>
        <v>Septiembre</v>
      </c>
      <c r="N2408" s="18" t="str">
        <f t="shared" si="113"/>
        <v>Septiembre|303</v>
      </c>
    </row>
    <row r="2409" spans="1:14" ht="14.5" x14ac:dyDescent="0.25">
      <c r="A2409" s="19">
        <v>35</v>
      </c>
      <c r="B2409" s="18" t="s">
        <v>42</v>
      </c>
      <c r="C2409" s="18" t="s">
        <v>99</v>
      </c>
      <c r="D2409" s="18" t="s">
        <v>2685</v>
      </c>
      <c r="E2409" s="18" t="s">
        <v>2960</v>
      </c>
      <c r="F2409" s="101">
        <v>46268.621527777781</v>
      </c>
      <c r="G2409" s="101">
        <v>46270.805555555555</v>
      </c>
      <c r="H2409" s="18" t="s">
        <v>507</v>
      </c>
      <c r="I2409" s="18" t="s">
        <v>508</v>
      </c>
      <c r="J2409" s="18"/>
      <c r="K2409" s="21">
        <f t="shared" si="111"/>
        <v>52.416666666569654</v>
      </c>
      <c r="L2409" s="19">
        <f t="shared" si="112"/>
        <v>304</v>
      </c>
      <c r="M2409" s="18" t="str">
        <f>IF(I2409&lt;&gt;"Sí","",IF(YEAR(F2409)&lt;&gt;2026,"",INDEX({"Enero","Febrero","Marzo","Abril","Mayo","Junio","Julio","Agosto","Septiembre","Octubre","Noviembre","Diciembre"},MONTH(F2409))))</f>
        <v>Septiembre</v>
      </c>
      <c r="N2409" s="18" t="str">
        <f t="shared" si="113"/>
        <v>Septiembre|304</v>
      </c>
    </row>
    <row r="2410" spans="1:14" ht="14.5" x14ac:dyDescent="0.25">
      <c r="A2410" s="19">
        <v>35</v>
      </c>
      <c r="B2410" s="18" t="s">
        <v>42</v>
      </c>
      <c r="C2410" s="18" t="s">
        <v>447</v>
      </c>
      <c r="D2410" s="18" t="s">
        <v>2679</v>
      </c>
      <c r="E2410" s="18" t="s">
        <v>2961</v>
      </c>
      <c r="F2410" s="101">
        <v>46268.631944444445</v>
      </c>
      <c r="G2410" s="101">
        <v>46275.693055555559</v>
      </c>
      <c r="H2410" s="18" t="s">
        <v>507</v>
      </c>
      <c r="I2410" s="18" t="s">
        <v>508</v>
      </c>
      <c r="J2410" s="18"/>
      <c r="K2410" s="21">
        <f t="shared" si="111"/>
        <v>169.46666666673264</v>
      </c>
      <c r="L2410" s="19">
        <f t="shared" si="112"/>
        <v>306</v>
      </c>
      <c r="M2410" s="18" t="str">
        <f>IF(I2410&lt;&gt;"Sí","",IF(YEAR(F2410)&lt;&gt;2026,"",INDEX({"Enero","Febrero","Marzo","Abril","Mayo","Junio","Julio","Agosto","Septiembre","Octubre","Noviembre","Diciembre"},MONTH(F2410))))</f>
        <v>Septiembre</v>
      </c>
      <c r="N2410" s="18" t="str">
        <f t="shared" si="113"/>
        <v>Septiembre|306</v>
      </c>
    </row>
    <row r="2411" spans="1:14" ht="14.5" x14ac:dyDescent="0.25">
      <c r="A2411" s="19">
        <v>35</v>
      </c>
      <c r="B2411" s="18" t="s">
        <v>42</v>
      </c>
      <c r="C2411" s="18" t="s">
        <v>92</v>
      </c>
      <c r="D2411" s="18" t="s">
        <v>2655</v>
      </c>
      <c r="E2411" s="18" t="s">
        <v>2962</v>
      </c>
      <c r="F2411" s="101">
        <v>46268.631944444445</v>
      </c>
      <c r="G2411" s="101">
        <v>46277.481249999997</v>
      </c>
      <c r="H2411" s="18" t="s">
        <v>507</v>
      </c>
      <c r="I2411" s="18" t="s">
        <v>508</v>
      </c>
      <c r="J2411" s="18"/>
      <c r="K2411" s="21">
        <f t="shared" si="111"/>
        <v>212.38333333324408</v>
      </c>
      <c r="L2411" s="19">
        <f t="shared" si="112"/>
        <v>306</v>
      </c>
      <c r="M2411" s="18" t="str">
        <f>IF(I2411&lt;&gt;"Sí","",IF(YEAR(F2411)&lt;&gt;2026,"",INDEX({"Enero","Febrero","Marzo","Abril","Mayo","Junio","Julio","Agosto","Septiembre","Octubre","Noviembre","Diciembre"},MONTH(F2411))))</f>
        <v>Septiembre</v>
      </c>
      <c r="N2411" s="18" t="str">
        <f t="shared" si="113"/>
        <v>Septiembre|306</v>
      </c>
    </row>
    <row r="2412" spans="1:14" ht="14.5" x14ac:dyDescent="0.25">
      <c r="A2412" s="19">
        <v>35</v>
      </c>
      <c r="B2412" s="18" t="s">
        <v>42</v>
      </c>
      <c r="C2412" s="18" t="s">
        <v>92</v>
      </c>
      <c r="D2412" s="18" t="s">
        <v>2655</v>
      </c>
      <c r="E2412" s="18" t="s">
        <v>2963</v>
      </c>
      <c r="F2412" s="101">
        <v>46269.438194444447</v>
      </c>
      <c r="G2412" s="101">
        <v>46278.143750000003</v>
      </c>
      <c r="H2412" s="18" t="s">
        <v>507</v>
      </c>
      <c r="I2412" s="18" t="s">
        <v>508</v>
      </c>
      <c r="J2412" s="18"/>
      <c r="K2412" s="21">
        <f t="shared" si="111"/>
        <v>208.93333333334886</v>
      </c>
      <c r="L2412" s="19">
        <f t="shared" si="112"/>
        <v>307</v>
      </c>
      <c r="M2412" s="18" t="str">
        <f>IF(I2412&lt;&gt;"Sí","",IF(YEAR(F2412)&lt;&gt;2026,"",INDEX({"Enero","Febrero","Marzo","Abril","Mayo","Junio","Julio","Agosto","Septiembre","Octubre","Noviembre","Diciembre"},MONTH(F2412))))</f>
        <v>Septiembre</v>
      </c>
      <c r="N2412" s="18" t="str">
        <f t="shared" si="113"/>
        <v>Septiembre|307</v>
      </c>
    </row>
    <row r="2413" spans="1:14" ht="14.5" x14ac:dyDescent="0.25">
      <c r="A2413" s="19">
        <v>35</v>
      </c>
      <c r="B2413" s="18" t="s">
        <v>42</v>
      </c>
      <c r="C2413" s="18" t="s">
        <v>447</v>
      </c>
      <c r="D2413" s="18" t="s">
        <v>2679</v>
      </c>
      <c r="E2413" s="18" t="s">
        <v>2964</v>
      </c>
      <c r="F2413" s="101">
        <v>46270.395833333336</v>
      </c>
      <c r="G2413" s="101">
        <v>46276.225694444445</v>
      </c>
      <c r="H2413" s="18" t="s">
        <v>507</v>
      </c>
      <c r="I2413" s="18" t="s">
        <v>508</v>
      </c>
      <c r="J2413" s="18"/>
      <c r="K2413" s="21">
        <f t="shared" si="111"/>
        <v>139.91666666662786</v>
      </c>
      <c r="L2413" s="19">
        <f t="shared" si="112"/>
        <v>233</v>
      </c>
      <c r="M2413" s="18" t="str">
        <f>IF(I2413&lt;&gt;"Sí","",IF(YEAR(F2413)&lt;&gt;2026,"",INDEX({"Enero","Febrero","Marzo","Abril","Mayo","Junio","Julio","Agosto","Septiembre","Octubre","Noviembre","Diciembre"},MONTH(F2413))))</f>
        <v>Septiembre</v>
      </c>
      <c r="N2413" s="18" t="str">
        <f t="shared" si="113"/>
        <v>Septiembre|233</v>
      </c>
    </row>
    <row r="2414" spans="1:14" ht="14.5" x14ac:dyDescent="0.25">
      <c r="A2414" s="19">
        <v>35</v>
      </c>
      <c r="B2414" s="18" t="s">
        <v>42</v>
      </c>
      <c r="C2414" s="18" t="s">
        <v>99</v>
      </c>
      <c r="D2414" s="18" t="s">
        <v>99</v>
      </c>
      <c r="E2414" s="18" t="s">
        <v>2965</v>
      </c>
      <c r="F2414" s="101"/>
      <c r="G2414" s="101">
        <v>46270.539583333331</v>
      </c>
      <c r="H2414" s="18" t="s">
        <v>554</v>
      </c>
      <c r="I2414" s="18" t="s">
        <v>555</v>
      </c>
      <c r="J2414" s="18" t="s">
        <v>556</v>
      </c>
      <c r="K2414" s="21" t="str">
        <f t="shared" si="111"/>
        <v/>
      </c>
      <c r="L2414" s="19" t="str">
        <f t="shared" si="112"/>
        <v/>
      </c>
      <c r="M2414" s="18" t="str">
        <f>IF(I2414&lt;&gt;"Sí","",IF(YEAR(F2414)&lt;&gt;2026,"",INDEX({"Enero","Febrero","Marzo","Abril","Mayo","Junio","Julio","Agosto","Septiembre","Octubre","Noviembre","Diciembre"},MONTH(F2414))))</f>
        <v/>
      </c>
      <c r="N2414" s="18" t="str">
        <f t="shared" si="113"/>
        <v/>
      </c>
    </row>
    <row r="2415" spans="1:14" ht="14.5" x14ac:dyDescent="0.25">
      <c r="A2415" s="19">
        <v>35</v>
      </c>
      <c r="B2415" s="18" t="s">
        <v>42</v>
      </c>
      <c r="C2415" s="18" t="s">
        <v>447</v>
      </c>
      <c r="D2415" s="18" t="s">
        <v>2679</v>
      </c>
      <c r="E2415" s="18" t="s">
        <v>2966</v>
      </c>
      <c r="F2415" s="101">
        <v>46270.544444444444</v>
      </c>
      <c r="G2415" s="101">
        <v>46274.87222222222</v>
      </c>
      <c r="H2415" s="18" t="s">
        <v>507</v>
      </c>
      <c r="I2415" s="18" t="s">
        <v>508</v>
      </c>
      <c r="J2415" s="18"/>
      <c r="K2415" s="21">
        <f t="shared" si="111"/>
        <v>103.8666666666395</v>
      </c>
      <c r="L2415" s="19">
        <f t="shared" si="112"/>
        <v>211</v>
      </c>
      <c r="M2415" s="18" t="str">
        <f>IF(I2415&lt;&gt;"Sí","",IF(YEAR(F2415)&lt;&gt;2026,"",INDEX({"Enero","Febrero","Marzo","Abril","Mayo","Junio","Julio","Agosto","Septiembre","Octubre","Noviembre","Diciembre"},MONTH(F2415))))</f>
        <v>Septiembre</v>
      </c>
      <c r="N2415" s="18" t="str">
        <f t="shared" si="113"/>
        <v>Septiembre|211</v>
      </c>
    </row>
    <row r="2416" spans="1:14" ht="14.5" x14ac:dyDescent="0.25">
      <c r="A2416" s="19">
        <v>35</v>
      </c>
      <c r="B2416" s="18" t="s">
        <v>42</v>
      </c>
      <c r="C2416" s="18" t="s">
        <v>447</v>
      </c>
      <c r="D2416" s="18" t="s">
        <v>2679</v>
      </c>
      <c r="E2416" s="18" t="s">
        <v>2967</v>
      </c>
      <c r="F2416" s="101">
        <v>46270.544444444444</v>
      </c>
      <c r="G2416" s="101">
        <v>46274.870138888888</v>
      </c>
      <c r="H2416" s="18" t="s">
        <v>507</v>
      </c>
      <c r="I2416" s="18" t="s">
        <v>508</v>
      </c>
      <c r="J2416" s="18"/>
      <c r="K2416" s="21">
        <f t="shared" si="111"/>
        <v>103.81666666665114</v>
      </c>
      <c r="L2416" s="19">
        <f t="shared" si="112"/>
        <v>211</v>
      </c>
      <c r="M2416" s="18" t="str">
        <f>IF(I2416&lt;&gt;"Sí","",IF(YEAR(F2416)&lt;&gt;2026,"",INDEX({"Enero","Febrero","Marzo","Abril","Mayo","Junio","Julio","Agosto","Septiembre","Octubre","Noviembre","Diciembre"},MONTH(F2416))))</f>
        <v>Septiembre</v>
      </c>
      <c r="N2416" s="18" t="str">
        <f t="shared" si="113"/>
        <v>Septiembre|211</v>
      </c>
    </row>
    <row r="2417" spans="1:14" ht="14.5" x14ac:dyDescent="0.25">
      <c r="A2417" s="19">
        <v>35</v>
      </c>
      <c r="B2417" s="18" t="s">
        <v>42</v>
      </c>
      <c r="C2417" s="18" t="s">
        <v>447</v>
      </c>
      <c r="D2417" s="18" t="s">
        <v>2679</v>
      </c>
      <c r="E2417" s="18" t="s">
        <v>2968</v>
      </c>
      <c r="F2417" s="101">
        <v>46270.544444444444</v>
      </c>
      <c r="G2417" s="101">
        <v>46275.697222222225</v>
      </c>
      <c r="H2417" s="18" t="s">
        <v>507</v>
      </c>
      <c r="I2417" s="18" t="s">
        <v>508</v>
      </c>
      <c r="J2417" s="18"/>
      <c r="K2417" s="21">
        <f t="shared" si="111"/>
        <v>123.66666666674428</v>
      </c>
      <c r="L2417" s="19">
        <f t="shared" si="112"/>
        <v>211</v>
      </c>
      <c r="M2417" s="18" t="str">
        <f>IF(I2417&lt;&gt;"Sí","",IF(YEAR(F2417)&lt;&gt;2026,"",INDEX({"Enero","Febrero","Marzo","Abril","Mayo","Junio","Julio","Agosto","Septiembre","Octubre","Noviembre","Diciembre"},MONTH(F2417))))</f>
        <v>Septiembre</v>
      </c>
      <c r="N2417" s="18" t="str">
        <f t="shared" si="113"/>
        <v>Septiembre|211</v>
      </c>
    </row>
    <row r="2418" spans="1:14" ht="14.5" x14ac:dyDescent="0.25">
      <c r="A2418" s="19">
        <v>35</v>
      </c>
      <c r="B2418" s="18" t="s">
        <v>42</v>
      </c>
      <c r="C2418" s="18" t="s">
        <v>447</v>
      </c>
      <c r="D2418" s="18" t="s">
        <v>2679</v>
      </c>
      <c r="E2418" s="18" t="s">
        <v>2969</v>
      </c>
      <c r="F2418" s="101">
        <v>46270.544444444444</v>
      </c>
      <c r="G2418" s="101">
        <v>46274.865972222222</v>
      </c>
      <c r="H2418" s="18" t="s">
        <v>507</v>
      </c>
      <c r="I2418" s="18" t="s">
        <v>508</v>
      </c>
      <c r="J2418" s="18"/>
      <c r="K2418" s="21">
        <f t="shared" si="111"/>
        <v>103.71666666667443</v>
      </c>
      <c r="L2418" s="19">
        <f t="shared" si="112"/>
        <v>211</v>
      </c>
      <c r="M2418" s="18" t="str">
        <f>IF(I2418&lt;&gt;"Sí","",IF(YEAR(F2418)&lt;&gt;2026,"",INDEX({"Enero","Febrero","Marzo","Abril","Mayo","Junio","Julio","Agosto","Septiembre","Octubre","Noviembre","Diciembre"},MONTH(F2418))))</f>
        <v>Septiembre</v>
      </c>
      <c r="N2418" s="18" t="str">
        <f t="shared" si="113"/>
        <v>Septiembre|211</v>
      </c>
    </row>
    <row r="2419" spans="1:14" ht="14.5" x14ac:dyDescent="0.25">
      <c r="A2419" s="19">
        <v>35</v>
      </c>
      <c r="B2419" s="18" t="s">
        <v>42</v>
      </c>
      <c r="C2419" s="18" t="s">
        <v>447</v>
      </c>
      <c r="D2419" s="18" t="s">
        <v>2679</v>
      </c>
      <c r="E2419" s="18" t="s">
        <v>2970</v>
      </c>
      <c r="F2419" s="101">
        <v>46270.544444444444</v>
      </c>
      <c r="G2419" s="101">
        <v>46274.868055555555</v>
      </c>
      <c r="H2419" s="18" t="s">
        <v>507</v>
      </c>
      <c r="I2419" s="18" t="s">
        <v>508</v>
      </c>
      <c r="J2419" s="18"/>
      <c r="K2419" s="21">
        <f t="shared" si="111"/>
        <v>103.76666666666279</v>
      </c>
      <c r="L2419" s="19">
        <f t="shared" si="112"/>
        <v>211</v>
      </c>
      <c r="M2419" s="18" t="str">
        <f>IF(I2419&lt;&gt;"Sí","",IF(YEAR(F2419)&lt;&gt;2026,"",INDEX({"Enero","Febrero","Marzo","Abril","Mayo","Junio","Julio","Agosto","Septiembre","Octubre","Noviembre","Diciembre"},MONTH(F2419))))</f>
        <v>Septiembre</v>
      </c>
      <c r="N2419" s="18" t="str">
        <f t="shared" si="113"/>
        <v>Septiembre|211</v>
      </c>
    </row>
    <row r="2420" spans="1:14" ht="14.5" x14ac:dyDescent="0.25">
      <c r="A2420" s="19">
        <v>35</v>
      </c>
      <c r="B2420" s="18" t="s">
        <v>42</v>
      </c>
      <c r="C2420" s="18" t="s">
        <v>447</v>
      </c>
      <c r="D2420" s="18" t="s">
        <v>2679</v>
      </c>
      <c r="E2420" s="18" t="s">
        <v>2971</v>
      </c>
      <c r="F2420" s="101">
        <v>46270.544444444444</v>
      </c>
      <c r="G2420" s="101">
        <v>46276.225694444445</v>
      </c>
      <c r="H2420" s="18" t="s">
        <v>507</v>
      </c>
      <c r="I2420" s="18" t="s">
        <v>508</v>
      </c>
      <c r="J2420" s="18"/>
      <c r="K2420" s="21">
        <f t="shared" si="111"/>
        <v>136.35000000003492</v>
      </c>
      <c r="L2420" s="19">
        <f t="shared" si="112"/>
        <v>211</v>
      </c>
      <c r="M2420" s="18" t="str">
        <f>IF(I2420&lt;&gt;"Sí","",IF(YEAR(F2420)&lt;&gt;2026,"",INDEX({"Enero","Febrero","Marzo","Abril","Mayo","Junio","Julio","Agosto","Septiembre","Octubre","Noviembre","Diciembre"},MONTH(F2420))))</f>
        <v>Septiembre</v>
      </c>
      <c r="N2420" s="18" t="str">
        <f t="shared" si="113"/>
        <v>Septiembre|211</v>
      </c>
    </row>
    <row r="2421" spans="1:14" ht="14.5" x14ac:dyDescent="0.25">
      <c r="A2421" s="19">
        <v>35</v>
      </c>
      <c r="B2421" s="18" t="s">
        <v>42</v>
      </c>
      <c r="C2421" s="18" t="s">
        <v>92</v>
      </c>
      <c r="D2421" s="18" t="s">
        <v>2655</v>
      </c>
      <c r="E2421" s="18" t="s">
        <v>2972</v>
      </c>
      <c r="F2421" s="101">
        <v>46270.544444444444</v>
      </c>
      <c r="G2421" s="101">
        <v>46277.481249999997</v>
      </c>
      <c r="H2421" s="18" t="s">
        <v>507</v>
      </c>
      <c r="I2421" s="18" t="s">
        <v>508</v>
      </c>
      <c r="J2421" s="18"/>
      <c r="K2421" s="21">
        <f t="shared" si="111"/>
        <v>166.48333333327901</v>
      </c>
      <c r="L2421" s="19">
        <f t="shared" si="112"/>
        <v>211</v>
      </c>
      <c r="M2421" s="18" t="str">
        <f>IF(I2421&lt;&gt;"Sí","",IF(YEAR(F2421)&lt;&gt;2026,"",INDEX({"Enero","Febrero","Marzo","Abril","Mayo","Junio","Julio","Agosto","Septiembre","Octubre","Noviembre","Diciembre"},MONTH(F2421))))</f>
        <v>Septiembre</v>
      </c>
      <c r="N2421" s="18" t="str">
        <f t="shared" si="113"/>
        <v>Septiembre|211</v>
      </c>
    </row>
    <row r="2422" spans="1:14" ht="14.5" x14ac:dyDescent="0.25">
      <c r="A2422" s="19">
        <v>35</v>
      </c>
      <c r="B2422" s="18" t="s">
        <v>42</v>
      </c>
      <c r="C2422" s="18" t="s">
        <v>92</v>
      </c>
      <c r="D2422" s="18" t="s">
        <v>2655</v>
      </c>
      <c r="E2422" s="18" t="s">
        <v>2973</v>
      </c>
      <c r="F2422" s="101">
        <v>46270.544444444444</v>
      </c>
      <c r="G2422" s="101">
        <v>46277.481249999997</v>
      </c>
      <c r="H2422" s="18" t="s">
        <v>507</v>
      </c>
      <c r="I2422" s="18" t="s">
        <v>508</v>
      </c>
      <c r="J2422" s="18"/>
      <c r="K2422" s="21">
        <f t="shared" si="111"/>
        <v>166.48333333327901</v>
      </c>
      <c r="L2422" s="19">
        <f t="shared" si="112"/>
        <v>211</v>
      </c>
      <c r="M2422" s="18" t="str">
        <f>IF(I2422&lt;&gt;"Sí","",IF(YEAR(F2422)&lt;&gt;2026,"",INDEX({"Enero","Febrero","Marzo","Abril","Mayo","Junio","Julio","Agosto","Septiembre","Octubre","Noviembre","Diciembre"},MONTH(F2422))))</f>
        <v>Septiembre</v>
      </c>
      <c r="N2422" s="18" t="str">
        <f t="shared" si="113"/>
        <v>Septiembre|211</v>
      </c>
    </row>
    <row r="2423" spans="1:14" ht="14.5" x14ac:dyDescent="0.25">
      <c r="A2423" s="19">
        <v>35</v>
      </c>
      <c r="B2423" s="18" t="s">
        <v>42</v>
      </c>
      <c r="C2423" s="18" t="s">
        <v>126</v>
      </c>
      <c r="D2423" s="18" t="s">
        <v>2974</v>
      </c>
      <c r="E2423" s="18" t="s">
        <v>2975</v>
      </c>
      <c r="F2423" s="101">
        <v>46270.544444444444</v>
      </c>
      <c r="G2423" s="101">
        <v>46282.777777777781</v>
      </c>
      <c r="H2423" s="18" t="s">
        <v>507</v>
      </c>
      <c r="I2423" s="18" t="s">
        <v>508</v>
      </c>
      <c r="J2423" s="18"/>
      <c r="K2423" s="21">
        <f t="shared" si="111"/>
        <v>293.60000000009313</v>
      </c>
      <c r="L2423" s="19">
        <f t="shared" si="112"/>
        <v>211</v>
      </c>
      <c r="M2423" s="18" t="str">
        <f>IF(I2423&lt;&gt;"Sí","",IF(YEAR(F2423)&lt;&gt;2026,"",INDEX({"Enero","Febrero","Marzo","Abril","Mayo","Junio","Julio","Agosto","Septiembre","Octubre","Noviembre","Diciembre"},MONTH(F2423))))</f>
        <v>Septiembre</v>
      </c>
      <c r="N2423" s="18" t="str">
        <f t="shared" si="113"/>
        <v>Septiembre|211</v>
      </c>
    </row>
    <row r="2424" spans="1:14" ht="14.5" x14ac:dyDescent="0.25">
      <c r="A2424" s="19">
        <v>35</v>
      </c>
      <c r="B2424" s="18" t="s">
        <v>42</v>
      </c>
      <c r="C2424" s="18" t="s">
        <v>126</v>
      </c>
      <c r="D2424" s="18" t="s">
        <v>2974</v>
      </c>
      <c r="E2424" s="18" t="s">
        <v>2976</v>
      </c>
      <c r="F2424" s="101">
        <v>46270.544444444444</v>
      </c>
      <c r="G2424" s="101">
        <v>46282.777777777781</v>
      </c>
      <c r="H2424" s="18" t="s">
        <v>507</v>
      </c>
      <c r="I2424" s="18" t="s">
        <v>508</v>
      </c>
      <c r="J2424" s="18"/>
      <c r="K2424" s="21">
        <f t="shared" si="111"/>
        <v>293.60000000009313</v>
      </c>
      <c r="L2424" s="19">
        <f t="shared" si="112"/>
        <v>211</v>
      </c>
      <c r="M2424" s="18" t="str">
        <f>IF(I2424&lt;&gt;"Sí","",IF(YEAR(F2424)&lt;&gt;2026,"",INDEX({"Enero","Febrero","Marzo","Abril","Mayo","Junio","Julio","Agosto","Septiembre","Octubre","Noviembre","Diciembre"},MONTH(F2424))))</f>
        <v>Septiembre</v>
      </c>
      <c r="N2424" s="18" t="str">
        <f t="shared" si="113"/>
        <v>Septiembre|211</v>
      </c>
    </row>
    <row r="2425" spans="1:14" ht="14.5" x14ac:dyDescent="0.25">
      <c r="A2425" s="19">
        <v>35</v>
      </c>
      <c r="B2425" s="18" t="s">
        <v>42</v>
      </c>
      <c r="C2425" s="18" t="s">
        <v>126</v>
      </c>
      <c r="D2425" s="18" t="s">
        <v>2974</v>
      </c>
      <c r="E2425" s="18" t="s">
        <v>2977</v>
      </c>
      <c r="F2425" s="101">
        <v>46270.544444444444</v>
      </c>
      <c r="G2425" s="101">
        <v>46282.777777777781</v>
      </c>
      <c r="H2425" s="18" t="s">
        <v>507</v>
      </c>
      <c r="I2425" s="18" t="s">
        <v>508</v>
      </c>
      <c r="J2425" s="18"/>
      <c r="K2425" s="21">
        <f t="shared" si="111"/>
        <v>293.60000000009313</v>
      </c>
      <c r="L2425" s="19">
        <f t="shared" si="112"/>
        <v>211</v>
      </c>
      <c r="M2425" s="18" t="str">
        <f>IF(I2425&lt;&gt;"Sí","",IF(YEAR(F2425)&lt;&gt;2026,"",INDEX({"Enero","Febrero","Marzo","Abril","Mayo","Junio","Julio","Agosto","Septiembre","Octubre","Noviembre","Diciembre"},MONTH(F2425))))</f>
        <v>Septiembre</v>
      </c>
      <c r="N2425" s="18" t="str">
        <f t="shared" si="113"/>
        <v>Septiembre|211</v>
      </c>
    </row>
    <row r="2426" spans="1:14" ht="14.5" x14ac:dyDescent="0.25">
      <c r="A2426" s="19">
        <v>35</v>
      </c>
      <c r="B2426" s="18" t="s">
        <v>42</v>
      </c>
      <c r="C2426" s="18" t="s">
        <v>126</v>
      </c>
      <c r="D2426" s="18" t="s">
        <v>2974</v>
      </c>
      <c r="E2426" s="18" t="s">
        <v>2303</v>
      </c>
      <c r="F2426" s="101">
        <v>46270.544444444444</v>
      </c>
      <c r="G2426" s="101">
        <v>46283.111111111109</v>
      </c>
      <c r="H2426" s="18" t="s">
        <v>507</v>
      </c>
      <c r="I2426" s="18" t="s">
        <v>508</v>
      </c>
      <c r="J2426" s="18"/>
      <c r="K2426" s="21">
        <f t="shared" si="111"/>
        <v>301.59999999997672</v>
      </c>
      <c r="L2426" s="19">
        <f t="shared" si="112"/>
        <v>211</v>
      </c>
      <c r="M2426" s="18" t="str">
        <f>IF(I2426&lt;&gt;"Sí","",IF(YEAR(F2426)&lt;&gt;2026,"",INDEX({"Enero","Febrero","Marzo","Abril","Mayo","Junio","Julio","Agosto","Septiembre","Octubre","Noviembre","Diciembre"},MONTH(F2426))))</f>
        <v>Septiembre</v>
      </c>
      <c r="N2426" s="18" t="str">
        <f t="shared" si="113"/>
        <v>Septiembre|211</v>
      </c>
    </row>
    <row r="2427" spans="1:14" ht="14.5" x14ac:dyDescent="0.25">
      <c r="A2427" s="19">
        <v>35</v>
      </c>
      <c r="B2427" s="18" t="s">
        <v>42</v>
      </c>
      <c r="C2427" s="18" t="s">
        <v>92</v>
      </c>
      <c r="D2427" s="18" t="s">
        <v>2655</v>
      </c>
      <c r="E2427" s="18" t="s">
        <v>2978</v>
      </c>
      <c r="F2427" s="101">
        <v>46272.720833333333</v>
      </c>
      <c r="G2427" s="101">
        <v>46278.148611111108</v>
      </c>
      <c r="H2427" s="18" t="s">
        <v>507</v>
      </c>
      <c r="I2427" s="18" t="s">
        <v>508</v>
      </c>
      <c r="J2427" s="18"/>
      <c r="K2427" s="21">
        <f t="shared" si="111"/>
        <v>130.26666666660458</v>
      </c>
      <c r="L2427" s="19">
        <f t="shared" si="112"/>
        <v>44</v>
      </c>
      <c r="M2427" s="18" t="str">
        <f>IF(I2427&lt;&gt;"Sí","",IF(YEAR(F2427)&lt;&gt;2026,"",INDEX({"Enero","Febrero","Marzo","Abril","Mayo","Junio","Julio","Agosto","Septiembre","Octubre","Noviembre","Diciembre"},MONTH(F2427))))</f>
        <v>Septiembre</v>
      </c>
      <c r="N2427" s="18" t="str">
        <f t="shared" si="113"/>
        <v>Septiembre|44</v>
      </c>
    </row>
    <row r="2428" spans="1:14" ht="14.5" x14ac:dyDescent="0.25">
      <c r="A2428" s="19">
        <v>35</v>
      </c>
      <c r="B2428" s="18" t="s">
        <v>42</v>
      </c>
      <c r="C2428" s="18" t="s">
        <v>126</v>
      </c>
      <c r="D2428" s="18" t="s">
        <v>2974</v>
      </c>
      <c r="E2428" s="18" t="s">
        <v>2979</v>
      </c>
      <c r="F2428" s="101">
        <v>46272.720833333333</v>
      </c>
      <c r="G2428" s="101">
        <v>46283.111111111109</v>
      </c>
      <c r="H2428" s="18" t="s">
        <v>507</v>
      </c>
      <c r="I2428" s="18" t="s">
        <v>508</v>
      </c>
      <c r="J2428" s="18"/>
      <c r="K2428" s="21">
        <f t="shared" si="111"/>
        <v>249.3666666666395</v>
      </c>
      <c r="L2428" s="19">
        <f t="shared" si="112"/>
        <v>44</v>
      </c>
      <c r="M2428" s="18" t="str">
        <f>IF(I2428&lt;&gt;"Sí","",IF(YEAR(F2428)&lt;&gt;2026,"",INDEX({"Enero","Febrero","Marzo","Abril","Mayo","Junio","Julio","Agosto","Septiembre","Octubre","Noviembre","Diciembre"},MONTH(F2428))))</f>
        <v>Septiembre</v>
      </c>
      <c r="N2428" s="18" t="str">
        <f t="shared" si="113"/>
        <v>Septiembre|44</v>
      </c>
    </row>
    <row r="2429" spans="1:14" ht="14.5" x14ac:dyDescent="0.25">
      <c r="A2429" s="19">
        <v>35</v>
      </c>
      <c r="B2429" s="18" t="s">
        <v>42</v>
      </c>
      <c r="C2429" s="18" t="s">
        <v>126</v>
      </c>
      <c r="D2429" s="18" t="s">
        <v>2974</v>
      </c>
      <c r="E2429" s="18" t="s">
        <v>2980</v>
      </c>
      <c r="F2429" s="101">
        <v>46272.720833333333</v>
      </c>
      <c r="G2429" s="101">
        <v>46283.111111111109</v>
      </c>
      <c r="H2429" s="18" t="s">
        <v>507</v>
      </c>
      <c r="I2429" s="18" t="s">
        <v>508</v>
      </c>
      <c r="J2429" s="18"/>
      <c r="K2429" s="21">
        <f t="shared" si="111"/>
        <v>249.3666666666395</v>
      </c>
      <c r="L2429" s="19">
        <f t="shared" si="112"/>
        <v>44</v>
      </c>
      <c r="M2429" s="18" t="str">
        <f>IF(I2429&lt;&gt;"Sí","",IF(YEAR(F2429)&lt;&gt;2026,"",INDEX({"Enero","Febrero","Marzo","Abril","Mayo","Junio","Julio","Agosto","Septiembre","Octubre","Noviembre","Diciembre"},MONTH(F2429))))</f>
        <v>Septiembre</v>
      </c>
      <c r="N2429" s="18" t="str">
        <f t="shared" si="113"/>
        <v>Septiembre|44</v>
      </c>
    </row>
    <row r="2430" spans="1:14" ht="14.5" x14ac:dyDescent="0.25">
      <c r="A2430" s="19">
        <v>35</v>
      </c>
      <c r="B2430" s="18" t="s">
        <v>42</v>
      </c>
      <c r="C2430" s="18" t="s">
        <v>126</v>
      </c>
      <c r="D2430" s="18" t="s">
        <v>2974</v>
      </c>
      <c r="E2430" s="18" t="s">
        <v>2981</v>
      </c>
      <c r="F2430" s="101">
        <v>46272.720833333333</v>
      </c>
      <c r="G2430" s="101">
        <v>46283.111111111109</v>
      </c>
      <c r="H2430" s="18" t="s">
        <v>507</v>
      </c>
      <c r="I2430" s="18" t="s">
        <v>508</v>
      </c>
      <c r="J2430" s="18"/>
      <c r="K2430" s="21">
        <f t="shared" si="111"/>
        <v>249.3666666666395</v>
      </c>
      <c r="L2430" s="19">
        <f t="shared" si="112"/>
        <v>44</v>
      </c>
      <c r="M2430" s="18" t="str">
        <f>IF(I2430&lt;&gt;"Sí","",IF(YEAR(F2430)&lt;&gt;2026,"",INDEX({"Enero","Febrero","Marzo","Abril","Mayo","Junio","Julio","Agosto","Septiembre","Octubre","Noviembre","Diciembre"},MONTH(F2430))))</f>
        <v>Septiembre</v>
      </c>
      <c r="N2430" s="18" t="str">
        <f t="shared" si="113"/>
        <v>Septiembre|44</v>
      </c>
    </row>
    <row r="2431" spans="1:14" ht="14.5" x14ac:dyDescent="0.25">
      <c r="A2431" s="19">
        <v>35</v>
      </c>
      <c r="B2431" s="18" t="s">
        <v>42</v>
      </c>
      <c r="C2431" s="18" t="s">
        <v>92</v>
      </c>
      <c r="D2431" s="18" t="s">
        <v>2655</v>
      </c>
      <c r="E2431" s="18" t="s">
        <v>2982</v>
      </c>
      <c r="F2431" s="101">
        <v>46273.513194444444</v>
      </c>
      <c r="G2431" s="101">
        <v>46278.148611111108</v>
      </c>
      <c r="H2431" s="18" t="s">
        <v>507</v>
      </c>
      <c r="I2431" s="18" t="s">
        <v>508</v>
      </c>
      <c r="J2431" s="18"/>
      <c r="K2431" s="21">
        <f t="shared" si="111"/>
        <v>111.24999999994179</v>
      </c>
      <c r="L2431" s="19">
        <f t="shared" si="112"/>
        <v>44</v>
      </c>
      <c r="M2431" s="18" t="str">
        <f>IF(I2431&lt;&gt;"Sí","",IF(YEAR(F2431)&lt;&gt;2026,"",INDEX({"Enero","Febrero","Marzo","Abril","Mayo","Junio","Julio","Agosto","Septiembre","Octubre","Noviembre","Diciembre"},MONTH(F2431))))</f>
        <v>Septiembre</v>
      </c>
      <c r="N2431" s="18" t="str">
        <f t="shared" si="113"/>
        <v>Septiembre|44</v>
      </c>
    </row>
    <row r="2432" spans="1:14" ht="14.5" x14ac:dyDescent="0.25">
      <c r="A2432" s="19">
        <v>35</v>
      </c>
      <c r="B2432" s="18" t="s">
        <v>42</v>
      </c>
      <c r="C2432" s="18" t="s">
        <v>2635</v>
      </c>
      <c r="D2432" s="18" t="s">
        <v>2983</v>
      </c>
      <c r="E2432" s="18" t="s">
        <v>2984</v>
      </c>
      <c r="F2432" s="101">
        <v>46273.513194444444</v>
      </c>
      <c r="G2432" s="101">
        <v>46280.03125</v>
      </c>
      <c r="H2432" s="18" t="s">
        <v>507</v>
      </c>
      <c r="I2432" s="18" t="s">
        <v>508</v>
      </c>
      <c r="J2432" s="18"/>
      <c r="K2432" s="21">
        <f t="shared" si="111"/>
        <v>156.43333333334886</v>
      </c>
      <c r="L2432" s="19">
        <f t="shared" si="112"/>
        <v>44</v>
      </c>
      <c r="M2432" s="18" t="str">
        <f>IF(I2432&lt;&gt;"Sí","",IF(YEAR(F2432)&lt;&gt;2026,"",INDEX({"Enero","Febrero","Marzo","Abril","Mayo","Junio","Julio","Agosto","Septiembre","Octubre","Noviembre","Diciembre"},MONTH(F2432))))</f>
        <v>Septiembre</v>
      </c>
      <c r="N2432" s="18" t="str">
        <f t="shared" si="113"/>
        <v>Septiembre|44</v>
      </c>
    </row>
    <row r="2433" spans="1:14" ht="14.5" x14ac:dyDescent="0.25">
      <c r="A2433" s="19">
        <v>35</v>
      </c>
      <c r="B2433" s="18" t="s">
        <v>42</v>
      </c>
      <c r="C2433" s="18" t="s">
        <v>126</v>
      </c>
      <c r="D2433" s="18" t="s">
        <v>2974</v>
      </c>
      <c r="E2433" s="18" t="s">
        <v>2985</v>
      </c>
      <c r="F2433" s="101">
        <v>46273.513194444444</v>
      </c>
      <c r="G2433" s="101">
        <v>46282.777777777781</v>
      </c>
      <c r="H2433" s="18" t="s">
        <v>507</v>
      </c>
      <c r="I2433" s="18" t="s">
        <v>508</v>
      </c>
      <c r="J2433" s="18"/>
      <c r="K2433" s="21">
        <f t="shared" si="111"/>
        <v>222.35000000009313</v>
      </c>
      <c r="L2433" s="19">
        <f t="shared" si="112"/>
        <v>44</v>
      </c>
      <c r="M2433" s="18" t="str">
        <f>IF(I2433&lt;&gt;"Sí","",IF(YEAR(F2433)&lt;&gt;2026,"",INDEX({"Enero","Febrero","Marzo","Abril","Mayo","Junio","Julio","Agosto","Septiembre","Octubre","Noviembre","Diciembre"},MONTH(F2433))))</f>
        <v>Septiembre</v>
      </c>
      <c r="N2433" s="18" t="str">
        <f t="shared" si="113"/>
        <v>Septiembre|44</v>
      </c>
    </row>
    <row r="2434" spans="1:14" ht="14.5" x14ac:dyDescent="0.25">
      <c r="A2434" s="19">
        <v>35</v>
      </c>
      <c r="B2434" s="18" t="s">
        <v>42</v>
      </c>
      <c r="C2434" s="18" t="s">
        <v>126</v>
      </c>
      <c r="D2434" s="18" t="s">
        <v>2974</v>
      </c>
      <c r="E2434" s="18" t="s">
        <v>2986</v>
      </c>
      <c r="F2434" s="101">
        <v>46273.513194444444</v>
      </c>
      <c r="G2434" s="101">
        <v>46282.777777777781</v>
      </c>
      <c r="H2434" s="18" t="s">
        <v>507</v>
      </c>
      <c r="I2434" s="18" t="s">
        <v>508</v>
      </c>
      <c r="J2434" s="18"/>
      <c r="K2434" s="21">
        <f t="shared" si="111"/>
        <v>222.35000000009313</v>
      </c>
      <c r="L2434" s="19">
        <f t="shared" si="112"/>
        <v>44</v>
      </c>
      <c r="M2434" s="18" t="str">
        <f>IF(I2434&lt;&gt;"Sí","",IF(YEAR(F2434)&lt;&gt;2026,"",INDEX({"Enero","Febrero","Marzo","Abril","Mayo","Junio","Julio","Agosto","Septiembre","Octubre","Noviembre","Diciembre"},MONTH(F2434))))</f>
        <v>Septiembre</v>
      </c>
      <c r="N2434" s="18" t="str">
        <f t="shared" si="113"/>
        <v>Septiembre|44</v>
      </c>
    </row>
    <row r="2435" spans="1:14" ht="14.5" x14ac:dyDescent="0.25">
      <c r="A2435" s="19">
        <v>35</v>
      </c>
      <c r="B2435" s="18" t="s">
        <v>42</v>
      </c>
      <c r="C2435" s="18" t="s">
        <v>126</v>
      </c>
      <c r="D2435" s="18" t="s">
        <v>2974</v>
      </c>
      <c r="E2435" s="18" t="s">
        <v>2987</v>
      </c>
      <c r="F2435" s="101">
        <v>46273.63958333333</v>
      </c>
      <c r="G2435" s="101">
        <v>46283.111111111109</v>
      </c>
      <c r="H2435" s="18" t="s">
        <v>507</v>
      </c>
      <c r="I2435" s="18" t="s">
        <v>508</v>
      </c>
      <c r="J2435" s="18"/>
      <c r="K2435" s="21">
        <f t="shared" si="111"/>
        <v>227.31666666670935</v>
      </c>
      <c r="L2435" s="19">
        <f t="shared" si="112"/>
        <v>49</v>
      </c>
      <c r="M2435" s="18" t="str">
        <f>IF(I2435&lt;&gt;"Sí","",IF(YEAR(F2435)&lt;&gt;2026,"",INDEX({"Enero","Febrero","Marzo","Abril","Mayo","Junio","Julio","Agosto","Septiembre","Octubre","Noviembre","Diciembre"},MONTH(F2435))))</f>
        <v>Septiembre</v>
      </c>
      <c r="N2435" s="18" t="str">
        <f t="shared" si="113"/>
        <v>Septiembre|49</v>
      </c>
    </row>
    <row r="2436" spans="1:14" ht="14.5" x14ac:dyDescent="0.25">
      <c r="A2436" s="19">
        <v>35</v>
      </c>
      <c r="B2436" s="18" t="s">
        <v>42</v>
      </c>
      <c r="C2436" s="18" t="s">
        <v>126</v>
      </c>
      <c r="D2436" s="18" t="s">
        <v>2974</v>
      </c>
      <c r="E2436" s="18" t="s">
        <v>2988</v>
      </c>
      <c r="F2436" s="101">
        <v>46273.63958333333</v>
      </c>
      <c r="G2436" s="101">
        <v>46283.111111111109</v>
      </c>
      <c r="H2436" s="18" t="s">
        <v>507</v>
      </c>
      <c r="I2436" s="18" t="s">
        <v>508</v>
      </c>
      <c r="J2436" s="18"/>
      <c r="K2436" s="21">
        <f t="shared" si="111"/>
        <v>227.31666666670935</v>
      </c>
      <c r="L2436" s="19">
        <f t="shared" si="112"/>
        <v>49</v>
      </c>
      <c r="M2436" s="18" t="str">
        <f>IF(I2436&lt;&gt;"Sí","",IF(YEAR(F2436)&lt;&gt;2026,"",INDEX({"Enero","Febrero","Marzo","Abril","Mayo","Junio","Julio","Agosto","Septiembre","Octubre","Noviembre","Diciembre"},MONTH(F2436))))</f>
        <v>Septiembre</v>
      </c>
      <c r="N2436" s="18" t="str">
        <f t="shared" si="113"/>
        <v>Septiembre|49</v>
      </c>
    </row>
    <row r="2437" spans="1:14" ht="14.5" x14ac:dyDescent="0.25">
      <c r="A2437" s="19">
        <v>35</v>
      </c>
      <c r="B2437" s="18" t="s">
        <v>42</v>
      </c>
      <c r="C2437" s="18" t="s">
        <v>126</v>
      </c>
      <c r="D2437" s="18" t="s">
        <v>2974</v>
      </c>
      <c r="E2437" s="18" t="s">
        <v>2989</v>
      </c>
      <c r="F2437" s="101">
        <v>46273.63958333333</v>
      </c>
      <c r="G2437" s="101">
        <v>46283.111111111109</v>
      </c>
      <c r="H2437" s="18" t="s">
        <v>507</v>
      </c>
      <c r="I2437" s="18" t="s">
        <v>508</v>
      </c>
      <c r="J2437" s="18"/>
      <c r="K2437" s="21">
        <f t="shared" si="111"/>
        <v>227.31666666670935</v>
      </c>
      <c r="L2437" s="19">
        <f t="shared" si="112"/>
        <v>49</v>
      </c>
      <c r="M2437" s="18" t="str">
        <f>IF(I2437&lt;&gt;"Sí","",IF(YEAR(F2437)&lt;&gt;2026,"",INDEX({"Enero","Febrero","Marzo","Abril","Mayo","Junio","Julio","Agosto","Septiembre","Octubre","Noviembre","Diciembre"},MONTH(F2437))))</f>
        <v>Septiembre</v>
      </c>
      <c r="N2437" s="18" t="str">
        <f t="shared" si="113"/>
        <v>Septiembre|49</v>
      </c>
    </row>
    <row r="2438" spans="1:14" ht="14.5" x14ac:dyDescent="0.25">
      <c r="A2438" s="19">
        <v>35</v>
      </c>
      <c r="B2438" s="18" t="s">
        <v>42</v>
      </c>
      <c r="C2438" s="18" t="s">
        <v>126</v>
      </c>
      <c r="D2438" s="18" t="s">
        <v>2974</v>
      </c>
      <c r="E2438" s="18" t="s">
        <v>2990</v>
      </c>
      <c r="F2438" s="101">
        <v>46273.63958333333</v>
      </c>
      <c r="G2438" s="101">
        <v>46283.111111111109</v>
      </c>
      <c r="H2438" s="18" t="s">
        <v>507</v>
      </c>
      <c r="I2438" s="18" t="s">
        <v>508</v>
      </c>
      <c r="J2438" s="18"/>
      <c r="K2438" s="21">
        <f t="shared" si="111"/>
        <v>227.31666666670935</v>
      </c>
      <c r="L2438" s="19">
        <f t="shared" si="112"/>
        <v>49</v>
      </c>
      <c r="M2438" s="18" t="str">
        <f>IF(I2438&lt;&gt;"Sí","",IF(YEAR(F2438)&lt;&gt;2026,"",INDEX({"Enero","Febrero","Marzo","Abril","Mayo","Junio","Julio","Agosto","Septiembre","Octubre","Noviembre","Diciembre"},MONTH(F2438))))</f>
        <v>Septiembre</v>
      </c>
      <c r="N2438" s="18" t="str">
        <f t="shared" si="113"/>
        <v>Septiembre|49</v>
      </c>
    </row>
    <row r="2439" spans="1:14" ht="14.5" x14ac:dyDescent="0.25">
      <c r="A2439" s="19">
        <v>35</v>
      </c>
      <c r="B2439" s="18" t="s">
        <v>42</v>
      </c>
      <c r="C2439" s="18" t="s">
        <v>126</v>
      </c>
      <c r="D2439" s="18" t="s">
        <v>2974</v>
      </c>
      <c r="E2439" s="18" t="s">
        <v>2991</v>
      </c>
      <c r="F2439" s="101">
        <v>46273.63958333333</v>
      </c>
      <c r="G2439" s="101">
        <v>46283.111111111109</v>
      </c>
      <c r="H2439" s="18" t="s">
        <v>507</v>
      </c>
      <c r="I2439" s="18" t="s">
        <v>508</v>
      </c>
      <c r="J2439" s="18"/>
      <c r="K2439" s="21">
        <f t="shared" ref="K2439:K2502" si="114">IF(I2439="Sí",(G2439-F2439)*24,"")</f>
        <v>227.31666666670935</v>
      </c>
      <c r="L2439" s="19">
        <f t="shared" ref="L2439:L2502" si="115">IF(I2439="Sí",COUNTIFS($F$7:$F$4000,"&lt;="&amp;F2439,$G$7:$G$4000,"&gt;"&amp;F2439,$I$7:$I$4000,"Sí"),"")</f>
        <v>49</v>
      </c>
      <c r="M2439" s="18" t="str">
        <f>IF(I2439&lt;&gt;"Sí","",IF(YEAR(F2439)&lt;&gt;2026,"",INDEX({"Enero","Febrero","Marzo","Abril","Mayo","Junio","Julio","Agosto","Septiembre","Octubre","Noviembre","Diciembre"},MONTH(F2439))))</f>
        <v>Septiembre</v>
      </c>
      <c r="N2439" s="18" t="str">
        <f t="shared" ref="N2439:N2502" si="116">IF(M2439="","",M2439&amp;"|"&amp;L2439)</f>
        <v>Septiembre|49</v>
      </c>
    </row>
    <row r="2440" spans="1:14" ht="14.5" x14ac:dyDescent="0.25">
      <c r="A2440" s="19">
        <v>35</v>
      </c>
      <c r="B2440" s="18" t="s">
        <v>42</v>
      </c>
      <c r="C2440" s="18" t="s">
        <v>2992</v>
      </c>
      <c r="D2440" s="18" t="s">
        <v>2993</v>
      </c>
      <c r="E2440" s="18" t="s">
        <v>2994</v>
      </c>
      <c r="F2440" s="101">
        <v>46273.643055555556</v>
      </c>
      <c r="G2440" s="101">
        <v>46285.732638888891</v>
      </c>
      <c r="H2440" s="18" t="s">
        <v>507</v>
      </c>
      <c r="I2440" s="18" t="s">
        <v>508</v>
      </c>
      <c r="J2440" s="18"/>
      <c r="K2440" s="21">
        <f t="shared" si="114"/>
        <v>290.15000000002328</v>
      </c>
      <c r="L2440" s="19">
        <f t="shared" si="115"/>
        <v>51</v>
      </c>
      <c r="M2440" s="18" t="str">
        <f>IF(I2440&lt;&gt;"Sí","",IF(YEAR(F2440)&lt;&gt;2026,"",INDEX({"Enero","Febrero","Marzo","Abril","Mayo","Junio","Julio","Agosto","Septiembre","Octubre","Noviembre","Diciembre"},MONTH(F2440))))</f>
        <v>Septiembre</v>
      </c>
      <c r="N2440" s="18" t="str">
        <f t="shared" si="116"/>
        <v>Septiembre|51</v>
      </c>
    </row>
    <row r="2441" spans="1:14" ht="14.5" x14ac:dyDescent="0.25">
      <c r="A2441" s="19">
        <v>35</v>
      </c>
      <c r="B2441" s="18" t="s">
        <v>42</v>
      </c>
      <c r="C2441" s="18" t="s">
        <v>2992</v>
      </c>
      <c r="D2441" s="18" t="s">
        <v>2993</v>
      </c>
      <c r="E2441" s="18" t="s">
        <v>2995</v>
      </c>
      <c r="F2441" s="101">
        <v>46273.643055555556</v>
      </c>
      <c r="G2441" s="101">
        <v>46285.732638888891</v>
      </c>
      <c r="H2441" s="18" t="s">
        <v>507</v>
      </c>
      <c r="I2441" s="18" t="s">
        <v>508</v>
      </c>
      <c r="J2441" s="18"/>
      <c r="K2441" s="21">
        <f t="shared" si="114"/>
        <v>290.15000000002328</v>
      </c>
      <c r="L2441" s="19">
        <f t="shared" si="115"/>
        <v>51</v>
      </c>
      <c r="M2441" s="18" t="str">
        <f>IF(I2441&lt;&gt;"Sí","",IF(YEAR(F2441)&lt;&gt;2026,"",INDEX({"Enero","Febrero","Marzo","Abril","Mayo","Junio","Julio","Agosto","Septiembre","Octubre","Noviembre","Diciembre"},MONTH(F2441))))</f>
        <v>Septiembre</v>
      </c>
      <c r="N2441" s="18" t="str">
        <f t="shared" si="116"/>
        <v>Septiembre|51</v>
      </c>
    </row>
    <row r="2442" spans="1:14" ht="14.5" x14ac:dyDescent="0.25">
      <c r="A2442" s="19">
        <v>35</v>
      </c>
      <c r="B2442" s="18" t="s">
        <v>42</v>
      </c>
      <c r="C2442" s="18" t="s">
        <v>126</v>
      </c>
      <c r="D2442" s="18" t="s">
        <v>2974</v>
      </c>
      <c r="E2442" s="18" t="s">
        <v>2996</v>
      </c>
      <c r="F2442" s="101">
        <v>46274.479166666664</v>
      </c>
      <c r="G2442" s="101">
        <v>46282.777777777781</v>
      </c>
      <c r="H2442" s="18" t="s">
        <v>507</v>
      </c>
      <c r="I2442" s="18" t="s">
        <v>508</v>
      </c>
      <c r="J2442" s="18"/>
      <c r="K2442" s="21">
        <f t="shared" si="114"/>
        <v>199.16666666680248</v>
      </c>
      <c r="L2442" s="19">
        <f t="shared" si="115"/>
        <v>42</v>
      </c>
      <c r="M2442" s="18" t="str">
        <f>IF(I2442&lt;&gt;"Sí","",IF(YEAR(F2442)&lt;&gt;2026,"",INDEX({"Enero","Febrero","Marzo","Abril","Mayo","Junio","Julio","Agosto","Septiembre","Octubre","Noviembre","Diciembre"},MONTH(F2442))))</f>
        <v>Septiembre</v>
      </c>
      <c r="N2442" s="18" t="str">
        <f t="shared" si="116"/>
        <v>Septiembre|42</v>
      </c>
    </row>
    <row r="2443" spans="1:14" ht="14.5" x14ac:dyDescent="0.25">
      <c r="A2443" s="19">
        <v>35</v>
      </c>
      <c r="B2443" s="18" t="s">
        <v>42</v>
      </c>
      <c r="C2443" s="18" t="s">
        <v>126</v>
      </c>
      <c r="D2443" s="18" t="s">
        <v>2974</v>
      </c>
      <c r="E2443" s="18" t="s">
        <v>2997</v>
      </c>
      <c r="F2443" s="101">
        <v>46274.51458333333</v>
      </c>
      <c r="G2443" s="101">
        <v>46282.777777777781</v>
      </c>
      <c r="H2443" s="18" t="s">
        <v>507</v>
      </c>
      <c r="I2443" s="18" t="s">
        <v>508</v>
      </c>
      <c r="J2443" s="18"/>
      <c r="K2443" s="21">
        <f t="shared" si="114"/>
        <v>198.31666666682577</v>
      </c>
      <c r="L2443" s="19">
        <f t="shared" si="115"/>
        <v>43</v>
      </c>
      <c r="M2443" s="18" t="str">
        <f>IF(I2443&lt;&gt;"Sí","",IF(YEAR(F2443)&lt;&gt;2026,"",INDEX({"Enero","Febrero","Marzo","Abril","Mayo","Junio","Julio","Agosto","Septiembre","Octubre","Noviembre","Diciembre"},MONTH(F2443))))</f>
        <v>Septiembre</v>
      </c>
      <c r="N2443" s="18" t="str">
        <f t="shared" si="116"/>
        <v>Septiembre|43</v>
      </c>
    </row>
    <row r="2444" spans="1:14" ht="14.5" x14ac:dyDescent="0.25">
      <c r="A2444" s="19">
        <v>35</v>
      </c>
      <c r="B2444" s="18" t="s">
        <v>42</v>
      </c>
      <c r="C2444" s="18" t="s">
        <v>92</v>
      </c>
      <c r="D2444" s="18" t="s">
        <v>2655</v>
      </c>
      <c r="E2444" s="18" t="s">
        <v>2998</v>
      </c>
      <c r="F2444" s="101">
        <v>46274.67291666667</v>
      </c>
      <c r="G2444" s="101">
        <v>46277.443749999999</v>
      </c>
      <c r="H2444" s="18" t="s">
        <v>507</v>
      </c>
      <c r="I2444" s="18" t="s">
        <v>508</v>
      </c>
      <c r="J2444" s="18"/>
      <c r="K2444" s="21">
        <f t="shared" si="114"/>
        <v>66.499999999883585</v>
      </c>
      <c r="L2444" s="19">
        <f t="shared" si="115"/>
        <v>44</v>
      </c>
      <c r="M2444" s="18" t="str">
        <f>IF(I2444&lt;&gt;"Sí","",IF(YEAR(F2444)&lt;&gt;2026,"",INDEX({"Enero","Febrero","Marzo","Abril","Mayo","Junio","Julio","Agosto","Septiembre","Octubre","Noviembre","Diciembre"},MONTH(F2444))))</f>
        <v>Septiembre</v>
      </c>
      <c r="N2444" s="18" t="str">
        <f t="shared" si="116"/>
        <v>Septiembre|44</v>
      </c>
    </row>
    <row r="2445" spans="1:14" ht="14.5" x14ac:dyDescent="0.25">
      <c r="A2445" s="19">
        <v>35</v>
      </c>
      <c r="B2445" s="18" t="s">
        <v>42</v>
      </c>
      <c r="C2445" s="18" t="s">
        <v>92</v>
      </c>
      <c r="D2445" s="18" t="s">
        <v>2655</v>
      </c>
      <c r="E2445" s="18" t="s">
        <v>2999</v>
      </c>
      <c r="F2445" s="101">
        <v>46275</v>
      </c>
      <c r="G2445" s="101">
        <v>46278.143750000003</v>
      </c>
      <c r="H2445" s="18" t="s">
        <v>507</v>
      </c>
      <c r="I2445" s="18" t="s">
        <v>508</v>
      </c>
      <c r="J2445" s="18"/>
      <c r="K2445" s="21">
        <f t="shared" si="114"/>
        <v>75.450000000069849</v>
      </c>
      <c r="L2445" s="19">
        <f t="shared" si="115"/>
        <v>41</v>
      </c>
      <c r="M2445" s="18" t="str">
        <f>IF(I2445&lt;&gt;"Sí","",IF(YEAR(F2445)&lt;&gt;2026,"",INDEX({"Enero","Febrero","Marzo","Abril","Mayo","Junio","Julio","Agosto","Septiembre","Octubre","Noviembre","Diciembre"},MONTH(F2445))))</f>
        <v>Septiembre</v>
      </c>
      <c r="N2445" s="18" t="str">
        <f t="shared" si="116"/>
        <v>Septiembre|41</v>
      </c>
    </row>
    <row r="2446" spans="1:14" ht="14.5" x14ac:dyDescent="0.25">
      <c r="A2446" s="19">
        <v>35</v>
      </c>
      <c r="B2446" s="18" t="s">
        <v>42</v>
      </c>
      <c r="C2446" s="18" t="s">
        <v>92</v>
      </c>
      <c r="D2446" s="18" t="s">
        <v>2655</v>
      </c>
      <c r="E2446" s="18" t="s">
        <v>3000</v>
      </c>
      <c r="F2446" s="101">
        <v>46275.003472222219</v>
      </c>
      <c r="G2446" s="101">
        <v>46278.143750000003</v>
      </c>
      <c r="H2446" s="18" t="s">
        <v>507</v>
      </c>
      <c r="I2446" s="18" t="s">
        <v>508</v>
      </c>
      <c r="J2446" s="18"/>
      <c r="K2446" s="21">
        <f t="shared" si="114"/>
        <v>75.366666666814126</v>
      </c>
      <c r="L2446" s="19">
        <f t="shared" si="115"/>
        <v>42</v>
      </c>
      <c r="M2446" s="18" t="str">
        <f>IF(I2446&lt;&gt;"Sí","",IF(YEAR(F2446)&lt;&gt;2026,"",INDEX({"Enero","Febrero","Marzo","Abril","Mayo","Junio","Julio","Agosto","Septiembre","Octubre","Noviembre","Diciembre"},MONTH(F2446))))</f>
        <v>Septiembre</v>
      </c>
      <c r="N2446" s="18" t="str">
        <f t="shared" si="116"/>
        <v>Septiembre|42</v>
      </c>
    </row>
    <row r="2447" spans="1:14" ht="14.5" x14ac:dyDescent="0.25">
      <c r="A2447" s="19">
        <v>35</v>
      </c>
      <c r="B2447" s="18" t="s">
        <v>42</v>
      </c>
      <c r="C2447" s="18" t="s">
        <v>92</v>
      </c>
      <c r="D2447" s="18" t="s">
        <v>2655</v>
      </c>
      <c r="E2447" s="18" t="s">
        <v>3001</v>
      </c>
      <c r="F2447" s="101">
        <v>46275.004166666666</v>
      </c>
      <c r="G2447" s="101">
        <v>46278.113888888889</v>
      </c>
      <c r="H2447" s="18" t="s">
        <v>507</v>
      </c>
      <c r="I2447" s="18" t="s">
        <v>508</v>
      </c>
      <c r="J2447" s="18"/>
      <c r="K2447" s="21">
        <f t="shared" si="114"/>
        <v>74.633333333360497</v>
      </c>
      <c r="L2447" s="19">
        <f t="shared" si="115"/>
        <v>43</v>
      </c>
      <c r="M2447" s="18" t="str">
        <f>IF(I2447&lt;&gt;"Sí","",IF(YEAR(F2447)&lt;&gt;2026,"",INDEX({"Enero","Febrero","Marzo","Abril","Mayo","Junio","Julio","Agosto","Septiembre","Octubre","Noviembre","Diciembre"},MONTH(F2447))))</f>
        <v>Septiembre</v>
      </c>
      <c r="N2447" s="18" t="str">
        <f t="shared" si="116"/>
        <v>Septiembre|43</v>
      </c>
    </row>
    <row r="2448" spans="1:14" ht="14.5" x14ac:dyDescent="0.25">
      <c r="A2448" s="19">
        <v>35</v>
      </c>
      <c r="B2448" s="18" t="s">
        <v>42</v>
      </c>
      <c r="C2448" s="18" t="s">
        <v>92</v>
      </c>
      <c r="D2448" s="18" t="s">
        <v>2655</v>
      </c>
      <c r="E2448" s="18" t="s">
        <v>3002</v>
      </c>
      <c r="F2448" s="101">
        <v>46275.004861111112</v>
      </c>
      <c r="G2448" s="101">
        <v>46278.113888888889</v>
      </c>
      <c r="H2448" s="18" t="s">
        <v>507</v>
      </c>
      <c r="I2448" s="18" t="s">
        <v>508</v>
      </c>
      <c r="J2448" s="18"/>
      <c r="K2448" s="21">
        <f t="shared" si="114"/>
        <v>74.616666666639503</v>
      </c>
      <c r="L2448" s="19">
        <f t="shared" si="115"/>
        <v>44</v>
      </c>
      <c r="M2448" s="18" t="str">
        <f>IF(I2448&lt;&gt;"Sí","",IF(YEAR(F2448)&lt;&gt;2026,"",INDEX({"Enero","Febrero","Marzo","Abril","Mayo","Junio","Julio","Agosto","Septiembre","Octubre","Noviembre","Diciembre"},MONTH(F2448))))</f>
        <v>Septiembre</v>
      </c>
      <c r="N2448" s="18" t="str">
        <f t="shared" si="116"/>
        <v>Septiembre|44</v>
      </c>
    </row>
    <row r="2449" spans="1:14" ht="14.5" x14ac:dyDescent="0.25">
      <c r="A2449" s="19">
        <v>35</v>
      </c>
      <c r="B2449" s="18" t="s">
        <v>42</v>
      </c>
      <c r="C2449" s="18" t="s">
        <v>92</v>
      </c>
      <c r="D2449" s="18" t="s">
        <v>2655</v>
      </c>
      <c r="E2449" s="18" t="s">
        <v>3003</v>
      </c>
      <c r="F2449" s="101">
        <v>46275.005555555559</v>
      </c>
      <c r="G2449" s="101">
        <v>46278.048611111109</v>
      </c>
      <c r="H2449" s="18" t="s">
        <v>507</v>
      </c>
      <c r="I2449" s="18" t="s">
        <v>508</v>
      </c>
      <c r="J2449" s="18"/>
      <c r="K2449" s="21">
        <f t="shared" si="114"/>
        <v>73.033333333209157</v>
      </c>
      <c r="L2449" s="19">
        <f t="shared" si="115"/>
        <v>45</v>
      </c>
      <c r="M2449" s="18" t="str">
        <f>IF(I2449&lt;&gt;"Sí","",IF(YEAR(F2449)&lt;&gt;2026,"",INDEX({"Enero","Febrero","Marzo","Abril","Mayo","Junio","Julio","Agosto","Septiembre","Octubre","Noviembre","Diciembre"},MONTH(F2449))))</f>
        <v>Septiembre</v>
      </c>
      <c r="N2449" s="18" t="str">
        <f t="shared" si="116"/>
        <v>Septiembre|45</v>
      </c>
    </row>
    <row r="2450" spans="1:14" ht="14.5" x14ac:dyDescent="0.25">
      <c r="A2450" s="19">
        <v>35</v>
      </c>
      <c r="B2450" s="18" t="s">
        <v>42</v>
      </c>
      <c r="C2450" s="18" t="s">
        <v>92</v>
      </c>
      <c r="D2450" s="18" t="s">
        <v>2655</v>
      </c>
      <c r="E2450" s="18" t="s">
        <v>3004</v>
      </c>
      <c r="F2450" s="101">
        <v>46275.007638888892</v>
      </c>
      <c r="G2450" s="101">
        <v>46278.048611111109</v>
      </c>
      <c r="H2450" s="18" t="s">
        <v>507</v>
      </c>
      <c r="I2450" s="18" t="s">
        <v>508</v>
      </c>
      <c r="J2450" s="18"/>
      <c r="K2450" s="21">
        <f t="shared" si="114"/>
        <v>72.983333333220799</v>
      </c>
      <c r="L2450" s="19">
        <f t="shared" si="115"/>
        <v>46</v>
      </c>
      <c r="M2450" s="18" t="str">
        <f>IF(I2450&lt;&gt;"Sí","",IF(YEAR(F2450)&lt;&gt;2026,"",INDEX({"Enero","Febrero","Marzo","Abril","Mayo","Junio","Julio","Agosto","Septiembre","Octubre","Noviembre","Diciembre"},MONTH(F2450))))</f>
        <v>Septiembre</v>
      </c>
      <c r="N2450" s="18" t="str">
        <f t="shared" si="116"/>
        <v>Septiembre|46</v>
      </c>
    </row>
    <row r="2451" spans="1:14" ht="14.5" x14ac:dyDescent="0.25">
      <c r="A2451" s="19">
        <v>35</v>
      </c>
      <c r="B2451" s="18" t="s">
        <v>42</v>
      </c>
      <c r="C2451" s="18" t="s">
        <v>92</v>
      </c>
      <c r="D2451" s="18" t="s">
        <v>2655</v>
      </c>
      <c r="E2451" s="18" t="s">
        <v>3005</v>
      </c>
      <c r="F2451" s="101">
        <v>46275.009027777778</v>
      </c>
      <c r="G2451" s="101">
        <v>46278.048611111109</v>
      </c>
      <c r="H2451" s="18" t="s">
        <v>507</v>
      </c>
      <c r="I2451" s="18" t="s">
        <v>508</v>
      </c>
      <c r="J2451" s="18"/>
      <c r="K2451" s="21">
        <f t="shared" si="114"/>
        <v>72.949999999953434</v>
      </c>
      <c r="L2451" s="19">
        <f t="shared" si="115"/>
        <v>47</v>
      </c>
      <c r="M2451" s="18" t="str">
        <f>IF(I2451&lt;&gt;"Sí","",IF(YEAR(F2451)&lt;&gt;2026,"",INDEX({"Enero","Febrero","Marzo","Abril","Mayo","Junio","Julio","Agosto","Septiembre","Octubre","Noviembre","Diciembre"},MONTH(F2451))))</f>
        <v>Septiembre</v>
      </c>
      <c r="N2451" s="18" t="str">
        <f t="shared" si="116"/>
        <v>Septiembre|47</v>
      </c>
    </row>
    <row r="2452" spans="1:14" ht="14.5" x14ac:dyDescent="0.25">
      <c r="A2452" s="19">
        <v>35</v>
      </c>
      <c r="B2452" s="18" t="s">
        <v>42</v>
      </c>
      <c r="C2452" s="18" t="s">
        <v>92</v>
      </c>
      <c r="D2452" s="18" t="s">
        <v>2655</v>
      </c>
      <c r="E2452" s="18" t="s">
        <v>3006</v>
      </c>
      <c r="F2452" s="101">
        <v>46275.010416666664</v>
      </c>
      <c r="G2452" s="101">
        <v>46278.048611111109</v>
      </c>
      <c r="H2452" s="18" t="s">
        <v>507</v>
      </c>
      <c r="I2452" s="18" t="s">
        <v>508</v>
      </c>
      <c r="J2452" s="18"/>
      <c r="K2452" s="21">
        <f t="shared" si="114"/>
        <v>72.916666666686069</v>
      </c>
      <c r="L2452" s="19">
        <f t="shared" si="115"/>
        <v>48</v>
      </c>
      <c r="M2452" s="18" t="str">
        <f>IF(I2452&lt;&gt;"Sí","",IF(YEAR(F2452)&lt;&gt;2026,"",INDEX({"Enero","Febrero","Marzo","Abril","Mayo","Junio","Julio","Agosto","Septiembre","Octubre","Noviembre","Diciembre"},MONTH(F2452))))</f>
        <v>Septiembre</v>
      </c>
      <c r="N2452" s="18" t="str">
        <f t="shared" si="116"/>
        <v>Septiembre|48</v>
      </c>
    </row>
    <row r="2453" spans="1:14" ht="14.5" x14ac:dyDescent="0.25">
      <c r="A2453" s="19">
        <v>35</v>
      </c>
      <c r="B2453" s="18" t="s">
        <v>42</v>
      </c>
      <c r="C2453" s="18" t="s">
        <v>92</v>
      </c>
      <c r="D2453" s="18" t="s">
        <v>2655</v>
      </c>
      <c r="E2453" s="18" t="s">
        <v>3007</v>
      </c>
      <c r="F2453" s="101">
        <v>46275.013194444444</v>
      </c>
      <c r="G2453" s="101">
        <v>46278.048611111109</v>
      </c>
      <c r="H2453" s="18" t="s">
        <v>507</v>
      </c>
      <c r="I2453" s="18" t="s">
        <v>508</v>
      </c>
      <c r="J2453" s="18"/>
      <c r="K2453" s="21">
        <f t="shared" si="114"/>
        <v>72.849999999976717</v>
      </c>
      <c r="L2453" s="19">
        <f t="shared" si="115"/>
        <v>49</v>
      </c>
      <c r="M2453" s="18" t="str">
        <f>IF(I2453&lt;&gt;"Sí","",IF(YEAR(F2453)&lt;&gt;2026,"",INDEX({"Enero","Febrero","Marzo","Abril","Mayo","Junio","Julio","Agosto","Septiembre","Octubre","Noviembre","Diciembre"},MONTH(F2453))))</f>
        <v>Septiembre</v>
      </c>
      <c r="N2453" s="18" t="str">
        <f t="shared" si="116"/>
        <v>Septiembre|49</v>
      </c>
    </row>
    <row r="2454" spans="1:14" ht="14.5" x14ac:dyDescent="0.25">
      <c r="A2454" s="19">
        <v>35</v>
      </c>
      <c r="B2454" s="18" t="s">
        <v>42</v>
      </c>
      <c r="C2454" s="18" t="s">
        <v>92</v>
      </c>
      <c r="D2454" s="18" t="s">
        <v>2655</v>
      </c>
      <c r="E2454" s="18" t="s">
        <v>3008</v>
      </c>
      <c r="F2454" s="101">
        <v>46275.013888888891</v>
      </c>
      <c r="G2454" s="101">
        <v>46278.048611111109</v>
      </c>
      <c r="H2454" s="18" t="s">
        <v>507</v>
      </c>
      <c r="I2454" s="18" t="s">
        <v>508</v>
      </c>
      <c r="J2454" s="18"/>
      <c r="K2454" s="21">
        <f t="shared" si="114"/>
        <v>72.833333333255723</v>
      </c>
      <c r="L2454" s="19">
        <f t="shared" si="115"/>
        <v>50</v>
      </c>
      <c r="M2454" s="18" t="str">
        <f>IF(I2454&lt;&gt;"Sí","",IF(YEAR(F2454)&lt;&gt;2026,"",INDEX({"Enero","Febrero","Marzo","Abril","Mayo","Junio","Julio","Agosto","Septiembre","Octubre","Noviembre","Diciembre"},MONTH(F2454))))</f>
        <v>Septiembre</v>
      </c>
      <c r="N2454" s="18" t="str">
        <f t="shared" si="116"/>
        <v>Septiembre|50</v>
      </c>
    </row>
    <row r="2455" spans="1:14" ht="14.5" x14ac:dyDescent="0.25">
      <c r="A2455" s="19">
        <v>35</v>
      </c>
      <c r="B2455" s="18" t="s">
        <v>42</v>
      </c>
      <c r="C2455" s="18" t="s">
        <v>92</v>
      </c>
      <c r="D2455" s="18" t="s">
        <v>2655</v>
      </c>
      <c r="E2455" s="18" t="s">
        <v>3009</v>
      </c>
      <c r="F2455" s="101">
        <v>46275.015277777777</v>
      </c>
      <c r="G2455" s="101">
        <v>46278.048611111109</v>
      </c>
      <c r="H2455" s="18" t="s">
        <v>507</v>
      </c>
      <c r="I2455" s="18" t="s">
        <v>508</v>
      </c>
      <c r="J2455" s="18"/>
      <c r="K2455" s="21">
        <f t="shared" si="114"/>
        <v>72.799999999988358</v>
      </c>
      <c r="L2455" s="19">
        <f t="shared" si="115"/>
        <v>51</v>
      </c>
      <c r="M2455" s="18" t="str">
        <f>IF(I2455&lt;&gt;"Sí","",IF(YEAR(F2455)&lt;&gt;2026,"",INDEX({"Enero","Febrero","Marzo","Abril","Mayo","Junio","Julio","Agosto","Septiembre","Octubre","Noviembre","Diciembre"},MONTH(F2455))))</f>
        <v>Septiembre</v>
      </c>
      <c r="N2455" s="18" t="str">
        <f t="shared" si="116"/>
        <v>Septiembre|51</v>
      </c>
    </row>
    <row r="2456" spans="1:14" ht="14.5" x14ac:dyDescent="0.25">
      <c r="A2456" s="19">
        <v>35</v>
      </c>
      <c r="B2456" s="18" t="s">
        <v>42</v>
      </c>
      <c r="C2456" s="18" t="s">
        <v>92</v>
      </c>
      <c r="D2456" s="18" t="s">
        <v>2655</v>
      </c>
      <c r="E2456" s="18" t="s">
        <v>3010</v>
      </c>
      <c r="F2456" s="101">
        <v>46275.01666666667</v>
      </c>
      <c r="G2456" s="101">
        <v>46278.048611111109</v>
      </c>
      <c r="H2456" s="18" t="s">
        <v>507</v>
      </c>
      <c r="I2456" s="18" t="s">
        <v>508</v>
      </c>
      <c r="J2456" s="18"/>
      <c r="K2456" s="21">
        <f t="shared" si="114"/>
        <v>72.766666666546371</v>
      </c>
      <c r="L2456" s="19">
        <f t="shared" si="115"/>
        <v>52</v>
      </c>
      <c r="M2456" s="18" t="str">
        <f>IF(I2456&lt;&gt;"Sí","",IF(YEAR(F2456)&lt;&gt;2026,"",INDEX({"Enero","Febrero","Marzo","Abril","Mayo","Junio","Julio","Agosto","Septiembre","Octubre","Noviembre","Diciembre"},MONTH(F2456))))</f>
        <v>Septiembre</v>
      </c>
      <c r="N2456" s="18" t="str">
        <f t="shared" si="116"/>
        <v>Septiembre|52</v>
      </c>
    </row>
    <row r="2457" spans="1:14" ht="14.5" x14ac:dyDescent="0.25">
      <c r="A2457" s="19">
        <v>35</v>
      </c>
      <c r="B2457" s="18" t="s">
        <v>42</v>
      </c>
      <c r="C2457" s="18" t="s">
        <v>92</v>
      </c>
      <c r="D2457" s="18" t="s">
        <v>2655</v>
      </c>
      <c r="E2457" s="18" t="s">
        <v>3011</v>
      </c>
      <c r="F2457" s="101">
        <v>46275.018750000003</v>
      </c>
      <c r="G2457" s="101">
        <v>46278.048611111109</v>
      </c>
      <c r="H2457" s="18" t="s">
        <v>507</v>
      </c>
      <c r="I2457" s="18" t="s">
        <v>508</v>
      </c>
      <c r="J2457" s="18"/>
      <c r="K2457" s="21">
        <f t="shared" si="114"/>
        <v>72.716666666558012</v>
      </c>
      <c r="L2457" s="19">
        <f t="shared" si="115"/>
        <v>53</v>
      </c>
      <c r="M2457" s="18" t="str">
        <f>IF(I2457&lt;&gt;"Sí","",IF(YEAR(F2457)&lt;&gt;2026,"",INDEX({"Enero","Febrero","Marzo","Abril","Mayo","Junio","Julio","Agosto","Septiembre","Octubre","Noviembre","Diciembre"},MONTH(F2457))))</f>
        <v>Septiembre</v>
      </c>
      <c r="N2457" s="18" t="str">
        <f t="shared" si="116"/>
        <v>Septiembre|53</v>
      </c>
    </row>
    <row r="2458" spans="1:14" ht="14.5" x14ac:dyDescent="0.25">
      <c r="A2458" s="19">
        <v>35</v>
      </c>
      <c r="B2458" s="18" t="s">
        <v>42</v>
      </c>
      <c r="C2458" s="18" t="s">
        <v>92</v>
      </c>
      <c r="D2458" s="18" t="s">
        <v>2655</v>
      </c>
      <c r="E2458" s="18" t="s">
        <v>3012</v>
      </c>
      <c r="F2458" s="101">
        <v>46275.020138888889</v>
      </c>
      <c r="G2458" s="101">
        <v>46278.048611111109</v>
      </c>
      <c r="H2458" s="18" t="s">
        <v>507</v>
      </c>
      <c r="I2458" s="18" t="s">
        <v>508</v>
      </c>
      <c r="J2458" s="18"/>
      <c r="K2458" s="21">
        <f t="shared" si="114"/>
        <v>72.683333333290648</v>
      </c>
      <c r="L2458" s="19">
        <f t="shared" si="115"/>
        <v>54</v>
      </c>
      <c r="M2458" s="18" t="str">
        <f>IF(I2458&lt;&gt;"Sí","",IF(YEAR(F2458)&lt;&gt;2026,"",INDEX({"Enero","Febrero","Marzo","Abril","Mayo","Junio","Julio","Agosto","Septiembre","Octubre","Noviembre","Diciembre"},MONTH(F2458))))</f>
        <v>Septiembre</v>
      </c>
      <c r="N2458" s="18" t="str">
        <f t="shared" si="116"/>
        <v>Septiembre|54</v>
      </c>
    </row>
    <row r="2459" spans="1:14" ht="14.5" x14ac:dyDescent="0.25">
      <c r="A2459" s="19">
        <v>35</v>
      </c>
      <c r="B2459" s="18" t="s">
        <v>42</v>
      </c>
      <c r="C2459" s="18" t="s">
        <v>92</v>
      </c>
      <c r="D2459" s="18" t="s">
        <v>2655</v>
      </c>
      <c r="E2459" s="18" t="s">
        <v>3013</v>
      </c>
      <c r="F2459" s="101">
        <v>46275.021527777775</v>
      </c>
      <c r="G2459" s="101">
        <v>46278.048611111109</v>
      </c>
      <c r="H2459" s="18" t="s">
        <v>507</v>
      </c>
      <c r="I2459" s="18" t="s">
        <v>508</v>
      </c>
      <c r="J2459" s="18"/>
      <c r="K2459" s="21">
        <f t="shared" si="114"/>
        <v>72.650000000023283</v>
      </c>
      <c r="L2459" s="19">
        <f t="shared" si="115"/>
        <v>55</v>
      </c>
      <c r="M2459" s="18" t="str">
        <f>IF(I2459&lt;&gt;"Sí","",IF(YEAR(F2459)&lt;&gt;2026,"",INDEX({"Enero","Febrero","Marzo","Abril","Mayo","Junio","Julio","Agosto","Septiembre","Octubre","Noviembre","Diciembre"},MONTH(F2459))))</f>
        <v>Septiembre</v>
      </c>
      <c r="N2459" s="18" t="str">
        <f t="shared" si="116"/>
        <v>Septiembre|55</v>
      </c>
    </row>
    <row r="2460" spans="1:14" ht="14.5" x14ac:dyDescent="0.25">
      <c r="A2460" s="19">
        <v>35</v>
      </c>
      <c r="B2460" s="18" t="s">
        <v>42</v>
      </c>
      <c r="C2460" s="18" t="s">
        <v>92</v>
      </c>
      <c r="D2460" s="18" t="s">
        <v>2655</v>
      </c>
      <c r="E2460" s="18" t="s">
        <v>3014</v>
      </c>
      <c r="F2460" s="101">
        <v>46275.022222222222</v>
      </c>
      <c r="G2460" s="101">
        <v>46278.048611111109</v>
      </c>
      <c r="H2460" s="18" t="s">
        <v>507</v>
      </c>
      <c r="I2460" s="18" t="s">
        <v>508</v>
      </c>
      <c r="J2460" s="18"/>
      <c r="K2460" s="21">
        <f t="shared" si="114"/>
        <v>72.633333333302289</v>
      </c>
      <c r="L2460" s="19">
        <f t="shared" si="115"/>
        <v>56</v>
      </c>
      <c r="M2460" s="18" t="str">
        <f>IF(I2460&lt;&gt;"Sí","",IF(YEAR(F2460)&lt;&gt;2026,"",INDEX({"Enero","Febrero","Marzo","Abril","Mayo","Junio","Julio","Agosto","Septiembre","Octubre","Noviembre","Diciembre"},MONTH(F2460))))</f>
        <v>Septiembre</v>
      </c>
      <c r="N2460" s="18" t="str">
        <f t="shared" si="116"/>
        <v>Septiembre|56</v>
      </c>
    </row>
    <row r="2461" spans="1:14" ht="14.5" x14ac:dyDescent="0.25">
      <c r="A2461" s="19">
        <v>35</v>
      </c>
      <c r="B2461" s="18" t="s">
        <v>42</v>
      </c>
      <c r="C2461" s="18" t="s">
        <v>92</v>
      </c>
      <c r="D2461" s="18" t="s">
        <v>2655</v>
      </c>
      <c r="E2461" s="18" t="s">
        <v>3015</v>
      </c>
      <c r="F2461" s="101">
        <v>46275.023611111108</v>
      </c>
      <c r="G2461" s="101">
        <v>46278.048611111109</v>
      </c>
      <c r="H2461" s="18" t="s">
        <v>507</v>
      </c>
      <c r="I2461" s="18" t="s">
        <v>508</v>
      </c>
      <c r="J2461" s="18"/>
      <c r="K2461" s="21">
        <f t="shared" si="114"/>
        <v>72.600000000034925</v>
      </c>
      <c r="L2461" s="19">
        <f t="shared" si="115"/>
        <v>57</v>
      </c>
      <c r="M2461" s="18" t="str">
        <f>IF(I2461&lt;&gt;"Sí","",IF(YEAR(F2461)&lt;&gt;2026,"",INDEX({"Enero","Febrero","Marzo","Abril","Mayo","Junio","Julio","Agosto","Septiembre","Octubre","Noviembre","Diciembre"},MONTH(F2461))))</f>
        <v>Septiembre</v>
      </c>
      <c r="N2461" s="18" t="str">
        <f t="shared" si="116"/>
        <v>Septiembre|57</v>
      </c>
    </row>
    <row r="2462" spans="1:14" ht="14.5" x14ac:dyDescent="0.25">
      <c r="A2462" s="19">
        <v>35</v>
      </c>
      <c r="B2462" s="18" t="s">
        <v>42</v>
      </c>
      <c r="C2462" s="18" t="s">
        <v>92</v>
      </c>
      <c r="D2462" s="18" t="s">
        <v>2655</v>
      </c>
      <c r="E2462" s="18" t="s">
        <v>3016</v>
      </c>
      <c r="F2462" s="101">
        <v>46275.025000000001</v>
      </c>
      <c r="G2462" s="101">
        <v>46278.048611111109</v>
      </c>
      <c r="H2462" s="18" t="s">
        <v>507</v>
      </c>
      <c r="I2462" s="18" t="s">
        <v>508</v>
      </c>
      <c r="J2462" s="18"/>
      <c r="K2462" s="21">
        <f t="shared" si="114"/>
        <v>72.566666666592937</v>
      </c>
      <c r="L2462" s="19">
        <f t="shared" si="115"/>
        <v>58</v>
      </c>
      <c r="M2462" s="18" t="str">
        <f>IF(I2462&lt;&gt;"Sí","",IF(YEAR(F2462)&lt;&gt;2026,"",INDEX({"Enero","Febrero","Marzo","Abril","Mayo","Junio","Julio","Agosto","Septiembre","Octubre","Noviembre","Diciembre"},MONTH(F2462))))</f>
        <v>Septiembre</v>
      </c>
      <c r="N2462" s="18" t="str">
        <f t="shared" si="116"/>
        <v>Septiembre|58</v>
      </c>
    </row>
    <row r="2463" spans="1:14" ht="14.5" x14ac:dyDescent="0.25">
      <c r="A2463" s="19">
        <v>35</v>
      </c>
      <c r="B2463" s="18" t="s">
        <v>42</v>
      </c>
      <c r="C2463" s="18" t="s">
        <v>92</v>
      </c>
      <c r="D2463" s="18" t="s">
        <v>2655</v>
      </c>
      <c r="E2463" s="18" t="s">
        <v>3017</v>
      </c>
      <c r="F2463" s="101">
        <v>46275.026388888888</v>
      </c>
      <c r="G2463" s="101">
        <v>46278.048611111109</v>
      </c>
      <c r="H2463" s="18" t="s">
        <v>507</v>
      </c>
      <c r="I2463" s="18" t="s">
        <v>508</v>
      </c>
      <c r="J2463" s="18"/>
      <c r="K2463" s="21">
        <f t="shared" si="114"/>
        <v>72.533333333325572</v>
      </c>
      <c r="L2463" s="19">
        <f t="shared" si="115"/>
        <v>59</v>
      </c>
      <c r="M2463" s="18" t="str">
        <f>IF(I2463&lt;&gt;"Sí","",IF(YEAR(F2463)&lt;&gt;2026,"",INDEX({"Enero","Febrero","Marzo","Abril","Mayo","Junio","Julio","Agosto","Septiembre","Octubre","Noviembre","Diciembre"},MONTH(F2463))))</f>
        <v>Septiembre</v>
      </c>
      <c r="N2463" s="18" t="str">
        <f t="shared" si="116"/>
        <v>Septiembre|59</v>
      </c>
    </row>
    <row r="2464" spans="1:14" ht="14.5" x14ac:dyDescent="0.25">
      <c r="A2464" s="19">
        <v>35</v>
      </c>
      <c r="B2464" s="18" t="s">
        <v>42</v>
      </c>
      <c r="C2464" s="18" t="s">
        <v>92</v>
      </c>
      <c r="D2464" s="18" t="s">
        <v>2655</v>
      </c>
      <c r="E2464" s="18" t="s">
        <v>3018</v>
      </c>
      <c r="F2464" s="101">
        <v>46275.02847222222</v>
      </c>
      <c r="G2464" s="101">
        <v>46278.048611111109</v>
      </c>
      <c r="H2464" s="18" t="s">
        <v>507</v>
      </c>
      <c r="I2464" s="18" t="s">
        <v>508</v>
      </c>
      <c r="J2464" s="18"/>
      <c r="K2464" s="21">
        <f t="shared" si="114"/>
        <v>72.483333333337214</v>
      </c>
      <c r="L2464" s="19">
        <f t="shared" si="115"/>
        <v>60</v>
      </c>
      <c r="M2464" s="18" t="str">
        <f>IF(I2464&lt;&gt;"Sí","",IF(YEAR(F2464)&lt;&gt;2026,"",INDEX({"Enero","Febrero","Marzo","Abril","Mayo","Junio","Julio","Agosto","Septiembre","Octubre","Noviembre","Diciembre"},MONTH(F2464))))</f>
        <v>Septiembre</v>
      </c>
      <c r="N2464" s="18" t="str">
        <f t="shared" si="116"/>
        <v>Septiembre|60</v>
      </c>
    </row>
    <row r="2465" spans="1:14" ht="14.5" x14ac:dyDescent="0.25">
      <c r="A2465" s="19">
        <v>35</v>
      </c>
      <c r="B2465" s="18" t="s">
        <v>42</v>
      </c>
      <c r="C2465" s="18" t="s">
        <v>92</v>
      </c>
      <c r="D2465" s="18" t="s">
        <v>2655</v>
      </c>
      <c r="E2465" s="18" t="s">
        <v>3019</v>
      </c>
      <c r="F2465" s="101">
        <v>46275.029861111114</v>
      </c>
      <c r="G2465" s="101">
        <v>46277.791666666664</v>
      </c>
      <c r="H2465" s="18" t="s">
        <v>507</v>
      </c>
      <c r="I2465" s="18" t="s">
        <v>508</v>
      </c>
      <c r="J2465" s="18"/>
      <c r="K2465" s="21">
        <f t="shared" si="114"/>
        <v>66.283333333209157</v>
      </c>
      <c r="L2465" s="19">
        <f t="shared" si="115"/>
        <v>61</v>
      </c>
      <c r="M2465" s="18" t="str">
        <f>IF(I2465&lt;&gt;"Sí","",IF(YEAR(F2465)&lt;&gt;2026,"",INDEX({"Enero","Febrero","Marzo","Abril","Mayo","Junio","Julio","Agosto","Septiembre","Octubre","Noviembre","Diciembre"},MONTH(F2465))))</f>
        <v>Septiembre</v>
      </c>
      <c r="N2465" s="18" t="str">
        <f t="shared" si="116"/>
        <v>Septiembre|61</v>
      </c>
    </row>
    <row r="2466" spans="1:14" ht="14.5" x14ac:dyDescent="0.25">
      <c r="A2466" s="19">
        <v>35</v>
      </c>
      <c r="B2466" s="18" t="s">
        <v>42</v>
      </c>
      <c r="C2466" s="18" t="s">
        <v>92</v>
      </c>
      <c r="D2466" s="18" t="s">
        <v>2655</v>
      </c>
      <c r="E2466" s="18" t="s">
        <v>3020</v>
      </c>
      <c r="F2466" s="101">
        <v>46275.03125</v>
      </c>
      <c r="G2466" s="101">
        <v>46277.791666666664</v>
      </c>
      <c r="H2466" s="18" t="s">
        <v>507</v>
      </c>
      <c r="I2466" s="18" t="s">
        <v>508</v>
      </c>
      <c r="J2466" s="18"/>
      <c r="K2466" s="21">
        <f t="shared" si="114"/>
        <v>66.249999999941792</v>
      </c>
      <c r="L2466" s="19">
        <f t="shared" si="115"/>
        <v>62</v>
      </c>
      <c r="M2466" s="18" t="str">
        <f>IF(I2466&lt;&gt;"Sí","",IF(YEAR(F2466)&lt;&gt;2026,"",INDEX({"Enero","Febrero","Marzo","Abril","Mayo","Junio","Julio","Agosto","Septiembre","Octubre","Noviembre","Diciembre"},MONTH(F2466))))</f>
        <v>Septiembre</v>
      </c>
      <c r="N2466" s="18" t="str">
        <f t="shared" si="116"/>
        <v>Septiembre|62</v>
      </c>
    </row>
    <row r="2467" spans="1:14" ht="14.5" x14ac:dyDescent="0.25">
      <c r="A2467" s="19">
        <v>35</v>
      </c>
      <c r="B2467" s="18" t="s">
        <v>42</v>
      </c>
      <c r="C2467" s="18" t="s">
        <v>92</v>
      </c>
      <c r="D2467" s="18" t="s">
        <v>2655</v>
      </c>
      <c r="E2467" s="18" t="s">
        <v>3021</v>
      </c>
      <c r="F2467" s="101">
        <v>46275.033333333333</v>
      </c>
      <c r="G2467" s="101">
        <v>46277.791666666664</v>
      </c>
      <c r="H2467" s="18" t="s">
        <v>507</v>
      </c>
      <c r="I2467" s="18" t="s">
        <v>508</v>
      </c>
      <c r="J2467" s="18"/>
      <c r="K2467" s="21">
        <f t="shared" si="114"/>
        <v>66.199999999953434</v>
      </c>
      <c r="L2467" s="19">
        <f t="shared" si="115"/>
        <v>63</v>
      </c>
      <c r="M2467" s="18" t="str">
        <f>IF(I2467&lt;&gt;"Sí","",IF(YEAR(F2467)&lt;&gt;2026,"",INDEX({"Enero","Febrero","Marzo","Abril","Mayo","Junio","Julio","Agosto","Septiembre","Octubre","Noviembre","Diciembre"},MONTH(F2467))))</f>
        <v>Septiembre</v>
      </c>
      <c r="N2467" s="18" t="str">
        <f t="shared" si="116"/>
        <v>Septiembre|63</v>
      </c>
    </row>
    <row r="2468" spans="1:14" ht="14.5" x14ac:dyDescent="0.25">
      <c r="A2468" s="19">
        <v>35</v>
      </c>
      <c r="B2468" s="18" t="s">
        <v>42</v>
      </c>
      <c r="C2468" s="18" t="s">
        <v>92</v>
      </c>
      <c r="D2468" s="18" t="s">
        <v>2655</v>
      </c>
      <c r="E2468" s="18" t="s">
        <v>3022</v>
      </c>
      <c r="F2468" s="101">
        <v>46275.035416666666</v>
      </c>
      <c r="G2468" s="101">
        <v>46277.791666666664</v>
      </c>
      <c r="H2468" s="18" t="s">
        <v>507</v>
      </c>
      <c r="I2468" s="18" t="s">
        <v>508</v>
      </c>
      <c r="J2468" s="18"/>
      <c r="K2468" s="21">
        <f t="shared" si="114"/>
        <v>66.149999999965075</v>
      </c>
      <c r="L2468" s="19">
        <f t="shared" si="115"/>
        <v>64</v>
      </c>
      <c r="M2468" s="18" t="str">
        <f>IF(I2468&lt;&gt;"Sí","",IF(YEAR(F2468)&lt;&gt;2026,"",INDEX({"Enero","Febrero","Marzo","Abril","Mayo","Junio","Julio","Agosto","Septiembre","Octubre","Noviembre","Diciembre"},MONTH(F2468))))</f>
        <v>Septiembre</v>
      </c>
      <c r="N2468" s="18" t="str">
        <f t="shared" si="116"/>
        <v>Septiembre|64</v>
      </c>
    </row>
    <row r="2469" spans="1:14" ht="14.5" x14ac:dyDescent="0.25">
      <c r="A2469" s="19">
        <v>35</v>
      </c>
      <c r="B2469" s="18" t="s">
        <v>42</v>
      </c>
      <c r="C2469" s="18" t="s">
        <v>92</v>
      </c>
      <c r="D2469" s="18" t="s">
        <v>2655</v>
      </c>
      <c r="E2469" s="18" t="s">
        <v>3023</v>
      </c>
      <c r="F2469" s="101">
        <v>46275.036805555559</v>
      </c>
      <c r="G2469" s="101">
        <v>46277.791666666664</v>
      </c>
      <c r="H2469" s="18" t="s">
        <v>507</v>
      </c>
      <c r="I2469" s="18" t="s">
        <v>508</v>
      </c>
      <c r="J2469" s="18"/>
      <c r="K2469" s="21">
        <f t="shared" si="114"/>
        <v>66.116666666523088</v>
      </c>
      <c r="L2469" s="19">
        <f t="shared" si="115"/>
        <v>65</v>
      </c>
      <c r="M2469" s="18" t="str">
        <f>IF(I2469&lt;&gt;"Sí","",IF(YEAR(F2469)&lt;&gt;2026,"",INDEX({"Enero","Febrero","Marzo","Abril","Mayo","Junio","Julio","Agosto","Septiembre","Octubre","Noviembre","Diciembre"},MONTH(F2469))))</f>
        <v>Septiembre</v>
      </c>
      <c r="N2469" s="18" t="str">
        <f t="shared" si="116"/>
        <v>Septiembre|65</v>
      </c>
    </row>
    <row r="2470" spans="1:14" ht="14.5" x14ac:dyDescent="0.25">
      <c r="A2470" s="19">
        <v>35</v>
      </c>
      <c r="B2470" s="18" t="s">
        <v>42</v>
      </c>
      <c r="C2470" s="18" t="s">
        <v>92</v>
      </c>
      <c r="D2470" s="18" t="s">
        <v>2655</v>
      </c>
      <c r="E2470" s="18" t="s">
        <v>3024</v>
      </c>
      <c r="F2470" s="101">
        <v>46275.038888888892</v>
      </c>
      <c r="G2470" s="101">
        <v>46277.791666666664</v>
      </c>
      <c r="H2470" s="18" t="s">
        <v>507</v>
      </c>
      <c r="I2470" s="18" t="s">
        <v>508</v>
      </c>
      <c r="J2470" s="18"/>
      <c r="K2470" s="21">
        <f t="shared" si="114"/>
        <v>66.066666666534729</v>
      </c>
      <c r="L2470" s="19">
        <f t="shared" si="115"/>
        <v>66</v>
      </c>
      <c r="M2470" s="18" t="str">
        <f>IF(I2470&lt;&gt;"Sí","",IF(YEAR(F2470)&lt;&gt;2026,"",INDEX({"Enero","Febrero","Marzo","Abril","Mayo","Junio","Julio","Agosto","Septiembre","Octubre","Noviembre","Diciembre"},MONTH(F2470))))</f>
        <v>Septiembre</v>
      </c>
      <c r="N2470" s="18" t="str">
        <f t="shared" si="116"/>
        <v>Septiembre|66</v>
      </c>
    </row>
    <row r="2471" spans="1:14" ht="14.5" x14ac:dyDescent="0.25">
      <c r="A2471" s="19">
        <v>35</v>
      </c>
      <c r="B2471" s="18" t="s">
        <v>42</v>
      </c>
      <c r="C2471" s="18" t="s">
        <v>92</v>
      </c>
      <c r="D2471" s="18" t="s">
        <v>2655</v>
      </c>
      <c r="E2471" s="18" t="s">
        <v>3025</v>
      </c>
      <c r="F2471" s="101">
        <v>46275.040277777778</v>
      </c>
      <c r="G2471" s="101">
        <v>46277.791666666664</v>
      </c>
      <c r="H2471" s="18" t="s">
        <v>507</v>
      </c>
      <c r="I2471" s="18" t="s">
        <v>508</v>
      </c>
      <c r="J2471" s="18"/>
      <c r="K2471" s="21">
        <f t="shared" si="114"/>
        <v>66.033333333267365</v>
      </c>
      <c r="L2471" s="19">
        <f t="shared" si="115"/>
        <v>67</v>
      </c>
      <c r="M2471" s="18" t="str">
        <f>IF(I2471&lt;&gt;"Sí","",IF(YEAR(F2471)&lt;&gt;2026,"",INDEX({"Enero","Febrero","Marzo","Abril","Mayo","Junio","Julio","Agosto","Septiembre","Octubre","Noviembre","Diciembre"},MONTH(F2471))))</f>
        <v>Septiembre</v>
      </c>
      <c r="N2471" s="18" t="str">
        <f t="shared" si="116"/>
        <v>Septiembre|67</v>
      </c>
    </row>
    <row r="2472" spans="1:14" ht="14.5" x14ac:dyDescent="0.25">
      <c r="A2472" s="19">
        <v>35</v>
      </c>
      <c r="B2472" s="18" t="s">
        <v>42</v>
      </c>
      <c r="C2472" s="18" t="s">
        <v>92</v>
      </c>
      <c r="D2472" s="18" t="s">
        <v>2655</v>
      </c>
      <c r="E2472" s="18" t="s">
        <v>3026</v>
      </c>
      <c r="F2472" s="101">
        <v>46275.040972222225</v>
      </c>
      <c r="G2472" s="101">
        <v>46277.791666666664</v>
      </c>
      <c r="H2472" s="18" t="s">
        <v>507</v>
      </c>
      <c r="I2472" s="18" t="s">
        <v>508</v>
      </c>
      <c r="J2472" s="18"/>
      <c r="K2472" s="21">
        <f t="shared" si="114"/>
        <v>66.016666666546371</v>
      </c>
      <c r="L2472" s="19">
        <f t="shared" si="115"/>
        <v>68</v>
      </c>
      <c r="M2472" s="18" t="str">
        <f>IF(I2472&lt;&gt;"Sí","",IF(YEAR(F2472)&lt;&gt;2026,"",INDEX({"Enero","Febrero","Marzo","Abril","Mayo","Junio","Julio","Agosto","Septiembre","Octubre","Noviembre","Diciembre"},MONTH(F2472))))</f>
        <v>Septiembre</v>
      </c>
      <c r="N2472" s="18" t="str">
        <f t="shared" si="116"/>
        <v>Septiembre|68</v>
      </c>
    </row>
    <row r="2473" spans="1:14" ht="14.5" x14ac:dyDescent="0.25">
      <c r="A2473" s="19">
        <v>35</v>
      </c>
      <c r="B2473" s="18" t="s">
        <v>42</v>
      </c>
      <c r="C2473" s="18" t="s">
        <v>92</v>
      </c>
      <c r="D2473" s="18" t="s">
        <v>2655</v>
      </c>
      <c r="E2473" s="18" t="s">
        <v>3027</v>
      </c>
      <c r="F2473" s="101">
        <v>46275.042361111111</v>
      </c>
      <c r="G2473" s="101">
        <v>46277.791666666664</v>
      </c>
      <c r="H2473" s="18" t="s">
        <v>507</v>
      </c>
      <c r="I2473" s="18" t="s">
        <v>508</v>
      </c>
      <c r="J2473" s="18"/>
      <c r="K2473" s="21">
        <f t="shared" si="114"/>
        <v>65.983333333279006</v>
      </c>
      <c r="L2473" s="19">
        <f t="shared" si="115"/>
        <v>69</v>
      </c>
      <c r="M2473" s="18" t="str">
        <f>IF(I2473&lt;&gt;"Sí","",IF(YEAR(F2473)&lt;&gt;2026,"",INDEX({"Enero","Febrero","Marzo","Abril","Mayo","Junio","Julio","Agosto","Septiembre","Octubre","Noviembre","Diciembre"},MONTH(F2473))))</f>
        <v>Septiembre</v>
      </c>
      <c r="N2473" s="18" t="str">
        <f t="shared" si="116"/>
        <v>Septiembre|69</v>
      </c>
    </row>
    <row r="2474" spans="1:14" ht="14.5" x14ac:dyDescent="0.25">
      <c r="A2474" s="19">
        <v>35</v>
      </c>
      <c r="B2474" s="18" t="s">
        <v>42</v>
      </c>
      <c r="C2474" s="18" t="s">
        <v>92</v>
      </c>
      <c r="D2474" s="18" t="s">
        <v>2655</v>
      </c>
      <c r="E2474" s="18" t="s">
        <v>3028</v>
      </c>
      <c r="F2474" s="101">
        <v>46275.044444444444</v>
      </c>
      <c r="G2474" s="101">
        <v>46277.791666666664</v>
      </c>
      <c r="H2474" s="18" t="s">
        <v>507</v>
      </c>
      <c r="I2474" s="18" t="s">
        <v>508</v>
      </c>
      <c r="J2474" s="18"/>
      <c r="K2474" s="21">
        <f t="shared" si="114"/>
        <v>65.933333333290648</v>
      </c>
      <c r="L2474" s="19">
        <f t="shared" si="115"/>
        <v>70</v>
      </c>
      <c r="M2474" s="18" t="str">
        <f>IF(I2474&lt;&gt;"Sí","",IF(YEAR(F2474)&lt;&gt;2026,"",INDEX({"Enero","Febrero","Marzo","Abril","Mayo","Junio","Julio","Agosto","Septiembre","Octubre","Noviembre","Diciembre"},MONTH(F2474))))</f>
        <v>Septiembre</v>
      </c>
      <c r="N2474" s="18" t="str">
        <f t="shared" si="116"/>
        <v>Septiembre|70</v>
      </c>
    </row>
    <row r="2475" spans="1:14" ht="14.5" x14ac:dyDescent="0.25">
      <c r="A2475" s="19">
        <v>35</v>
      </c>
      <c r="B2475" s="18" t="s">
        <v>42</v>
      </c>
      <c r="C2475" s="18" t="s">
        <v>92</v>
      </c>
      <c r="D2475" s="18" t="s">
        <v>2655</v>
      </c>
      <c r="E2475" s="18" t="s">
        <v>3029</v>
      </c>
      <c r="F2475" s="101">
        <v>46275.045138888891</v>
      </c>
      <c r="G2475" s="101">
        <v>46277.791666666664</v>
      </c>
      <c r="H2475" s="18" t="s">
        <v>507</v>
      </c>
      <c r="I2475" s="18" t="s">
        <v>508</v>
      </c>
      <c r="J2475" s="18"/>
      <c r="K2475" s="21">
        <f t="shared" si="114"/>
        <v>65.916666666569654</v>
      </c>
      <c r="L2475" s="19">
        <f t="shared" si="115"/>
        <v>71</v>
      </c>
      <c r="M2475" s="18" t="str">
        <f>IF(I2475&lt;&gt;"Sí","",IF(YEAR(F2475)&lt;&gt;2026,"",INDEX({"Enero","Febrero","Marzo","Abril","Mayo","Junio","Julio","Agosto","Septiembre","Octubre","Noviembre","Diciembre"},MONTH(F2475))))</f>
        <v>Septiembre</v>
      </c>
      <c r="N2475" s="18" t="str">
        <f t="shared" si="116"/>
        <v>Septiembre|71</v>
      </c>
    </row>
    <row r="2476" spans="1:14" ht="14.5" x14ac:dyDescent="0.25">
      <c r="A2476" s="19">
        <v>35</v>
      </c>
      <c r="B2476" s="18" t="s">
        <v>42</v>
      </c>
      <c r="C2476" s="18" t="s">
        <v>92</v>
      </c>
      <c r="D2476" s="18" t="s">
        <v>2655</v>
      </c>
      <c r="E2476" s="18" t="s">
        <v>3030</v>
      </c>
      <c r="F2476" s="101">
        <v>46275.047222222223</v>
      </c>
      <c r="G2476" s="101">
        <v>46277.767361111109</v>
      </c>
      <c r="H2476" s="18" t="s">
        <v>507</v>
      </c>
      <c r="I2476" s="18" t="s">
        <v>508</v>
      </c>
      <c r="J2476" s="18"/>
      <c r="K2476" s="21">
        <f t="shared" si="114"/>
        <v>65.283333333267365</v>
      </c>
      <c r="L2476" s="19">
        <f t="shared" si="115"/>
        <v>72</v>
      </c>
      <c r="M2476" s="18" t="str">
        <f>IF(I2476&lt;&gt;"Sí","",IF(YEAR(F2476)&lt;&gt;2026,"",INDEX({"Enero","Febrero","Marzo","Abril","Mayo","Junio","Julio","Agosto","Septiembre","Octubre","Noviembre","Diciembre"},MONTH(F2476))))</f>
        <v>Septiembre</v>
      </c>
      <c r="N2476" s="18" t="str">
        <f t="shared" si="116"/>
        <v>Septiembre|72</v>
      </c>
    </row>
    <row r="2477" spans="1:14" ht="14.5" x14ac:dyDescent="0.25">
      <c r="A2477" s="19">
        <v>35</v>
      </c>
      <c r="B2477" s="18" t="s">
        <v>42</v>
      </c>
      <c r="C2477" s="18" t="s">
        <v>92</v>
      </c>
      <c r="D2477" s="18" t="s">
        <v>2655</v>
      </c>
      <c r="E2477" s="18" t="s">
        <v>3031</v>
      </c>
      <c r="F2477" s="101">
        <v>46275.050694444442</v>
      </c>
      <c r="G2477" s="101">
        <v>46277.767361111109</v>
      </c>
      <c r="H2477" s="18" t="s">
        <v>507</v>
      </c>
      <c r="I2477" s="18" t="s">
        <v>508</v>
      </c>
      <c r="J2477" s="18"/>
      <c r="K2477" s="21">
        <f t="shared" si="114"/>
        <v>65.200000000011642</v>
      </c>
      <c r="L2477" s="19">
        <f t="shared" si="115"/>
        <v>73</v>
      </c>
      <c r="M2477" s="18" t="str">
        <f>IF(I2477&lt;&gt;"Sí","",IF(YEAR(F2477)&lt;&gt;2026,"",INDEX({"Enero","Febrero","Marzo","Abril","Mayo","Junio","Julio","Agosto","Septiembre","Octubre","Noviembre","Diciembre"},MONTH(F2477))))</f>
        <v>Septiembre</v>
      </c>
      <c r="N2477" s="18" t="str">
        <f t="shared" si="116"/>
        <v>Septiembre|73</v>
      </c>
    </row>
    <row r="2478" spans="1:14" ht="14.5" x14ac:dyDescent="0.25">
      <c r="A2478" s="19">
        <v>35</v>
      </c>
      <c r="B2478" s="18" t="s">
        <v>42</v>
      </c>
      <c r="C2478" s="18" t="s">
        <v>92</v>
      </c>
      <c r="D2478" s="18" t="s">
        <v>2655</v>
      </c>
      <c r="E2478" s="18" t="s">
        <v>3032</v>
      </c>
      <c r="F2478" s="101">
        <v>46275.052083333336</v>
      </c>
      <c r="G2478" s="101">
        <v>46277.767361111109</v>
      </c>
      <c r="H2478" s="18" t="s">
        <v>507</v>
      </c>
      <c r="I2478" s="18" t="s">
        <v>508</v>
      </c>
      <c r="J2478" s="18"/>
      <c r="K2478" s="21">
        <f t="shared" si="114"/>
        <v>65.166666666569654</v>
      </c>
      <c r="L2478" s="19">
        <f t="shared" si="115"/>
        <v>74</v>
      </c>
      <c r="M2478" s="18" t="str">
        <f>IF(I2478&lt;&gt;"Sí","",IF(YEAR(F2478)&lt;&gt;2026,"",INDEX({"Enero","Febrero","Marzo","Abril","Mayo","Junio","Julio","Agosto","Septiembre","Octubre","Noviembre","Diciembre"},MONTH(F2478))))</f>
        <v>Septiembre</v>
      </c>
      <c r="N2478" s="18" t="str">
        <f t="shared" si="116"/>
        <v>Septiembre|74</v>
      </c>
    </row>
    <row r="2479" spans="1:14" ht="14.5" x14ac:dyDescent="0.25">
      <c r="A2479" s="19">
        <v>35</v>
      </c>
      <c r="B2479" s="18" t="s">
        <v>42</v>
      </c>
      <c r="C2479" s="18" t="s">
        <v>92</v>
      </c>
      <c r="D2479" s="18" t="s">
        <v>2655</v>
      </c>
      <c r="E2479" s="18" t="s">
        <v>3033</v>
      </c>
      <c r="F2479" s="101">
        <v>46275.053472222222</v>
      </c>
      <c r="G2479" s="101">
        <v>46277.767361111109</v>
      </c>
      <c r="H2479" s="18" t="s">
        <v>507</v>
      </c>
      <c r="I2479" s="18" t="s">
        <v>508</v>
      </c>
      <c r="J2479" s="18"/>
      <c r="K2479" s="21">
        <f t="shared" si="114"/>
        <v>65.133333333302289</v>
      </c>
      <c r="L2479" s="19">
        <f t="shared" si="115"/>
        <v>75</v>
      </c>
      <c r="M2479" s="18" t="str">
        <f>IF(I2479&lt;&gt;"Sí","",IF(YEAR(F2479)&lt;&gt;2026,"",INDEX({"Enero","Febrero","Marzo","Abril","Mayo","Junio","Julio","Agosto","Septiembre","Octubre","Noviembre","Diciembre"},MONTH(F2479))))</f>
        <v>Septiembre</v>
      </c>
      <c r="N2479" s="18" t="str">
        <f t="shared" si="116"/>
        <v>Septiembre|75</v>
      </c>
    </row>
    <row r="2480" spans="1:14" ht="14.5" x14ac:dyDescent="0.25">
      <c r="A2480" s="19">
        <v>35</v>
      </c>
      <c r="B2480" s="18" t="s">
        <v>42</v>
      </c>
      <c r="C2480" s="18" t="s">
        <v>92</v>
      </c>
      <c r="D2480" s="18" t="s">
        <v>2655</v>
      </c>
      <c r="E2480" s="18" t="s">
        <v>3034</v>
      </c>
      <c r="F2480" s="101">
        <v>46275.054861111108</v>
      </c>
      <c r="G2480" s="101">
        <v>46277.767361111109</v>
      </c>
      <c r="H2480" s="18" t="s">
        <v>507</v>
      </c>
      <c r="I2480" s="18" t="s">
        <v>508</v>
      </c>
      <c r="J2480" s="18"/>
      <c r="K2480" s="21">
        <f t="shared" si="114"/>
        <v>65.100000000034925</v>
      </c>
      <c r="L2480" s="19">
        <f t="shared" si="115"/>
        <v>75</v>
      </c>
      <c r="M2480" s="18" t="str">
        <f>IF(I2480&lt;&gt;"Sí","",IF(YEAR(F2480)&lt;&gt;2026,"",INDEX({"Enero","Febrero","Marzo","Abril","Mayo","Junio","Julio","Agosto","Septiembre","Octubre","Noviembre","Diciembre"},MONTH(F2480))))</f>
        <v>Septiembre</v>
      </c>
      <c r="N2480" s="18" t="str">
        <f t="shared" si="116"/>
        <v>Septiembre|75</v>
      </c>
    </row>
    <row r="2481" spans="1:14" ht="14.5" x14ac:dyDescent="0.25">
      <c r="A2481" s="19">
        <v>35</v>
      </c>
      <c r="B2481" s="18" t="s">
        <v>42</v>
      </c>
      <c r="C2481" s="18" t="s">
        <v>92</v>
      </c>
      <c r="D2481" s="18" t="s">
        <v>2655</v>
      </c>
      <c r="E2481" s="18" t="s">
        <v>3035</v>
      </c>
      <c r="F2481" s="101">
        <v>46275.056250000001</v>
      </c>
      <c r="G2481" s="101">
        <v>46277.767361111109</v>
      </c>
      <c r="H2481" s="18" t="s">
        <v>507</v>
      </c>
      <c r="I2481" s="18" t="s">
        <v>508</v>
      </c>
      <c r="J2481" s="18"/>
      <c r="K2481" s="21">
        <f t="shared" si="114"/>
        <v>65.066666666592937</v>
      </c>
      <c r="L2481" s="19">
        <f t="shared" si="115"/>
        <v>76</v>
      </c>
      <c r="M2481" s="18" t="str">
        <f>IF(I2481&lt;&gt;"Sí","",IF(YEAR(F2481)&lt;&gt;2026,"",INDEX({"Enero","Febrero","Marzo","Abril","Mayo","Junio","Julio","Agosto","Septiembre","Octubre","Noviembre","Diciembre"},MONTH(F2481))))</f>
        <v>Septiembre</v>
      </c>
      <c r="N2481" s="18" t="str">
        <f t="shared" si="116"/>
        <v>Septiembre|76</v>
      </c>
    </row>
    <row r="2482" spans="1:14" ht="14.5" x14ac:dyDescent="0.25">
      <c r="A2482" s="19">
        <v>35</v>
      </c>
      <c r="B2482" s="18" t="s">
        <v>42</v>
      </c>
      <c r="C2482" s="18" t="s">
        <v>92</v>
      </c>
      <c r="D2482" s="18" t="s">
        <v>2655</v>
      </c>
      <c r="E2482" s="18" t="s">
        <v>3036</v>
      </c>
      <c r="F2482" s="101">
        <v>46275.056944444441</v>
      </c>
      <c r="G2482" s="101">
        <v>46277.767361111109</v>
      </c>
      <c r="H2482" s="18" t="s">
        <v>507</v>
      </c>
      <c r="I2482" s="18" t="s">
        <v>508</v>
      </c>
      <c r="J2482" s="18"/>
      <c r="K2482" s="21">
        <f t="shared" si="114"/>
        <v>65.050000000046566</v>
      </c>
      <c r="L2482" s="19">
        <f t="shared" si="115"/>
        <v>77</v>
      </c>
      <c r="M2482" s="18" t="str">
        <f>IF(I2482&lt;&gt;"Sí","",IF(YEAR(F2482)&lt;&gt;2026,"",INDEX({"Enero","Febrero","Marzo","Abril","Mayo","Junio","Julio","Agosto","Septiembre","Octubre","Noviembre","Diciembre"},MONTH(F2482))))</f>
        <v>Septiembre</v>
      </c>
      <c r="N2482" s="18" t="str">
        <f t="shared" si="116"/>
        <v>Septiembre|77</v>
      </c>
    </row>
    <row r="2483" spans="1:14" ht="14.5" x14ac:dyDescent="0.25">
      <c r="A2483" s="19">
        <v>35</v>
      </c>
      <c r="B2483" s="18" t="s">
        <v>42</v>
      </c>
      <c r="C2483" s="18" t="s">
        <v>92</v>
      </c>
      <c r="D2483" s="18" t="s">
        <v>2655</v>
      </c>
      <c r="E2483" s="18" t="s">
        <v>3037</v>
      </c>
      <c r="F2483" s="101">
        <v>46275.05972222222</v>
      </c>
      <c r="G2483" s="101">
        <v>46277.756944444445</v>
      </c>
      <c r="H2483" s="18" t="s">
        <v>507</v>
      </c>
      <c r="I2483" s="18" t="s">
        <v>508</v>
      </c>
      <c r="J2483" s="18"/>
      <c r="K2483" s="21">
        <f t="shared" si="114"/>
        <v>64.733333333395422</v>
      </c>
      <c r="L2483" s="19">
        <f t="shared" si="115"/>
        <v>76</v>
      </c>
      <c r="M2483" s="18" t="str">
        <f>IF(I2483&lt;&gt;"Sí","",IF(YEAR(F2483)&lt;&gt;2026,"",INDEX({"Enero","Febrero","Marzo","Abril","Mayo","Junio","Julio","Agosto","Septiembre","Octubre","Noviembre","Diciembre"},MONTH(F2483))))</f>
        <v>Septiembre</v>
      </c>
      <c r="N2483" s="18" t="str">
        <f t="shared" si="116"/>
        <v>Septiembre|76</v>
      </c>
    </row>
    <row r="2484" spans="1:14" ht="14.5" x14ac:dyDescent="0.25">
      <c r="A2484" s="19">
        <v>35</v>
      </c>
      <c r="B2484" s="18" t="s">
        <v>42</v>
      </c>
      <c r="C2484" s="18" t="s">
        <v>92</v>
      </c>
      <c r="D2484" s="18" t="s">
        <v>2655</v>
      </c>
      <c r="E2484" s="18" t="s">
        <v>3038</v>
      </c>
      <c r="F2484" s="101">
        <v>46275.0625</v>
      </c>
      <c r="G2484" s="101">
        <v>46277.756944444445</v>
      </c>
      <c r="H2484" s="18" t="s">
        <v>507</v>
      </c>
      <c r="I2484" s="18" t="s">
        <v>508</v>
      </c>
      <c r="J2484" s="18"/>
      <c r="K2484" s="21">
        <f t="shared" si="114"/>
        <v>64.666666666686069</v>
      </c>
      <c r="L2484" s="19">
        <f t="shared" si="115"/>
        <v>77</v>
      </c>
      <c r="M2484" s="18" t="str">
        <f>IF(I2484&lt;&gt;"Sí","",IF(YEAR(F2484)&lt;&gt;2026,"",INDEX({"Enero","Febrero","Marzo","Abril","Mayo","Junio","Julio","Agosto","Septiembre","Octubre","Noviembre","Diciembre"},MONTH(F2484))))</f>
        <v>Septiembre</v>
      </c>
      <c r="N2484" s="18" t="str">
        <f t="shared" si="116"/>
        <v>Septiembre|77</v>
      </c>
    </row>
    <row r="2485" spans="1:14" ht="14.5" x14ac:dyDescent="0.25">
      <c r="A2485" s="19">
        <v>35</v>
      </c>
      <c r="B2485" s="18" t="s">
        <v>42</v>
      </c>
      <c r="C2485" s="18" t="s">
        <v>92</v>
      </c>
      <c r="D2485" s="18" t="s">
        <v>2655</v>
      </c>
      <c r="E2485" s="18" t="s">
        <v>3039</v>
      </c>
      <c r="F2485" s="101">
        <v>46275.063194444447</v>
      </c>
      <c r="G2485" s="101">
        <v>46277.756944444445</v>
      </c>
      <c r="H2485" s="18" t="s">
        <v>507</v>
      </c>
      <c r="I2485" s="18" t="s">
        <v>508</v>
      </c>
      <c r="J2485" s="18"/>
      <c r="K2485" s="21">
        <f t="shared" si="114"/>
        <v>64.649999999965075</v>
      </c>
      <c r="L2485" s="19">
        <f t="shared" si="115"/>
        <v>78</v>
      </c>
      <c r="M2485" s="18" t="str">
        <f>IF(I2485&lt;&gt;"Sí","",IF(YEAR(F2485)&lt;&gt;2026,"",INDEX({"Enero","Febrero","Marzo","Abril","Mayo","Junio","Julio","Agosto","Septiembre","Octubre","Noviembre","Diciembre"},MONTH(F2485))))</f>
        <v>Septiembre</v>
      </c>
      <c r="N2485" s="18" t="str">
        <f t="shared" si="116"/>
        <v>Septiembre|78</v>
      </c>
    </row>
    <row r="2486" spans="1:14" ht="14.5" x14ac:dyDescent="0.25">
      <c r="A2486" s="19">
        <v>35</v>
      </c>
      <c r="B2486" s="18" t="s">
        <v>42</v>
      </c>
      <c r="C2486" s="18" t="s">
        <v>92</v>
      </c>
      <c r="D2486" s="18" t="s">
        <v>2655</v>
      </c>
      <c r="E2486" s="18" t="s">
        <v>3040</v>
      </c>
      <c r="F2486" s="101">
        <v>46275.064583333333</v>
      </c>
      <c r="G2486" s="101">
        <v>46277.756944444445</v>
      </c>
      <c r="H2486" s="18" t="s">
        <v>507</v>
      </c>
      <c r="I2486" s="18" t="s">
        <v>508</v>
      </c>
      <c r="J2486" s="18"/>
      <c r="K2486" s="21">
        <f t="shared" si="114"/>
        <v>64.616666666697711</v>
      </c>
      <c r="L2486" s="19">
        <f t="shared" si="115"/>
        <v>79</v>
      </c>
      <c r="M2486" s="18" t="str">
        <f>IF(I2486&lt;&gt;"Sí","",IF(YEAR(F2486)&lt;&gt;2026,"",INDEX({"Enero","Febrero","Marzo","Abril","Mayo","Junio","Julio","Agosto","Septiembre","Octubre","Noviembre","Diciembre"},MONTH(F2486))))</f>
        <v>Septiembre</v>
      </c>
      <c r="N2486" s="18" t="str">
        <f t="shared" si="116"/>
        <v>Septiembre|79</v>
      </c>
    </row>
    <row r="2487" spans="1:14" ht="14.5" x14ac:dyDescent="0.25">
      <c r="A2487" s="19">
        <v>35</v>
      </c>
      <c r="B2487" s="18" t="s">
        <v>42</v>
      </c>
      <c r="C2487" s="18" t="s">
        <v>92</v>
      </c>
      <c r="D2487" s="18" t="s">
        <v>2655</v>
      </c>
      <c r="E2487" s="18" t="s">
        <v>3041</v>
      </c>
      <c r="F2487" s="101">
        <v>46275.065972222219</v>
      </c>
      <c r="G2487" s="101">
        <v>46277.756944444445</v>
      </c>
      <c r="H2487" s="18" t="s">
        <v>507</v>
      </c>
      <c r="I2487" s="18" t="s">
        <v>508</v>
      </c>
      <c r="J2487" s="18"/>
      <c r="K2487" s="21">
        <f t="shared" si="114"/>
        <v>64.583333333430346</v>
      </c>
      <c r="L2487" s="19">
        <f t="shared" si="115"/>
        <v>80</v>
      </c>
      <c r="M2487" s="18" t="str">
        <f>IF(I2487&lt;&gt;"Sí","",IF(YEAR(F2487)&lt;&gt;2026,"",INDEX({"Enero","Febrero","Marzo","Abril","Mayo","Junio","Julio","Agosto","Septiembre","Octubre","Noviembre","Diciembre"},MONTH(F2487))))</f>
        <v>Septiembre</v>
      </c>
      <c r="N2487" s="18" t="str">
        <f t="shared" si="116"/>
        <v>Septiembre|80</v>
      </c>
    </row>
    <row r="2488" spans="1:14" ht="14.5" x14ac:dyDescent="0.25">
      <c r="A2488" s="19">
        <v>35</v>
      </c>
      <c r="B2488" s="18" t="s">
        <v>42</v>
      </c>
      <c r="C2488" s="18" t="s">
        <v>92</v>
      </c>
      <c r="D2488" s="18" t="s">
        <v>2655</v>
      </c>
      <c r="E2488" s="18" t="s">
        <v>3042</v>
      </c>
      <c r="F2488" s="101">
        <v>46275.067361111112</v>
      </c>
      <c r="G2488" s="101">
        <v>46277.756944444445</v>
      </c>
      <c r="H2488" s="18" t="s">
        <v>507</v>
      </c>
      <c r="I2488" s="18" t="s">
        <v>508</v>
      </c>
      <c r="J2488" s="18"/>
      <c r="K2488" s="21">
        <f t="shared" si="114"/>
        <v>64.549999999988358</v>
      </c>
      <c r="L2488" s="19">
        <f t="shared" si="115"/>
        <v>81</v>
      </c>
      <c r="M2488" s="18" t="str">
        <f>IF(I2488&lt;&gt;"Sí","",IF(YEAR(F2488)&lt;&gt;2026,"",INDEX({"Enero","Febrero","Marzo","Abril","Mayo","Junio","Julio","Agosto","Septiembre","Octubre","Noviembre","Diciembre"},MONTH(F2488))))</f>
        <v>Septiembre</v>
      </c>
      <c r="N2488" s="18" t="str">
        <f t="shared" si="116"/>
        <v>Septiembre|81</v>
      </c>
    </row>
    <row r="2489" spans="1:14" ht="14.5" x14ac:dyDescent="0.25">
      <c r="A2489" s="19">
        <v>35</v>
      </c>
      <c r="B2489" s="18" t="s">
        <v>42</v>
      </c>
      <c r="C2489" s="18" t="s">
        <v>92</v>
      </c>
      <c r="D2489" s="18" t="s">
        <v>2655</v>
      </c>
      <c r="E2489" s="18" t="s">
        <v>3043</v>
      </c>
      <c r="F2489" s="101">
        <v>46275.068749999999</v>
      </c>
      <c r="G2489" s="101">
        <v>46277.756944444445</v>
      </c>
      <c r="H2489" s="18" t="s">
        <v>507</v>
      </c>
      <c r="I2489" s="18" t="s">
        <v>508</v>
      </c>
      <c r="J2489" s="18"/>
      <c r="K2489" s="21">
        <f t="shared" si="114"/>
        <v>64.516666666720994</v>
      </c>
      <c r="L2489" s="19">
        <f t="shared" si="115"/>
        <v>82</v>
      </c>
      <c r="M2489" s="18" t="str">
        <f>IF(I2489&lt;&gt;"Sí","",IF(YEAR(F2489)&lt;&gt;2026,"",INDEX({"Enero","Febrero","Marzo","Abril","Mayo","Junio","Julio","Agosto","Septiembre","Octubre","Noviembre","Diciembre"},MONTH(F2489))))</f>
        <v>Septiembre</v>
      </c>
      <c r="N2489" s="18" t="str">
        <f t="shared" si="116"/>
        <v>Septiembre|82</v>
      </c>
    </row>
    <row r="2490" spans="1:14" ht="14.5" x14ac:dyDescent="0.25">
      <c r="A2490" s="19">
        <v>35</v>
      </c>
      <c r="B2490" s="18" t="s">
        <v>42</v>
      </c>
      <c r="C2490" s="18" t="s">
        <v>92</v>
      </c>
      <c r="D2490" s="18" t="s">
        <v>2655</v>
      </c>
      <c r="E2490" s="18" t="s">
        <v>3044</v>
      </c>
      <c r="F2490" s="101">
        <v>46275.069444444445</v>
      </c>
      <c r="G2490" s="101">
        <v>46277.756944444445</v>
      </c>
      <c r="H2490" s="18" t="s">
        <v>507</v>
      </c>
      <c r="I2490" s="18" t="s">
        <v>508</v>
      </c>
      <c r="J2490" s="18"/>
      <c r="K2490" s="21">
        <f t="shared" si="114"/>
        <v>64.5</v>
      </c>
      <c r="L2490" s="19">
        <f t="shared" si="115"/>
        <v>83</v>
      </c>
      <c r="M2490" s="18" t="str">
        <f>IF(I2490&lt;&gt;"Sí","",IF(YEAR(F2490)&lt;&gt;2026,"",INDEX({"Enero","Febrero","Marzo","Abril","Mayo","Junio","Julio","Agosto","Septiembre","Octubre","Noviembre","Diciembre"},MONTH(F2490))))</f>
        <v>Septiembre</v>
      </c>
      <c r="N2490" s="18" t="str">
        <f t="shared" si="116"/>
        <v>Septiembre|83</v>
      </c>
    </row>
    <row r="2491" spans="1:14" ht="14.5" x14ac:dyDescent="0.25">
      <c r="A2491" s="19">
        <v>35</v>
      </c>
      <c r="B2491" s="18" t="s">
        <v>42</v>
      </c>
      <c r="C2491" s="18" t="s">
        <v>92</v>
      </c>
      <c r="D2491" s="18" t="s">
        <v>2655</v>
      </c>
      <c r="E2491" s="18" t="s">
        <v>3045</v>
      </c>
      <c r="F2491" s="101">
        <v>46275.071527777778</v>
      </c>
      <c r="G2491" s="101">
        <v>46277.756944444445</v>
      </c>
      <c r="H2491" s="18" t="s">
        <v>507</v>
      </c>
      <c r="I2491" s="18" t="s">
        <v>508</v>
      </c>
      <c r="J2491" s="18"/>
      <c r="K2491" s="21">
        <f t="shared" si="114"/>
        <v>64.450000000011642</v>
      </c>
      <c r="L2491" s="19">
        <f t="shared" si="115"/>
        <v>84</v>
      </c>
      <c r="M2491" s="18" t="str">
        <f>IF(I2491&lt;&gt;"Sí","",IF(YEAR(F2491)&lt;&gt;2026,"",INDEX({"Enero","Febrero","Marzo","Abril","Mayo","Junio","Julio","Agosto","Septiembre","Octubre","Noviembre","Diciembre"},MONTH(F2491))))</f>
        <v>Septiembre</v>
      </c>
      <c r="N2491" s="18" t="str">
        <f t="shared" si="116"/>
        <v>Septiembre|84</v>
      </c>
    </row>
    <row r="2492" spans="1:14" ht="14.5" x14ac:dyDescent="0.25">
      <c r="A2492" s="19">
        <v>35</v>
      </c>
      <c r="B2492" s="18" t="s">
        <v>42</v>
      </c>
      <c r="C2492" s="18" t="s">
        <v>92</v>
      </c>
      <c r="D2492" s="18" t="s">
        <v>2655</v>
      </c>
      <c r="E2492" s="18" t="s">
        <v>3046</v>
      </c>
      <c r="F2492" s="101">
        <v>46275.073611111111</v>
      </c>
      <c r="G2492" s="101">
        <v>46277.756944444445</v>
      </c>
      <c r="H2492" s="18" t="s">
        <v>507</v>
      </c>
      <c r="I2492" s="18" t="s">
        <v>508</v>
      </c>
      <c r="J2492" s="18"/>
      <c r="K2492" s="21">
        <f t="shared" si="114"/>
        <v>64.400000000023283</v>
      </c>
      <c r="L2492" s="19">
        <f t="shared" si="115"/>
        <v>85</v>
      </c>
      <c r="M2492" s="18" t="str">
        <f>IF(I2492&lt;&gt;"Sí","",IF(YEAR(F2492)&lt;&gt;2026,"",INDEX({"Enero","Febrero","Marzo","Abril","Mayo","Junio","Julio","Agosto","Septiembre","Octubre","Noviembre","Diciembre"},MONTH(F2492))))</f>
        <v>Septiembre</v>
      </c>
      <c r="N2492" s="18" t="str">
        <f t="shared" si="116"/>
        <v>Septiembre|85</v>
      </c>
    </row>
    <row r="2493" spans="1:14" ht="14.5" x14ac:dyDescent="0.25">
      <c r="A2493" s="19">
        <v>35</v>
      </c>
      <c r="B2493" s="18" t="s">
        <v>42</v>
      </c>
      <c r="C2493" s="18" t="s">
        <v>92</v>
      </c>
      <c r="D2493" s="18" t="s">
        <v>2655</v>
      </c>
      <c r="E2493" s="18" t="s">
        <v>3047</v>
      </c>
      <c r="F2493" s="101">
        <v>46275.074999999997</v>
      </c>
      <c r="G2493" s="101">
        <v>46277.756944444445</v>
      </c>
      <c r="H2493" s="18" t="s">
        <v>507</v>
      </c>
      <c r="I2493" s="18" t="s">
        <v>508</v>
      </c>
      <c r="J2493" s="18"/>
      <c r="K2493" s="21">
        <f t="shared" si="114"/>
        <v>64.366666666755918</v>
      </c>
      <c r="L2493" s="19">
        <f t="shared" si="115"/>
        <v>86</v>
      </c>
      <c r="M2493" s="18" t="str">
        <f>IF(I2493&lt;&gt;"Sí","",IF(YEAR(F2493)&lt;&gt;2026,"",INDEX({"Enero","Febrero","Marzo","Abril","Mayo","Junio","Julio","Agosto","Septiembre","Octubre","Noviembre","Diciembre"},MONTH(F2493))))</f>
        <v>Septiembre</v>
      </c>
      <c r="N2493" s="18" t="str">
        <f t="shared" si="116"/>
        <v>Septiembre|86</v>
      </c>
    </row>
    <row r="2494" spans="1:14" ht="14.5" x14ac:dyDescent="0.25">
      <c r="A2494" s="19">
        <v>35</v>
      </c>
      <c r="B2494" s="18" t="s">
        <v>42</v>
      </c>
      <c r="C2494" s="18" t="s">
        <v>92</v>
      </c>
      <c r="D2494" s="18" t="s">
        <v>2655</v>
      </c>
      <c r="E2494" s="18" t="s">
        <v>3048</v>
      </c>
      <c r="F2494" s="101">
        <v>46275.076388888891</v>
      </c>
      <c r="G2494" s="101">
        <v>46277.756944444445</v>
      </c>
      <c r="H2494" s="18" t="s">
        <v>507</v>
      </c>
      <c r="I2494" s="18" t="s">
        <v>508</v>
      </c>
      <c r="J2494" s="18"/>
      <c r="K2494" s="21">
        <f t="shared" si="114"/>
        <v>64.333333333313931</v>
      </c>
      <c r="L2494" s="19">
        <f t="shared" si="115"/>
        <v>87</v>
      </c>
      <c r="M2494" s="18" t="str">
        <f>IF(I2494&lt;&gt;"Sí","",IF(YEAR(F2494)&lt;&gt;2026,"",INDEX({"Enero","Febrero","Marzo","Abril","Mayo","Junio","Julio","Agosto","Septiembre","Octubre","Noviembre","Diciembre"},MONTH(F2494))))</f>
        <v>Septiembre</v>
      </c>
      <c r="N2494" s="18" t="str">
        <f t="shared" si="116"/>
        <v>Septiembre|87</v>
      </c>
    </row>
    <row r="2495" spans="1:14" ht="14.5" x14ac:dyDescent="0.25">
      <c r="A2495" s="19">
        <v>35</v>
      </c>
      <c r="B2495" s="18" t="s">
        <v>42</v>
      </c>
      <c r="C2495" s="18" t="s">
        <v>92</v>
      </c>
      <c r="D2495" s="18" t="s">
        <v>2655</v>
      </c>
      <c r="E2495" s="18" t="s">
        <v>3049</v>
      </c>
      <c r="F2495" s="101">
        <v>46275.07708333333</v>
      </c>
      <c r="G2495" s="101">
        <v>46277.423611111109</v>
      </c>
      <c r="H2495" s="18" t="s">
        <v>507</v>
      </c>
      <c r="I2495" s="18" t="s">
        <v>508</v>
      </c>
      <c r="J2495" s="18"/>
      <c r="K2495" s="21">
        <f t="shared" si="114"/>
        <v>56.316666666709352</v>
      </c>
      <c r="L2495" s="19">
        <f t="shared" si="115"/>
        <v>88</v>
      </c>
      <c r="M2495" s="18" t="str">
        <f>IF(I2495&lt;&gt;"Sí","",IF(YEAR(F2495)&lt;&gt;2026,"",INDEX({"Enero","Febrero","Marzo","Abril","Mayo","Junio","Julio","Agosto","Septiembre","Octubre","Noviembre","Diciembre"},MONTH(F2495))))</f>
        <v>Septiembre</v>
      </c>
      <c r="N2495" s="18" t="str">
        <f t="shared" si="116"/>
        <v>Septiembre|88</v>
      </c>
    </row>
    <row r="2496" spans="1:14" ht="14.5" x14ac:dyDescent="0.25">
      <c r="A2496" s="19">
        <v>35</v>
      </c>
      <c r="B2496" s="18" t="s">
        <v>42</v>
      </c>
      <c r="C2496" s="18" t="s">
        <v>92</v>
      </c>
      <c r="D2496" s="18" t="s">
        <v>2655</v>
      </c>
      <c r="E2496" s="18" t="s">
        <v>3050</v>
      </c>
      <c r="F2496" s="101">
        <v>46275.078472222223</v>
      </c>
      <c r="G2496" s="101">
        <v>46277.423611111109</v>
      </c>
      <c r="H2496" s="18" t="s">
        <v>507</v>
      </c>
      <c r="I2496" s="18" t="s">
        <v>508</v>
      </c>
      <c r="J2496" s="18"/>
      <c r="K2496" s="21">
        <f t="shared" si="114"/>
        <v>56.283333333267365</v>
      </c>
      <c r="L2496" s="19">
        <f t="shared" si="115"/>
        <v>89</v>
      </c>
      <c r="M2496" s="18" t="str">
        <f>IF(I2496&lt;&gt;"Sí","",IF(YEAR(F2496)&lt;&gt;2026,"",INDEX({"Enero","Febrero","Marzo","Abril","Mayo","Junio","Julio","Agosto","Septiembre","Octubre","Noviembre","Diciembre"},MONTH(F2496))))</f>
        <v>Septiembre</v>
      </c>
      <c r="N2496" s="18" t="str">
        <f t="shared" si="116"/>
        <v>Septiembre|89</v>
      </c>
    </row>
    <row r="2497" spans="1:14" ht="14.5" x14ac:dyDescent="0.25">
      <c r="A2497" s="19">
        <v>35</v>
      </c>
      <c r="B2497" s="18" t="s">
        <v>42</v>
      </c>
      <c r="C2497" s="18" t="s">
        <v>92</v>
      </c>
      <c r="D2497" s="18" t="s">
        <v>2655</v>
      </c>
      <c r="E2497" s="18" t="s">
        <v>3051</v>
      </c>
      <c r="F2497" s="101">
        <v>46275.081944444442</v>
      </c>
      <c r="G2497" s="101">
        <v>46277.423611111109</v>
      </c>
      <c r="H2497" s="18" t="s">
        <v>507</v>
      </c>
      <c r="I2497" s="18" t="s">
        <v>508</v>
      </c>
      <c r="J2497" s="18"/>
      <c r="K2497" s="21">
        <f t="shared" si="114"/>
        <v>56.200000000011642</v>
      </c>
      <c r="L2497" s="19">
        <f t="shared" si="115"/>
        <v>90</v>
      </c>
      <c r="M2497" s="18" t="str">
        <f>IF(I2497&lt;&gt;"Sí","",IF(YEAR(F2497)&lt;&gt;2026,"",INDEX({"Enero","Febrero","Marzo","Abril","Mayo","Junio","Julio","Agosto","Septiembre","Octubre","Noviembre","Diciembre"},MONTH(F2497))))</f>
        <v>Septiembre</v>
      </c>
      <c r="N2497" s="18" t="str">
        <f t="shared" si="116"/>
        <v>Septiembre|90</v>
      </c>
    </row>
    <row r="2498" spans="1:14" ht="14.5" x14ac:dyDescent="0.25">
      <c r="A2498" s="19">
        <v>35</v>
      </c>
      <c r="B2498" s="18" t="s">
        <v>42</v>
      </c>
      <c r="C2498" s="18" t="s">
        <v>92</v>
      </c>
      <c r="D2498" s="18" t="s">
        <v>2655</v>
      </c>
      <c r="E2498" s="18" t="s">
        <v>3052</v>
      </c>
      <c r="F2498" s="101">
        <v>46275.085416666669</v>
      </c>
      <c r="G2498" s="101">
        <v>46277.423611111109</v>
      </c>
      <c r="H2498" s="18" t="s">
        <v>507</v>
      </c>
      <c r="I2498" s="18" t="s">
        <v>508</v>
      </c>
      <c r="J2498" s="18"/>
      <c r="K2498" s="21">
        <f t="shared" si="114"/>
        <v>56.116666666581295</v>
      </c>
      <c r="L2498" s="19">
        <f t="shared" si="115"/>
        <v>91</v>
      </c>
      <c r="M2498" s="18" t="str">
        <f>IF(I2498&lt;&gt;"Sí","",IF(YEAR(F2498)&lt;&gt;2026,"",INDEX({"Enero","Febrero","Marzo","Abril","Mayo","Junio","Julio","Agosto","Septiembre","Octubre","Noviembre","Diciembre"},MONTH(F2498))))</f>
        <v>Septiembre</v>
      </c>
      <c r="N2498" s="18" t="str">
        <f t="shared" si="116"/>
        <v>Septiembre|91</v>
      </c>
    </row>
    <row r="2499" spans="1:14" ht="14.5" x14ac:dyDescent="0.25">
      <c r="A2499" s="19">
        <v>35</v>
      </c>
      <c r="B2499" s="18" t="s">
        <v>42</v>
      </c>
      <c r="C2499" s="18" t="s">
        <v>92</v>
      </c>
      <c r="D2499" s="18" t="s">
        <v>2655</v>
      </c>
      <c r="E2499" s="18" t="s">
        <v>3053</v>
      </c>
      <c r="F2499" s="101">
        <v>46275.086805555555</v>
      </c>
      <c r="G2499" s="101">
        <v>46277.423611111109</v>
      </c>
      <c r="H2499" s="18" t="s">
        <v>507</v>
      </c>
      <c r="I2499" s="18" t="s">
        <v>508</v>
      </c>
      <c r="J2499" s="18"/>
      <c r="K2499" s="21">
        <f t="shared" si="114"/>
        <v>56.083333333313931</v>
      </c>
      <c r="L2499" s="19">
        <f t="shared" si="115"/>
        <v>92</v>
      </c>
      <c r="M2499" s="18" t="str">
        <f>IF(I2499&lt;&gt;"Sí","",IF(YEAR(F2499)&lt;&gt;2026,"",INDEX({"Enero","Febrero","Marzo","Abril","Mayo","Junio","Julio","Agosto","Septiembre","Octubre","Noviembre","Diciembre"},MONTH(F2499))))</f>
        <v>Septiembre</v>
      </c>
      <c r="N2499" s="18" t="str">
        <f t="shared" si="116"/>
        <v>Septiembre|92</v>
      </c>
    </row>
    <row r="2500" spans="1:14" ht="14.5" x14ac:dyDescent="0.25">
      <c r="A2500" s="19">
        <v>35</v>
      </c>
      <c r="B2500" s="18" t="s">
        <v>42</v>
      </c>
      <c r="C2500" s="18" t="s">
        <v>92</v>
      </c>
      <c r="D2500" s="18" t="s">
        <v>2655</v>
      </c>
      <c r="E2500" s="18" t="s">
        <v>3054</v>
      </c>
      <c r="F2500" s="101">
        <v>46275.088194444441</v>
      </c>
      <c r="G2500" s="101">
        <v>46277.423611111109</v>
      </c>
      <c r="H2500" s="18" t="s">
        <v>507</v>
      </c>
      <c r="I2500" s="18" t="s">
        <v>508</v>
      </c>
      <c r="J2500" s="18"/>
      <c r="K2500" s="21">
        <f t="shared" si="114"/>
        <v>56.050000000046566</v>
      </c>
      <c r="L2500" s="19">
        <f t="shared" si="115"/>
        <v>93</v>
      </c>
      <c r="M2500" s="18" t="str">
        <f>IF(I2500&lt;&gt;"Sí","",IF(YEAR(F2500)&lt;&gt;2026,"",INDEX({"Enero","Febrero","Marzo","Abril","Mayo","Junio","Julio","Agosto","Septiembre","Octubre","Noviembre","Diciembre"},MONTH(F2500))))</f>
        <v>Septiembre</v>
      </c>
      <c r="N2500" s="18" t="str">
        <f t="shared" si="116"/>
        <v>Septiembre|93</v>
      </c>
    </row>
    <row r="2501" spans="1:14" ht="14.5" x14ac:dyDescent="0.25">
      <c r="A2501" s="19">
        <v>35</v>
      </c>
      <c r="B2501" s="18" t="s">
        <v>42</v>
      </c>
      <c r="C2501" s="18" t="s">
        <v>92</v>
      </c>
      <c r="D2501" s="18" t="s">
        <v>2655</v>
      </c>
      <c r="E2501" s="18" t="s">
        <v>3055</v>
      </c>
      <c r="F2501" s="101">
        <v>46275.088888888888</v>
      </c>
      <c r="G2501" s="101">
        <v>46277.423611111109</v>
      </c>
      <c r="H2501" s="18" t="s">
        <v>507</v>
      </c>
      <c r="I2501" s="18" t="s">
        <v>508</v>
      </c>
      <c r="J2501" s="18"/>
      <c r="K2501" s="21">
        <f t="shared" si="114"/>
        <v>56.033333333325572</v>
      </c>
      <c r="L2501" s="19">
        <f t="shared" si="115"/>
        <v>94</v>
      </c>
      <c r="M2501" s="18" t="str">
        <f>IF(I2501&lt;&gt;"Sí","",IF(YEAR(F2501)&lt;&gt;2026,"",INDEX({"Enero","Febrero","Marzo","Abril","Mayo","Junio","Julio","Agosto","Septiembre","Octubre","Noviembre","Diciembre"},MONTH(F2501))))</f>
        <v>Septiembre</v>
      </c>
      <c r="N2501" s="18" t="str">
        <f t="shared" si="116"/>
        <v>Septiembre|94</v>
      </c>
    </row>
    <row r="2502" spans="1:14" ht="14.5" x14ac:dyDescent="0.25">
      <c r="A2502" s="19">
        <v>35</v>
      </c>
      <c r="B2502" s="18" t="s">
        <v>42</v>
      </c>
      <c r="C2502" s="18" t="s">
        <v>92</v>
      </c>
      <c r="D2502" s="18" t="s">
        <v>2655</v>
      </c>
      <c r="E2502" s="18" t="s">
        <v>3056</v>
      </c>
      <c r="F2502" s="101">
        <v>46275.090277777781</v>
      </c>
      <c r="G2502" s="101">
        <v>46277.423611111109</v>
      </c>
      <c r="H2502" s="18" t="s">
        <v>507</v>
      </c>
      <c r="I2502" s="18" t="s">
        <v>508</v>
      </c>
      <c r="J2502" s="18"/>
      <c r="K2502" s="21">
        <f t="shared" si="114"/>
        <v>55.999999999883585</v>
      </c>
      <c r="L2502" s="19">
        <f t="shared" si="115"/>
        <v>95</v>
      </c>
      <c r="M2502" s="18" t="str">
        <f>IF(I2502&lt;&gt;"Sí","",IF(YEAR(F2502)&lt;&gt;2026,"",INDEX({"Enero","Febrero","Marzo","Abril","Mayo","Junio","Julio","Agosto","Septiembre","Octubre","Noviembre","Diciembre"},MONTH(F2502))))</f>
        <v>Septiembre</v>
      </c>
      <c r="N2502" s="18" t="str">
        <f t="shared" si="116"/>
        <v>Septiembre|95</v>
      </c>
    </row>
    <row r="2503" spans="1:14" ht="14.5" x14ac:dyDescent="0.25">
      <c r="A2503" s="19">
        <v>35</v>
      </c>
      <c r="B2503" s="18" t="s">
        <v>42</v>
      </c>
      <c r="C2503" s="18" t="s">
        <v>92</v>
      </c>
      <c r="D2503" s="18" t="s">
        <v>2655</v>
      </c>
      <c r="E2503" s="18" t="s">
        <v>3057</v>
      </c>
      <c r="F2503" s="101">
        <v>46275.092361111114</v>
      </c>
      <c r="G2503" s="101">
        <v>46277.423611111109</v>
      </c>
      <c r="H2503" s="18" t="s">
        <v>507</v>
      </c>
      <c r="I2503" s="18" t="s">
        <v>508</v>
      </c>
      <c r="J2503" s="18"/>
      <c r="K2503" s="21">
        <f t="shared" ref="K2503:K2566" si="117">IF(I2503="Sí",(G2503-F2503)*24,"")</f>
        <v>55.949999999895226</v>
      </c>
      <c r="L2503" s="19">
        <f t="shared" ref="L2503:L2566" si="118">IF(I2503="Sí",COUNTIFS($F$7:$F$4000,"&lt;="&amp;F2503,$G$7:$G$4000,"&gt;"&amp;F2503,$I$7:$I$4000,"Sí"),"")</f>
        <v>96</v>
      </c>
      <c r="M2503" s="18" t="str">
        <f>IF(I2503&lt;&gt;"Sí","",IF(YEAR(F2503)&lt;&gt;2026,"",INDEX({"Enero","Febrero","Marzo","Abril","Mayo","Junio","Julio","Agosto","Septiembre","Octubre","Noviembre","Diciembre"},MONTH(F2503))))</f>
        <v>Septiembre</v>
      </c>
      <c r="N2503" s="18" t="str">
        <f t="shared" ref="N2503:N2566" si="119">IF(M2503="","",M2503&amp;"|"&amp;L2503)</f>
        <v>Septiembre|96</v>
      </c>
    </row>
    <row r="2504" spans="1:14" ht="14.5" x14ac:dyDescent="0.25">
      <c r="A2504" s="19">
        <v>35</v>
      </c>
      <c r="B2504" s="18" t="s">
        <v>42</v>
      </c>
      <c r="C2504" s="18" t="s">
        <v>92</v>
      </c>
      <c r="D2504" s="18" t="s">
        <v>2655</v>
      </c>
      <c r="E2504" s="18" t="s">
        <v>3058</v>
      </c>
      <c r="F2504" s="101">
        <v>46275.094444444447</v>
      </c>
      <c r="G2504" s="101">
        <v>46277.423611111109</v>
      </c>
      <c r="H2504" s="18" t="s">
        <v>507</v>
      </c>
      <c r="I2504" s="18" t="s">
        <v>508</v>
      </c>
      <c r="J2504" s="18"/>
      <c r="K2504" s="21">
        <f t="shared" si="117"/>
        <v>55.899999999906868</v>
      </c>
      <c r="L2504" s="19">
        <f t="shared" si="118"/>
        <v>97</v>
      </c>
      <c r="M2504" s="18" t="str">
        <f>IF(I2504&lt;&gt;"Sí","",IF(YEAR(F2504)&lt;&gt;2026,"",INDEX({"Enero","Febrero","Marzo","Abril","Mayo","Junio","Julio","Agosto","Septiembre","Octubre","Noviembre","Diciembre"},MONTH(F2504))))</f>
        <v>Septiembre</v>
      </c>
      <c r="N2504" s="18" t="str">
        <f t="shared" si="119"/>
        <v>Septiembre|97</v>
      </c>
    </row>
    <row r="2505" spans="1:14" ht="14.5" x14ac:dyDescent="0.25">
      <c r="A2505" s="19">
        <v>35</v>
      </c>
      <c r="B2505" s="18" t="s">
        <v>42</v>
      </c>
      <c r="C2505" s="18" t="s">
        <v>92</v>
      </c>
      <c r="D2505" s="18" t="s">
        <v>2655</v>
      </c>
      <c r="E2505" s="18" t="s">
        <v>3059</v>
      </c>
      <c r="F2505" s="101">
        <v>46275.097222222219</v>
      </c>
      <c r="G2505" s="101">
        <v>46277.423611111109</v>
      </c>
      <c r="H2505" s="18" t="s">
        <v>507</v>
      </c>
      <c r="I2505" s="18" t="s">
        <v>508</v>
      </c>
      <c r="J2505" s="18"/>
      <c r="K2505" s="21">
        <f t="shared" si="117"/>
        <v>55.833333333372138</v>
      </c>
      <c r="L2505" s="19">
        <f t="shared" si="118"/>
        <v>98</v>
      </c>
      <c r="M2505" s="18" t="str">
        <f>IF(I2505&lt;&gt;"Sí","",IF(YEAR(F2505)&lt;&gt;2026,"",INDEX({"Enero","Febrero","Marzo","Abril","Mayo","Junio","Julio","Agosto","Septiembre","Octubre","Noviembre","Diciembre"},MONTH(F2505))))</f>
        <v>Septiembre</v>
      </c>
      <c r="N2505" s="18" t="str">
        <f t="shared" si="119"/>
        <v>Septiembre|98</v>
      </c>
    </row>
    <row r="2506" spans="1:14" ht="14.5" x14ac:dyDescent="0.25">
      <c r="A2506" s="19">
        <v>35</v>
      </c>
      <c r="B2506" s="18" t="s">
        <v>42</v>
      </c>
      <c r="C2506" s="18" t="s">
        <v>92</v>
      </c>
      <c r="D2506" s="18" t="s">
        <v>2655</v>
      </c>
      <c r="E2506" s="18" t="s">
        <v>3060</v>
      </c>
      <c r="F2506" s="101">
        <v>46275.1</v>
      </c>
      <c r="G2506" s="101">
        <v>46277.423611111109</v>
      </c>
      <c r="H2506" s="18" t="s">
        <v>507</v>
      </c>
      <c r="I2506" s="18" t="s">
        <v>508</v>
      </c>
      <c r="J2506" s="18"/>
      <c r="K2506" s="21">
        <f t="shared" si="117"/>
        <v>55.766666666662786</v>
      </c>
      <c r="L2506" s="19">
        <f t="shared" si="118"/>
        <v>99</v>
      </c>
      <c r="M2506" s="18" t="str">
        <f>IF(I2506&lt;&gt;"Sí","",IF(YEAR(F2506)&lt;&gt;2026,"",INDEX({"Enero","Febrero","Marzo","Abril","Mayo","Junio","Julio","Agosto","Septiembre","Octubre","Noviembre","Diciembre"},MONTH(F2506))))</f>
        <v>Septiembre</v>
      </c>
      <c r="N2506" s="18" t="str">
        <f t="shared" si="119"/>
        <v>Septiembre|99</v>
      </c>
    </row>
    <row r="2507" spans="1:14" ht="14.5" x14ac:dyDescent="0.25">
      <c r="A2507" s="19">
        <v>35</v>
      </c>
      <c r="B2507" s="18" t="s">
        <v>42</v>
      </c>
      <c r="C2507" s="18" t="s">
        <v>92</v>
      </c>
      <c r="D2507" s="18" t="s">
        <v>2655</v>
      </c>
      <c r="E2507" s="18" t="s">
        <v>3061</v>
      </c>
      <c r="F2507" s="101">
        <v>46275.101388888892</v>
      </c>
      <c r="G2507" s="101">
        <v>46277.423611111109</v>
      </c>
      <c r="H2507" s="18" t="s">
        <v>507</v>
      </c>
      <c r="I2507" s="18" t="s">
        <v>508</v>
      </c>
      <c r="J2507" s="18"/>
      <c r="K2507" s="21">
        <f t="shared" si="117"/>
        <v>55.733333333220799</v>
      </c>
      <c r="L2507" s="19">
        <f t="shared" si="118"/>
        <v>100</v>
      </c>
      <c r="M2507" s="18" t="str">
        <f>IF(I2507&lt;&gt;"Sí","",IF(YEAR(F2507)&lt;&gt;2026,"",INDEX({"Enero","Febrero","Marzo","Abril","Mayo","Junio","Julio","Agosto","Septiembre","Octubre","Noviembre","Diciembre"},MONTH(F2507))))</f>
        <v>Septiembre</v>
      </c>
      <c r="N2507" s="18" t="str">
        <f t="shared" si="119"/>
        <v>Septiembre|100</v>
      </c>
    </row>
    <row r="2508" spans="1:14" ht="14.5" x14ac:dyDescent="0.25">
      <c r="A2508" s="19">
        <v>35</v>
      </c>
      <c r="B2508" s="18" t="s">
        <v>42</v>
      </c>
      <c r="C2508" s="18" t="s">
        <v>92</v>
      </c>
      <c r="D2508" s="18" t="s">
        <v>2655</v>
      </c>
      <c r="E2508" s="18" t="s">
        <v>3062</v>
      </c>
      <c r="F2508" s="101">
        <v>46275.103472222225</v>
      </c>
      <c r="G2508" s="101">
        <v>46277.423611111109</v>
      </c>
      <c r="H2508" s="18" t="s">
        <v>507</v>
      </c>
      <c r="I2508" s="18" t="s">
        <v>508</v>
      </c>
      <c r="J2508" s="18"/>
      <c r="K2508" s="21">
        <f t="shared" si="117"/>
        <v>55.68333333323244</v>
      </c>
      <c r="L2508" s="19">
        <f t="shared" si="118"/>
        <v>101</v>
      </c>
      <c r="M2508" s="18" t="str">
        <f>IF(I2508&lt;&gt;"Sí","",IF(YEAR(F2508)&lt;&gt;2026,"",INDEX({"Enero","Febrero","Marzo","Abril","Mayo","Junio","Julio","Agosto","Septiembre","Octubre","Noviembre","Diciembre"},MONTH(F2508))))</f>
        <v>Septiembre</v>
      </c>
      <c r="N2508" s="18" t="str">
        <f t="shared" si="119"/>
        <v>Septiembre|101</v>
      </c>
    </row>
    <row r="2509" spans="1:14" ht="14.5" x14ac:dyDescent="0.25">
      <c r="A2509" s="19">
        <v>35</v>
      </c>
      <c r="B2509" s="18" t="s">
        <v>42</v>
      </c>
      <c r="C2509" s="18" t="s">
        <v>92</v>
      </c>
      <c r="D2509" s="18" t="s">
        <v>2655</v>
      </c>
      <c r="E2509" s="18" t="s">
        <v>3063</v>
      </c>
      <c r="F2509" s="101">
        <v>46275.105555555558</v>
      </c>
      <c r="G2509" s="101">
        <v>46277.423611111109</v>
      </c>
      <c r="H2509" s="18" t="s">
        <v>507</v>
      </c>
      <c r="I2509" s="18" t="s">
        <v>508</v>
      </c>
      <c r="J2509" s="18"/>
      <c r="K2509" s="21">
        <f t="shared" si="117"/>
        <v>55.633333333244082</v>
      </c>
      <c r="L2509" s="19">
        <f t="shared" si="118"/>
        <v>102</v>
      </c>
      <c r="M2509" s="18" t="str">
        <f>IF(I2509&lt;&gt;"Sí","",IF(YEAR(F2509)&lt;&gt;2026,"",INDEX({"Enero","Febrero","Marzo","Abril","Mayo","Junio","Julio","Agosto","Septiembre","Octubre","Noviembre","Diciembre"},MONTH(F2509))))</f>
        <v>Septiembre</v>
      </c>
      <c r="N2509" s="18" t="str">
        <f t="shared" si="119"/>
        <v>Septiembre|102</v>
      </c>
    </row>
    <row r="2510" spans="1:14" ht="14.5" x14ac:dyDescent="0.25">
      <c r="A2510" s="19">
        <v>35</v>
      </c>
      <c r="B2510" s="18" t="s">
        <v>42</v>
      </c>
      <c r="C2510" s="18" t="s">
        <v>92</v>
      </c>
      <c r="D2510" s="18" t="s">
        <v>2655</v>
      </c>
      <c r="E2510" s="18" t="s">
        <v>3064</v>
      </c>
      <c r="F2510" s="101">
        <v>46275.106944444444</v>
      </c>
      <c r="G2510" s="101">
        <v>46277.402777777781</v>
      </c>
      <c r="H2510" s="18" t="s">
        <v>507</v>
      </c>
      <c r="I2510" s="18" t="s">
        <v>508</v>
      </c>
      <c r="J2510" s="18"/>
      <c r="K2510" s="21">
        <f t="shared" si="117"/>
        <v>55.100000000093132</v>
      </c>
      <c r="L2510" s="19">
        <f t="shared" si="118"/>
        <v>103</v>
      </c>
      <c r="M2510" s="18" t="str">
        <f>IF(I2510&lt;&gt;"Sí","",IF(YEAR(F2510)&lt;&gt;2026,"",INDEX({"Enero","Febrero","Marzo","Abril","Mayo","Junio","Julio","Agosto","Septiembre","Octubre","Noviembre","Diciembre"},MONTH(F2510))))</f>
        <v>Septiembre</v>
      </c>
      <c r="N2510" s="18" t="str">
        <f t="shared" si="119"/>
        <v>Septiembre|103</v>
      </c>
    </row>
    <row r="2511" spans="1:14" ht="14.5" x14ac:dyDescent="0.25">
      <c r="A2511" s="19">
        <v>35</v>
      </c>
      <c r="B2511" s="18" t="s">
        <v>42</v>
      </c>
      <c r="C2511" s="18" t="s">
        <v>92</v>
      </c>
      <c r="D2511" s="18" t="s">
        <v>2655</v>
      </c>
      <c r="E2511" s="18" t="s">
        <v>2266</v>
      </c>
      <c r="F2511" s="101">
        <v>46275.10833333333</v>
      </c>
      <c r="G2511" s="101">
        <v>46277.402777777781</v>
      </c>
      <c r="H2511" s="18" t="s">
        <v>507</v>
      </c>
      <c r="I2511" s="18" t="s">
        <v>508</v>
      </c>
      <c r="J2511" s="18"/>
      <c r="K2511" s="21">
        <f t="shared" si="117"/>
        <v>55.066666666825768</v>
      </c>
      <c r="L2511" s="19">
        <f t="shared" si="118"/>
        <v>104</v>
      </c>
      <c r="M2511" s="18" t="str">
        <f>IF(I2511&lt;&gt;"Sí","",IF(YEAR(F2511)&lt;&gt;2026,"",INDEX({"Enero","Febrero","Marzo","Abril","Mayo","Junio","Julio","Agosto","Septiembre","Octubre","Noviembre","Diciembre"},MONTH(F2511))))</f>
        <v>Septiembre</v>
      </c>
      <c r="N2511" s="18" t="str">
        <f t="shared" si="119"/>
        <v>Septiembre|104</v>
      </c>
    </row>
    <row r="2512" spans="1:14" ht="14.5" x14ac:dyDescent="0.25">
      <c r="A2512" s="19">
        <v>35</v>
      </c>
      <c r="B2512" s="18" t="s">
        <v>42</v>
      </c>
      <c r="C2512" s="18" t="s">
        <v>92</v>
      </c>
      <c r="D2512" s="18" t="s">
        <v>2655</v>
      </c>
      <c r="E2512" s="18" t="s">
        <v>3065</v>
      </c>
      <c r="F2512" s="101">
        <v>46275.11041666667</v>
      </c>
      <c r="G2512" s="101">
        <v>46277.402777777781</v>
      </c>
      <c r="H2512" s="18" t="s">
        <v>507</v>
      </c>
      <c r="I2512" s="18" t="s">
        <v>508</v>
      </c>
      <c r="J2512" s="18"/>
      <c r="K2512" s="21">
        <f t="shared" si="117"/>
        <v>55.016666666662786</v>
      </c>
      <c r="L2512" s="19">
        <f t="shared" si="118"/>
        <v>105</v>
      </c>
      <c r="M2512" s="18" t="str">
        <f>IF(I2512&lt;&gt;"Sí","",IF(YEAR(F2512)&lt;&gt;2026,"",INDEX({"Enero","Febrero","Marzo","Abril","Mayo","Junio","Julio","Agosto","Septiembre","Octubre","Noviembre","Diciembre"},MONTH(F2512))))</f>
        <v>Septiembre</v>
      </c>
      <c r="N2512" s="18" t="str">
        <f t="shared" si="119"/>
        <v>Septiembre|105</v>
      </c>
    </row>
    <row r="2513" spans="1:14" ht="14.5" x14ac:dyDescent="0.25">
      <c r="A2513" s="19">
        <v>35</v>
      </c>
      <c r="B2513" s="18" t="s">
        <v>42</v>
      </c>
      <c r="C2513" s="18" t="s">
        <v>92</v>
      </c>
      <c r="D2513" s="18" t="s">
        <v>2655</v>
      </c>
      <c r="E2513" s="18" t="s">
        <v>3066</v>
      </c>
      <c r="F2513" s="101">
        <v>46275.111111111109</v>
      </c>
      <c r="G2513" s="101">
        <v>46277.402777777781</v>
      </c>
      <c r="H2513" s="18" t="s">
        <v>507</v>
      </c>
      <c r="I2513" s="18" t="s">
        <v>508</v>
      </c>
      <c r="J2513" s="18"/>
      <c r="K2513" s="21">
        <f t="shared" si="117"/>
        <v>55.000000000116415</v>
      </c>
      <c r="L2513" s="19">
        <f t="shared" si="118"/>
        <v>106</v>
      </c>
      <c r="M2513" s="18" t="str">
        <f>IF(I2513&lt;&gt;"Sí","",IF(YEAR(F2513)&lt;&gt;2026,"",INDEX({"Enero","Febrero","Marzo","Abril","Mayo","Junio","Julio","Agosto","Septiembre","Octubre","Noviembre","Diciembre"},MONTH(F2513))))</f>
        <v>Septiembre</v>
      </c>
      <c r="N2513" s="18" t="str">
        <f t="shared" si="119"/>
        <v>Septiembre|106</v>
      </c>
    </row>
    <row r="2514" spans="1:14" ht="14.5" x14ac:dyDescent="0.25">
      <c r="A2514" s="19">
        <v>35</v>
      </c>
      <c r="B2514" s="18" t="s">
        <v>42</v>
      </c>
      <c r="C2514" s="18" t="s">
        <v>92</v>
      </c>
      <c r="D2514" s="18" t="s">
        <v>2655</v>
      </c>
      <c r="E2514" s="18" t="s">
        <v>3067</v>
      </c>
      <c r="F2514" s="101">
        <v>46275.111805555556</v>
      </c>
      <c r="G2514" s="101">
        <v>46277.395833333336</v>
      </c>
      <c r="H2514" s="18" t="s">
        <v>507</v>
      </c>
      <c r="I2514" s="18" t="s">
        <v>508</v>
      </c>
      <c r="J2514" s="18"/>
      <c r="K2514" s="21">
        <f t="shared" si="117"/>
        <v>54.816666666709352</v>
      </c>
      <c r="L2514" s="19">
        <f t="shared" si="118"/>
        <v>107</v>
      </c>
      <c r="M2514" s="18" t="str">
        <f>IF(I2514&lt;&gt;"Sí","",IF(YEAR(F2514)&lt;&gt;2026,"",INDEX({"Enero","Febrero","Marzo","Abril","Mayo","Junio","Julio","Agosto","Septiembre","Octubre","Noviembre","Diciembre"},MONTH(F2514))))</f>
        <v>Septiembre</v>
      </c>
      <c r="N2514" s="18" t="str">
        <f t="shared" si="119"/>
        <v>Septiembre|107</v>
      </c>
    </row>
    <row r="2515" spans="1:14" ht="14.5" x14ac:dyDescent="0.25">
      <c r="A2515" s="19">
        <v>35</v>
      </c>
      <c r="B2515" s="18" t="s">
        <v>42</v>
      </c>
      <c r="C2515" s="18" t="s">
        <v>92</v>
      </c>
      <c r="D2515" s="18" t="s">
        <v>2655</v>
      </c>
      <c r="E2515" s="18" t="s">
        <v>3068</v>
      </c>
      <c r="F2515" s="101">
        <v>46275.118750000001</v>
      </c>
      <c r="G2515" s="101">
        <v>46277.395833333336</v>
      </c>
      <c r="H2515" s="18" t="s">
        <v>507</v>
      </c>
      <c r="I2515" s="18" t="s">
        <v>508</v>
      </c>
      <c r="J2515" s="18"/>
      <c r="K2515" s="21">
        <f t="shared" si="117"/>
        <v>54.650000000023283</v>
      </c>
      <c r="L2515" s="19">
        <f t="shared" si="118"/>
        <v>108</v>
      </c>
      <c r="M2515" s="18" t="str">
        <f>IF(I2515&lt;&gt;"Sí","",IF(YEAR(F2515)&lt;&gt;2026,"",INDEX({"Enero","Febrero","Marzo","Abril","Mayo","Junio","Julio","Agosto","Septiembre","Octubre","Noviembre","Diciembre"},MONTH(F2515))))</f>
        <v>Septiembre</v>
      </c>
      <c r="N2515" s="18" t="str">
        <f t="shared" si="119"/>
        <v>Septiembre|108</v>
      </c>
    </row>
    <row r="2516" spans="1:14" ht="14.5" x14ac:dyDescent="0.25">
      <c r="A2516" s="19">
        <v>35</v>
      </c>
      <c r="B2516" s="18" t="s">
        <v>42</v>
      </c>
      <c r="C2516" s="18" t="s">
        <v>92</v>
      </c>
      <c r="D2516" s="18" t="s">
        <v>2655</v>
      </c>
      <c r="E2516" s="18" t="s">
        <v>3069</v>
      </c>
      <c r="F2516" s="101">
        <v>46275.120833333334</v>
      </c>
      <c r="G2516" s="101">
        <v>46278.113888888889</v>
      </c>
      <c r="H2516" s="18" t="s">
        <v>507</v>
      </c>
      <c r="I2516" s="18" t="s">
        <v>508</v>
      </c>
      <c r="J2516" s="18"/>
      <c r="K2516" s="21">
        <f t="shared" si="117"/>
        <v>71.833333333313931</v>
      </c>
      <c r="L2516" s="19">
        <f t="shared" si="118"/>
        <v>109</v>
      </c>
      <c r="M2516" s="18" t="str">
        <f>IF(I2516&lt;&gt;"Sí","",IF(YEAR(F2516)&lt;&gt;2026,"",INDEX({"Enero","Febrero","Marzo","Abril","Mayo","Junio","Julio","Agosto","Septiembre","Octubre","Noviembre","Diciembre"},MONTH(F2516))))</f>
        <v>Septiembre</v>
      </c>
      <c r="N2516" s="18" t="str">
        <f t="shared" si="119"/>
        <v>Septiembre|109</v>
      </c>
    </row>
    <row r="2517" spans="1:14" ht="14.5" x14ac:dyDescent="0.25">
      <c r="A2517" s="19">
        <v>35</v>
      </c>
      <c r="B2517" s="18" t="s">
        <v>42</v>
      </c>
      <c r="C2517" s="18" t="s">
        <v>92</v>
      </c>
      <c r="D2517" s="18" t="s">
        <v>2655</v>
      </c>
      <c r="E2517" s="18" t="s">
        <v>3070</v>
      </c>
      <c r="F2517" s="101">
        <v>46275.122916666667</v>
      </c>
      <c r="G2517" s="101">
        <v>46278.113888888889</v>
      </c>
      <c r="H2517" s="18" t="s">
        <v>507</v>
      </c>
      <c r="I2517" s="18" t="s">
        <v>508</v>
      </c>
      <c r="J2517" s="18"/>
      <c r="K2517" s="21">
        <f t="shared" si="117"/>
        <v>71.783333333325572</v>
      </c>
      <c r="L2517" s="19">
        <f t="shared" si="118"/>
        <v>110</v>
      </c>
      <c r="M2517" s="18" t="str">
        <f>IF(I2517&lt;&gt;"Sí","",IF(YEAR(F2517)&lt;&gt;2026,"",INDEX({"Enero","Febrero","Marzo","Abril","Mayo","Junio","Julio","Agosto","Septiembre","Octubre","Noviembre","Diciembre"},MONTH(F2517))))</f>
        <v>Septiembre</v>
      </c>
      <c r="N2517" s="18" t="str">
        <f t="shared" si="119"/>
        <v>Septiembre|110</v>
      </c>
    </row>
    <row r="2518" spans="1:14" ht="14.5" x14ac:dyDescent="0.25">
      <c r="A2518" s="19">
        <v>35</v>
      </c>
      <c r="B2518" s="18" t="s">
        <v>42</v>
      </c>
      <c r="C2518" s="18" t="s">
        <v>92</v>
      </c>
      <c r="D2518" s="18" t="s">
        <v>2655</v>
      </c>
      <c r="E2518" s="18" t="s">
        <v>3071</v>
      </c>
      <c r="F2518" s="101">
        <v>46275.15</v>
      </c>
      <c r="G2518" s="101">
        <v>46277.878472222219</v>
      </c>
      <c r="H2518" s="18" t="s">
        <v>507</v>
      </c>
      <c r="I2518" s="18" t="s">
        <v>508</v>
      </c>
      <c r="J2518" s="18"/>
      <c r="K2518" s="21">
        <f t="shared" si="117"/>
        <v>65.483333333220799</v>
      </c>
      <c r="L2518" s="19">
        <f t="shared" si="118"/>
        <v>111</v>
      </c>
      <c r="M2518" s="18" t="str">
        <f>IF(I2518&lt;&gt;"Sí","",IF(YEAR(F2518)&lt;&gt;2026,"",INDEX({"Enero","Febrero","Marzo","Abril","Mayo","Junio","Julio","Agosto","Septiembre","Octubre","Noviembre","Diciembre"},MONTH(F2518))))</f>
        <v>Septiembre</v>
      </c>
      <c r="N2518" s="18" t="str">
        <f t="shared" si="119"/>
        <v>Septiembre|111</v>
      </c>
    </row>
    <row r="2519" spans="1:14" ht="14.5" x14ac:dyDescent="0.25">
      <c r="A2519" s="19">
        <v>35</v>
      </c>
      <c r="B2519" s="18" t="s">
        <v>42</v>
      </c>
      <c r="C2519" s="18" t="s">
        <v>92</v>
      </c>
      <c r="D2519" s="18" t="s">
        <v>2655</v>
      </c>
      <c r="E2519" s="18" t="s">
        <v>3072</v>
      </c>
      <c r="F2519" s="101">
        <v>46275.152777777781</v>
      </c>
      <c r="G2519" s="101">
        <v>46278.113888888889</v>
      </c>
      <c r="H2519" s="18" t="s">
        <v>507</v>
      </c>
      <c r="I2519" s="18" t="s">
        <v>508</v>
      </c>
      <c r="J2519" s="18"/>
      <c r="K2519" s="21">
        <f t="shared" si="117"/>
        <v>71.066666666592937</v>
      </c>
      <c r="L2519" s="19">
        <f t="shared" si="118"/>
        <v>112</v>
      </c>
      <c r="M2519" s="18" t="str">
        <f>IF(I2519&lt;&gt;"Sí","",IF(YEAR(F2519)&lt;&gt;2026,"",INDEX({"Enero","Febrero","Marzo","Abril","Mayo","Junio","Julio","Agosto","Septiembre","Octubre","Noviembre","Diciembre"},MONTH(F2519))))</f>
        <v>Septiembre</v>
      </c>
      <c r="N2519" s="18" t="str">
        <f t="shared" si="119"/>
        <v>Septiembre|112</v>
      </c>
    </row>
    <row r="2520" spans="1:14" ht="14.5" x14ac:dyDescent="0.25">
      <c r="A2520" s="19">
        <v>35</v>
      </c>
      <c r="B2520" s="18" t="s">
        <v>42</v>
      </c>
      <c r="C2520" s="18" t="s">
        <v>92</v>
      </c>
      <c r="D2520" s="18" t="s">
        <v>2655</v>
      </c>
      <c r="E2520" s="18" t="s">
        <v>3073</v>
      </c>
      <c r="F2520" s="101">
        <v>46275.154861111114</v>
      </c>
      <c r="G2520" s="101">
        <v>46278.113888888889</v>
      </c>
      <c r="H2520" s="18" t="s">
        <v>507</v>
      </c>
      <c r="I2520" s="18" t="s">
        <v>508</v>
      </c>
      <c r="J2520" s="18"/>
      <c r="K2520" s="21">
        <f t="shared" si="117"/>
        <v>71.016666666604578</v>
      </c>
      <c r="L2520" s="19">
        <f t="shared" si="118"/>
        <v>113</v>
      </c>
      <c r="M2520" s="18" t="str">
        <f>IF(I2520&lt;&gt;"Sí","",IF(YEAR(F2520)&lt;&gt;2026,"",INDEX({"Enero","Febrero","Marzo","Abril","Mayo","Junio","Julio","Agosto","Septiembre","Octubre","Noviembre","Diciembre"},MONTH(F2520))))</f>
        <v>Septiembre</v>
      </c>
      <c r="N2520" s="18" t="str">
        <f t="shared" si="119"/>
        <v>Septiembre|113</v>
      </c>
    </row>
    <row r="2521" spans="1:14" ht="14.5" x14ac:dyDescent="0.25">
      <c r="A2521" s="19">
        <v>35</v>
      </c>
      <c r="B2521" s="18" t="s">
        <v>42</v>
      </c>
      <c r="C2521" s="18" t="s">
        <v>92</v>
      </c>
      <c r="D2521" s="18" t="s">
        <v>2655</v>
      </c>
      <c r="E2521" s="18" t="s">
        <v>3074</v>
      </c>
      <c r="F2521" s="101">
        <v>46275.15625</v>
      </c>
      <c r="G2521" s="101">
        <v>46278.113888888889</v>
      </c>
      <c r="H2521" s="18" t="s">
        <v>507</v>
      </c>
      <c r="I2521" s="18" t="s">
        <v>508</v>
      </c>
      <c r="J2521" s="18"/>
      <c r="K2521" s="21">
        <f t="shared" si="117"/>
        <v>70.983333333337214</v>
      </c>
      <c r="L2521" s="19">
        <f t="shared" si="118"/>
        <v>114</v>
      </c>
      <c r="M2521" s="18" t="str">
        <f>IF(I2521&lt;&gt;"Sí","",IF(YEAR(F2521)&lt;&gt;2026,"",INDEX({"Enero","Febrero","Marzo","Abril","Mayo","Junio","Julio","Agosto","Septiembre","Octubre","Noviembre","Diciembre"},MONTH(F2521))))</f>
        <v>Septiembre</v>
      </c>
      <c r="N2521" s="18" t="str">
        <f t="shared" si="119"/>
        <v>Septiembre|114</v>
      </c>
    </row>
    <row r="2522" spans="1:14" ht="14.5" x14ac:dyDescent="0.25">
      <c r="A2522" s="19">
        <v>35</v>
      </c>
      <c r="B2522" s="18" t="s">
        <v>42</v>
      </c>
      <c r="C2522" s="18" t="s">
        <v>92</v>
      </c>
      <c r="D2522" s="18" t="s">
        <v>2655</v>
      </c>
      <c r="E2522" s="18" t="s">
        <v>3075</v>
      </c>
      <c r="F2522" s="101">
        <v>46275.157638888886</v>
      </c>
      <c r="G2522" s="101">
        <v>46278.113888888889</v>
      </c>
      <c r="H2522" s="18" t="s">
        <v>507</v>
      </c>
      <c r="I2522" s="18" t="s">
        <v>508</v>
      </c>
      <c r="J2522" s="18"/>
      <c r="K2522" s="21">
        <f t="shared" si="117"/>
        <v>70.950000000069849</v>
      </c>
      <c r="L2522" s="19">
        <f t="shared" si="118"/>
        <v>115</v>
      </c>
      <c r="M2522" s="18" t="str">
        <f>IF(I2522&lt;&gt;"Sí","",IF(YEAR(F2522)&lt;&gt;2026,"",INDEX({"Enero","Febrero","Marzo","Abril","Mayo","Junio","Julio","Agosto","Septiembre","Octubre","Noviembre","Diciembre"},MONTH(F2522))))</f>
        <v>Septiembre</v>
      </c>
      <c r="N2522" s="18" t="str">
        <f t="shared" si="119"/>
        <v>Septiembre|115</v>
      </c>
    </row>
    <row r="2523" spans="1:14" ht="14.5" x14ac:dyDescent="0.25">
      <c r="A2523" s="19">
        <v>35</v>
      </c>
      <c r="B2523" s="18" t="s">
        <v>42</v>
      </c>
      <c r="C2523" s="18" t="s">
        <v>92</v>
      </c>
      <c r="D2523" s="18" t="s">
        <v>2655</v>
      </c>
      <c r="E2523" s="18" t="s">
        <v>3076</v>
      </c>
      <c r="F2523" s="101">
        <v>46275.159722222219</v>
      </c>
      <c r="G2523" s="101">
        <v>46278.097222222219</v>
      </c>
      <c r="H2523" s="18" t="s">
        <v>507</v>
      </c>
      <c r="I2523" s="18" t="s">
        <v>508</v>
      </c>
      <c r="J2523" s="18"/>
      <c r="K2523" s="21">
        <f t="shared" si="117"/>
        <v>70.5</v>
      </c>
      <c r="L2523" s="19">
        <f t="shared" si="118"/>
        <v>116</v>
      </c>
      <c r="M2523" s="18" t="str">
        <f>IF(I2523&lt;&gt;"Sí","",IF(YEAR(F2523)&lt;&gt;2026,"",INDEX({"Enero","Febrero","Marzo","Abril","Mayo","Junio","Julio","Agosto","Septiembre","Octubre","Noviembre","Diciembre"},MONTH(F2523))))</f>
        <v>Septiembre</v>
      </c>
      <c r="N2523" s="18" t="str">
        <f t="shared" si="119"/>
        <v>Septiembre|116</v>
      </c>
    </row>
    <row r="2524" spans="1:14" ht="14.5" x14ac:dyDescent="0.25">
      <c r="A2524" s="19">
        <v>35</v>
      </c>
      <c r="B2524" s="18" t="s">
        <v>42</v>
      </c>
      <c r="C2524" s="18" t="s">
        <v>92</v>
      </c>
      <c r="D2524" s="18" t="s">
        <v>2655</v>
      </c>
      <c r="E2524" s="18" t="s">
        <v>3077</v>
      </c>
      <c r="F2524" s="101">
        <v>46275.161805555559</v>
      </c>
      <c r="G2524" s="101">
        <v>46278.097222222219</v>
      </c>
      <c r="H2524" s="18" t="s">
        <v>507</v>
      </c>
      <c r="I2524" s="18" t="s">
        <v>508</v>
      </c>
      <c r="J2524" s="18"/>
      <c r="K2524" s="21">
        <f t="shared" si="117"/>
        <v>70.449999999837019</v>
      </c>
      <c r="L2524" s="19">
        <f t="shared" si="118"/>
        <v>117</v>
      </c>
      <c r="M2524" s="18" t="str">
        <f>IF(I2524&lt;&gt;"Sí","",IF(YEAR(F2524)&lt;&gt;2026,"",INDEX({"Enero","Febrero","Marzo","Abril","Mayo","Junio","Julio","Agosto","Septiembre","Octubre","Noviembre","Diciembre"},MONTH(F2524))))</f>
        <v>Septiembre</v>
      </c>
      <c r="N2524" s="18" t="str">
        <f t="shared" si="119"/>
        <v>Septiembre|117</v>
      </c>
    </row>
    <row r="2525" spans="1:14" ht="14.5" x14ac:dyDescent="0.25">
      <c r="A2525" s="19">
        <v>35</v>
      </c>
      <c r="B2525" s="18" t="s">
        <v>42</v>
      </c>
      <c r="C2525" s="18" t="s">
        <v>92</v>
      </c>
      <c r="D2525" s="18" t="s">
        <v>2655</v>
      </c>
      <c r="E2525" s="18" t="s">
        <v>3078</v>
      </c>
      <c r="F2525" s="101">
        <v>46275.163194444445</v>
      </c>
      <c r="G2525" s="101">
        <v>46278.097222222219</v>
      </c>
      <c r="H2525" s="18" t="s">
        <v>507</v>
      </c>
      <c r="I2525" s="18" t="s">
        <v>508</v>
      </c>
      <c r="J2525" s="18"/>
      <c r="K2525" s="21">
        <f t="shared" si="117"/>
        <v>70.416666666569654</v>
      </c>
      <c r="L2525" s="19">
        <f t="shared" si="118"/>
        <v>118</v>
      </c>
      <c r="M2525" s="18" t="str">
        <f>IF(I2525&lt;&gt;"Sí","",IF(YEAR(F2525)&lt;&gt;2026,"",INDEX({"Enero","Febrero","Marzo","Abril","Mayo","Junio","Julio","Agosto","Septiembre","Octubre","Noviembre","Diciembre"},MONTH(F2525))))</f>
        <v>Septiembre</v>
      </c>
      <c r="N2525" s="18" t="str">
        <f t="shared" si="119"/>
        <v>Septiembre|118</v>
      </c>
    </row>
    <row r="2526" spans="1:14" ht="14.5" x14ac:dyDescent="0.25">
      <c r="A2526" s="19">
        <v>35</v>
      </c>
      <c r="B2526" s="18" t="s">
        <v>42</v>
      </c>
      <c r="C2526" s="18" t="s">
        <v>92</v>
      </c>
      <c r="D2526" s="18" t="s">
        <v>2655</v>
      </c>
      <c r="E2526" s="18" t="s">
        <v>3079</v>
      </c>
      <c r="F2526" s="101">
        <v>46275.164583333331</v>
      </c>
      <c r="G2526" s="101">
        <v>46278.097222222219</v>
      </c>
      <c r="H2526" s="18" t="s">
        <v>507</v>
      </c>
      <c r="I2526" s="18" t="s">
        <v>508</v>
      </c>
      <c r="J2526" s="18"/>
      <c r="K2526" s="21">
        <f t="shared" si="117"/>
        <v>70.383333333302289</v>
      </c>
      <c r="L2526" s="19">
        <f t="shared" si="118"/>
        <v>119</v>
      </c>
      <c r="M2526" s="18" t="str">
        <f>IF(I2526&lt;&gt;"Sí","",IF(YEAR(F2526)&lt;&gt;2026,"",INDEX({"Enero","Febrero","Marzo","Abril","Mayo","Junio","Julio","Agosto","Septiembre","Octubre","Noviembre","Diciembre"},MONTH(F2526))))</f>
        <v>Septiembre</v>
      </c>
      <c r="N2526" s="18" t="str">
        <f t="shared" si="119"/>
        <v>Septiembre|119</v>
      </c>
    </row>
    <row r="2527" spans="1:14" ht="14.5" x14ac:dyDescent="0.25">
      <c r="A2527" s="19">
        <v>35</v>
      </c>
      <c r="B2527" s="18" t="s">
        <v>42</v>
      </c>
      <c r="C2527" s="18" t="s">
        <v>92</v>
      </c>
      <c r="D2527" s="18" t="s">
        <v>2655</v>
      </c>
      <c r="E2527" s="18" t="s">
        <v>3080</v>
      </c>
      <c r="F2527" s="101">
        <v>46275.165972222225</v>
      </c>
      <c r="G2527" s="101">
        <v>46278.097222222219</v>
      </c>
      <c r="H2527" s="18" t="s">
        <v>507</v>
      </c>
      <c r="I2527" s="18" t="s">
        <v>508</v>
      </c>
      <c r="J2527" s="18"/>
      <c r="K2527" s="21">
        <f t="shared" si="117"/>
        <v>70.349999999860302</v>
      </c>
      <c r="L2527" s="19">
        <f t="shared" si="118"/>
        <v>120</v>
      </c>
      <c r="M2527" s="18" t="str">
        <f>IF(I2527&lt;&gt;"Sí","",IF(YEAR(F2527)&lt;&gt;2026,"",INDEX({"Enero","Febrero","Marzo","Abril","Mayo","Junio","Julio","Agosto","Septiembre","Octubre","Noviembre","Diciembre"},MONTH(F2527))))</f>
        <v>Septiembre</v>
      </c>
      <c r="N2527" s="18" t="str">
        <f t="shared" si="119"/>
        <v>Septiembre|120</v>
      </c>
    </row>
    <row r="2528" spans="1:14" ht="14.5" x14ac:dyDescent="0.25">
      <c r="A2528" s="19">
        <v>35</v>
      </c>
      <c r="B2528" s="18" t="s">
        <v>42</v>
      </c>
      <c r="C2528" s="18" t="s">
        <v>92</v>
      </c>
      <c r="D2528" s="18" t="s">
        <v>2655</v>
      </c>
      <c r="E2528" s="18" t="s">
        <v>3081</v>
      </c>
      <c r="F2528" s="101">
        <v>46275.167361111111</v>
      </c>
      <c r="G2528" s="101">
        <v>46278.097222222219</v>
      </c>
      <c r="H2528" s="18" t="s">
        <v>507</v>
      </c>
      <c r="I2528" s="18" t="s">
        <v>508</v>
      </c>
      <c r="J2528" s="18"/>
      <c r="K2528" s="21">
        <f t="shared" si="117"/>
        <v>70.316666666592937</v>
      </c>
      <c r="L2528" s="19">
        <f t="shared" si="118"/>
        <v>122</v>
      </c>
      <c r="M2528" s="18" t="str">
        <f>IF(I2528&lt;&gt;"Sí","",IF(YEAR(F2528)&lt;&gt;2026,"",INDEX({"Enero","Febrero","Marzo","Abril","Mayo","Junio","Julio","Agosto","Septiembre","Octubre","Noviembre","Diciembre"},MONTH(F2528))))</f>
        <v>Septiembre</v>
      </c>
      <c r="N2528" s="18" t="str">
        <f t="shared" si="119"/>
        <v>Septiembre|122</v>
      </c>
    </row>
    <row r="2529" spans="1:14" ht="14.5" x14ac:dyDescent="0.25">
      <c r="A2529" s="19">
        <v>35</v>
      </c>
      <c r="B2529" s="18" t="s">
        <v>42</v>
      </c>
      <c r="C2529" s="18" t="s">
        <v>92</v>
      </c>
      <c r="D2529" s="18" t="s">
        <v>2655</v>
      </c>
      <c r="E2529" s="18" t="s">
        <v>3082</v>
      </c>
      <c r="F2529" s="101">
        <v>46275.167361111111</v>
      </c>
      <c r="G2529" s="101">
        <v>46277.902777777781</v>
      </c>
      <c r="H2529" s="18" t="s">
        <v>507</v>
      </c>
      <c r="I2529" s="18" t="s">
        <v>508</v>
      </c>
      <c r="J2529" s="18"/>
      <c r="K2529" s="21">
        <f t="shared" si="117"/>
        <v>65.650000000081491</v>
      </c>
      <c r="L2529" s="19">
        <f t="shared" si="118"/>
        <v>122</v>
      </c>
      <c r="M2529" s="18" t="str">
        <f>IF(I2529&lt;&gt;"Sí","",IF(YEAR(F2529)&lt;&gt;2026,"",INDEX({"Enero","Febrero","Marzo","Abril","Mayo","Junio","Julio","Agosto","Septiembre","Octubre","Noviembre","Diciembre"},MONTH(F2529))))</f>
        <v>Septiembre</v>
      </c>
      <c r="N2529" s="18" t="str">
        <f t="shared" si="119"/>
        <v>Septiembre|122</v>
      </c>
    </row>
    <row r="2530" spans="1:14" ht="14.5" x14ac:dyDescent="0.25">
      <c r="A2530" s="19">
        <v>35</v>
      </c>
      <c r="B2530" s="18" t="s">
        <v>42</v>
      </c>
      <c r="C2530" s="18" t="s">
        <v>92</v>
      </c>
      <c r="D2530" s="18" t="s">
        <v>2655</v>
      </c>
      <c r="E2530" s="18" t="s">
        <v>3083</v>
      </c>
      <c r="F2530" s="101">
        <v>46275.168055555558</v>
      </c>
      <c r="G2530" s="101">
        <v>46278.097222222219</v>
      </c>
      <c r="H2530" s="18" t="s">
        <v>507</v>
      </c>
      <c r="I2530" s="18" t="s">
        <v>508</v>
      </c>
      <c r="J2530" s="18"/>
      <c r="K2530" s="21">
        <f t="shared" si="117"/>
        <v>70.299999999871943</v>
      </c>
      <c r="L2530" s="19">
        <f t="shared" si="118"/>
        <v>123</v>
      </c>
      <c r="M2530" s="18" t="str">
        <f>IF(I2530&lt;&gt;"Sí","",IF(YEAR(F2530)&lt;&gt;2026,"",INDEX({"Enero","Febrero","Marzo","Abril","Mayo","Junio","Julio","Agosto","Septiembre","Octubre","Noviembre","Diciembre"},MONTH(F2530))))</f>
        <v>Septiembre</v>
      </c>
      <c r="N2530" s="18" t="str">
        <f t="shared" si="119"/>
        <v>Septiembre|123</v>
      </c>
    </row>
    <row r="2531" spans="1:14" ht="14.5" x14ac:dyDescent="0.25">
      <c r="A2531" s="19">
        <v>35</v>
      </c>
      <c r="B2531" s="18" t="s">
        <v>42</v>
      </c>
      <c r="C2531" s="18" t="s">
        <v>92</v>
      </c>
      <c r="D2531" s="18" t="s">
        <v>2655</v>
      </c>
      <c r="E2531" s="18" t="s">
        <v>3084</v>
      </c>
      <c r="F2531" s="101">
        <v>46275.169444444444</v>
      </c>
      <c r="G2531" s="101">
        <v>46278.097222222219</v>
      </c>
      <c r="H2531" s="18" t="s">
        <v>507</v>
      </c>
      <c r="I2531" s="18" t="s">
        <v>508</v>
      </c>
      <c r="J2531" s="18"/>
      <c r="K2531" s="21">
        <f t="shared" si="117"/>
        <v>70.266666666604578</v>
      </c>
      <c r="L2531" s="19">
        <f t="shared" si="118"/>
        <v>124</v>
      </c>
      <c r="M2531" s="18" t="str">
        <f>IF(I2531&lt;&gt;"Sí","",IF(YEAR(F2531)&lt;&gt;2026,"",INDEX({"Enero","Febrero","Marzo","Abril","Mayo","Junio","Julio","Agosto","Septiembre","Octubre","Noviembre","Diciembre"},MONTH(F2531))))</f>
        <v>Septiembre</v>
      </c>
      <c r="N2531" s="18" t="str">
        <f t="shared" si="119"/>
        <v>Septiembre|124</v>
      </c>
    </row>
    <row r="2532" spans="1:14" ht="14.5" x14ac:dyDescent="0.25">
      <c r="A2532" s="19">
        <v>35</v>
      </c>
      <c r="B2532" s="18" t="s">
        <v>42</v>
      </c>
      <c r="C2532" s="18" t="s">
        <v>92</v>
      </c>
      <c r="D2532" s="18" t="s">
        <v>2655</v>
      </c>
      <c r="E2532" s="18" t="s">
        <v>3085</v>
      </c>
      <c r="F2532" s="101">
        <v>46275.171527777777</v>
      </c>
      <c r="G2532" s="101">
        <v>46277.902777777781</v>
      </c>
      <c r="H2532" s="18" t="s">
        <v>507</v>
      </c>
      <c r="I2532" s="18" t="s">
        <v>508</v>
      </c>
      <c r="J2532" s="18"/>
      <c r="K2532" s="21">
        <f t="shared" si="117"/>
        <v>65.550000000104774</v>
      </c>
      <c r="L2532" s="19">
        <f t="shared" si="118"/>
        <v>125</v>
      </c>
      <c r="M2532" s="18" t="str">
        <f>IF(I2532&lt;&gt;"Sí","",IF(YEAR(F2532)&lt;&gt;2026,"",INDEX({"Enero","Febrero","Marzo","Abril","Mayo","Junio","Julio","Agosto","Septiembre","Octubre","Noviembre","Diciembre"},MONTH(F2532))))</f>
        <v>Septiembre</v>
      </c>
      <c r="N2532" s="18" t="str">
        <f t="shared" si="119"/>
        <v>Septiembre|125</v>
      </c>
    </row>
    <row r="2533" spans="1:14" ht="14.5" x14ac:dyDescent="0.25">
      <c r="A2533" s="19">
        <v>35</v>
      </c>
      <c r="B2533" s="18" t="s">
        <v>42</v>
      </c>
      <c r="C2533" s="18" t="s">
        <v>92</v>
      </c>
      <c r="D2533" s="18" t="s">
        <v>2655</v>
      </c>
      <c r="E2533" s="18" t="s">
        <v>3086</v>
      </c>
      <c r="F2533" s="101">
        <v>46275.17291666667</v>
      </c>
      <c r="G2533" s="101">
        <v>46277.902777777781</v>
      </c>
      <c r="H2533" s="18" t="s">
        <v>507</v>
      </c>
      <c r="I2533" s="18" t="s">
        <v>508</v>
      </c>
      <c r="J2533" s="18"/>
      <c r="K2533" s="21">
        <f t="shared" si="117"/>
        <v>65.516666666662786</v>
      </c>
      <c r="L2533" s="19">
        <f t="shared" si="118"/>
        <v>126</v>
      </c>
      <c r="M2533" s="18" t="str">
        <f>IF(I2533&lt;&gt;"Sí","",IF(YEAR(F2533)&lt;&gt;2026,"",INDEX({"Enero","Febrero","Marzo","Abril","Mayo","Junio","Julio","Agosto","Septiembre","Octubre","Noviembre","Diciembre"},MONTH(F2533))))</f>
        <v>Septiembre</v>
      </c>
      <c r="N2533" s="18" t="str">
        <f t="shared" si="119"/>
        <v>Septiembre|126</v>
      </c>
    </row>
    <row r="2534" spans="1:14" ht="14.5" x14ac:dyDescent="0.25">
      <c r="A2534" s="19">
        <v>35</v>
      </c>
      <c r="B2534" s="18" t="s">
        <v>42</v>
      </c>
      <c r="C2534" s="18" t="s">
        <v>92</v>
      </c>
      <c r="D2534" s="18" t="s">
        <v>2655</v>
      </c>
      <c r="E2534" s="18" t="s">
        <v>3087</v>
      </c>
      <c r="F2534" s="101">
        <v>46275.176388888889</v>
      </c>
      <c r="G2534" s="101">
        <v>46277.902777777781</v>
      </c>
      <c r="H2534" s="18" t="s">
        <v>507</v>
      </c>
      <c r="I2534" s="18" t="s">
        <v>508</v>
      </c>
      <c r="J2534" s="18"/>
      <c r="K2534" s="21">
        <f t="shared" si="117"/>
        <v>65.433333333407063</v>
      </c>
      <c r="L2534" s="19">
        <f t="shared" si="118"/>
        <v>127</v>
      </c>
      <c r="M2534" s="18" t="str">
        <f>IF(I2534&lt;&gt;"Sí","",IF(YEAR(F2534)&lt;&gt;2026,"",INDEX({"Enero","Febrero","Marzo","Abril","Mayo","Junio","Julio","Agosto","Septiembre","Octubre","Noviembre","Diciembre"},MONTH(F2534))))</f>
        <v>Septiembre</v>
      </c>
      <c r="N2534" s="18" t="str">
        <f t="shared" si="119"/>
        <v>Septiembre|127</v>
      </c>
    </row>
    <row r="2535" spans="1:14" ht="14.5" x14ac:dyDescent="0.25">
      <c r="A2535" s="19">
        <v>35</v>
      </c>
      <c r="B2535" s="18" t="s">
        <v>42</v>
      </c>
      <c r="C2535" s="18" t="s">
        <v>92</v>
      </c>
      <c r="D2535" s="18" t="s">
        <v>2655</v>
      </c>
      <c r="E2535" s="18" t="s">
        <v>3088</v>
      </c>
      <c r="F2535" s="101">
        <v>46275.177777777775</v>
      </c>
      <c r="G2535" s="101">
        <v>46277.892361111109</v>
      </c>
      <c r="H2535" s="18" t="s">
        <v>507</v>
      </c>
      <c r="I2535" s="18" t="s">
        <v>508</v>
      </c>
      <c r="J2535" s="18"/>
      <c r="K2535" s="21">
        <f t="shared" si="117"/>
        <v>65.150000000023283</v>
      </c>
      <c r="L2535" s="19">
        <f t="shared" si="118"/>
        <v>128</v>
      </c>
      <c r="M2535" s="18" t="str">
        <f>IF(I2535&lt;&gt;"Sí","",IF(YEAR(F2535)&lt;&gt;2026,"",INDEX({"Enero","Febrero","Marzo","Abril","Mayo","Junio","Julio","Agosto","Septiembre","Octubre","Noviembre","Diciembre"},MONTH(F2535))))</f>
        <v>Septiembre</v>
      </c>
      <c r="N2535" s="18" t="str">
        <f t="shared" si="119"/>
        <v>Septiembre|128</v>
      </c>
    </row>
    <row r="2536" spans="1:14" ht="14.5" x14ac:dyDescent="0.25">
      <c r="A2536" s="19">
        <v>35</v>
      </c>
      <c r="B2536" s="18" t="s">
        <v>42</v>
      </c>
      <c r="C2536" s="18" t="s">
        <v>92</v>
      </c>
      <c r="D2536" s="18" t="s">
        <v>2655</v>
      </c>
      <c r="E2536" s="18" t="s">
        <v>3089</v>
      </c>
      <c r="F2536" s="101">
        <v>46275.179861111108</v>
      </c>
      <c r="G2536" s="101">
        <v>46277.892361111109</v>
      </c>
      <c r="H2536" s="18" t="s">
        <v>507</v>
      </c>
      <c r="I2536" s="18" t="s">
        <v>508</v>
      </c>
      <c r="J2536" s="18"/>
      <c r="K2536" s="21">
        <f t="shared" si="117"/>
        <v>65.100000000034925</v>
      </c>
      <c r="L2536" s="19">
        <f t="shared" si="118"/>
        <v>129</v>
      </c>
      <c r="M2536" s="18" t="str">
        <f>IF(I2536&lt;&gt;"Sí","",IF(YEAR(F2536)&lt;&gt;2026,"",INDEX({"Enero","Febrero","Marzo","Abril","Mayo","Junio","Julio","Agosto","Septiembre","Octubre","Noviembre","Diciembre"},MONTH(F2536))))</f>
        <v>Septiembre</v>
      </c>
      <c r="N2536" s="18" t="str">
        <f t="shared" si="119"/>
        <v>Septiembre|129</v>
      </c>
    </row>
    <row r="2537" spans="1:14" ht="14.5" x14ac:dyDescent="0.25">
      <c r="A2537" s="19">
        <v>35</v>
      </c>
      <c r="B2537" s="18" t="s">
        <v>42</v>
      </c>
      <c r="C2537" s="18" t="s">
        <v>92</v>
      </c>
      <c r="D2537" s="18" t="s">
        <v>2655</v>
      </c>
      <c r="E2537" s="18" t="s">
        <v>3090</v>
      </c>
      <c r="F2537" s="101">
        <v>46275.181250000001</v>
      </c>
      <c r="G2537" s="101">
        <v>46277.892361111109</v>
      </c>
      <c r="H2537" s="18" t="s">
        <v>507</v>
      </c>
      <c r="I2537" s="18" t="s">
        <v>508</v>
      </c>
      <c r="J2537" s="18"/>
      <c r="K2537" s="21">
        <f t="shared" si="117"/>
        <v>65.066666666592937</v>
      </c>
      <c r="L2537" s="19">
        <f t="shared" si="118"/>
        <v>130</v>
      </c>
      <c r="M2537" s="18" t="str">
        <f>IF(I2537&lt;&gt;"Sí","",IF(YEAR(F2537)&lt;&gt;2026,"",INDEX({"Enero","Febrero","Marzo","Abril","Mayo","Junio","Julio","Agosto","Septiembre","Octubre","Noviembre","Diciembre"},MONTH(F2537))))</f>
        <v>Septiembre</v>
      </c>
      <c r="N2537" s="18" t="str">
        <f t="shared" si="119"/>
        <v>Septiembre|130</v>
      </c>
    </row>
    <row r="2538" spans="1:14" ht="14.5" x14ac:dyDescent="0.25">
      <c r="A2538" s="19">
        <v>35</v>
      </c>
      <c r="B2538" s="18" t="s">
        <v>42</v>
      </c>
      <c r="C2538" s="18" t="s">
        <v>92</v>
      </c>
      <c r="D2538" s="18" t="s">
        <v>2655</v>
      </c>
      <c r="E2538" s="18" t="s">
        <v>3091</v>
      </c>
      <c r="F2538" s="101">
        <v>46275.182638888888</v>
      </c>
      <c r="G2538" s="101">
        <v>46277.892361111109</v>
      </c>
      <c r="H2538" s="18" t="s">
        <v>507</v>
      </c>
      <c r="I2538" s="18" t="s">
        <v>508</v>
      </c>
      <c r="J2538" s="18"/>
      <c r="K2538" s="21">
        <f t="shared" si="117"/>
        <v>65.033333333325572</v>
      </c>
      <c r="L2538" s="19">
        <f t="shared" si="118"/>
        <v>131</v>
      </c>
      <c r="M2538" s="18" t="str">
        <f>IF(I2538&lt;&gt;"Sí","",IF(YEAR(F2538)&lt;&gt;2026,"",INDEX({"Enero","Febrero","Marzo","Abril","Mayo","Junio","Julio","Agosto","Septiembre","Octubre","Noviembre","Diciembre"},MONTH(F2538))))</f>
        <v>Septiembre</v>
      </c>
      <c r="N2538" s="18" t="str">
        <f t="shared" si="119"/>
        <v>Septiembre|131</v>
      </c>
    </row>
    <row r="2539" spans="1:14" ht="14.5" x14ac:dyDescent="0.25">
      <c r="A2539" s="19">
        <v>35</v>
      </c>
      <c r="B2539" s="18" t="s">
        <v>42</v>
      </c>
      <c r="C2539" s="18" t="s">
        <v>92</v>
      </c>
      <c r="D2539" s="18" t="s">
        <v>2655</v>
      </c>
      <c r="E2539" s="18" t="s">
        <v>3092</v>
      </c>
      <c r="F2539" s="101">
        <v>46275.184027777781</v>
      </c>
      <c r="G2539" s="101">
        <v>46278.148611111108</v>
      </c>
      <c r="H2539" s="18" t="s">
        <v>507</v>
      </c>
      <c r="I2539" s="18" t="s">
        <v>508</v>
      </c>
      <c r="J2539" s="18"/>
      <c r="K2539" s="21">
        <f t="shared" si="117"/>
        <v>71.14999999984866</v>
      </c>
      <c r="L2539" s="19">
        <f t="shared" si="118"/>
        <v>132</v>
      </c>
      <c r="M2539" s="18" t="str">
        <f>IF(I2539&lt;&gt;"Sí","",IF(YEAR(F2539)&lt;&gt;2026,"",INDEX({"Enero","Febrero","Marzo","Abril","Mayo","Junio","Julio","Agosto","Septiembre","Octubre","Noviembre","Diciembre"},MONTH(F2539))))</f>
        <v>Septiembre</v>
      </c>
      <c r="N2539" s="18" t="str">
        <f t="shared" si="119"/>
        <v>Septiembre|132</v>
      </c>
    </row>
    <row r="2540" spans="1:14" ht="14.5" x14ac:dyDescent="0.25">
      <c r="A2540" s="19">
        <v>35</v>
      </c>
      <c r="B2540" s="18" t="s">
        <v>42</v>
      </c>
      <c r="C2540" s="18" t="s">
        <v>92</v>
      </c>
      <c r="D2540" s="18" t="s">
        <v>2655</v>
      </c>
      <c r="E2540" s="18" t="s">
        <v>3093</v>
      </c>
      <c r="F2540" s="101">
        <v>46275.186111111114</v>
      </c>
      <c r="G2540" s="101">
        <v>46277.884027777778</v>
      </c>
      <c r="H2540" s="18" t="s">
        <v>507</v>
      </c>
      <c r="I2540" s="18" t="s">
        <v>508</v>
      </c>
      <c r="J2540" s="18"/>
      <c r="K2540" s="21">
        <f t="shared" si="117"/>
        <v>64.749999999941792</v>
      </c>
      <c r="L2540" s="19">
        <f t="shared" si="118"/>
        <v>133</v>
      </c>
      <c r="M2540" s="18" t="str">
        <f>IF(I2540&lt;&gt;"Sí","",IF(YEAR(F2540)&lt;&gt;2026,"",INDEX({"Enero","Febrero","Marzo","Abril","Mayo","Junio","Julio","Agosto","Septiembre","Octubre","Noviembre","Diciembre"},MONTH(F2540))))</f>
        <v>Septiembre</v>
      </c>
      <c r="N2540" s="18" t="str">
        <f t="shared" si="119"/>
        <v>Septiembre|133</v>
      </c>
    </row>
    <row r="2541" spans="1:14" ht="14.5" x14ac:dyDescent="0.25">
      <c r="A2541" s="19">
        <v>35</v>
      </c>
      <c r="B2541" s="18" t="s">
        <v>42</v>
      </c>
      <c r="C2541" s="18" t="s">
        <v>92</v>
      </c>
      <c r="D2541" s="18" t="s">
        <v>2655</v>
      </c>
      <c r="E2541" s="18" t="s">
        <v>3094</v>
      </c>
      <c r="F2541" s="101">
        <v>46275.1875</v>
      </c>
      <c r="G2541" s="101">
        <v>46277.884027777778</v>
      </c>
      <c r="H2541" s="18" t="s">
        <v>507</v>
      </c>
      <c r="I2541" s="18" t="s">
        <v>508</v>
      </c>
      <c r="J2541" s="18"/>
      <c r="K2541" s="21">
        <f t="shared" si="117"/>
        <v>64.716666666674428</v>
      </c>
      <c r="L2541" s="19">
        <f t="shared" si="118"/>
        <v>134</v>
      </c>
      <c r="M2541" s="18" t="str">
        <f>IF(I2541&lt;&gt;"Sí","",IF(YEAR(F2541)&lt;&gt;2026,"",INDEX({"Enero","Febrero","Marzo","Abril","Mayo","Junio","Julio","Agosto","Septiembre","Octubre","Noviembre","Diciembre"},MONTH(F2541))))</f>
        <v>Septiembre</v>
      </c>
      <c r="N2541" s="18" t="str">
        <f t="shared" si="119"/>
        <v>Septiembre|134</v>
      </c>
    </row>
    <row r="2542" spans="1:14" ht="14.5" x14ac:dyDescent="0.25">
      <c r="A2542" s="19">
        <v>35</v>
      </c>
      <c r="B2542" s="18" t="s">
        <v>42</v>
      </c>
      <c r="C2542" s="18" t="s">
        <v>92</v>
      </c>
      <c r="D2542" s="18" t="s">
        <v>2655</v>
      </c>
      <c r="E2542" s="18" t="s">
        <v>3095</v>
      </c>
      <c r="F2542" s="101">
        <v>46275.188194444447</v>
      </c>
      <c r="G2542" s="101">
        <v>46277.884027777778</v>
      </c>
      <c r="H2542" s="18" t="s">
        <v>507</v>
      </c>
      <c r="I2542" s="18" t="s">
        <v>508</v>
      </c>
      <c r="J2542" s="18"/>
      <c r="K2542" s="21">
        <f t="shared" si="117"/>
        <v>64.699999999953434</v>
      </c>
      <c r="L2542" s="19">
        <f t="shared" si="118"/>
        <v>135</v>
      </c>
      <c r="M2542" s="18" t="str">
        <f>IF(I2542&lt;&gt;"Sí","",IF(YEAR(F2542)&lt;&gt;2026,"",INDEX({"Enero","Febrero","Marzo","Abril","Mayo","Junio","Julio","Agosto","Septiembre","Octubre","Noviembre","Diciembre"},MONTH(F2542))))</f>
        <v>Septiembre</v>
      </c>
      <c r="N2542" s="18" t="str">
        <f t="shared" si="119"/>
        <v>Septiembre|135</v>
      </c>
    </row>
    <row r="2543" spans="1:14" ht="14.5" x14ac:dyDescent="0.25">
      <c r="A2543" s="19">
        <v>35</v>
      </c>
      <c r="B2543" s="18" t="s">
        <v>42</v>
      </c>
      <c r="C2543" s="18" t="s">
        <v>92</v>
      </c>
      <c r="D2543" s="18" t="s">
        <v>2655</v>
      </c>
      <c r="E2543" s="18" t="s">
        <v>3096</v>
      </c>
      <c r="F2543" s="101">
        <v>46275.189583333333</v>
      </c>
      <c r="G2543" s="101">
        <v>46277.884027777778</v>
      </c>
      <c r="H2543" s="18" t="s">
        <v>507</v>
      </c>
      <c r="I2543" s="18" t="s">
        <v>508</v>
      </c>
      <c r="J2543" s="18"/>
      <c r="K2543" s="21">
        <f t="shared" si="117"/>
        <v>64.666666666686069</v>
      </c>
      <c r="L2543" s="19">
        <f t="shared" si="118"/>
        <v>136</v>
      </c>
      <c r="M2543" s="18" t="str">
        <f>IF(I2543&lt;&gt;"Sí","",IF(YEAR(F2543)&lt;&gt;2026,"",INDEX({"Enero","Febrero","Marzo","Abril","Mayo","Junio","Julio","Agosto","Septiembre","Octubre","Noviembre","Diciembre"},MONTH(F2543))))</f>
        <v>Septiembre</v>
      </c>
      <c r="N2543" s="18" t="str">
        <f t="shared" si="119"/>
        <v>Septiembre|136</v>
      </c>
    </row>
    <row r="2544" spans="1:14" ht="14.5" x14ac:dyDescent="0.25">
      <c r="A2544" s="19">
        <v>35</v>
      </c>
      <c r="B2544" s="18" t="s">
        <v>42</v>
      </c>
      <c r="C2544" s="18" t="s">
        <v>92</v>
      </c>
      <c r="D2544" s="18" t="s">
        <v>2655</v>
      </c>
      <c r="E2544" s="18" t="s">
        <v>3097</v>
      </c>
      <c r="F2544" s="101">
        <v>46275.190972222219</v>
      </c>
      <c r="G2544" s="101">
        <v>46277.878472222219</v>
      </c>
      <c r="H2544" s="18" t="s">
        <v>507</v>
      </c>
      <c r="I2544" s="18" t="s">
        <v>508</v>
      </c>
      <c r="J2544" s="18"/>
      <c r="K2544" s="21">
        <f t="shared" si="117"/>
        <v>64.5</v>
      </c>
      <c r="L2544" s="19">
        <f t="shared" si="118"/>
        <v>137</v>
      </c>
      <c r="M2544" s="18" t="str">
        <f>IF(I2544&lt;&gt;"Sí","",IF(YEAR(F2544)&lt;&gt;2026,"",INDEX({"Enero","Febrero","Marzo","Abril","Mayo","Junio","Julio","Agosto","Septiembre","Octubre","Noviembre","Diciembre"},MONTH(F2544))))</f>
        <v>Septiembre</v>
      </c>
      <c r="N2544" s="18" t="str">
        <f t="shared" si="119"/>
        <v>Septiembre|137</v>
      </c>
    </row>
    <row r="2545" spans="1:14" ht="14.5" x14ac:dyDescent="0.25">
      <c r="A2545" s="19">
        <v>35</v>
      </c>
      <c r="B2545" s="18" t="s">
        <v>42</v>
      </c>
      <c r="C2545" s="18" t="s">
        <v>92</v>
      </c>
      <c r="D2545" s="18" t="s">
        <v>2655</v>
      </c>
      <c r="E2545" s="18" t="s">
        <v>3098</v>
      </c>
      <c r="F2545" s="101">
        <v>46275.192361111112</v>
      </c>
      <c r="G2545" s="101">
        <v>46277.878472222219</v>
      </c>
      <c r="H2545" s="18" t="s">
        <v>507</v>
      </c>
      <c r="I2545" s="18" t="s">
        <v>508</v>
      </c>
      <c r="J2545" s="18"/>
      <c r="K2545" s="21">
        <f t="shared" si="117"/>
        <v>64.466666666558012</v>
      </c>
      <c r="L2545" s="19">
        <f t="shared" si="118"/>
        <v>138</v>
      </c>
      <c r="M2545" s="18" t="str">
        <f>IF(I2545&lt;&gt;"Sí","",IF(YEAR(F2545)&lt;&gt;2026,"",INDEX({"Enero","Febrero","Marzo","Abril","Mayo","Junio","Julio","Agosto","Septiembre","Octubre","Noviembre","Diciembre"},MONTH(F2545))))</f>
        <v>Septiembre</v>
      </c>
      <c r="N2545" s="18" t="str">
        <f t="shared" si="119"/>
        <v>Septiembre|138</v>
      </c>
    </row>
    <row r="2546" spans="1:14" ht="14.5" x14ac:dyDescent="0.25">
      <c r="A2546" s="19">
        <v>35</v>
      </c>
      <c r="B2546" s="18" t="s">
        <v>42</v>
      </c>
      <c r="C2546" s="18" t="s">
        <v>92</v>
      </c>
      <c r="D2546" s="18" t="s">
        <v>2655</v>
      </c>
      <c r="E2546" s="18" t="s">
        <v>3099</v>
      </c>
      <c r="F2546" s="101">
        <v>46275.193749999999</v>
      </c>
      <c r="G2546" s="101">
        <v>46277.878472222219</v>
      </c>
      <c r="H2546" s="18" t="s">
        <v>507</v>
      </c>
      <c r="I2546" s="18" t="s">
        <v>508</v>
      </c>
      <c r="J2546" s="18"/>
      <c r="K2546" s="21">
        <f t="shared" si="117"/>
        <v>64.433333333290648</v>
      </c>
      <c r="L2546" s="19">
        <f t="shared" si="118"/>
        <v>139</v>
      </c>
      <c r="M2546" s="18" t="str">
        <f>IF(I2546&lt;&gt;"Sí","",IF(YEAR(F2546)&lt;&gt;2026,"",INDEX({"Enero","Febrero","Marzo","Abril","Mayo","Junio","Julio","Agosto","Septiembre","Octubre","Noviembre","Diciembre"},MONTH(F2546))))</f>
        <v>Septiembre</v>
      </c>
      <c r="N2546" s="18" t="str">
        <f t="shared" si="119"/>
        <v>Septiembre|139</v>
      </c>
    </row>
    <row r="2547" spans="1:14" ht="14.5" x14ac:dyDescent="0.25">
      <c r="A2547" s="19">
        <v>35</v>
      </c>
      <c r="B2547" s="18" t="s">
        <v>42</v>
      </c>
      <c r="C2547" s="18" t="s">
        <v>92</v>
      </c>
      <c r="D2547" s="18" t="s">
        <v>2655</v>
      </c>
      <c r="E2547" s="18" t="s">
        <v>3100</v>
      </c>
      <c r="F2547" s="101">
        <v>46275.196527777778</v>
      </c>
      <c r="G2547" s="101">
        <v>46277.875</v>
      </c>
      <c r="H2547" s="18" t="s">
        <v>507</v>
      </c>
      <c r="I2547" s="18" t="s">
        <v>508</v>
      </c>
      <c r="J2547" s="18"/>
      <c r="K2547" s="21">
        <f t="shared" si="117"/>
        <v>64.283333333325572</v>
      </c>
      <c r="L2547" s="19">
        <f t="shared" si="118"/>
        <v>140</v>
      </c>
      <c r="M2547" s="18" t="str">
        <f>IF(I2547&lt;&gt;"Sí","",IF(YEAR(F2547)&lt;&gt;2026,"",INDEX({"Enero","Febrero","Marzo","Abril","Mayo","Junio","Julio","Agosto","Septiembre","Octubre","Noviembre","Diciembre"},MONTH(F2547))))</f>
        <v>Septiembre</v>
      </c>
      <c r="N2547" s="18" t="str">
        <f t="shared" si="119"/>
        <v>Septiembre|140</v>
      </c>
    </row>
    <row r="2548" spans="1:14" ht="14.5" x14ac:dyDescent="0.25">
      <c r="A2548" s="19">
        <v>35</v>
      </c>
      <c r="B2548" s="18" t="s">
        <v>42</v>
      </c>
      <c r="C2548" s="18" t="s">
        <v>92</v>
      </c>
      <c r="D2548" s="18" t="s">
        <v>2655</v>
      </c>
      <c r="E2548" s="18" t="s">
        <v>3101</v>
      </c>
      <c r="F2548" s="101">
        <v>46275.203472222223</v>
      </c>
      <c r="G2548" s="101">
        <v>46277.875</v>
      </c>
      <c r="H2548" s="18" t="s">
        <v>507</v>
      </c>
      <c r="I2548" s="18" t="s">
        <v>508</v>
      </c>
      <c r="J2548" s="18"/>
      <c r="K2548" s="21">
        <f t="shared" si="117"/>
        <v>64.116666666639503</v>
      </c>
      <c r="L2548" s="19">
        <f t="shared" si="118"/>
        <v>141</v>
      </c>
      <c r="M2548" s="18" t="str">
        <f>IF(I2548&lt;&gt;"Sí","",IF(YEAR(F2548)&lt;&gt;2026,"",INDEX({"Enero","Febrero","Marzo","Abril","Mayo","Junio","Julio","Agosto","Septiembre","Octubre","Noviembre","Diciembre"},MONTH(F2548))))</f>
        <v>Septiembre</v>
      </c>
      <c r="N2548" s="18" t="str">
        <f t="shared" si="119"/>
        <v>Septiembre|141</v>
      </c>
    </row>
    <row r="2549" spans="1:14" ht="14.5" x14ac:dyDescent="0.25">
      <c r="A2549" s="19">
        <v>35</v>
      </c>
      <c r="B2549" s="18" t="s">
        <v>42</v>
      </c>
      <c r="C2549" s="18" t="s">
        <v>92</v>
      </c>
      <c r="D2549" s="18" t="s">
        <v>2655</v>
      </c>
      <c r="E2549" s="18" t="s">
        <v>3102</v>
      </c>
      <c r="F2549" s="101">
        <v>46275.204861111109</v>
      </c>
      <c r="G2549" s="101">
        <v>46277.875</v>
      </c>
      <c r="H2549" s="18" t="s">
        <v>507</v>
      </c>
      <c r="I2549" s="18" t="s">
        <v>508</v>
      </c>
      <c r="J2549" s="18"/>
      <c r="K2549" s="21">
        <f t="shared" si="117"/>
        <v>64.083333333372138</v>
      </c>
      <c r="L2549" s="19">
        <f t="shared" si="118"/>
        <v>142</v>
      </c>
      <c r="M2549" s="18" t="str">
        <f>IF(I2549&lt;&gt;"Sí","",IF(YEAR(F2549)&lt;&gt;2026,"",INDEX({"Enero","Febrero","Marzo","Abril","Mayo","Junio","Julio","Agosto","Septiembre","Octubre","Noviembre","Diciembre"},MONTH(F2549))))</f>
        <v>Septiembre</v>
      </c>
      <c r="N2549" s="18" t="str">
        <f t="shared" si="119"/>
        <v>Septiembre|142</v>
      </c>
    </row>
    <row r="2550" spans="1:14" ht="14.5" x14ac:dyDescent="0.25">
      <c r="A2550" s="19">
        <v>35</v>
      </c>
      <c r="B2550" s="18" t="s">
        <v>42</v>
      </c>
      <c r="C2550" s="18" t="s">
        <v>92</v>
      </c>
      <c r="D2550" s="18" t="s">
        <v>2655</v>
      </c>
      <c r="E2550" s="18" t="s">
        <v>3103</v>
      </c>
      <c r="F2550" s="101">
        <v>46275.206250000003</v>
      </c>
      <c r="G2550" s="101">
        <v>46277.875</v>
      </c>
      <c r="H2550" s="18" t="s">
        <v>507</v>
      </c>
      <c r="I2550" s="18" t="s">
        <v>508</v>
      </c>
      <c r="J2550" s="18"/>
      <c r="K2550" s="21">
        <f t="shared" si="117"/>
        <v>64.049999999930151</v>
      </c>
      <c r="L2550" s="19">
        <f t="shared" si="118"/>
        <v>143</v>
      </c>
      <c r="M2550" s="18" t="str">
        <f>IF(I2550&lt;&gt;"Sí","",IF(YEAR(F2550)&lt;&gt;2026,"",INDEX({"Enero","Febrero","Marzo","Abril","Mayo","Junio","Julio","Agosto","Septiembre","Octubre","Noviembre","Diciembre"},MONTH(F2550))))</f>
        <v>Septiembre</v>
      </c>
      <c r="N2550" s="18" t="str">
        <f t="shared" si="119"/>
        <v>Septiembre|143</v>
      </c>
    </row>
    <row r="2551" spans="1:14" ht="14.5" x14ac:dyDescent="0.25">
      <c r="A2551" s="19">
        <v>35</v>
      </c>
      <c r="B2551" s="18" t="s">
        <v>42</v>
      </c>
      <c r="C2551" s="18" t="s">
        <v>92</v>
      </c>
      <c r="D2551" s="18" t="s">
        <v>2655</v>
      </c>
      <c r="E2551" s="18" t="s">
        <v>3104</v>
      </c>
      <c r="F2551" s="101">
        <v>46275.208333333336</v>
      </c>
      <c r="G2551" s="101">
        <v>46278.015277777777</v>
      </c>
      <c r="H2551" s="18" t="s">
        <v>507</v>
      </c>
      <c r="I2551" s="18" t="s">
        <v>508</v>
      </c>
      <c r="J2551" s="18"/>
      <c r="K2551" s="21">
        <f t="shared" si="117"/>
        <v>67.366666666581295</v>
      </c>
      <c r="L2551" s="19">
        <f t="shared" si="118"/>
        <v>144</v>
      </c>
      <c r="M2551" s="18" t="str">
        <f>IF(I2551&lt;&gt;"Sí","",IF(YEAR(F2551)&lt;&gt;2026,"",INDEX({"Enero","Febrero","Marzo","Abril","Mayo","Junio","Julio","Agosto","Septiembre","Octubre","Noviembre","Diciembre"},MONTH(F2551))))</f>
        <v>Septiembre</v>
      </c>
      <c r="N2551" s="18" t="str">
        <f t="shared" si="119"/>
        <v>Septiembre|144</v>
      </c>
    </row>
    <row r="2552" spans="1:14" ht="14.5" x14ac:dyDescent="0.25">
      <c r="A2552" s="19">
        <v>35</v>
      </c>
      <c r="B2552" s="18" t="s">
        <v>42</v>
      </c>
      <c r="C2552" s="18" t="s">
        <v>92</v>
      </c>
      <c r="D2552" s="18" t="s">
        <v>2655</v>
      </c>
      <c r="E2552" s="18" t="s">
        <v>3105</v>
      </c>
      <c r="F2552" s="101">
        <v>46275.210416666669</v>
      </c>
      <c r="G2552" s="101">
        <v>46278.015277777777</v>
      </c>
      <c r="H2552" s="18" t="s">
        <v>507</v>
      </c>
      <c r="I2552" s="18" t="s">
        <v>508</v>
      </c>
      <c r="J2552" s="18"/>
      <c r="K2552" s="21">
        <f t="shared" si="117"/>
        <v>67.316666666592937</v>
      </c>
      <c r="L2552" s="19">
        <f t="shared" si="118"/>
        <v>145</v>
      </c>
      <c r="M2552" s="18" t="str">
        <f>IF(I2552&lt;&gt;"Sí","",IF(YEAR(F2552)&lt;&gt;2026,"",INDEX({"Enero","Febrero","Marzo","Abril","Mayo","Junio","Julio","Agosto","Septiembre","Octubre","Noviembre","Diciembre"},MONTH(F2552))))</f>
        <v>Septiembre</v>
      </c>
      <c r="N2552" s="18" t="str">
        <f t="shared" si="119"/>
        <v>Septiembre|145</v>
      </c>
    </row>
    <row r="2553" spans="1:14" ht="14.5" x14ac:dyDescent="0.25">
      <c r="A2553" s="19">
        <v>35</v>
      </c>
      <c r="B2553" s="18" t="s">
        <v>42</v>
      </c>
      <c r="C2553" s="18" t="s">
        <v>92</v>
      </c>
      <c r="D2553" s="18" t="s">
        <v>2655</v>
      </c>
      <c r="E2553" s="18" t="s">
        <v>3106</v>
      </c>
      <c r="F2553" s="101">
        <v>46275.211111111108</v>
      </c>
      <c r="G2553" s="101">
        <v>46277.559027777781</v>
      </c>
      <c r="H2553" s="18" t="s">
        <v>507</v>
      </c>
      <c r="I2553" s="18" t="s">
        <v>508</v>
      </c>
      <c r="J2553" s="18"/>
      <c r="K2553" s="21">
        <f t="shared" si="117"/>
        <v>56.35000000015134</v>
      </c>
      <c r="L2553" s="19">
        <f t="shared" si="118"/>
        <v>146</v>
      </c>
      <c r="M2553" s="18" t="str">
        <f>IF(I2553&lt;&gt;"Sí","",IF(YEAR(F2553)&lt;&gt;2026,"",INDEX({"Enero","Febrero","Marzo","Abril","Mayo","Junio","Julio","Agosto","Septiembre","Octubre","Noviembre","Diciembre"},MONTH(F2553))))</f>
        <v>Septiembre</v>
      </c>
      <c r="N2553" s="18" t="str">
        <f t="shared" si="119"/>
        <v>Septiembre|146</v>
      </c>
    </row>
    <row r="2554" spans="1:14" ht="14.5" x14ac:dyDescent="0.25">
      <c r="A2554" s="19">
        <v>35</v>
      </c>
      <c r="B2554" s="18" t="s">
        <v>42</v>
      </c>
      <c r="C2554" s="18" t="s">
        <v>92</v>
      </c>
      <c r="D2554" s="18" t="s">
        <v>2655</v>
      </c>
      <c r="E2554" s="18" t="s">
        <v>3107</v>
      </c>
      <c r="F2554" s="101">
        <v>46275.211805555555</v>
      </c>
      <c r="G2554" s="101">
        <v>46277.545138888891</v>
      </c>
      <c r="H2554" s="18" t="s">
        <v>507</v>
      </c>
      <c r="I2554" s="18" t="s">
        <v>508</v>
      </c>
      <c r="J2554" s="18"/>
      <c r="K2554" s="21">
        <f t="shared" si="117"/>
        <v>56.000000000058208</v>
      </c>
      <c r="L2554" s="19">
        <f t="shared" si="118"/>
        <v>147</v>
      </c>
      <c r="M2554" s="18" t="str">
        <f>IF(I2554&lt;&gt;"Sí","",IF(YEAR(F2554)&lt;&gt;2026,"",INDEX({"Enero","Febrero","Marzo","Abril","Mayo","Junio","Julio","Agosto","Septiembre","Octubre","Noviembre","Diciembre"},MONTH(F2554))))</f>
        <v>Septiembre</v>
      </c>
      <c r="N2554" s="18" t="str">
        <f t="shared" si="119"/>
        <v>Septiembre|147</v>
      </c>
    </row>
    <row r="2555" spans="1:14" ht="14.5" x14ac:dyDescent="0.25">
      <c r="A2555" s="19">
        <v>35</v>
      </c>
      <c r="B2555" s="18" t="s">
        <v>42</v>
      </c>
      <c r="C2555" s="18" t="s">
        <v>92</v>
      </c>
      <c r="D2555" s="18" t="s">
        <v>2655</v>
      </c>
      <c r="E2555" s="18" t="s">
        <v>3108</v>
      </c>
      <c r="F2555" s="101">
        <v>46275.213194444441</v>
      </c>
      <c r="G2555" s="101">
        <v>46277.539583333331</v>
      </c>
      <c r="H2555" s="18" t="s">
        <v>507</v>
      </c>
      <c r="I2555" s="18" t="s">
        <v>508</v>
      </c>
      <c r="J2555" s="18"/>
      <c r="K2555" s="21">
        <f t="shared" si="117"/>
        <v>55.833333333372138</v>
      </c>
      <c r="L2555" s="19">
        <f t="shared" si="118"/>
        <v>148</v>
      </c>
      <c r="M2555" s="18" t="str">
        <f>IF(I2555&lt;&gt;"Sí","",IF(YEAR(F2555)&lt;&gt;2026,"",INDEX({"Enero","Febrero","Marzo","Abril","Mayo","Junio","Julio","Agosto","Septiembre","Octubre","Noviembre","Diciembre"},MONTH(F2555))))</f>
        <v>Septiembre</v>
      </c>
      <c r="N2555" s="18" t="str">
        <f t="shared" si="119"/>
        <v>Septiembre|148</v>
      </c>
    </row>
    <row r="2556" spans="1:14" ht="14.5" x14ac:dyDescent="0.25">
      <c r="A2556" s="19">
        <v>35</v>
      </c>
      <c r="B2556" s="18" t="s">
        <v>42</v>
      </c>
      <c r="C2556" s="18" t="s">
        <v>92</v>
      </c>
      <c r="D2556" s="18" t="s">
        <v>2655</v>
      </c>
      <c r="E2556" s="18" t="s">
        <v>3109</v>
      </c>
      <c r="F2556" s="101">
        <v>46275.215277777781</v>
      </c>
      <c r="G2556" s="101">
        <v>46277.395833333336</v>
      </c>
      <c r="H2556" s="18" t="s">
        <v>507</v>
      </c>
      <c r="I2556" s="18" t="s">
        <v>508</v>
      </c>
      <c r="J2556" s="18"/>
      <c r="K2556" s="21">
        <f t="shared" si="117"/>
        <v>52.333333333313931</v>
      </c>
      <c r="L2556" s="19">
        <f t="shared" si="118"/>
        <v>149</v>
      </c>
      <c r="M2556" s="18" t="str">
        <f>IF(I2556&lt;&gt;"Sí","",IF(YEAR(F2556)&lt;&gt;2026,"",INDEX({"Enero","Febrero","Marzo","Abril","Mayo","Junio","Julio","Agosto","Septiembre","Octubre","Noviembre","Diciembre"},MONTH(F2556))))</f>
        <v>Septiembre</v>
      </c>
      <c r="N2556" s="18" t="str">
        <f t="shared" si="119"/>
        <v>Septiembre|149</v>
      </c>
    </row>
    <row r="2557" spans="1:14" ht="14.5" x14ac:dyDescent="0.25">
      <c r="A2557" s="19">
        <v>35</v>
      </c>
      <c r="B2557" s="18" t="s">
        <v>42</v>
      </c>
      <c r="C2557" s="18" t="s">
        <v>92</v>
      </c>
      <c r="D2557" s="18" t="s">
        <v>2655</v>
      </c>
      <c r="E2557" s="18" t="s">
        <v>3110</v>
      </c>
      <c r="F2557" s="101">
        <v>46275.395833333336</v>
      </c>
      <c r="G2557" s="101">
        <v>46278.015277777777</v>
      </c>
      <c r="H2557" s="18" t="s">
        <v>507</v>
      </c>
      <c r="I2557" s="18" t="s">
        <v>508</v>
      </c>
      <c r="J2557" s="18"/>
      <c r="K2557" s="21">
        <f t="shared" si="117"/>
        <v>62.866666666581295</v>
      </c>
      <c r="L2557" s="19">
        <f t="shared" si="118"/>
        <v>150</v>
      </c>
      <c r="M2557" s="18" t="str">
        <f>IF(I2557&lt;&gt;"Sí","",IF(YEAR(F2557)&lt;&gt;2026,"",INDEX({"Enero","Febrero","Marzo","Abril","Mayo","Junio","Julio","Agosto","Septiembre","Octubre","Noviembre","Diciembre"},MONTH(F2557))))</f>
        <v>Septiembre</v>
      </c>
      <c r="N2557" s="18" t="str">
        <f t="shared" si="119"/>
        <v>Septiembre|150</v>
      </c>
    </row>
    <row r="2558" spans="1:14" ht="14.5" x14ac:dyDescent="0.25">
      <c r="A2558" s="19">
        <v>35</v>
      </c>
      <c r="B2558" s="18" t="s">
        <v>42</v>
      </c>
      <c r="C2558" s="18" t="s">
        <v>92</v>
      </c>
      <c r="D2558" s="18" t="s">
        <v>2655</v>
      </c>
      <c r="E2558" s="18" t="s">
        <v>3111</v>
      </c>
      <c r="F2558" s="101">
        <v>46275.399305555555</v>
      </c>
      <c r="G2558" s="101">
        <v>46278.015277777777</v>
      </c>
      <c r="H2558" s="18" t="s">
        <v>507</v>
      </c>
      <c r="I2558" s="18" t="s">
        <v>508</v>
      </c>
      <c r="J2558" s="18"/>
      <c r="K2558" s="21">
        <f t="shared" si="117"/>
        <v>62.783333333325572</v>
      </c>
      <c r="L2558" s="19">
        <f t="shared" si="118"/>
        <v>151</v>
      </c>
      <c r="M2558" s="18" t="str">
        <f>IF(I2558&lt;&gt;"Sí","",IF(YEAR(F2558)&lt;&gt;2026,"",INDEX({"Enero","Febrero","Marzo","Abril","Mayo","Junio","Julio","Agosto","Septiembre","Octubre","Noviembre","Diciembre"},MONTH(F2558))))</f>
        <v>Septiembre</v>
      </c>
      <c r="N2558" s="18" t="str">
        <f t="shared" si="119"/>
        <v>Septiembre|151</v>
      </c>
    </row>
    <row r="2559" spans="1:14" ht="14.5" x14ac:dyDescent="0.25">
      <c r="A2559" s="19">
        <v>35</v>
      </c>
      <c r="B2559" s="18" t="s">
        <v>42</v>
      </c>
      <c r="C2559" s="18" t="s">
        <v>92</v>
      </c>
      <c r="D2559" s="18" t="s">
        <v>2655</v>
      </c>
      <c r="E2559" s="18" t="s">
        <v>3112</v>
      </c>
      <c r="F2559" s="101">
        <v>46275.402777777781</v>
      </c>
      <c r="G2559" s="101">
        <v>46278.015277777777</v>
      </c>
      <c r="H2559" s="18" t="s">
        <v>507</v>
      </c>
      <c r="I2559" s="18" t="s">
        <v>508</v>
      </c>
      <c r="J2559" s="18"/>
      <c r="K2559" s="21">
        <f t="shared" si="117"/>
        <v>62.699999999895226</v>
      </c>
      <c r="L2559" s="19">
        <f t="shared" si="118"/>
        <v>152</v>
      </c>
      <c r="M2559" s="18" t="str">
        <f>IF(I2559&lt;&gt;"Sí","",IF(YEAR(F2559)&lt;&gt;2026,"",INDEX({"Enero","Febrero","Marzo","Abril","Mayo","Junio","Julio","Agosto","Septiembre","Octubre","Noviembre","Diciembre"},MONTH(F2559))))</f>
        <v>Septiembre</v>
      </c>
      <c r="N2559" s="18" t="str">
        <f t="shared" si="119"/>
        <v>Septiembre|152</v>
      </c>
    </row>
    <row r="2560" spans="1:14" ht="14.5" x14ac:dyDescent="0.25">
      <c r="A2560" s="19">
        <v>35</v>
      </c>
      <c r="B2560" s="18" t="s">
        <v>42</v>
      </c>
      <c r="C2560" s="18" t="s">
        <v>92</v>
      </c>
      <c r="D2560" s="18" t="s">
        <v>2655</v>
      </c>
      <c r="E2560" s="18" t="s">
        <v>3113</v>
      </c>
      <c r="F2560" s="101">
        <v>46275.404861111114</v>
      </c>
      <c r="G2560" s="101">
        <v>46278.015277777777</v>
      </c>
      <c r="H2560" s="18" t="s">
        <v>507</v>
      </c>
      <c r="I2560" s="18" t="s">
        <v>508</v>
      </c>
      <c r="J2560" s="18"/>
      <c r="K2560" s="21">
        <f t="shared" si="117"/>
        <v>62.649999999906868</v>
      </c>
      <c r="L2560" s="19">
        <f t="shared" si="118"/>
        <v>153</v>
      </c>
      <c r="M2560" s="18" t="str">
        <f>IF(I2560&lt;&gt;"Sí","",IF(YEAR(F2560)&lt;&gt;2026,"",INDEX({"Enero","Febrero","Marzo","Abril","Mayo","Junio","Julio","Agosto","Septiembre","Octubre","Noviembre","Diciembre"},MONTH(F2560))))</f>
        <v>Septiembre</v>
      </c>
      <c r="N2560" s="18" t="str">
        <f t="shared" si="119"/>
        <v>Septiembre|153</v>
      </c>
    </row>
    <row r="2561" spans="1:14" ht="14.5" x14ac:dyDescent="0.25">
      <c r="A2561" s="19">
        <v>35</v>
      </c>
      <c r="B2561" s="18" t="s">
        <v>42</v>
      </c>
      <c r="C2561" s="18" t="s">
        <v>92</v>
      </c>
      <c r="D2561" s="18" t="s">
        <v>2655</v>
      </c>
      <c r="E2561" s="18" t="s">
        <v>3114</v>
      </c>
      <c r="F2561" s="101">
        <v>46275.409722222219</v>
      </c>
      <c r="G2561" s="101">
        <v>46278.01458333333</v>
      </c>
      <c r="H2561" s="18" t="s">
        <v>507</v>
      </c>
      <c r="I2561" s="18" t="s">
        <v>508</v>
      </c>
      <c r="J2561" s="18"/>
      <c r="K2561" s="21">
        <f t="shared" si="117"/>
        <v>62.516666666662786</v>
      </c>
      <c r="L2561" s="19">
        <f t="shared" si="118"/>
        <v>154</v>
      </c>
      <c r="M2561" s="18" t="str">
        <f>IF(I2561&lt;&gt;"Sí","",IF(YEAR(F2561)&lt;&gt;2026,"",INDEX({"Enero","Febrero","Marzo","Abril","Mayo","Junio","Julio","Agosto","Septiembre","Octubre","Noviembre","Diciembre"},MONTH(F2561))))</f>
        <v>Septiembre</v>
      </c>
      <c r="N2561" s="18" t="str">
        <f t="shared" si="119"/>
        <v>Septiembre|154</v>
      </c>
    </row>
    <row r="2562" spans="1:14" ht="14.5" x14ac:dyDescent="0.25">
      <c r="A2562" s="19">
        <v>35</v>
      </c>
      <c r="B2562" s="18" t="s">
        <v>42</v>
      </c>
      <c r="C2562" s="18" t="s">
        <v>92</v>
      </c>
      <c r="D2562" s="18" t="s">
        <v>2655</v>
      </c>
      <c r="E2562" s="18" t="s">
        <v>3115</v>
      </c>
      <c r="F2562" s="101">
        <v>46275.411805555559</v>
      </c>
      <c r="G2562" s="101">
        <v>46278.01458333333</v>
      </c>
      <c r="H2562" s="18" t="s">
        <v>507</v>
      </c>
      <c r="I2562" s="18" t="s">
        <v>508</v>
      </c>
      <c r="J2562" s="18"/>
      <c r="K2562" s="21">
        <f t="shared" si="117"/>
        <v>62.466666666499805</v>
      </c>
      <c r="L2562" s="19">
        <f t="shared" si="118"/>
        <v>155</v>
      </c>
      <c r="M2562" s="18" t="str">
        <f>IF(I2562&lt;&gt;"Sí","",IF(YEAR(F2562)&lt;&gt;2026,"",INDEX({"Enero","Febrero","Marzo","Abril","Mayo","Junio","Julio","Agosto","Septiembre","Octubre","Noviembre","Diciembre"},MONTH(F2562))))</f>
        <v>Septiembre</v>
      </c>
      <c r="N2562" s="18" t="str">
        <f t="shared" si="119"/>
        <v>Septiembre|155</v>
      </c>
    </row>
    <row r="2563" spans="1:14" ht="14.5" x14ac:dyDescent="0.25">
      <c r="A2563" s="19">
        <v>35</v>
      </c>
      <c r="B2563" s="18" t="s">
        <v>42</v>
      </c>
      <c r="C2563" s="18" t="s">
        <v>92</v>
      </c>
      <c r="D2563" s="18" t="s">
        <v>2655</v>
      </c>
      <c r="E2563" s="18" t="s">
        <v>3116</v>
      </c>
      <c r="F2563" s="101">
        <v>46275.413888888892</v>
      </c>
      <c r="G2563" s="101">
        <v>46278.009027777778</v>
      </c>
      <c r="H2563" s="18" t="s">
        <v>507</v>
      </c>
      <c r="I2563" s="18" t="s">
        <v>508</v>
      </c>
      <c r="J2563" s="18"/>
      <c r="K2563" s="21">
        <f t="shared" si="117"/>
        <v>62.283333333267365</v>
      </c>
      <c r="L2563" s="19">
        <f t="shared" si="118"/>
        <v>156</v>
      </c>
      <c r="M2563" s="18" t="str">
        <f>IF(I2563&lt;&gt;"Sí","",IF(YEAR(F2563)&lt;&gt;2026,"",INDEX({"Enero","Febrero","Marzo","Abril","Mayo","Junio","Julio","Agosto","Septiembre","Octubre","Noviembre","Diciembre"},MONTH(F2563))))</f>
        <v>Septiembre</v>
      </c>
      <c r="N2563" s="18" t="str">
        <f t="shared" si="119"/>
        <v>Septiembre|156</v>
      </c>
    </row>
    <row r="2564" spans="1:14" ht="14.5" x14ac:dyDescent="0.25">
      <c r="A2564" s="19">
        <v>35</v>
      </c>
      <c r="B2564" s="18" t="s">
        <v>42</v>
      </c>
      <c r="C2564" s="18" t="s">
        <v>92</v>
      </c>
      <c r="D2564" s="18" t="s">
        <v>2655</v>
      </c>
      <c r="E2564" s="18" t="s">
        <v>3117</v>
      </c>
      <c r="F2564" s="101">
        <v>46275.414583333331</v>
      </c>
      <c r="G2564" s="101">
        <v>46277.90625</v>
      </c>
      <c r="H2564" s="18" t="s">
        <v>507</v>
      </c>
      <c r="I2564" s="18" t="s">
        <v>508</v>
      </c>
      <c r="J2564" s="18"/>
      <c r="K2564" s="21">
        <f t="shared" si="117"/>
        <v>59.800000000046566</v>
      </c>
      <c r="L2564" s="19">
        <f t="shared" si="118"/>
        <v>157</v>
      </c>
      <c r="M2564" s="18" t="str">
        <f>IF(I2564&lt;&gt;"Sí","",IF(YEAR(F2564)&lt;&gt;2026,"",INDEX({"Enero","Febrero","Marzo","Abril","Mayo","Junio","Julio","Agosto","Septiembre","Octubre","Noviembre","Diciembre"},MONTH(F2564))))</f>
        <v>Septiembre</v>
      </c>
      <c r="N2564" s="18" t="str">
        <f t="shared" si="119"/>
        <v>Septiembre|157</v>
      </c>
    </row>
    <row r="2565" spans="1:14" ht="14.5" x14ac:dyDescent="0.25">
      <c r="A2565" s="19">
        <v>35</v>
      </c>
      <c r="B2565" s="18" t="s">
        <v>42</v>
      </c>
      <c r="C2565" s="18" t="s">
        <v>92</v>
      </c>
      <c r="D2565" s="18" t="s">
        <v>2655</v>
      </c>
      <c r="E2565" s="18" t="s">
        <v>3118</v>
      </c>
      <c r="F2565" s="101">
        <v>46275.416666666664</v>
      </c>
      <c r="G2565" s="101">
        <v>46277.90625</v>
      </c>
      <c r="H2565" s="18" t="s">
        <v>507</v>
      </c>
      <c r="I2565" s="18" t="s">
        <v>508</v>
      </c>
      <c r="J2565" s="18"/>
      <c r="K2565" s="21">
        <f t="shared" si="117"/>
        <v>59.750000000058208</v>
      </c>
      <c r="L2565" s="19">
        <f t="shared" si="118"/>
        <v>158</v>
      </c>
      <c r="M2565" s="18" t="str">
        <f>IF(I2565&lt;&gt;"Sí","",IF(YEAR(F2565)&lt;&gt;2026,"",INDEX({"Enero","Febrero","Marzo","Abril","Mayo","Junio","Julio","Agosto","Septiembre","Octubre","Noviembre","Diciembre"},MONTH(F2565))))</f>
        <v>Septiembre</v>
      </c>
      <c r="N2565" s="18" t="str">
        <f t="shared" si="119"/>
        <v>Septiembre|158</v>
      </c>
    </row>
    <row r="2566" spans="1:14" ht="14.5" x14ac:dyDescent="0.25">
      <c r="A2566" s="19">
        <v>35</v>
      </c>
      <c r="B2566" s="18" t="s">
        <v>42</v>
      </c>
      <c r="C2566" s="18" t="s">
        <v>92</v>
      </c>
      <c r="D2566" s="18" t="s">
        <v>2655</v>
      </c>
      <c r="E2566" s="18" t="s">
        <v>3119</v>
      </c>
      <c r="F2566" s="101">
        <v>46275.418055555558</v>
      </c>
      <c r="G2566" s="101">
        <v>46277.90625</v>
      </c>
      <c r="H2566" s="18" t="s">
        <v>507</v>
      </c>
      <c r="I2566" s="18" t="s">
        <v>508</v>
      </c>
      <c r="J2566" s="18"/>
      <c r="K2566" s="21">
        <f t="shared" si="117"/>
        <v>59.71666666661622</v>
      </c>
      <c r="L2566" s="19">
        <f t="shared" si="118"/>
        <v>159</v>
      </c>
      <c r="M2566" s="18" t="str">
        <f>IF(I2566&lt;&gt;"Sí","",IF(YEAR(F2566)&lt;&gt;2026,"",INDEX({"Enero","Febrero","Marzo","Abril","Mayo","Junio","Julio","Agosto","Septiembre","Octubre","Noviembre","Diciembre"},MONTH(F2566))))</f>
        <v>Septiembre</v>
      </c>
      <c r="N2566" s="18" t="str">
        <f t="shared" si="119"/>
        <v>Septiembre|159</v>
      </c>
    </row>
    <row r="2567" spans="1:14" ht="14.5" x14ac:dyDescent="0.25">
      <c r="A2567" s="19">
        <v>35</v>
      </c>
      <c r="B2567" s="18" t="s">
        <v>42</v>
      </c>
      <c r="C2567" s="18" t="s">
        <v>92</v>
      </c>
      <c r="D2567" s="18" t="s">
        <v>2655</v>
      </c>
      <c r="E2567" s="18" t="s">
        <v>3120</v>
      </c>
      <c r="F2567" s="101">
        <v>46275.419444444444</v>
      </c>
      <c r="G2567" s="101">
        <v>46277.90625</v>
      </c>
      <c r="H2567" s="18" t="s">
        <v>507</v>
      </c>
      <c r="I2567" s="18" t="s">
        <v>508</v>
      </c>
      <c r="J2567" s="18"/>
      <c r="K2567" s="21">
        <f t="shared" ref="K2567:K2630" si="120">IF(I2567="Sí",(G2567-F2567)*24,"")</f>
        <v>59.683333333348855</v>
      </c>
      <c r="L2567" s="19">
        <f t="shared" ref="L2567:L2630" si="121">IF(I2567="Sí",COUNTIFS($F$7:$F$4000,"&lt;="&amp;F2567,$G$7:$G$4000,"&gt;"&amp;F2567,$I$7:$I$4000,"Sí"),"")</f>
        <v>160</v>
      </c>
      <c r="M2567" s="18" t="str">
        <f>IF(I2567&lt;&gt;"Sí","",IF(YEAR(F2567)&lt;&gt;2026,"",INDEX({"Enero","Febrero","Marzo","Abril","Mayo","Junio","Julio","Agosto","Septiembre","Octubre","Noviembre","Diciembre"},MONTH(F2567))))</f>
        <v>Septiembre</v>
      </c>
      <c r="N2567" s="18" t="str">
        <f t="shared" ref="N2567:N2630" si="122">IF(M2567="","",M2567&amp;"|"&amp;L2567)</f>
        <v>Septiembre|160</v>
      </c>
    </row>
    <row r="2568" spans="1:14" ht="14.5" x14ac:dyDescent="0.25">
      <c r="A2568" s="19">
        <v>35</v>
      </c>
      <c r="B2568" s="18" t="s">
        <v>42</v>
      </c>
      <c r="C2568" s="18" t="s">
        <v>92</v>
      </c>
      <c r="D2568" s="18" t="s">
        <v>2655</v>
      </c>
      <c r="E2568" s="18" t="s">
        <v>3121</v>
      </c>
      <c r="F2568" s="101">
        <v>46275.42083333333</v>
      </c>
      <c r="G2568" s="101">
        <v>46277.90625</v>
      </c>
      <c r="H2568" s="18" t="s">
        <v>507</v>
      </c>
      <c r="I2568" s="18" t="s">
        <v>508</v>
      </c>
      <c r="J2568" s="18"/>
      <c r="K2568" s="21">
        <f t="shared" si="120"/>
        <v>59.650000000081491</v>
      </c>
      <c r="L2568" s="19">
        <f t="shared" si="121"/>
        <v>161</v>
      </c>
      <c r="M2568" s="18" t="str">
        <f>IF(I2568&lt;&gt;"Sí","",IF(YEAR(F2568)&lt;&gt;2026,"",INDEX({"Enero","Febrero","Marzo","Abril","Mayo","Junio","Julio","Agosto","Septiembre","Octubre","Noviembre","Diciembre"},MONTH(F2568))))</f>
        <v>Septiembre</v>
      </c>
      <c r="N2568" s="18" t="str">
        <f t="shared" si="122"/>
        <v>Septiembre|161</v>
      </c>
    </row>
    <row r="2569" spans="1:14" ht="14.5" x14ac:dyDescent="0.25">
      <c r="A2569" s="19">
        <v>35</v>
      </c>
      <c r="B2569" s="18" t="s">
        <v>42</v>
      </c>
      <c r="C2569" s="18" t="s">
        <v>92</v>
      </c>
      <c r="D2569" s="18" t="s">
        <v>2655</v>
      </c>
      <c r="E2569" s="18" t="s">
        <v>3122</v>
      </c>
      <c r="F2569" s="101">
        <v>46275.421527777777</v>
      </c>
      <c r="G2569" s="101">
        <v>46277.90625</v>
      </c>
      <c r="H2569" s="18" t="s">
        <v>507</v>
      </c>
      <c r="I2569" s="18" t="s">
        <v>508</v>
      </c>
      <c r="J2569" s="18"/>
      <c r="K2569" s="21">
        <f t="shared" si="120"/>
        <v>59.633333333360497</v>
      </c>
      <c r="L2569" s="19">
        <f t="shared" si="121"/>
        <v>162</v>
      </c>
      <c r="M2569" s="18" t="str">
        <f>IF(I2569&lt;&gt;"Sí","",IF(YEAR(F2569)&lt;&gt;2026,"",INDEX({"Enero","Febrero","Marzo","Abril","Mayo","Junio","Julio","Agosto","Septiembre","Octubre","Noviembre","Diciembre"},MONTH(F2569))))</f>
        <v>Septiembre</v>
      </c>
      <c r="N2569" s="18" t="str">
        <f t="shared" si="122"/>
        <v>Septiembre|162</v>
      </c>
    </row>
    <row r="2570" spans="1:14" ht="14.5" x14ac:dyDescent="0.25">
      <c r="A2570" s="19">
        <v>35</v>
      </c>
      <c r="B2570" s="18" t="s">
        <v>42</v>
      </c>
      <c r="C2570" s="18" t="s">
        <v>92</v>
      </c>
      <c r="D2570" s="18" t="s">
        <v>2655</v>
      </c>
      <c r="E2570" s="18" t="s">
        <v>3123</v>
      </c>
      <c r="F2570" s="101">
        <v>46275.422222222223</v>
      </c>
      <c r="G2570" s="101">
        <v>46277.90625</v>
      </c>
      <c r="H2570" s="18" t="s">
        <v>507</v>
      </c>
      <c r="I2570" s="18" t="s">
        <v>508</v>
      </c>
      <c r="J2570" s="18"/>
      <c r="K2570" s="21">
        <f t="shared" si="120"/>
        <v>59.616666666639503</v>
      </c>
      <c r="L2570" s="19">
        <f t="shared" si="121"/>
        <v>163</v>
      </c>
      <c r="M2570" s="18" t="str">
        <f>IF(I2570&lt;&gt;"Sí","",IF(YEAR(F2570)&lt;&gt;2026,"",INDEX({"Enero","Febrero","Marzo","Abril","Mayo","Junio","Julio","Agosto","Septiembre","Octubre","Noviembre","Diciembre"},MONTH(F2570))))</f>
        <v>Septiembre</v>
      </c>
      <c r="N2570" s="18" t="str">
        <f t="shared" si="122"/>
        <v>Septiembre|163</v>
      </c>
    </row>
    <row r="2571" spans="1:14" ht="14.5" x14ac:dyDescent="0.25">
      <c r="A2571" s="19">
        <v>35</v>
      </c>
      <c r="B2571" s="18" t="s">
        <v>42</v>
      </c>
      <c r="C2571" s="18" t="s">
        <v>92</v>
      </c>
      <c r="D2571" s="18" t="s">
        <v>2655</v>
      </c>
      <c r="E2571" s="18" t="s">
        <v>3124</v>
      </c>
      <c r="F2571" s="101">
        <v>46275.423611111109</v>
      </c>
      <c r="G2571" s="101">
        <v>46277.923611111109</v>
      </c>
      <c r="H2571" s="18" t="s">
        <v>507</v>
      </c>
      <c r="I2571" s="18" t="s">
        <v>508</v>
      </c>
      <c r="J2571" s="18"/>
      <c r="K2571" s="21">
        <f t="shared" si="120"/>
        <v>60</v>
      </c>
      <c r="L2571" s="19">
        <f t="shared" si="121"/>
        <v>164</v>
      </c>
      <c r="M2571" s="18" t="str">
        <f>IF(I2571&lt;&gt;"Sí","",IF(YEAR(F2571)&lt;&gt;2026,"",INDEX({"Enero","Febrero","Marzo","Abril","Mayo","Junio","Julio","Agosto","Septiembre","Octubre","Noviembre","Diciembre"},MONTH(F2571))))</f>
        <v>Septiembre</v>
      </c>
      <c r="N2571" s="18" t="str">
        <f t="shared" si="122"/>
        <v>Septiembre|164</v>
      </c>
    </row>
    <row r="2572" spans="1:14" ht="14.5" x14ac:dyDescent="0.25">
      <c r="A2572" s="19">
        <v>35</v>
      </c>
      <c r="B2572" s="18" t="s">
        <v>42</v>
      </c>
      <c r="C2572" s="18" t="s">
        <v>92</v>
      </c>
      <c r="D2572" s="18" t="s">
        <v>2655</v>
      </c>
      <c r="E2572" s="18" t="s">
        <v>3125</v>
      </c>
      <c r="F2572" s="101">
        <v>46275.424305555556</v>
      </c>
      <c r="G2572" s="101">
        <v>46277.90625</v>
      </c>
      <c r="H2572" s="18" t="s">
        <v>507</v>
      </c>
      <c r="I2572" s="18" t="s">
        <v>508</v>
      </c>
      <c r="J2572" s="18"/>
      <c r="K2572" s="21">
        <f t="shared" si="120"/>
        <v>59.566666666651145</v>
      </c>
      <c r="L2572" s="19">
        <f t="shared" si="121"/>
        <v>165</v>
      </c>
      <c r="M2572" s="18" t="str">
        <f>IF(I2572&lt;&gt;"Sí","",IF(YEAR(F2572)&lt;&gt;2026,"",INDEX({"Enero","Febrero","Marzo","Abril","Mayo","Junio","Julio","Agosto","Septiembre","Octubre","Noviembre","Diciembre"},MONTH(F2572))))</f>
        <v>Septiembre</v>
      </c>
      <c r="N2572" s="18" t="str">
        <f t="shared" si="122"/>
        <v>Septiembre|165</v>
      </c>
    </row>
    <row r="2573" spans="1:14" ht="14.5" x14ac:dyDescent="0.25">
      <c r="A2573" s="19">
        <v>35</v>
      </c>
      <c r="B2573" s="18" t="s">
        <v>42</v>
      </c>
      <c r="C2573" s="18" t="s">
        <v>92</v>
      </c>
      <c r="D2573" s="18" t="s">
        <v>2655</v>
      </c>
      <c r="E2573" s="18" t="s">
        <v>3126</v>
      </c>
      <c r="F2573" s="101">
        <v>46275.425000000003</v>
      </c>
      <c r="G2573" s="101">
        <v>46277.90625</v>
      </c>
      <c r="H2573" s="18" t="s">
        <v>507</v>
      </c>
      <c r="I2573" s="18" t="s">
        <v>508</v>
      </c>
      <c r="J2573" s="18"/>
      <c r="K2573" s="21">
        <f t="shared" si="120"/>
        <v>59.549999999930151</v>
      </c>
      <c r="L2573" s="19">
        <f t="shared" si="121"/>
        <v>166</v>
      </c>
      <c r="M2573" s="18" t="str">
        <f>IF(I2573&lt;&gt;"Sí","",IF(YEAR(F2573)&lt;&gt;2026,"",INDEX({"Enero","Febrero","Marzo","Abril","Mayo","Junio","Julio","Agosto","Septiembre","Octubre","Noviembre","Diciembre"},MONTH(F2573))))</f>
        <v>Septiembre</v>
      </c>
      <c r="N2573" s="18" t="str">
        <f t="shared" si="122"/>
        <v>Septiembre|166</v>
      </c>
    </row>
    <row r="2574" spans="1:14" ht="14.5" x14ac:dyDescent="0.25">
      <c r="A2574" s="19">
        <v>35</v>
      </c>
      <c r="B2574" s="18" t="s">
        <v>42</v>
      </c>
      <c r="C2574" s="18" t="s">
        <v>92</v>
      </c>
      <c r="D2574" s="18" t="s">
        <v>2655</v>
      </c>
      <c r="E2574" s="18" t="s">
        <v>3127</v>
      </c>
      <c r="F2574" s="101">
        <v>46275.426388888889</v>
      </c>
      <c r="G2574" s="101">
        <v>46277.90625</v>
      </c>
      <c r="H2574" s="18" t="s">
        <v>507</v>
      </c>
      <c r="I2574" s="18" t="s">
        <v>508</v>
      </c>
      <c r="J2574" s="18"/>
      <c r="K2574" s="21">
        <f t="shared" si="120"/>
        <v>59.516666666662786</v>
      </c>
      <c r="L2574" s="19">
        <f t="shared" si="121"/>
        <v>167</v>
      </c>
      <c r="M2574" s="18" t="str">
        <f>IF(I2574&lt;&gt;"Sí","",IF(YEAR(F2574)&lt;&gt;2026,"",INDEX({"Enero","Febrero","Marzo","Abril","Mayo","Junio","Julio","Agosto","Septiembre","Octubre","Noviembre","Diciembre"},MONTH(F2574))))</f>
        <v>Septiembre</v>
      </c>
      <c r="N2574" s="18" t="str">
        <f t="shared" si="122"/>
        <v>Septiembre|167</v>
      </c>
    </row>
    <row r="2575" spans="1:14" ht="14.5" x14ac:dyDescent="0.25">
      <c r="A2575" s="19">
        <v>35</v>
      </c>
      <c r="B2575" s="18" t="s">
        <v>42</v>
      </c>
      <c r="C2575" s="18" t="s">
        <v>92</v>
      </c>
      <c r="D2575" s="18" t="s">
        <v>2655</v>
      </c>
      <c r="E2575" s="18" t="s">
        <v>3128</v>
      </c>
      <c r="F2575" s="101">
        <v>46275.427777777775</v>
      </c>
      <c r="G2575" s="101">
        <v>46277.9</v>
      </c>
      <c r="H2575" s="18" t="s">
        <v>507</v>
      </c>
      <c r="I2575" s="18" t="s">
        <v>508</v>
      </c>
      <c r="J2575" s="18"/>
      <c r="K2575" s="21">
        <f t="shared" si="120"/>
        <v>59.333333333430346</v>
      </c>
      <c r="L2575" s="19">
        <f t="shared" si="121"/>
        <v>168</v>
      </c>
      <c r="M2575" s="18" t="str">
        <f>IF(I2575&lt;&gt;"Sí","",IF(YEAR(F2575)&lt;&gt;2026,"",INDEX({"Enero","Febrero","Marzo","Abril","Mayo","Junio","Julio","Agosto","Septiembre","Octubre","Noviembre","Diciembre"},MONTH(F2575))))</f>
        <v>Septiembre</v>
      </c>
      <c r="N2575" s="18" t="str">
        <f t="shared" si="122"/>
        <v>Septiembre|168</v>
      </c>
    </row>
    <row r="2576" spans="1:14" ht="14.5" x14ac:dyDescent="0.25">
      <c r="A2576" s="19">
        <v>35</v>
      </c>
      <c r="B2576" s="18" t="s">
        <v>42</v>
      </c>
      <c r="C2576" s="18" t="s">
        <v>92</v>
      </c>
      <c r="D2576" s="18" t="s">
        <v>2655</v>
      </c>
      <c r="E2576" s="18" t="s">
        <v>3129</v>
      </c>
      <c r="F2576" s="101">
        <v>46275.429166666669</v>
      </c>
      <c r="G2576" s="101">
        <v>46277.9</v>
      </c>
      <c r="H2576" s="18" t="s">
        <v>507</v>
      </c>
      <c r="I2576" s="18" t="s">
        <v>508</v>
      </c>
      <c r="J2576" s="18"/>
      <c r="K2576" s="21">
        <f t="shared" si="120"/>
        <v>59.299999999988358</v>
      </c>
      <c r="L2576" s="19">
        <f t="shared" si="121"/>
        <v>169</v>
      </c>
      <c r="M2576" s="18" t="str">
        <f>IF(I2576&lt;&gt;"Sí","",IF(YEAR(F2576)&lt;&gt;2026,"",INDEX({"Enero","Febrero","Marzo","Abril","Mayo","Junio","Julio","Agosto","Septiembre","Octubre","Noviembre","Diciembre"},MONTH(F2576))))</f>
        <v>Septiembre</v>
      </c>
      <c r="N2576" s="18" t="str">
        <f t="shared" si="122"/>
        <v>Septiembre|169</v>
      </c>
    </row>
    <row r="2577" spans="1:14" ht="14.5" x14ac:dyDescent="0.25">
      <c r="A2577" s="19">
        <v>35</v>
      </c>
      <c r="B2577" s="18" t="s">
        <v>42</v>
      </c>
      <c r="C2577" s="18" t="s">
        <v>92</v>
      </c>
      <c r="D2577" s="18" t="s">
        <v>2655</v>
      </c>
      <c r="E2577" s="18" t="s">
        <v>3130</v>
      </c>
      <c r="F2577" s="101">
        <v>46275.434027777781</v>
      </c>
      <c r="G2577" s="101">
        <v>46277.9</v>
      </c>
      <c r="H2577" s="18" t="s">
        <v>507</v>
      </c>
      <c r="I2577" s="18" t="s">
        <v>508</v>
      </c>
      <c r="J2577" s="18"/>
      <c r="K2577" s="21">
        <f t="shared" si="120"/>
        <v>59.183333333290648</v>
      </c>
      <c r="L2577" s="19">
        <f t="shared" si="121"/>
        <v>172</v>
      </c>
      <c r="M2577" s="18" t="str">
        <f>IF(I2577&lt;&gt;"Sí","",IF(YEAR(F2577)&lt;&gt;2026,"",INDEX({"Enero","Febrero","Marzo","Abril","Mayo","Junio","Julio","Agosto","Septiembre","Octubre","Noviembre","Diciembre"},MONTH(F2577))))</f>
        <v>Septiembre</v>
      </c>
      <c r="N2577" s="18" t="str">
        <f t="shared" si="122"/>
        <v>Septiembre|172</v>
      </c>
    </row>
    <row r="2578" spans="1:14" ht="14.5" x14ac:dyDescent="0.25">
      <c r="A2578" s="19">
        <v>35</v>
      </c>
      <c r="B2578" s="18" t="s">
        <v>42</v>
      </c>
      <c r="C2578" s="18" t="s">
        <v>92</v>
      </c>
      <c r="D2578" s="18" t="s">
        <v>2655</v>
      </c>
      <c r="E2578" s="18" t="s">
        <v>3131</v>
      </c>
      <c r="F2578" s="101">
        <v>46275.434027777781</v>
      </c>
      <c r="G2578" s="101">
        <v>46277.9</v>
      </c>
      <c r="H2578" s="18" t="s">
        <v>507</v>
      </c>
      <c r="I2578" s="18" t="s">
        <v>508</v>
      </c>
      <c r="J2578" s="18"/>
      <c r="K2578" s="21">
        <f t="shared" si="120"/>
        <v>59.183333333290648</v>
      </c>
      <c r="L2578" s="19">
        <f t="shared" si="121"/>
        <v>172</v>
      </c>
      <c r="M2578" s="18" t="str">
        <f>IF(I2578&lt;&gt;"Sí","",IF(YEAR(F2578)&lt;&gt;2026,"",INDEX({"Enero","Febrero","Marzo","Abril","Mayo","Junio","Julio","Agosto","Septiembre","Octubre","Noviembre","Diciembre"},MONTH(F2578))))</f>
        <v>Septiembre</v>
      </c>
      <c r="N2578" s="18" t="str">
        <f t="shared" si="122"/>
        <v>Septiembre|172</v>
      </c>
    </row>
    <row r="2579" spans="1:14" ht="14.5" x14ac:dyDescent="0.25">
      <c r="A2579" s="19">
        <v>35</v>
      </c>
      <c r="B2579" s="18" t="s">
        <v>42</v>
      </c>
      <c r="C2579" s="18" t="s">
        <v>92</v>
      </c>
      <c r="D2579" s="18" t="s">
        <v>2655</v>
      </c>
      <c r="E2579" s="18" t="s">
        <v>3132</v>
      </c>
      <c r="F2579" s="101">
        <v>46275.434027777781</v>
      </c>
      <c r="G2579" s="101">
        <v>46277.9</v>
      </c>
      <c r="H2579" s="18" t="s">
        <v>507</v>
      </c>
      <c r="I2579" s="18" t="s">
        <v>508</v>
      </c>
      <c r="J2579" s="18"/>
      <c r="K2579" s="21">
        <f t="shared" si="120"/>
        <v>59.183333333290648</v>
      </c>
      <c r="L2579" s="19">
        <f t="shared" si="121"/>
        <v>172</v>
      </c>
      <c r="M2579" s="18" t="str">
        <f>IF(I2579&lt;&gt;"Sí","",IF(YEAR(F2579)&lt;&gt;2026,"",INDEX({"Enero","Febrero","Marzo","Abril","Mayo","Junio","Julio","Agosto","Septiembre","Octubre","Noviembre","Diciembre"},MONTH(F2579))))</f>
        <v>Septiembre</v>
      </c>
      <c r="N2579" s="18" t="str">
        <f t="shared" si="122"/>
        <v>Septiembre|172</v>
      </c>
    </row>
    <row r="2580" spans="1:14" ht="14.5" x14ac:dyDescent="0.25">
      <c r="A2580" s="19">
        <v>35</v>
      </c>
      <c r="B2580" s="18" t="s">
        <v>42</v>
      </c>
      <c r="C2580" s="18" t="s">
        <v>92</v>
      </c>
      <c r="D2580" s="18" t="s">
        <v>2655</v>
      </c>
      <c r="E2580" s="18" t="s">
        <v>3133</v>
      </c>
      <c r="F2580" s="101">
        <v>46275.44027777778</v>
      </c>
      <c r="G2580" s="101">
        <v>46277.9</v>
      </c>
      <c r="H2580" s="18" t="s">
        <v>507</v>
      </c>
      <c r="I2580" s="18" t="s">
        <v>508</v>
      </c>
      <c r="J2580" s="18"/>
      <c r="K2580" s="21">
        <f t="shared" si="120"/>
        <v>59.033333333325572</v>
      </c>
      <c r="L2580" s="19">
        <f t="shared" si="121"/>
        <v>173</v>
      </c>
      <c r="M2580" s="18" t="str">
        <f>IF(I2580&lt;&gt;"Sí","",IF(YEAR(F2580)&lt;&gt;2026,"",INDEX({"Enero","Febrero","Marzo","Abril","Mayo","Junio","Julio","Agosto","Septiembre","Octubre","Noviembre","Diciembre"},MONTH(F2580))))</f>
        <v>Septiembre</v>
      </c>
      <c r="N2580" s="18" t="str">
        <f t="shared" si="122"/>
        <v>Septiembre|173</v>
      </c>
    </row>
    <row r="2581" spans="1:14" ht="14.5" x14ac:dyDescent="0.25">
      <c r="A2581" s="19">
        <v>35</v>
      </c>
      <c r="B2581" s="18" t="s">
        <v>42</v>
      </c>
      <c r="C2581" s="18" t="s">
        <v>92</v>
      </c>
      <c r="D2581" s="18" t="s">
        <v>2655</v>
      </c>
      <c r="E2581" s="18" t="s">
        <v>3134</v>
      </c>
      <c r="F2581" s="101">
        <v>46275.441666666666</v>
      </c>
      <c r="G2581" s="101">
        <v>46277.9</v>
      </c>
      <c r="H2581" s="18" t="s">
        <v>507</v>
      </c>
      <c r="I2581" s="18" t="s">
        <v>508</v>
      </c>
      <c r="J2581" s="18"/>
      <c r="K2581" s="21">
        <f t="shared" si="120"/>
        <v>59.000000000058208</v>
      </c>
      <c r="L2581" s="19">
        <f t="shared" si="121"/>
        <v>174</v>
      </c>
      <c r="M2581" s="18" t="str">
        <f>IF(I2581&lt;&gt;"Sí","",IF(YEAR(F2581)&lt;&gt;2026,"",INDEX({"Enero","Febrero","Marzo","Abril","Mayo","Junio","Julio","Agosto","Septiembre","Octubre","Noviembre","Diciembre"},MONTH(F2581))))</f>
        <v>Septiembre</v>
      </c>
      <c r="N2581" s="18" t="str">
        <f t="shared" si="122"/>
        <v>Septiembre|174</v>
      </c>
    </row>
    <row r="2582" spans="1:14" ht="14.5" x14ac:dyDescent="0.25">
      <c r="A2582" s="19">
        <v>35</v>
      </c>
      <c r="B2582" s="18" t="s">
        <v>42</v>
      </c>
      <c r="C2582" s="18" t="s">
        <v>92</v>
      </c>
      <c r="D2582" s="18" t="s">
        <v>2655</v>
      </c>
      <c r="E2582" s="18" t="s">
        <v>3135</v>
      </c>
      <c r="F2582" s="101">
        <v>46275.443055555559</v>
      </c>
      <c r="G2582" s="101">
        <v>46277.9</v>
      </c>
      <c r="H2582" s="18" t="s">
        <v>507</v>
      </c>
      <c r="I2582" s="18" t="s">
        <v>508</v>
      </c>
      <c r="J2582" s="18"/>
      <c r="K2582" s="21">
        <f t="shared" si="120"/>
        <v>58.96666666661622</v>
      </c>
      <c r="L2582" s="19">
        <f t="shared" si="121"/>
        <v>175</v>
      </c>
      <c r="M2582" s="18" t="str">
        <f>IF(I2582&lt;&gt;"Sí","",IF(YEAR(F2582)&lt;&gt;2026,"",INDEX({"Enero","Febrero","Marzo","Abril","Mayo","Junio","Julio","Agosto","Septiembre","Octubre","Noviembre","Diciembre"},MONTH(F2582))))</f>
        <v>Septiembre</v>
      </c>
      <c r="N2582" s="18" t="str">
        <f t="shared" si="122"/>
        <v>Septiembre|175</v>
      </c>
    </row>
    <row r="2583" spans="1:14" ht="14.5" x14ac:dyDescent="0.25">
      <c r="A2583" s="19">
        <v>35</v>
      </c>
      <c r="B2583" s="18" t="s">
        <v>42</v>
      </c>
      <c r="C2583" s="18" t="s">
        <v>92</v>
      </c>
      <c r="D2583" s="18" t="s">
        <v>2655</v>
      </c>
      <c r="E2583" s="18" t="s">
        <v>3136</v>
      </c>
      <c r="F2583" s="101">
        <v>46275.445138888892</v>
      </c>
      <c r="G2583" s="101">
        <v>46278.154166666667</v>
      </c>
      <c r="H2583" s="18" t="s">
        <v>507</v>
      </c>
      <c r="I2583" s="18" t="s">
        <v>508</v>
      </c>
      <c r="J2583" s="18"/>
      <c r="K2583" s="21">
        <f t="shared" si="120"/>
        <v>65.016666666604578</v>
      </c>
      <c r="L2583" s="19">
        <f t="shared" si="121"/>
        <v>176</v>
      </c>
      <c r="M2583" s="18" t="str">
        <f>IF(I2583&lt;&gt;"Sí","",IF(YEAR(F2583)&lt;&gt;2026,"",INDEX({"Enero","Febrero","Marzo","Abril","Mayo","Junio","Julio","Agosto","Septiembre","Octubre","Noviembre","Diciembre"},MONTH(F2583))))</f>
        <v>Septiembre</v>
      </c>
      <c r="N2583" s="18" t="str">
        <f t="shared" si="122"/>
        <v>Septiembre|176</v>
      </c>
    </row>
    <row r="2584" spans="1:14" ht="14.5" x14ac:dyDescent="0.25">
      <c r="A2584" s="19">
        <v>35</v>
      </c>
      <c r="B2584" s="18" t="s">
        <v>42</v>
      </c>
      <c r="C2584" s="18" t="s">
        <v>92</v>
      </c>
      <c r="D2584" s="18" t="s">
        <v>2655</v>
      </c>
      <c r="E2584" s="18" t="s">
        <v>3137</v>
      </c>
      <c r="F2584" s="101">
        <v>46275.446527777778</v>
      </c>
      <c r="G2584" s="101">
        <v>46277.9</v>
      </c>
      <c r="H2584" s="18" t="s">
        <v>507</v>
      </c>
      <c r="I2584" s="18" t="s">
        <v>508</v>
      </c>
      <c r="J2584" s="18"/>
      <c r="K2584" s="21">
        <f t="shared" si="120"/>
        <v>58.883333333360497</v>
      </c>
      <c r="L2584" s="19">
        <f t="shared" si="121"/>
        <v>177</v>
      </c>
      <c r="M2584" s="18" t="str">
        <f>IF(I2584&lt;&gt;"Sí","",IF(YEAR(F2584)&lt;&gt;2026,"",INDEX({"Enero","Febrero","Marzo","Abril","Mayo","Junio","Julio","Agosto","Septiembre","Octubre","Noviembre","Diciembre"},MONTH(F2584))))</f>
        <v>Septiembre</v>
      </c>
      <c r="N2584" s="18" t="str">
        <f t="shared" si="122"/>
        <v>Septiembre|177</v>
      </c>
    </row>
    <row r="2585" spans="1:14" ht="14.5" x14ac:dyDescent="0.25">
      <c r="A2585" s="19">
        <v>35</v>
      </c>
      <c r="B2585" s="18" t="s">
        <v>42</v>
      </c>
      <c r="C2585" s="18" t="s">
        <v>92</v>
      </c>
      <c r="D2585" s="18" t="s">
        <v>2655</v>
      </c>
      <c r="E2585" s="18" t="s">
        <v>3138</v>
      </c>
      <c r="F2585" s="101">
        <v>46275.45</v>
      </c>
      <c r="G2585" s="101">
        <v>46277.865972222222</v>
      </c>
      <c r="H2585" s="18" t="s">
        <v>507</v>
      </c>
      <c r="I2585" s="18" t="s">
        <v>508</v>
      </c>
      <c r="J2585" s="18"/>
      <c r="K2585" s="21">
        <f t="shared" si="120"/>
        <v>57.983333333395422</v>
      </c>
      <c r="L2585" s="19">
        <f t="shared" si="121"/>
        <v>178</v>
      </c>
      <c r="M2585" s="18" t="str">
        <f>IF(I2585&lt;&gt;"Sí","",IF(YEAR(F2585)&lt;&gt;2026,"",INDEX({"Enero","Febrero","Marzo","Abril","Mayo","Junio","Julio","Agosto","Septiembre","Octubre","Noviembre","Diciembre"},MONTH(F2585))))</f>
        <v>Septiembre</v>
      </c>
      <c r="N2585" s="18" t="str">
        <f t="shared" si="122"/>
        <v>Septiembre|178</v>
      </c>
    </row>
    <row r="2586" spans="1:14" ht="14.5" x14ac:dyDescent="0.25">
      <c r="A2586" s="19">
        <v>35</v>
      </c>
      <c r="B2586" s="18" t="s">
        <v>42</v>
      </c>
      <c r="C2586" s="18" t="s">
        <v>92</v>
      </c>
      <c r="D2586" s="18" t="s">
        <v>2655</v>
      </c>
      <c r="E2586" s="18" t="s">
        <v>3139</v>
      </c>
      <c r="F2586" s="101">
        <v>46275.450694444444</v>
      </c>
      <c r="G2586" s="101">
        <v>46277.865972222222</v>
      </c>
      <c r="H2586" s="18" t="s">
        <v>507</v>
      </c>
      <c r="I2586" s="18" t="s">
        <v>508</v>
      </c>
      <c r="J2586" s="18"/>
      <c r="K2586" s="21">
        <f t="shared" si="120"/>
        <v>57.966666666674428</v>
      </c>
      <c r="L2586" s="19">
        <f t="shared" si="121"/>
        <v>179</v>
      </c>
      <c r="M2586" s="18" t="str">
        <f>IF(I2586&lt;&gt;"Sí","",IF(YEAR(F2586)&lt;&gt;2026,"",INDEX({"Enero","Febrero","Marzo","Abril","Mayo","Junio","Julio","Agosto","Septiembre","Octubre","Noviembre","Diciembre"},MONTH(F2586))))</f>
        <v>Septiembre</v>
      </c>
      <c r="N2586" s="18" t="str">
        <f t="shared" si="122"/>
        <v>Septiembre|179</v>
      </c>
    </row>
    <row r="2587" spans="1:14" ht="14.5" x14ac:dyDescent="0.25">
      <c r="A2587" s="19">
        <v>35</v>
      </c>
      <c r="B2587" s="18" t="s">
        <v>42</v>
      </c>
      <c r="C2587" s="18" t="s">
        <v>92</v>
      </c>
      <c r="D2587" s="18" t="s">
        <v>2655</v>
      </c>
      <c r="E2587" s="18" t="s">
        <v>3140</v>
      </c>
      <c r="F2587" s="101">
        <v>46275.45208333333</v>
      </c>
      <c r="G2587" s="101">
        <v>46277.865972222222</v>
      </c>
      <c r="H2587" s="18" t="s">
        <v>507</v>
      </c>
      <c r="I2587" s="18" t="s">
        <v>508</v>
      </c>
      <c r="J2587" s="18"/>
      <c r="K2587" s="21">
        <f t="shared" si="120"/>
        <v>57.933333333407063</v>
      </c>
      <c r="L2587" s="19">
        <f t="shared" si="121"/>
        <v>180</v>
      </c>
      <c r="M2587" s="18" t="str">
        <f>IF(I2587&lt;&gt;"Sí","",IF(YEAR(F2587)&lt;&gt;2026,"",INDEX({"Enero","Febrero","Marzo","Abril","Mayo","Junio","Julio","Agosto","Septiembre","Octubre","Noviembre","Diciembre"},MONTH(F2587))))</f>
        <v>Septiembre</v>
      </c>
      <c r="N2587" s="18" t="str">
        <f t="shared" si="122"/>
        <v>Septiembre|180</v>
      </c>
    </row>
    <row r="2588" spans="1:14" ht="14.5" x14ac:dyDescent="0.25">
      <c r="A2588" s="19">
        <v>35</v>
      </c>
      <c r="B2588" s="18" t="s">
        <v>42</v>
      </c>
      <c r="C2588" s="18" t="s">
        <v>92</v>
      </c>
      <c r="D2588" s="18" t="s">
        <v>2655</v>
      </c>
      <c r="E2588" s="18" t="s">
        <v>3141</v>
      </c>
      <c r="F2588" s="101">
        <v>46275.454861111109</v>
      </c>
      <c r="G2588" s="101">
        <v>46277.865972222222</v>
      </c>
      <c r="H2588" s="18" t="s">
        <v>507</v>
      </c>
      <c r="I2588" s="18" t="s">
        <v>508</v>
      </c>
      <c r="J2588" s="18"/>
      <c r="K2588" s="21">
        <f t="shared" si="120"/>
        <v>57.866666666697711</v>
      </c>
      <c r="L2588" s="19">
        <f t="shared" si="121"/>
        <v>181</v>
      </c>
      <c r="M2588" s="18" t="str">
        <f>IF(I2588&lt;&gt;"Sí","",IF(YEAR(F2588)&lt;&gt;2026,"",INDEX({"Enero","Febrero","Marzo","Abril","Mayo","Junio","Julio","Agosto","Septiembre","Octubre","Noviembre","Diciembre"},MONTH(F2588))))</f>
        <v>Septiembre</v>
      </c>
      <c r="N2588" s="18" t="str">
        <f t="shared" si="122"/>
        <v>Septiembre|181</v>
      </c>
    </row>
    <row r="2589" spans="1:14" ht="14.5" x14ac:dyDescent="0.25">
      <c r="A2589" s="19">
        <v>35</v>
      </c>
      <c r="B2589" s="18" t="s">
        <v>42</v>
      </c>
      <c r="C2589" s="18" t="s">
        <v>92</v>
      </c>
      <c r="D2589" s="18" t="s">
        <v>2655</v>
      </c>
      <c r="E2589" s="18" t="s">
        <v>3142</v>
      </c>
      <c r="F2589" s="101">
        <v>46275.456944444442</v>
      </c>
      <c r="G2589" s="101">
        <v>46277.865972222222</v>
      </c>
      <c r="H2589" s="18" t="s">
        <v>507</v>
      </c>
      <c r="I2589" s="18" t="s">
        <v>508</v>
      </c>
      <c r="J2589" s="18"/>
      <c r="K2589" s="21">
        <f t="shared" si="120"/>
        <v>57.816666666709352</v>
      </c>
      <c r="L2589" s="19">
        <f t="shared" si="121"/>
        <v>182</v>
      </c>
      <c r="M2589" s="18" t="str">
        <f>IF(I2589&lt;&gt;"Sí","",IF(YEAR(F2589)&lt;&gt;2026,"",INDEX({"Enero","Febrero","Marzo","Abril","Mayo","Junio","Julio","Agosto","Septiembre","Octubre","Noviembre","Diciembre"},MONTH(F2589))))</f>
        <v>Septiembre</v>
      </c>
      <c r="N2589" s="18" t="str">
        <f t="shared" si="122"/>
        <v>Septiembre|182</v>
      </c>
    </row>
    <row r="2590" spans="1:14" ht="14.5" x14ac:dyDescent="0.25">
      <c r="A2590" s="19">
        <v>35</v>
      </c>
      <c r="B2590" s="18" t="s">
        <v>42</v>
      </c>
      <c r="C2590" s="18" t="s">
        <v>92</v>
      </c>
      <c r="D2590" s="18" t="s">
        <v>2655</v>
      </c>
      <c r="E2590" s="18" t="s">
        <v>3143</v>
      </c>
      <c r="F2590" s="101">
        <v>46275.458333333336</v>
      </c>
      <c r="G2590" s="101">
        <v>46277.854166666664</v>
      </c>
      <c r="H2590" s="18" t="s">
        <v>507</v>
      </c>
      <c r="I2590" s="18" t="s">
        <v>508</v>
      </c>
      <c r="J2590" s="18"/>
      <c r="K2590" s="21">
        <f t="shared" si="120"/>
        <v>57.499999999883585</v>
      </c>
      <c r="L2590" s="19">
        <f t="shared" si="121"/>
        <v>183</v>
      </c>
      <c r="M2590" s="18" t="str">
        <f>IF(I2590&lt;&gt;"Sí","",IF(YEAR(F2590)&lt;&gt;2026,"",INDEX({"Enero","Febrero","Marzo","Abril","Mayo","Junio","Julio","Agosto","Septiembre","Octubre","Noviembre","Diciembre"},MONTH(F2590))))</f>
        <v>Septiembre</v>
      </c>
      <c r="N2590" s="18" t="str">
        <f t="shared" si="122"/>
        <v>Septiembre|183</v>
      </c>
    </row>
    <row r="2591" spans="1:14" ht="14.5" x14ac:dyDescent="0.25">
      <c r="A2591" s="19">
        <v>35</v>
      </c>
      <c r="B2591" s="18" t="s">
        <v>42</v>
      </c>
      <c r="C2591" s="18" t="s">
        <v>92</v>
      </c>
      <c r="D2591" s="18" t="s">
        <v>2655</v>
      </c>
      <c r="E2591" s="18" t="s">
        <v>3144</v>
      </c>
      <c r="F2591" s="101">
        <v>46275.459722222222</v>
      </c>
      <c r="G2591" s="101">
        <v>46277.854166666664</v>
      </c>
      <c r="H2591" s="18" t="s">
        <v>507</v>
      </c>
      <c r="I2591" s="18" t="s">
        <v>508</v>
      </c>
      <c r="J2591" s="18"/>
      <c r="K2591" s="21">
        <f t="shared" si="120"/>
        <v>57.46666666661622</v>
      </c>
      <c r="L2591" s="19">
        <f t="shared" si="121"/>
        <v>184</v>
      </c>
      <c r="M2591" s="18" t="str">
        <f>IF(I2591&lt;&gt;"Sí","",IF(YEAR(F2591)&lt;&gt;2026,"",INDEX({"Enero","Febrero","Marzo","Abril","Mayo","Junio","Julio","Agosto","Septiembre","Octubre","Noviembre","Diciembre"},MONTH(F2591))))</f>
        <v>Septiembre</v>
      </c>
      <c r="N2591" s="18" t="str">
        <f t="shared" si="122"/>
        <v>Septiembre|184</v>
      </c>
    </row>
    <row r="2592" spans="1:14" ht="14.5" x14ac:dyDescent="0.25">
      <c r="A2592" s="19">
        <v>35</v>
      </c>
      <c r="B2592" s="18" t="s">
        <v>42</v>
      </c>
      <c r="C2592" s="18" t="s">
        <v>92</v>
      </c>
      <c r="D2592" s="18" t="s">
        <v>2655</v>
      </c>
      <c r="E2592" s="18" t="s">
        <v>3145</v>
      </c>
      <c r="F2592" s="101">
        <v>46275.460416666669</v>
      </c>
      <c r="G2592" s="101">
        <v>46277.854166666664</v>
      </c>
      <c r="H2592" s="18" t="s">
        <v>507</v>
      </c>
      <c r="I2592" s="18" t="s">
        <v>508</v>
      </c>
      <c r="J2592" s="18"/>
      <c r="K2592" s="21">
        <f t="shared" si="120"/>
        <v>57.449999999895226</v>
      </c>
      <c r="L2592" s="19">
        <f t="shared" si="121"/>
        <v>186</v>
      </c>
      <c r="M2592" s="18" t="str">
        <f>IF(I2592&lt;&gt;"Sí","",IF(YEAR(F2592)&lt;&gt;2026,"",INDEX({"Enero","Febrero","Marzo","Abril","Mayo","Junio","Julio","Agosto","Septiembre","Octubre","Noviembre","Diciembre"},MONTH(F2592))))</f>
        <v>Septiembre</v>
      </c>
      <c r="N2592" s="18" t="str">
        <f t="shared" si="122"/>
        <v>Septiembre|186</v>
      </c>
    </row>
    <row r="2593" spans="1:14" ht="14.5" x14ac:dyDescent="0.25">
      <c r="A2593" s="19">
        <v>35</v>
      </c>
      <c r="B2593" s="18" t="s">
        <v>42</v>
      </c>
      <c r="C2593" s="18" t="s">
        <v>92</v>
      </c>
      <c r="D2593" s="18" t="s">
        <v>2655</v>
      </c>
      <c r="E2593" s="18" t="s">
        <v>3146</v>
      </c>
      <c r="F2593" s="101">
        <v>46275.460416666669</v>
      </c>
      <c r="G2593" s="101">
        <v>46277.854166666664</v>
      </c>
      <c r="H2593" s="18" t="s">
        <v>507</v>
      </c>
      <c r="I2593" s="18" t="s">
        <v>508</v>
      </c>
      <c r="J2593" s="18"/>
      <c r="K2593" s="21">
        <f t="shared" si="120"/>
        <v>57.449999999895226</v>
      </c>
      <c r="L2593" s="19">
        <f t="shared" si="121"/>
        <v>186</v>
      </c>
      <c r="M2593" s="18" t="str">
        <f>IF(I2593&lt;&gt;"Sí","",IF(YEAR(F2593)&lt;&gt;2026,"",INDEX({"Enero","Febrero","Marzo","Abril","Mayo","Junio","Julio","Agosto","Septiembre","Octubre","Noviembre","Diciembre"},MONTH(F2593))))</f>
        <v>Septiembre</v>
      </c>
      <c r="N2593" s="18" t="str">
        <f t="shared" si="122"/>
        <v>Septiembre|186</v>
      </c>
    </row>
    <row r="2594" spans="1:14" ht="14.5" x14ac:dyDescent="0.25">
      <c r="A2594" s="19">
        <v>35</v>
      </c>
      <c r="B2594" s="18" t="s">
        <v>42</v>
      </c>
      <c r="C2594" s="18" t="s">
        <v>92</v>
      </c>
      <c r="D2594" s="18" t="s">
        <v>2655</v>
      </c>
      <c r="E2594" s="18" t="s">
        <v>3147</v>
      </c>
      <c r="F2594" s="101">
        <v>46275.462500000001</v>
      </c>
      <c r="G2594" s="101">
        <v>46277.84652777778</v>
      </c>
      <c r="H2594" s="18" t="s">
        <v>507</v>
      </c>
      <c r="I2594" s="18" t="s">
        <v>508</v>
      </c>
      <c r="J2594" s="18"/>
      <c r="K2594" s="21">
        <f t="shared" si="120"/>
        <v>57.216666666674428</v>
      </c>
      <c r="L2594" s="19">
        <f t="shared" si="121"/>
        <v>187</v>
      </c>
      <c r="M2594" s="18" t="str">
        <f>IF(I2594&lt;&gt;"Sí","",IF(YEAR(F2594)&lt;&gt;2026,"",INDEX({"Enero","Febrero","Marzo","Abril","Mayo","Junio","Julio","Agosto","Septiembre","Octubre","Noviembre","Diciembre"},MONTH(F2594))))</f>
        <v>Septiembre</v>
      </c>
      <c r="N2594" s="18" t="str">
        <f t="shared" si="122"/>
        <v>Septiembre|187</v>
      </c>
    </row>
    <row r="2595" spans="1:14" ht="14.5" x14ac:dyDescent="0.25">
      <c r="A2595" s="19">
        <v>35</v>
      </c>
      <c r="B2595" s="18" t="s">
        <v>42</v>
      </c>
      <c r="C2595" s="18" t="s">
        <v>92</v>
      </c>
      <c r="D2595" s="18" t="s">
        <v>2655</v>
      </c>
      <c r="E2595" s="18" t="s">
        <v>3148</v>
      </c>
      <c r="F2595" s="101">
        <v>46275.463888888888</v>
      </c>
      <c r="G2595" s="101">
        <v>46277.845138888886</v>
      </c>
      <c r="H2595" s="18" t="s">
        <v>507</v>
      </c>
      <c r="I2595" s="18" t="s">
        <v>508</v>
      </c>
      <c r="J2595" s="18"/>
      <c r="K2595" s="21">
        <f t="shared" si="120"/>
        <v>57.149999999965075</v>
      </c>
      <c r="L2595" s="19">
        <f t="shared" si="121"/>
        <v>188</v>
      </c>
      <c r="M2595" s="18" t="str">
        <f>IF(I2595&lt;&gt;"Sí","",IF(YEAR(F2595)&lt;&gt;2026,"",INDEX({"Enero","Febrero","Marzo","Abril","Mayo","Junio","Julio","Agosto","Septiembre","Octubre","Noviembre","Diciembre"},MONTH(F2595))))</f>
        <v>Septiembre</v>
      </c>
      <c r="N2595" s="18" t="str">
        <f t="shared" si="122"/>
        <v>Septiembre|188</v>
      </c>
    </row>
    <row r="2596" spans="1:14" ht="14.5" x14ac:dyDescent="0.25">
      <c r="A2596" s="19">
        <v>35</v>
      </c>
      <c r="B2596" s="18" t="s">
        <v>42</v>
      </c>
      <c r="C2596" s="18" t="s">
        <v>92</v>
      </c>
      <c r="D2596" s="18" t="s">
        <v>2655</v>
      </c>
      <c r="E2596" s="18" t="s">
        <v>3149</v>
      </c>
      <c r="F2596" s="101">
        <v>46275.465277777781</v>
      </c>
      <c r="G2596" s="101">
        <v>46277.8125</v>
      </c>
      <c r="H2596" s="18" t="s">
        <v>507</v>
      </c>
      <c r="I2596" s="18" t="s">
        <v>508</v>
      </c>
      <c r="J2596" s="18"/>
      <c r="K2596" s="21">
        <f t="shared" si="120"/>
        <v>56.333333333255723</v>
      </c>
      <c r="L2596" s="19">
        <f t="shared" si="121"/>
        <v>189</v>
      </c>
      <c r="M2596" s="18" t="str">
        <f>IF(I2596&lt;&gt;"Sí","",IF(YEAR(F2596)&lt;&gt;2026,"",INDEX({"Enero","Febrero","Marzo","Abril","Mayo","Junio","Julio","Agosto","Septiembre","Octubre","Noviembre","Diciembre"},MONTH(F2596))))</f>
        <v>Septiembre</v>
      </c>
      <c r="N2596" s="18" t="str">
        <f t="shared" si="122"/>
        <v>Septiembre|189</v>
      </c>
    </row>
    <row r="2597" spans="1:14" ht="14.5" x14ac:dyDescent="0.25">
      <c r="A2597" s="19">
        <v>35</v>
      </c>
      <c r="B2597" s="18" t="s">
        <v>42</v>
      </c>
      <c r="C2597" s="18" t="s">
        <v>92</v>
      </c>
      <c r="D2597" s="18" t="s">
        <v>2655</v>
      </c>
      <c r="E2597" s="18" t="s">
        <v>3150</v>
      </c>
      <c r="F2597" s="101">
        <v>46275.466666666667</v>
      </c>
      <c r="G2597" s="101">
        <v>46277.8125</v>
      </c>
      <c r="H2597" s="18" t="s">
        <v>507</v>
      </c>
      <c r="I2597" s="18" t="s">
        <v>508</v>
      </c>
      <c r="J2597" s="18"/>
      <c r="K2597" s="21">
        <f t="shared" si="120"/>
        <v>56.299999999988358</v>
      </c>
      <c r="L2597" s="19">
        <f t="shared" si="121"/>
        <v>190</v>
      </c>
      <c r="M2597" s="18" t="str">
        <f>IF(I2597&lt;&gt;"Sí","",IF(YEAR(F2597)&lt;&gt;2026,"",INDEX({"Enero","Febrero","Marzo","Abril","Mayo","Junio","Julio","Agosto","Septiembre","Octubre","Noviembre","Diciembre"},MONTH(F2597))))</f>
        <v>Septiembre</v>
      </c>
      <c r="N2597" s="18" t="str">
        <f t="shared" si="122"/>
        <v>Septiembre|190</v>
      </c>
    </row>
    <row r="2598" spans="1:14" ht="14.5" x14ac:dyDescent="0.25">
      <c r="A2598" s="19">
        <v>35</v>
      </c>
      <c r="B2598" s="18" t="s">
        <v>42</v>
      </c>
      <c r="C2598" s="18" t="s">
        <v>92</v>
      </c>
      <c r="D2598" s="18" t="s">
        <v>2655</v>
      </c>
      <c r="E2598" s="18" t="s">
        <v>3151</v>
      </c>
      <c r="F2598" s="101">
        <v>46275.468055555553</v>
      </c>
      <c r="G2598" s="101">
        <v>46277.8125</v>
      </c>
      <c r="H2598" s="18" t="s">
        <v>507</v>
      </c>
      <c r="I2598" s="18" t="s">
        <v>508</v>
      </c>
      <c r="J2598" s="18"/>
      <c r="K2598" s="21">
        <f t="shared" si="120"/>
        <v>56.266666666720994</v>
      </c>
      <c r="L2598" s="19">
        <f t="shared" si="121"/>
        <v>191</v>
      </c>
      <c r="M2598" s="18" t="str">
        <f>IF(I2598&lt;&gt;"Sí","",IF(YEAR(F2598)&lt;&gt;2026,"",INDEX({"Enero","Febrero","Marzo","Abril","Mayo","Junio","Julio","Agosto","Septiembre","Octubre","Noviembre","Diciembre"},MONTH(F2598))))</f>
        <v>Septiembre</v>
      </c>
      <c r="N2598" s="18" t="str">
        <f t="shared" si="122"/>
        <v>Septiembre|191</v>
      </c>
    </row>
    <row r="2599" spans="1:14" ht="14.5" x14ac:dyDescent="0.25">
      <c r="A2599" s="19">
        <v>35</v>
      </c>
      <c r="B2599" s="18" t="s">
        <v>42</v>
      </c>
      <c r="C2599" s="18" t="s">
        <v>92</v>
      </c>
      <c r="D2599" s="18" t="s">
        <v>2655</v>
      </c>
      <c r="E2599" s="18" t="s">
        <v>3152</v>
      </c>
      <c r="F2599" s="101">
        <v>46275.470138888886</v>
      </c>
      <c r="G2599" s="101">
        <v>46277.8125</v>
      </c>
      <c r="H2599" s="18" t="s">
        <v>507</v>
      </c>
      <c r="I2599" s="18" t="s">
        <v>508</v>
      </c>
      <c r="J2599" s="18"/>
      <c r="K2599" s="21">
        <f t="shared" si="120"/>
        <v>56.216666666732635</v>
      </c>
      <c r="L2599" s="19">
        <f t="shared" si="121"/>
        <v>192</v>
      </c>
      <c r="M2599" s="18" t="str">
        <f>IF(I2599&lt;&gt;"Sí","",IF(YEAR(F2599)&lt;&gt;2026,"",INDEX({"Enero","Febrero","Marzo","Abril","Mayo","Junio","Julio","Agosto","Septiembre","Octubre","Noviembre","Diciembre"},MONTH(F2599))))</f>
        <v>Septiembre</v>
      </c>
      <c r="N2599" s="18" t="str">
        <f t="shared" si="122"/>
        <v>Septiembre|192</v>
      </c>
    </row>
    <row r="2600" spans="1:14" ht="14.5" x14ac:dyDescent="0.25">
      <c r="A2600" s="19">
        <v>35</v>
      </c>
      <c r="B2600" s="18" t="s">
        <v>42</v>
      </c>
      <c r="C2600" s="18" t="s">
        <v>92</v>
      </c>
      <c r="D2600" s="18" t="s">
        <v>2655</v>
      </c>
      <c r="E2600" s="18" t="s">
        <v>3153</v>
      </c>
      <c r="F2600" s="101">
        <v>46275.472222222219</v>
      </c>
      <c r="G2600" s="101">
        <v>46277.8125</v>
      </c>
      <c r="H2600" s="18" t="s">
        <v>507</v>
      </c>
      <c r="I2600" s="18" t="s">
        <v>508</v>
      </c>
      <c r="J2600" s="18"/>
      <c r="K2600" s="21">
        <f t="shared" si="120"/>
        <v>56.166666666744277</v>
      </c>
      <c r="L2600" s="19">
        <f t="shared" si="121"/>
        <v>193</v>
      </c>
      <c r="M2600" s="18" t="str">
        <f>IF(I2600&lt;&gt;"Sí","",IF(YEAR(F2600)&lt;&gt;2026,"",INDEX({"Enero","Febrero","Marzo","Abril","Mayo","Junio","Julio","Agosto","Septiembre","Octubre","Noviembre","Diciembre"},MONTH(F2600))))</f>
        <v>Septiembre</v>
      </c>
      <c r="N2600" s="18" t="str">
        <f t="shared" si="122"/>
        <v>Septiembre|193</v>
      </c>
    </row>
    <row r="2601" spans="1:14" ht="14.5" x14ac:dyDescent="0.25">
      <c r="A2601" s="19">
        <v>35</v>
      </c>
      <c r="B2601" s="18" t="s">
        <v>42</v>
      </c>
      <c r="C2601" s="18" t="s">
        <v>92</v>
      </c>
      <c r="D2601" s="18" t="s">
        <v>2655</v>
      </c>
      <c r="E2601" s="18" t="s">
        <v>3154</v>
      </c>
      <c r="F2601" s="101">
        <v>46275.473611111112</v>
      </c>
      <c r="G2601" s="101">
        <v>46277.8125</v>
      </c>
      <c r="H2601" s="18" t="s">
        <v>507</v>
      </c>
      <c r="I2601" s="18" t="s">
        <v>508</v>
      </c>
      <c r="J2601" s="18"/>
      <c r="K2601" s="21">
        <f t="shared" si="120"/>
        <v>56.133333333302289</v>
      </c>
      <c r="L2601" s="19">
        <f t="shared" si="121"/>
        <v>194</v>
      </c>
      <c r="M2601" s="18" t="str">
        <f>IF(I2601&lt;&gt;"Sí","",IF(YEAR(F2601)&lt;&gt;2026,"",INDEX({"Enero","Febrero","Marzo","Abril","Mayo","Junio","Julio","Agosto","Septiembre","Octubre","Noviembre","Diciembre"},MONTH(F2601))))</f>
        <v>Septiembre</v>
      </c>
      <c r="N2601" s="18" t="str">
        <f t="shared" si="122"/>
        <v>Septiembre|194</v>
      </c>
    </row>
    <row r="2602" spans="1:14" ht="14.5" x14ac:dyDescent="0.25">
      <c r="A2602" s="19">
        <v>35</v>
      </c>
      <c r="B2602" s="18" t="s">
        <v>42</v>
      </c>
      <c r="C2602" s="18" t="s">
        <v>92</v>
      </c>
      <c r="D2602" s="18" t="s">
        <v>2655</v>
      </c>
      <c r="E2602" s="18" t="s">
        <v>3155</v>
      </c>
      <c r="F2602" s="101">
        <v>46275.474999999999</v>
      </c>
      <c r="G2602" s="101">
        <v>46278.154166666667</v>
      </c>
      <c r="H2602" s="18" t="s">
        <v>507</v>
      </c>
      <c r="I2602" s="18" t="s">
        <v>508</v>
      </c>
      <c r="J2602" s="18"/>
      <c r="K2602" s="21">
        <f t="shared" si="120"/>
        <v>64.300000000046566</v>
      </c>
      <c r="L2602" s="19">
        <f t="shared" si="121"/>
        <v>195</v>
      </c>
      <c r="M2602" s="18" t="str">
        <f>IF(I2602&lt;&gt;"Sí","",IF(YEAR(F2602)&lt;&gt;2026,"",INDEX({"Enero","Febrero","Marzo","Abril","Mayo","Junio","Julio","Agosto","Septiembre","Octubre","Noviembre","Diciembre"},MONTH(F2602))))</f>
        <v>Septiembre</v>
      </c>
      <c r="N2602" s="18" t="str">
        <f t="shared" si="122"/>
        <v>Septiembre|195</v>
      </c>
    </row>
    <row r="2603" spans="1:14" ht="14.5" x14ac:dyDescent="0.25">
      <c r="A2603" s="19">
        <v>35</v>
      </c>
      <c r="B2603" s="18" t="s">
        <v>42</v>
      </c>
      <c r="C2603" s="18" t="s">
        <v>92</v>
      </c>
      <c r="D2603" s="18" t="s">
        <v>2655</v>
      </c>
      <c r="E2603" s="18" t="s">
        <v>3156</v>
      </c>
      <c r="F2603" s="101">
        <v>46275.475694444445</v>
      </c>
      <c r="G2603" s="101">
        <v>46277.8125</v>
      </c>
      <c r="H2603" s="18" t="s">
        <v>507</v>
      </c>
      <c r="I2603" s="18" t="s">
        <v>508</v>
      </c>
      <c r="J2603" s="18"/>
      <c r="K2603" s="21">
        <f t="shared" si="120"/>
        <v>56.083333333313931</v>
      </c>
      <c r="L2603" s="19">
        <f t="shared" si="121"/>
        <v>196</v>
      </c>
      <c r="M2603" s="18" t="str">
        <f>IF(I2603&lt;&gt;"Sí","",IF(YEAR(F2603)&lt;&gt;2026,"",INDEX({"Enero","Febrero","Marzo","Abril","Mayo","Junio","Julio","Agosto","Septiembre","Octubre","Noviembre","Diciembre"},MONTH(F2603))))</f>
        <v>Septiembre</v>
      </c>
      <c r="N2603" s="18" t="str">
        <f t="shared" si="122"/>
        <v>Septiembre|196</v>
      </c>
    </row>
    <row r="2604" spans="1:14" ht="14.5" x14ac:dyDescent="0.25">
      <c r="A2604" s="19">
        <v>35</v>
      </c>
      <c r="B2604" s="18" t="s">
        <v>42</v>
      </c>
      <c r="C2604" s="18" t="s">
        <v>92</v>
      </c>
      <c r="D2604" s="18" t="s">
        <v>2655</v>
      </c>
      <c r="E2604" s="18" t="s">
        <v>3157</v>
      </c>
      <c r="F2604" s="101">
        <v>46275.477083333331</v>
      </c>
      <c r="G2604" s="101">
        <v>46277.8125</v>
      </c>
      <c r="H2604" s="18" t="s">
        <v>507</v>
      </c>
      <c r="I2604" s="18" t="s">
        <v>508</v>
      </c>
      <c r="J2604" s="18"/>
      <c r="K2604" s="21">
        <f t="shared" si="120"/>
        <v>56.050000000046566</v>
      </c>
      <c r="L2604" s="19">
        <f t="shared" si="121"/>
        <v>197</v>
      </c>
      <c r="M2604" s="18" t="str">
        <f>IF(I2604&lt;&gt;"Sí","",IF(YEAR(F2604)&lt;&gt;2026,"",INDEX({"Enero","Febrero","Marzo","Abril","Mayo","Junio","Julio","Agosto","Septiembre","Octubre","Noviembre","Diciembre"},MONTH(F2604))))</f>
        <v>Septiembre</v>
      </c>
      <c r="N2604" s="18" t="str">
        <f t="shared" si="122"/>
        <v>Septiembre|197</v>
      </c>
    </row>
    <row r="2605" spans="1:14" ht="14.5" x14ac:dyDescent="0.25">
      <c r="A2605" s="19">
        <v>35</v>
      </c>
      <c r="B2605" s="18" t="s">
        <v>42</v>
      </c>
      <c r="C2605" s="18" t="s">
        <v>92</v>
      </c>
      <c r="D2605" s="18" t="s">
        <v>2655</v>
      </c>
      <c r="E2605" s="18" t="s">
        <v>3158</v>
      </c>
      <c r="F2605" s="101">
        <v>46275.478472222225</v>
      </c>
      <c r="G2605" s="101">
        <v>46277.8125</v>
      </c>
      <c r="H2605" s="18" t="s">
        <v>507</v>
      </c>
      <c r="I2605" s="18" t="s">
        <v>508</v>
      </c>
      <c r="J2605" s="18"/>
      <c r="K2605" s="21">
        <f t="shared" si="120"/>
        <v>56.016666666604578</v>
      </c>
      <c r="L2605" s="19">
        <f t="shared" si="121"/>
        <v>198</v>
      </c>
      <c r="M2605" s="18" t="str">
        <f>IF(I2605&lt;&gt;"Sí","",IF(YEAR(F2605)&lt;&gt;2026,"",INDEX({"Enero","Febrero","Marzo","Abril","Mayo","Junio","Julio","Agosto","Septiembre","Octubre","Noviembre","Diciembre"},MONTH(F2605))))</f>
        <v>Septiembre</v>
      </c>
      <c r="N2605" s="18" t="str">
        <f t="shared" si="122"/>
        <v>Septiembre|198</v>
      </c>
    </row>
    <row r="2606" spans="1:14" ht="14.5" x14ac:dyDescent="0.25">
      <c r="A2606" s="19">
        <v>35</v>
      </c>
      <c r="B2606" s="18" t="s">
        <v>42</v>
      </c>
      <c r="C2606" s="18" t="s">
        <v>92</v>
      </c>
      <c r="D2606" s="18" t="s">
        <v>2655</v>
      </c>
      <c r="E2606" s="18" t="s">
        <v>3159</v>
      </c>
      <c r="F2606" s="101">
        <v>46275.479166666664</v>
      </c>
      <c r="G2606" s="101">
        <v>46277.8125</v>
      </c>
      <c r="H2606" s="18" t="s">
        <v>507</v>
      </c>
      <c r="I2606" s="18" t="s">
        <v>508</v>
      </c>
      <c r="J2606" s="18"/>
      <c r="K2606" s="21">
        <f t="shared" si="120"/>
        <v>56.000000000058208</v>
      </c>
      <c r="L2606" s="19">
        <f t="shared" si="121"/>
        <v>199</v>
      </c>
      <c r="M2606" s="18" t="str">
        <f>IF(I2606&lt;&gt;"Sí","",IF(YEAR(F2606)&lt;&gt;2026,"",INDEX({"Enero","Febrero","Marzo","Abril","Mayo","Junio","Julio","Agosto","Septiembre","Octubre","Noviembre","Diciembre"},MONTH(F2606))))</f>
        <v>Septiembre</v>
      </c>
      <c r="N2606" s="18" t="str">
        <f t="shared" si="122"/>
        <v>Septiembre|199</v>
      </c>
    </row>
    <row r="2607" spans="1:14" ht="14.5" x14ac:dyDescent="0.25">
      <c r="A2607" s="19">
        <v>35</v>
      </c>
      <c r="B2607" s="18" t="s">
        <v>42</v>
      </c>
      <c r="C2607" s="18" t="s">
        <v>92</v>
      </c>
      <c r="D2607" s="18" t="s">
        <v>2655</v>
      </c>
      <c r="E2607" s="18" t="s">
        <v>3160</v>
      </c>
      <c r="F2607" s="101">
        <v>46275.480555555558</v>
      </c>
      <c r="G2607" s="101">
        <v>46277.8125</v>
      </c>
      <c r="H2607" s="18" t="s">
        <v>507</v>
      </c>
      <c r="I2607" s="18" t="s">
        <v>508</v>
      </c>
      <c r="J2607" s="18"/>
      <c r="K2607" s="21">
        <f t="shared" si="120"/>
        <v>55.96666666661622</v>
      </c>
      <c r="L2607" s="19">
        <f t="shared" si="121"/>
        <v>200</v>
      </c>
      <c r="M2607" s="18" t="str">
        <f>IF(I2607&lt;&gt;"Sí","",IF(YEAR(F2607)&lt;&gt;2026,"",INDEX({"Enero","Febrero","Marzo","Abril","Mayo","Junio","Julio","Agosto","Septiembre","Octubre","Noviembre","Diciembre"},MONTH(F2607))))</f>
        <v>Septiembre</v>
      </c>
      <c r="N2607" s="18" t="str">
        <f t="shared" si="122"/>
        <v>Septiembre|200</v>
      </c>
    </row>
    <row r="2608" spans="1:14" ht="14.5" x14ac:dyDescent="0.25">
      <c r="A2608" s="19">
        <v>35</v>
      </c>
      <c r="B2608" s="18" t="s">
        <v>42</v>
      </c>
      <c r="C2608" s="18" t="s">
        <v>92</v>
      </c>
      <c r="D2608" s="18" t="s">
        <v>2655</v>
      </c>
      <c r="E2608" s="18" t="s">
        <v>3161</v>
      </c>
      <c r="F2608" s="101">
        <v>46275.490277777775</v>
      </c>
      <c r="G2608" s="101">
        <v>46277.8125</v>
      </c>
      <c r="H2608" s="18" t="s">
        <v>507</v>
      </c>
      <c r="I2608" s="18" t="s">
        <v>508</v>
      </c>
      <c r="J2608" s="18"/>
      <c r="K2608" s="21">
        <f t="shared" si="120"/>
        <v>55.733333333395422</v>
      </c>
      <c r="L2608" s="19">
        <f t="shared" si="121"/>
        <v>201</v>
      </c>
      <c r="M2608" s="18" t="str">
        <f>IF(I2608&lt;&gt;"Sí","",IF(YEAR(F2608)&lt;&gt;2026,"",INDEX({"Enero","Febrero","Marzo","Abril","Mayo","Junio","Julio","Agosto","Septiembre","Octubre","Noviembre","Diciembre"},MONTH(F2608))))</f>
        <v>Septiembre</v>
      </c>
      <c r="N2608" s="18" t="str">
        <f t="shared" si="122"/>
        <v>Septiembre|201</v>
      </c>
    </row>
    <row r="2609" spans="1:14" ht="14.5" x14ac:dyDescent="0.25">
      <c r="A2609" s="19">
        <v>35</v>
      </c>
      <c r="B2609" s="18" t="s">
        <v>42</v>
      </c>
      <c r="C2609" s="18" t="s">
        <v>92</v>
      </c>
      <c r="D2609" s="18" t="s">
        <v>2655</v>
      </c>
      <c r="E2609" s="18" t="s">
        <v>3162</v>
      </c>
      <c r="F2609" s="101">
        <v>46275.491666666669</v>
      </c>
      <c r="G2609" s="101">
        <v>46277.8125</v>
      </c>
      <c r="H2609" s="18" t="s">
        <v>507</v>
      </c>
      <c r="I2609" s="18" t="s">
        <v>508</v>
      </c>
      <c r="J2609" s="18"/>
      <c r="K2609" s="21">
        <f t="shared" si="120"/>
        <v>55.699999999953434</v>
      </c>
      <c r="L2609" s="19">
        <f t="shared" si="121"/>
        <v>202</v>
      </c>
      <c r="M2609" s="18" t="str">
        <f>IF(I2609&lt;&gt;"Sí","",IF(YEAR(F2609)&lt;&gt;2026,"",INDEX({"Enero","Febrero","Marzo","Abril","Mayo","Junio","Julio","Agosto","Septiembre","Octubre","Noviembre","Diciembre"},MONTH(F2609))))</f>
        <v>Septiembre</v>
      </c>
      <c r="N2609" s="18" t="str">
        <f t="shared" si="122"/>
        <v>Septiembre|202</v>
      </c>
    </row>
    <row r="2610" spans="1:14" ht="14.5" x14ac:dyDescent="0.25">
      <c r="A2610" s="19">
        <v>35</v>
      </c>
      <c r="B2610" s="18" t="s">
        <v>42</v>
      </c>
      <c r="C2610" s="18" t="s">
        <v>92</v>
      </c>
      <c r="D2610" s="18" t="s">
        <v>2655</v>
      </c>
      <c r="E2610" s="18" t="s">
        <v>3163</v>
      </c>
      <c r="F2610" s="101">
        <v>46275.493750000001</v>
      </c>
      <c r="G2610" s="101">
        <v>46277.8125</v>
      </c>
      <c r="H2610" s="18" t="s">
        <v>507</v>
      </c>
      <c r="I2610" s="18" t="s">
        <v>508</v>
      </c>
      <c r="J2610" s="18"/>
      <c r="K2610" s="21">
        <f t="shared" si="120"/>
        <v>55.649999999965075</v>
      </c>
      <c r="L2610" s="19">
        <f t="shared" si="121"/>
        <v>203</v>
      </c>
      <c r="M2610" s="18" t="str">
        <f>IF(I2610&lt;&gt;"Sí","",IF(YEAR(F2610)&lt;&gt;2026,"",INDEX({"Enero","Febrero","Marzo","Abril","Mayo","Junio","Julio","Agosto","Septiembre","Octubre","Noviembre","Diciembre"},MONTH(F2610))))</f>
        <v>Septiembre</v>
      </c>
      <c r="N2610" s="18" t="str">
        <f t="shared" si="122"/>
        <v>Septiembre|203</v>
      </c>
    </row>
    <row r="2611" spans="1:14" ht="14.5" x14ac:dyDescent="0.25">
      <c r="A2611" s="19">
        <v>35</v>
      </c>
      <c r="B2611" s="18" t="s">
        <v>42</v>
      </c>
      <c r="C2611" s="18" t="s">
        <v>92</v>
      </c>
      <c r="D2611" s="18" t="s">
        <v>2655</v>
      </c>
      <c r="E2611" s="18" t="s">
        <v>3164</v>
      </c>
      <c r="F2611" s="101">
        <v>46275.495833333334</v>
      </c>
      <c r="G2611" s="101">
        <v>46277.8125</v>
      </c>
      <c r="H2611" s="18" t="s">
        <v>507</v>
      </c>
      <c r="I2611" s="18" t="s">
        <v>508</v>
      </c>
      <c r="J2611" s="18"/>
      <c r="K2611" s="21">
        <f t="shared" si="120"/>
        <v>55.599999999976717</v>
      </c>
      <c r="L2611" s="19">
        <f t="shared" si="121"/>
        <v>204</v>
      </c>
      <c r="M2611" s="18" t="str">
        <f>IF(I2611&lt;&gt;"Sí","",IF(YEAR(F2611)&lt;&gt;2026,"",INDEX({"Enero","Febrero","Marzo","Abril","Mayo","Junio","Julio","Agosto","Septiembre","Octubre","Noviembre","Diciembre"},MONTH(F2611))))</f>
        <v>Septiembre</v>
      </c>
      <c r="N2611" s="18" t="str">
        <f t="shared" si="122"/>
        <v>Septiembre|204</v>
      </c>
    </row>
    <row r="2612" spans="1:14" ht="14.5" x14ac:dyDescent="0.25">
      <c r="A2612" s="19">
        <v>35</v>
      </c>
      <c r="B2612" s="18" t="s">
        <v>42</v>
      </c>
      <c r="C2612" s="18" t="s">
        <v>92</v>
      </c>
      <c r="D2612" s="18" t="s">
        <v>2655</v>
      </c>
      <c r="E2612" s="18" t="s">
        <v>3165</v>
      </c>
      <c r="F2612" s="101">
        <v>46275.496527777781</v>
      </c>
      <c r="G2612" s="101">
        <v>46277.8125</v>
      </c>
      <c r="H2612" s="18" t="s">
        <v>507</v>
      </c>
      <c r="I2612" s="18" t="s">
        <v>508</v>
      </c>
      <c r="J2612" s="18"/>
      <c r="K2612" s="21">
        <f t="shared" si="120"/>
        <v>55.583333333255723</v>
      </c>
      <c r="L2612" s="19">
        <f t="shared" si="121"/>
        <v>205</v>
      </c>
      <c r="M2612" s="18" t="str">
        <f>IF(I2612&lt;&gt;"Sí","",IF(YEAR(F2612)&lt;&gt;2026,"",INDEX({"Enero","Febrero","Marzo","Abril","Mayo","Junio","Julio","Agosto","Septiembre","Octubre","Noviembre","Diciembre"},MONTH(F2612))))</f>
        <v>Septiembre</v>
      </c>
      <c r="N2612" s="18" t="str">
        <f t="shared" si="122"/>
        <v>Septiembre|205</v>
      </c>
    </row>
    <row r="2613" spans="1:14" ht="14.5" x14ac:dyDescent="0.25">
      <c r="A2613" s="19">
        <v>35</v>
      </c>
      <c r="B2613" s="18" t="s">
        <v>42</v>
      </c>
      <c r="C2613" s="18" t="s">
        <v>92</v>
      </c>
      <c r="D2613" s="18" t="s">
        <v>2655</v>
      </c>
      <c r="E2613" s="18" t="s">
        <v>3166</v>
      </c>
      <c r="F2613" s="101">
        <v>46275.53125</v>
      </c>
      <c r="G2613" s="101">
        <v>46277.8125</v>
      </c>
      <c r="H2613" s="18" t="s">
        <v>507</v>
      </c>
      <c r="I2613" s="18" t="s">
        <v>508</v>
      </c>
      <c r="J2613" s="18"/>
      <c r="K2613" s="21">
        <f t="shared" si="120"/>
        <v>54.75</v>
      </c>
      <c r="L2613" s="19">
        <f t="shared" si="121"/>
        <v>206</v>
      </c>
      <c r="M2613" s="18" t="str">
        <f>IF(I2613&lt;&gt;"Sí","",IF(YEAR(F2613)&lt;&gt;2026,"",INDEX({"Enero","Febrero","Marzo","Abril","Mayo","Junio","Julio","Agosto","Septiembre","Octubre","Noviembre","Diciembre"},MONTH(F2613))))</f>
        <v>Septiembre</v>
      </c>
      <c r="N2613" s="18" t="str">
        <f t="shared" si="122"/>
        <v>Septiembre|206</v>
      </c>
    </row>
    <row r="2614" spans="1:14" ht="14.5" x14ac:dyDescent="0.25">
      <c r="A2614" s="19">
        <v>35</v>
      </c>
      <c r="B2614" s="18" t="s">
        <v>42</v>
      </c>
      <c r="C2614" s="18" t="s">
        <v>92</v>
      </c>
      <c r="D2614" s="18" t="s">
        <v>2655</v>
      </c>
      <c r="E2614" s="18" t="s">
        <v>3167</v>
      </c>
      <c r="F2614" s="101">
        <v>46275.533333333333</v>
      </c>
      <c r="G2614" s="101">
        <v>46277.8125</v>
      </c>
      <c r="H2614" s="18" t="s">
        <v>507</v>
      </c>
      <c r="I2614" s="18" t="s">
        <v>508</v>
      </c>
      <c r="J2614" s="18"/>
      <c r="K2614" s="21">
        <f t="shared" si="120"/>
        <v>54.700000000011642</v>
      </c>
      <c r="L2614" s="19">
        <f t="shared" si="121"/>
        <v>207</v>
      </c>
      <c r="M2614" s="18" t="str">
        <f>IF(I2614&lt;&gt;"Sí","",IF(YEAR(F2614)&lt;&gt;2026,"",INDEX({"Enero","Febrero","Marzo","Abril","Mayo","Junio","Julio","Agosto","Septiembre","Octubre","Noviembre","Diciembre"},MONTH(F2614))))</f>
        <v>Septiembre</v>
      </c>
      <c r="N2614" s="18" t="str">
        <f t="shared" si="122"/>
        <v>Septiembre|207</v>
      </c>
    </row>
    <row r="2615" spans="1:14" ht="14.5" x14ac:dyDescent="0.25">
      <c r="A2615" s="19">
        <v>35</v>
      </c>
      <c r="B2615" s="18" t="s">
        <v>42</v>
      </c>
      <c r="C2615" s="18" t="s">
        <v>92</v>
      </c>
      <c r="D2615" s="18" t="s">
        <v>2655</v>
      </c>
      <c r="E2615" s="18" t="s">
        <v>3168</v>
      </c>
      <c r="F2615" s="101">
        <v>46275.534722222219</v>
      </c>
      <c r="G2615" s="101">
        <v>46277.628472222219</v>
      </c>
      <c r="H2615" s="18" t="s">
        <v>507</v>
      </c>
      <c r="I2615" s="18" t="s">
        <v>508</v>
      </c>
      <c r="J2615" s="18"/>
      <c r="K2615" s="21">
        <f t="shared" si="120"/>
        <v>50.25</v>
      </c>
      <c r="L2615" s="19">
        <f t="shared" si="121"/>
        <v>208</v>
      </c>
      <c r="M2615" s="18" t="str">
        <f>IF(I2615&lt;&gt;"Sí","",IF(YEAR(F2615)&lt;&gt;2026,"",INDEX({"Enero","Febrero","Marzo","Abril","Mayo","Junio","Julio","Agosto","Septiembre","Octubre","Noviembre","Diciembre"},MONTH(F2615))))</f>
        <v>Septiembre</v>
      </c>
      <c r="N2615" s="18" t="str">
        <f t="shared" si="122"/>
        <v>Septiembre|208</v>
      </c>
    </row>
    <row r="2616" spans="1:14" ht="14.5" x14ac:dyDescent="0.25">
      <c r="A2616" s="19">
        <v>35</v>
      </c>
      <c r="B2616" s="18" t="s">
        <v>42</v>
      </c>
      <c r="C2616" s="18" t="s">
        <v>92</v>
      </c>
      <c r="D2616" s="18" t="s">
        <v>2655</v>
      </c>
      <c r="E2616" s="18" t="s">
        <v>3169</v>
      </c>
      <c r="F2616" s="101">
        <v>46275.536111111112</v>
      </c>
      <c r="G2616" s="101">
        <v>46277.628472222219</v>
      </c>
      <c r="H2616" s="18" t="s">
        <v>507</v>
      </c>
      <c r="I2616" s="18" t="s">
        <v>508</v>
      </c>
      <c r="J2616" s="18"/>
      <c r="K2616" s="21">
        <f t="shared" si="120"/>
        <v>50.216666666558012</v>
      </c>
      <c r="L2616" s="19">
        <f t="shared" si="121"/>
        <v>209</v>
      </c>
      <c r="M2616" s="18" t="str">
        <f>IF(I2616&lt;&gt;"Sí","",IF(YEAR(F2616)&lt;&gt;2026,"",INDEX({"Enero","Febrero","Marzo","Abril","Mayo","Junio","Julio","Agosto","Septiembre","Octubre","Noviembre","Diciembre"},MONTH(F2616))))</f>
        <v>Septiembre</v>
      </c>
      <c r="N2616" s="18" t="str">
        <f t="shared" si="122"/>
        <v>Septiembre|209</v>
      </c>
    </row>
    <row r="2617" spans="1:14" ht="14.5" x14ac:dyDescent="0.25">
      <c r="A2617" s="19">
        <v>35</v>
      </c>
      <c r="B2617" s="18" t="s">
        <v>42</v>
      </c>
      <c r="C2617" s="18" t="s">
        <v>92</v>
      </c>
      <c r="D2617" s="18" t="s">
        <v>2655</v>
      </c>
      <c r="E2617" s="18" t="s">
        <v>3170</v>
      </c>
      <c r="F2617" s="101">
        <v>46275.538194444445</v>
      </c>
      <c r="G2617" s="101">
        <v>46277.628472222219</v>
      </c>
      <c r="H2617" s="18" t="s">
        <v>507</v>
      </c>
      <c r="I2617" s="18" t="s">
        <v>508</v>
      </c>
      <c r="J2617" s="18"/>
      <c r="K2617" s="21">
        <f t="shared" si="120"/>
        <v>50.166666666569654</v>
      </c>
      <c r="L2617" s="19">
        <f t="shared" si="121"/>
        <v>210</v>
      </c>
      <c r="M2617" s="18" t="str">
        <f>IF(I2617&lt;&gt;"Sí","",IF(YEAR(F2617)&lt;&gt;2026,"",INDEX({"Enero","Febrero","Marzo","Abril","Mayo","Junio","Julio","Agosto","Septiembre","Octubre","Noviembre","Diciembre"},MONTH(F2617))))</f>
        <v>Septiembre</v>
      </c>
      <c r="N2617" s="18" t="str">
        <f t="shared" si="122"/>
        <v>Septiembre|210</v>
      </c>
    </row>
    <row r="2618" spans="1:14" ht="14.5" x14ac:dyDescent="0.25">
      <c r="A2618" s="19">
        <v>35</v>
      </c>
      <c r="B2618" s="18" t="s">
        <v>42</v>
      </c>
      <c r="C2618" s="18" t="s">
        <v>92</v>
      </c>
      <c r="D2618" s="18" t="s">
        <v>2655</v>
      </c>
      <c r="E2618" s="18" t="s">
        <v>3171</v>
      </c>
      <c r="F2618" s="101">
        <v>46275.541666666664</v>
      </c>
      <c r="G2618" s="101">
        <v>46277.628472222219</v>
      </c>
      <c r="H2618" s="18" t="s">
        <v>507</v>
      </c>
      <c r="I2618" s="18" t="s">
        <v>508</v>
      </c>
      <c r="J2618" s="18"/>
      <c r="K2618" s="21">
        <f t="shared" si="120"/>
        <v>50.083333333313931</v>
      </c>
      <c r="L2618" s="19">
        <f t="shared" si="121"/>
        <v>211</v>
      </c>
      <c r="M2618" s="18" t="str">
        <f>IF(I2618&lt;&gt;"Sí","",IF(YEAR(F2618)&lt;&gt;2026,"",INDEX({"Enero","Febrero","Marzo","Abril","Mayo","Junio","Julio","Agosto","Septiembre","Octubre","Noviembre","Diciembre"},MONTH(F2618))))</f>
        <v>Septiembre</v>
      </c>
      <c r="N2618" s="18" t="str">
        <f t="shared" si="122"/>
        <v>Septiembre|211</v>
      </c>
    </row>
    <row r="2619" spans="1:14" ht="14.5" x14ac:dyDescent="0.25">
      <c r="A2619" s="19">
        <v>35</v>
      </c>
      <c r="B2619" s="18" t="s">
        <v>42</v>
      </c>
      <c r="C2619" s="18" t="s">
        <v>92</v>
      </c>
      <c r="D2619" s="18" t="s">
        <v>2655</v>
      </c>
      <c r="E2619" s="18" t="s">
        <v>3172</v>
      </c>
      <c r="F2619" s="101">
        <v>46275.54583333333</v>
      </c>
      <c r="G2619" s="101">
        <v>46277.628472222219</v>
      </c>
      <c r="H2619" s="18" t="s">
        <v>507</v>
      </c>
      <c r="I2619" s="18" t="s">
        <v>508</v>
      </c>
      <c r="J2619" s="18"/>
      <c r="K2619" s="21">
        <f t="shared" si="120"/>
        <v>49.983333333337214</v>
      </c>
      <c r="L2619" s="19">
        <f t="shared" si="121"/>
        <v>212</v>
      </c>
      <c r="M2619" s="18" t="str">
        <f>IF(I2619&lt;&gt;"Sí","",IF(YEAR(F2619)&lt;&gt;2026,"",INDEX({"Enero","Febrero","Marzo","Abril","Mayo","Junio","Julio","Agosto","Septiembre","Octubre","Noviembre","Diciembre"},MONTH(F2619))))</f>
        <v>Septiembre</v>
      </c>
      <c r="N2619" s="18" t="str">
        <f t="shared" si="122"/>
        <v>Septiembre|212</v>
      </c>
    </row>
    <row r="2620" spans="1:14" ht="14.5" x14ac:dyDescent="0.25">
      <c r="A2620" s="19">
        <v>35</v>
      </c>
      <c r="B2620" s="18" t="s">
        <v>42</v>
      </c>
      <c r="C2620" s="18" t="s">
        <v>92</v>
      </c>
      <c r="D2620" s="18" t="s">
        <v>2655</v>
      </c>
      <c r="E2620" s="18" t="s">
        <v>3173</v>
      </c>
      <c r="F2620" s="101">
        <v>46275.548611111109</v>
      </c>
      <c r="G2620" s="101">
        <v>46277.628472222219</v>
      </c>
      <c r="H2620" s="18" t="s">
        <v>507</v>
      </c>
      <c r="I2620" s="18" t="s">
        <v>508</v>
      </c>
      <c r="J2620" s="18"/>
      <c r="K2620" s="21">
        <f t="shared" si="120"/>
        <v>49.916666666627862</v>
      </c>
      <c r="L2620" s="19">
        <f t="shared" si="121"/>
        <v>213</v>
      </c>
      <c r="M2620" s="18" t="str">
        <f>IF(I2620&lt;&gt;"Sí","",IF(YEAR(F2620)&lt;&gt;2026,"",INDEX({"Enero","Febrero","Marzo","Abril","Mayo","Junio","Julio","Agosto","Septiembre","Octubre","Noviembre","Diciembre"},MONTH(F2620))))</f>
        <v>Septiembre</v>
      </c>
      <c r="N2620" s="18" t="str">
        <f t="shared" si="122"/>
        <v>Septiembre|213</v>
      </c>
    </row>
    <row r="2621" spans="1:14" ht="14.5" x14ac:dyDescent="0.25">
      <c r="A2621" s="19">
        <v>35</v>
      </c>
      <c r="B2621" s="18" t="s">
        <v>42</v>
      </c>
      <c r="C2621" s="18" t="s">
        <v>92</v>
      </c>
      <c r="D2621" s="18" t="s">
        <v>2655</v>
      </c>
      <c r="E2621" s="18" t="s">
        <v>3174</v>
      </c>
      <c r="F2621" s="101">
        <v>46275.549305555556</v>
      </c>
      <c r="G2621" s="101">
        <v>46277.628472222219</v>
      </c>
      <c r="H2621" s="18" t="s">
        <v>507</v>
      </c>
      <c r="I2621" s="18" t="s">
        <v>508</v>
      </c>
      <c r="J2621" s="18"/>
      <c r="K2621" s="21">
        <f t="shared" si="120"/>
        <v>49.899999999906868</v>
      </c>
      <c r="L2621" s="19">
        <f t="shared" si="121"/>
        <v>214</v>
      </c>
      <c r="M2621" s="18" t="str">
        <f>IF(I2621&lt;&gt;"Sí","",IF(YEAR(F2621)&lt;&gt;2026,"",INDEX({"Enero","Febrero","Marzo","Abril","Mayo","Junio","Julio","Agosto","Septiembre","Octubre","Noviembre","Diciembre"},MONTH(F2621))))</f>
        <v>Septiembre</v>
      </c>
      <c r="N2621" s="18" t="str">
        <f t="shared" si="122"/>
        <v>Septiembre|214</v>
      </c>
    </row>
    <row r="2622" spans="1:14" ht="14.5" x14ac:dyDescent="0.25">
      <c r="A2622" s="19">
        <v>35</v>
      </c>
      <c r="B2622" s="18" t="s">
        <v>42</v>
      </c>
      <c r="C2622" s="18" t="s">
        <v>92</v>
      </c>
      <c r="D2622" s="18" t="s">
        <v>2655</v>
      </c>
      <c r="E2622" s="18" t="s">
        <v>3175</v>
      </c>
      <c r="F2622" s="101">
        <v>46275.55</v>
      </c>
      <c r="G2622" s="101">
        <v>46277.611111111109</v>
      </c>
      <c r="H2622" s="18" t="s">
        <v>507</v>
      </c>
      <c r="I2622" s="18" t="s">
        <v>508</v>
      </c>
      <c r="J2622" s="18"/>
      <c r="K2622" s="21">
        <f t="shared" si="120"/>
        <v>49.466666666558012</v>
      </c>
      <c r="L2622" s="19">
        <f t="shared" si="121"/>
        <v>215</v>
      </c>
      <c r="M2622" s="18" t="str">
        <f>IF(I2622&lt;&gt;"Sí","",IF(YEAR(F2622)&lt;&gt;2026,"",INDEX({"Enero","Febrero","Marzo","Abril","Mayo","Junio","Julio","Agosto","Septiembre","Octubre","Noviembre","Diciembre"},MONTH(F2622))))</f>
        <v>Septiembre</v>
      </c>
      <c r="N2622" s="18" t="str">
        <f t="shared" si="122"/>
        <v>Septiembre|215</v>
      </c>
    </row>
    <row r="2623" spans="1:14" ht="14.5" x14ac:dyDescent="0.25">
      <c r="A2623" s="19">
        <v>35</v>
      </c>
      <c r="B2623" s="18" t="s">
        <v>42</v>
      </c>
      <c r="C2623" s="18" t="s">
        <v>92</v>
      </c>
      <c r="D2623" s="18" t="s">
        <v>2655</v>
      </c>
      <c r="E2623" s="18" t="s">
        <v>3176</v>
      </c>
      <c r="F2623" s="101">
        <v>46275.568055555559</v>
      </c>
      <c r="G2623" s="101">
        <v>46277.611111111109</v>
      </c>
      <c r="H2623" s="18" t="s">
        <v>507</v>
      </c>
      <c r="I2623" s="18" t="s">
        <v>508</v>
      </c>
      <c r="J2623" s="18"/>
      <c r="K2623" s="21">
        <f t="shared" si="120"/>
        <v>49.033333333209157</v>
      </c>
      <c r="L2623" s="19">
        <f t="shared" si="121"/>
        <v>216</v>
      </c>
      <c r="M2623" s="18" t="str">
        <f>IF(I2623&lt;&gt;"Sí","",IF(YEAR(F2623)&lt;&gt;2026,"",INDEX({"Enero","Febrero","Marzo","Abril","Mayo","Junio","Julio","Agosto","Septiembre","Octubre","Noviembre","Diciembre"},MONTH(F2623))))</f>
        <v>Septiembre</v>
      </c>
      <c r="N2623" s="18" t="str">
        <f t="shared" si="122"/>
        <v>Septiembre|216</v>
      </c>
    </row>
    <row r="2624" spans="1:14" ht="14.5" x14ac:dyDescent="0.25">
      <c r="A2624" s="19">
        <v>35</v>
      </c>
      <c r="B2624" s="18" t="s">
        <v>42</v>
      </c>
      <c r="C2624" s="18" t="s">
        <v>92</v>
      </c>
      <c r="D2624" s="18" t="s">
        <v>2655</v>
      </c>
      <c r="E2624" s="18" t="s">
        <v>3177</v>
      </c>
      <c r="F2624" s="101">
        <v>46275.568749999999</v>
      </c>
      <c r="G2624" s="101">
        <v>46277.605555555558</v>
      </c>
      <c r="H2624" s="18" t="s">
        <v>507</v>
      </c>
      <c r="I2624" s="18" t="s">
        <v>508</v>
      </c>
      <c r="J2624" s="18"/>
      <c r="K2624" s="21">
        <f t="shared" si="120"/>
        <v>48.883333333418705</v>
      </c>
      <c r="L2624" s="19">
        <f t="shared" si="121"/>
        <v>217</v>
      </c>
      <c r="M2624" s="18" t="str">
        <f>IF(I2624&lt;&gt;"Sí","",IF(YEAR(F2624)&lt;&gt;2026,"",INDEX({"Enero","Febrero","Marzo","Abril","Mayo","Junio","Julio","Agosto","Septiembre","Octubre","Noviembre","Diciembre"},MONTH(F2624))))</f>
        <v>Septiembre</v>
      </c>
      <c r="N2624" s="18" t="str">
        <f t="shared" si="122"/>
        <v>Septiembre|217</v>
      </c>
    </row>
    <row r="2625" spans="1:14" ht="14.5" x14ac:dyDescent="0.25">
      <c r="A2625" s="19">
        <v>35</v>
      </c>
      <c r="B2625" s="18" t="s">
        <v>42</v>
      </c>
      <c r="C2625" s="18" t="s">
        <v>92</v>
      </c>
      <c r="D2625" s="18" t="s">
        <v>2655</v>
      </c>
      <c r="E2625" s="18" t="s">
        <v>3178</v>
      </c>
      <c r="F2625" s="101">
        <v>46275.569444444445</v>
      </c>
      <c r="G2625" s="101">
        <v>46277.605555555558</v>
      </c>
      <c r="H2625" s="18" t="s">
        <v>507</v>
      </c>
      <c r="I2625" s="18" t="s">
        <v>508</v>
      </c>
      <c r="J2625" s="18"/>
      <c r="K2625" s="21">
        <f t="shared" si="120"/>
        <v>48.866666666697711</v>
      </c>
      <c r="L2625" s="19">
        <f t="shared" si="121"/>
        <v>218</v>
      </c>
      <c r="M2625" s="18" t="str">
        <f>IF(I2625&lt;&gt;"Sí","",IF(YEAR(F2625)&lt;&gt;2026,"",INDEX({"Enero","Febrero","Marzo","Abril","Mayo","Junio","Julio","Agosto","Septiembre","Octubre","Noviembre","Diciembre"},MONTH(F2625))))</f>
        <v>Septiembre</v>
      </c>
      <c r="N2625" s="18" t="str">
        <f t="shared" si="122"/>
        <v>Septiembre|218</v>
      </c>
    </row>
    <row r="2626" spans="1:14" ht="14.5" x14ac:dyDescent="0.25">
      <c r="A2626" s="19">
        <v>35</v>
      </c>
      <c r="B2626" s="18" t="s">
        <v>42</v>
      </c>
      <c r="C2626" s="18" t="s">
        <v>92</v>
      </c>
      <c r="D2626" s="18" t="s">
        <v>2655</v>
      </c>
      <c r="E2626" s="18" t="s">
        <v>3179</v>
      </c>
      <c r="F2626" s="101">
        <v>46275.570833333331</v>
      </c>
      <c r="G2626" s="101">
        <v>46277.605555555558</v>
      </c>
      <c r="H2626" s="18" t="s">
        <v>507</v>
      </c>
      <c r="I2626" s="18" t="s">
        <v>508</v>
      </c>
      <c r="J2626" s="18"/>
      <c r="K2626" s="21">
        <f t="shared" si="120"/>
        <v>48.833333333430346</v>
      </c>
      <c r="L2626" s="19">
        <f t="shared" si="121"/>
        <v>219</v>
      </c>
      <c r="M2626" s="18" t="str">
        <f>IF(I2626&lt;&gt;"Sí","",IF(YEAR(F2626)&lt;&gt;2026,"",INDEX({"Enero","Febrero","Marzo","Abril","Mayo","Junio","Julio","Agosto","Septiembre","Octubre","Noviembre","Diciembre"},MONTH(F2626))))</f>
        <v>Septiembre</v>
      </c>
      <c r="N2626" s="18" t="str">
        <f t="shared" si="122"/>
        <v>Septiembre|219</v>
      </c>
    </row>
    <row r="2627" spans="1:14" ht="14.5" x14ac:dyDescent="0.25">
      <c r="A2627" s="19">
        <v>35</v>
      </c>
      <c r="B2627" s="18" t="s">
        <v>42</v>
      </c>
      <c r="C2627" s="18" t="s">
        <v>92</v>
      </c>
      <c r="D2627" s="18" t="s">
        <v>2655</v>
      </c>
      <c r="E2627" s="18" t="s">
        <v>3180</v>
      </c>
      <c r="F2627" s="101">
        <v>46275.572222222225</v>
      </c>
      <c r="G2627" s="101">
        <v>46277.605555555558</v>
      </c>
      <c r="H2627" s="18" t="s">
        <v>507</v>
      </c>
      <c r="I2627" s="18" t="s">
        <v>508</v>
      </c>
      <c r="J2627" s="18"/>
      <c r="K2627" s="21">
        <f t="shared" si="120"/>
        <v>48.799999999988358</v>
      </c>
      <c r="L2627" s="19">
        <f t="shared" si="121"/>
        <v>220</v>
      </c>
      <c r="M2627" s="18" t="str">
        <f>IF(I2627&lt;&gt;"Sí","",IF(YEAR(F2627)&lt;&gt;2026,"",INDEX({"Enero","Febrero","Marzo","Abril","Mayo","Junio","Julio","Agosto","Septiembre","Octubre","Noviembre","Diciembre"},MONTH(F2627))))</f>
        <v>Septiembre</v>
      </c>
      <c r="N2627" s="18" t="str">
        <f t="shared" si="122"/>
        <v>Septiembre|220</v>
      </c>
    </row>
    <row r="2628" spans="1:14" ht="14.5" x14ac:dyDescent="0.25">
      <c r="A2628" s="19">
        <v>35</v>
      </c>
      <c r="B2628" s="18" t="s">
        <v>42</v>
      </c>
      <c r="C2628" s="18" t="s">
        <v>92</v>
      </c>
      <c r="D2628" s="18" t="s">
        <v>2655</v>
      </c>
      <c r="E2628" s="18" t="s">
        <v>3181</v>
      </c>
      <c r="F2628" s="101">
        <v>46275.572916666664</v>
      </c>
      <c r="G2628" s="101">
        <v>46277.605555555558</v>
      </c>
      <c r="H2628" s="18" t="s">
        <v>507</v>
      </c>
      <c r="I2628" s="18" t="s">
        <v>508</v>
      </c>
      <c r="J2628" s="18"/>
      <c r="K2628" s="21">
        <f t="shared" si="120"/>
        <v>48.783333333441988</v>
      </c>
      <c r="L2628" s="19">
        <f t="shared" si="121"/>
        <v>221</v>
      </c>
      <c r="M2628" s="18" t="str">
        <f>IF(I2628&lt;&gt;"Sí","",IF(YEAR(F2628)&lt;&gt;2026,"",INDEX({"Enero","Febrero","Marzo","Abril","Mayo","Junio","Julio","Agosto","Septiembre","Octubre","Noviembre","Diciembre"},MONTH(F2628))))</f>
        <v>Septiembre</v>
      </c>
      <c r="N2628" s="18" t="str">
        <f t="shared" si="122"/>
        <v>Septiembre|221</v>
      </c>
    </row>
    <row r="2629" spans="1:14" ht="14.5" x14ac:dyDescent="0.25">
      <c r="A2629" s="19">
        <v>35</v>
      </c>
      <c r="B2629" s="18" t="s">
        <v>42</v>
      </c>
      <c r="C2629" s="18" t="s">
        <v>92</v>
      </c>
      <c r="D2629" s="18" t="s">
        <v>2655</v>
      </c>
      <c r="E2629" s="18" t="s">
        <v>3182</v>
      </c>
      <c r="F2629" s="101">
        <v>46275.574305555558</v>
      </c>
      <c r="G2629" s="101">
        <v>46277.605555555558</v>
      </c>
      <c r="H2629" s="18" t="s">
        <v>507</v>
      </c>
      <c r="I2629" s="18" t="s">
        <v>508</v>
      </c>
      <c r="J2629" s="18"/>
      <c r="K2629" s="21">
        <f t="shared" si="120"/>
        <v>48.75</v>
      </c>
      <c r="L2629" s="19">
        <f t="shared" si="121"/>
        <v>222</v>
      </c>
      <c r="M2629" s="18" t="str">
        <f>IF(I2629&lt;&gt;"Sí","",IF(YEAR(F2629)&lt;&gt;2026,"",INDEX({"Enero","Febrero","Marzo","Abril","Mayo","Junio","Julio","Agosto","Septiembre","Octubre","Noviembre","Diciembre"},MONTH(F2629))))</f>
        <v>Septiembre</v>
      </c>
      <c r="N2629" s="18" t="str">
        <f t="shared" si="122"/>
        <v>Septiembre|222</v>
      </c>
    </row>
    <row r="2630" spans="1:14" ht="14.5" x14ac:dyDescent="0.25">
      <c r="A2630" s="19">
        <v>35</v>
      </c>
      <c r="B2630" s="18" t="s">
        <v>42</v>
      </c>
      <c r="C2630" s="18" t="s">
        <v>92</v>
      </c>
      <c r="D2630" s="18" t="s">
        <v>2655</v>
      </c>
      <c r="E2630" s="18" t="s">
        <v>3183</v>
      </c>
      <c r="F2630" s="101">
        <v>46275.575694444444</v>
      </c>
      <c r="G2630" s="101">
        <v>46277.605555555558</v>
      </c>
      <c r="H2630" s="18" t="s">
        <v>507</v>
      </c>
      <c r="I2630" s="18" t="s">
        <v>508</v>
      </c>
      <c r="J2630" s="18"/>
      <c r="K2630" s="21">
        <f t="shared" si="120"/>
        <v>48.716666666732635</v>
      </c>
      <c r="L2630" s="19">
        <f t="shared" si="121"/>
        <v>223</v>
      </c>
      <c r="M2630" s="18" t="str">
        <f>IF(I2630&lt;&gt;"Sí","",IF(YEAR(F2630)&lt;&gt;2026,"",INDEX({"Enero","Febrero","Marzo","Abril","Mayo","Junio","Julio","Agosto","Septiembre","Octubre","Noviembre","Diciembre"},MONTH(F2630))))</f>
        <v>Septiembre</v>
      </c>
      <c r="N2630" s="18" t="str">
        <f t="shared" si="122"/>
        <v>Septiembre|223</v>
      </c>
    </row>
    <row r="2631" spans="1:14" ht="14.5" x14ac:dyDescent="0.25">
      <c r="A2631" s="19">
        <v>35</v>
      </c>
      <c r="B2631" s="18" t="s">
        <v>42</v>
      </c>
      <c r="C2631" s="18" t="s">
        <v>92</v>
      </c>
      <c r="D2631" s="18" t="s">
        <v>2655</v>
      </c>
      <c r="E2631" s="18" t="s">
        <v>3184</v>
      </c>
      <c r="F2631" s="101">
        <v>46275.576388888891</v>
      </c>
      <c r="G2631" s="101">
        <v>46277.597222222219</v>
      </c>
      <c r="H2631" s="18" t="s">
        <v>507</v>
      </c>
      <c r="I2631" s="18" t="s">
        <v>508</v>
      </c>
      <c r="J2631" s="18"/>
      <c r="K2631" s="21">
        <f t="shared" ref="K2631:K2694" si="123">IF(I2631="Sí",(G2631-F2631)*24,"")</f>
        <v>48.499999999883585</v>
      </c>
      <c r="L2631" s="19">
        <f t="shared" ref="L2631:L2694" si="124">IF(I2631="Sí",COUNTIFS($F$7:$F$4000,"&lt;="&amp;F2631,$G$7:$G$4000,"&gt;"&amp;F2631,$I$7:$I$4000,"Sí"),"")</f>
        <v>224</v>
      </c>
      <c r="M2631" s="18" t="str">
        <f>IF(I2631&lt;&gt;"Sí","",IF(YEAR(F2631)&lt;&gt;2026,"",INDEX({"Enero","Febrero","Marzo","Abril","Mayo","Junio","Julio","Agosto","Septiembre","Octubre","Noviembre","Diciembre"},MONTH(F2631))))</f>
        <v>Septiembre</v>
      </c>
      <c r="N2631" s="18" t="str">
        <f t="shared" ref="N2631:N2694" si="125">IF(M2631="","",M2631&amp;"|"&amp;L2631)</f>
        <v>Septiembre|224</v>
      </c>
    </row>
    <row r="2632" spans="1:14" ht="14.5" x14ac:dyDescent="0.25">
      <c r="A2632" s="19">
        <v>35</v>
      </c>
      <c r="B2632" s="18" t="s">
        <v>42</v>
      </c>
      <c r="C2632" s="18" t="s">
        <v>92</v>
      </c>
      <c r="D2632" s="18" t="s">
        <v>2655</v>
      </c>
      <c r="E2632" s="18" t="s">
        <v>3185</v>
      </c>
      <c r="F2632" s="101">
        <v>46275.577777777777</v>
      </c>
      <c r="G2632" s="101">
        <v>46277.597222222219</v>
      </c>
      <c r="H2632" s="18" t="s">
        <v>507</v>
      </c>
      <c r="I2632" s="18" t="s">
        <v>508</v>
      </c>
      <c r="J2632" s="18"/>
      <c r="K2632" s="21">
        <f t="shared" si="123"/>
        <v>48.46666666661622</v>
      </c>
      <c r="L2632" s="19">
        <f t="shared" si="124"/>
        <v>225</v>
      </c>
      <c r="M2632" s="18" t="str">
        <f>IF(I2632&lt;&gt;"Sí","",IF(YEAR(F2632)&lt;&gt;2026,"",INDEX({"Enero","Febrero","Marzo","Abril","Mayo","Junio","Julio","Agosto","Septiembre","Octubre","Noviembre","Diciembre"},MONTH(F2632))))</f>
        <v>Septiembre</v>
      </c>
      <c r="N2632" s="18" t="str">
        <f t="shared" si="125"/>
        <v>Septiembre|225</v>
      </c>
    </row>
    <row r="2633" spans="1:14" ht="14.5" x14ac:dyDescent="0.25">
      <c r="A2633" s="19">
        <v>35</v>
      </c>
      <c r="B2633" s="18" t="s">
        <v>42</v>
      </c>
      <c r="C2633" s="18" t="s">
        <v>92</v>
      </c>
      <c r="D2633" s="18" t="s">
        <v>2655</v>
      </c>
      <c r="E2633" s="18" t="s">
        <v>3186</v>
      </c>
      <c r="F2633" s="101">
        <v>46275.57916666667</v>
      </c>
      <c r="G2633" s="101">
        <v>46277.597222222219</v>
      </c>
      <c r="H2633" s="18" t="s">
        <v>507</v>
      </c>
      <c r="I2633" s="18" t="s">
        <v>508</v>
      </c>
      <c r="J2633" s="18"/>
      <c r="K2633" s="21">
        <f t="shared" si="123"/>
        <v>48.433333333174232</v>
      </c>
      <c r="L2633" s="19">
        <f t="shared" si="124"/>
        <v>226</v>
      </c>
      <c r="M2633" s="18" t="str">
        <f>IF(I2633&lt;&gt;"Sí","",IF(YEAR(F2633)&lt;&gt;2026,"",INDEX({"Enero","Febrero","Marzo","Abril","Mayo","Junio","Julio","Agosto","Septiembre","Octubre","Noviembre","Diciembre"},MONTH(F2633))))</f>
        <v>Septiembre</v>
      </c>
      <c r="N2633" s="18" t="str">
        <f t="shared" si="125"/>
        <v>Septiembre|226</v>
      </c>
    </row>
    <row r="2634" spans="1:14" ht="14.5" x14ac:dyDescent="0.25">
      <c r="A2634" s="19">
        <v>35</v>
      </c>
      <c r="B2634" s="18" t="s">
        <v>42</v>
      </c>
      <c r="C2634" s="18" t="s">
        <v>92</v>
      </c>
      <c r="D2634" s="18" t="s">
        <v>2655</v>
      </c>
      <c r="E2634" s="18" t="s">
        <v>3187</v>
      </c>
      <c r="F2634" s="101">
        <v>46275.579861111109</v>
      </c>
      <c r="G2634" s="101">
        <v>46277.597222222219</v>
      </c>
      <c r="H2634" s="18" t="s">
        <v>507</v>
      </c>
      <c r="I2634" s="18" t="s">
        <v>508</v>
      </c>
      <c r="J2634" s="18"/>
      <c r="K2634" s="21">
        <f t="shared" si="123"/>
        <v>48.416666666627862</v>
      </c>
      <c r="L2634" s="19">
        <f t="shared" si="124"/>
        <v>227</v>
      </c>
      <c r="M2634" s="18" t="str">
        <f>IF(I2634&lt;&gt;"Sí","",IF(YEAR(F2634)&lt;&gt;2026,"",INDEX({"Enero","Febrero","Marzo","Abril","Mayo","Junio","Julio","Agosto","Septiembre","Octubre","Noviembre","Diciembre"},MONTH(F2634))))</f>
        <v>Septiembre</v>
      </c>
      <c r="N2634" s="18" t="str">
        <f t="shared" si="125"/>
        <v>Septiembre|227</v>
      </c>
    </row>
    <row r="2635" spans="1:14" ht="14.5" x14ac:dyDescent="0.25">
      <c r="A2635" s="19">
        <v>35</v>
      </c>
      <c r="B2635" s="18" t="s">
        <v>42</v>
      </c>
      <c r="C2635" s="18" t="s">
        <v>92</v>
      </c>
      <c r="D2635" s="18" t="s">
        <v>2655</v>
      </c>
      <c r="E2635" s="18" t="s">
        <v>3188</v>
      </c>
      <c r="F2635" s="101">
        <v>46275.581944444442</v>
      </c>
      <c r="G2635" s="101">
        <v>46277.597222222219</v>
      </c>
      <c r="H2635" s="18" t="s">
        <v>507</v>
      </c>
      <c r="I2635" s="18" t="s">
        <v>508</v>
      </c>
      <c r="J2635" s="18"/>
      <c r="K2635" s="21">
        <f t="shared" si="123"/>
        <v>48.366666666639503</v>
      </c>
      <c r="L2635" s="19">
        <f t="shared" si="124"/>
        <v>228</v>
      </c>
      <c r="M2635" s="18" t="str">
        <f>IF(I2635&lt;&gt;"Sí","",IF(YEAR(F2635)&lt;&gt;2026,"",INDEX({"Enero","Febrero","Marzo","Abril","Mayo","Junio","Julio","Agosto","Septiembre","Octubre","Noviembre","Diciembre"},MONTH(F2635))))</f>
        <v>Septiembre</v>
      </c>
      <c r="N2635" s="18" t="str">
        <f t="shared" si="125"/>
        <v>Septiembre|228</v>
      </c>
    </row>
    <row r="2636" spans="1:14" ht="14.5" x14ac:dyDescent="0.25">
      <c r="A2636" s="19">
        <v>35</v>
      </c>
      <c r="B2636" s="18" t="s">
        <v>42</v>
      </c>
      <c r="C2636" s="18" t="s">
        <v>92</v>
      </c>
      <c r="D2636" s="18" t="s">
        <v>2655</v>
      </c>
      <c r="E2636" s="18" t="s">
        <v>3189</v>
      </c>
      <c r="F2636" s="101">
        <v>46275.583333333336</v>
      </c>
      <c r="G2636" s="101">
        <v>46277.597222222219</v>
      </c>
      <c r="H2636" s="18" t="s">
        <v>507</v>
      </c>
      <c r="I2636" s="18" t="s">
        <v>508</v>
      </c>
      <c r="J2636" s="18"/>
      <c r="K2636" s="21">
        <f t="shared" si="123"/>
        <v>48.333333333197515</v>
      </c>
      <c r="L2636" s="19">
        <f t="shared" si="124"/>
        <v>229</v>
      </c>
      <c r="M2636" s="18" t="str">
        <f>IF(I2636&lt;&gt;"Sí","",IF(YEAR(F2636)&lt;&gt;2026,"",INDEX({"Enero","Febrero","Marzo","Abril","Mayo","Junio","Julio","Agosto","Septiembre","Octubre","Noviembre","Diciembre"},MONTH(F2636))))</f>
        <v>Septiembre</v>
      </c>
      <c r="N2636" s="18" t="str">
        <f t="shared" si="125"/>
        <v>Septiembre|229</v>
      </c>
    </row>
    <row r="2637" spans="1:14" ht="14.5" x14ac:dyDescent="0.25">
      <c r="A2637" s="19">
        <v>35</v>
      </c>
      <c r="B2637" s="18" t="s">
        <v>42</v>
      </c>
      <c r="C2637" s="18" t="s">
        <v>92</v>
      </c>
      <c r="D2637" s="18" t="s">
        <v>2655</v>
      </c>
      <c r="E2637" s="18" t="s">
        <v>3190</v>
      </c>
      <c r="F2637" s="101">
        <v>46275.584722222222</v>
      </c>
      <c r="G2637" s="101">
        <v>46277.583333333336</v>
      </c>
      <c r="H2637" s="18" t="s">
        <v>507</v>
      </c>
      <c r="I2637" s="18" t="s">
        <v>508</v>
      </c>
      <c r="J2637" s="18"/>
      <c r="K2637" s="21">
        <f t="shared" si="123"/>
        <v>47.966666666732635</v>
      </c>
      <c r="L2637" s="19">
        <f t="shared" si="124"/>
        <v>230</v>
      </c>
      <c r="M2637" s="18" t="str">
        <f>IF(I2637&lt;&gt;"Sí","",IF(YEAR(F2637)&lt;&gt;2026,"",INDEX({"Enero","Febrero","Marzo","Abril","Mayo","Junio","Julio","Agosto","Septiembre","Octubre","Noviembre","Diciembre"},MONTH(F2637))))</f>
        <v>Septiembre</v>
      </c>
      <c r="N2637" s="18" t="str">
        <f t="shared" si="125"/>
        <v>Septiembre|230</v>
      </c>
    </row>
    <row r="2638" spans="1:14" ht="14.5" x14ac:dyDescent="0.25">
      <c r="A2638" s="19">
        <v>35</v>
      </c>
      <c r="B2638" s="18" t="s">
        <v>42</v>
      </c>
      <c r="C2638" s="18" t="s">
        <v>92</v>
      </c>
      <c r="D2638" s="18" t="s">
        <v>2655</v>
      </c>
      <c r="E2638" s="18" t="s">
        <v>3191</v>
      </c>
      <c r="F2638" s="101">
        <v>46275.586111111108</v>
      </c>
      <c r="G2638" s="101">
        <v>46277.583333333336</v>
      </c>
      <c r="H2638" s="18" t="s">
        <v>507</v>
      </c>
      <c r="I2638" s="18" t="s">
        <v>508</v>
      </c>
      <c r="J2638" s="18"/>
      <c r="K2638" s="21">
        <f t="shared" si="123"/>
        <v>47.933333333465271</v>
      </c>
      <c r="L2638" s="19">
        <f t="shared" si="124"/>
        <v>231</v>
      </c>
      <c r="M2638" s="18" t="str">
        <f>IF(I2638&lt;&gt;"Sí","",IF(YEAR(F2638)&lt;&gt;2026,"",INDEX({"Enero","Febrero","Marzo","Abril","Mayo","Junio","Julio","Agosto","Septiembre","Octubre","Noviembre","Diciembre"},MONTH(F2638))))</f>
        <v>Septiembre</v>
      </c>
      <c r="N2638" s="18" t="str">
        <f t="shared" si="125"/>
        <v>Septiembre|231</v>
      </c>
    </row>
    <row r="2639" spans="1:14" ht="14.5" x14ac:dyDescent="0.25">
      <c r="A2639" s="19">
        <v>35</v>
      </c>
      <c r="B2639" s="18" t="s">
        <v>42</v>
      </c>
      <c r="C2639" s="18" t="s">
        <v>92</v>
      </c>
      <c r="D2639" s="18" t="s">
        <v>2655</v>
      </c>
      <c r="E2639" s="18" t="s">
        <v>3192</v>
      </c>
      <c r="F2639" s="101">
        <v>46275.587500000001</v>
      </c>
      <c r="G2639" s="101">
        <v>46277.583333333336</v>
      </c>
      <c r="H2639" s="18" t="s">
        <v>507</v>
      </c>
      <c r="I2639" s="18" t="s">
        <v>508</v>
      </c>
      <c r="J2639" s="18"/>
      <c r="K2639" s="21">
        <f t="shared" si="123"/>
        <v>47.900000000023283</v>
      </c>
      <c r="L2639" s="19">
        <f t="shared" si="124"/>
        <v>232</v>
      </c>
      <c r="M2639" s="18" t="str">
        <f>IF(I2639&lt;&gt;"Sí","",IF(YEAR(F2639)&lt;&gt;2026,"",INDEX({"Enero","Febrero","Marzo","Abril","Mayo","Junio","Julio","Agosto","Septiembre","Octubre","Noviembre","Diciembre"},MONTH(F2639))))</f>
        <v>Septiembre</v>
      </c>
      <c r="N2639" s="18" t="str">
        <f t="shared" si="125"/>
        <v>Septiembre|232</v>
      </c>
    </row>
    <row r="2640" spans="1:14" ht="14.5" x14ac:dyDescent="0.25">
      <c r="A2640" s="19">
        <v>35</v>
      </c>
      <c r="B2640" s="18" t="s">
        <v>42</v>
      </c>
      <c r="C2640" s="18" t="s">
        <v>92</v>
      </c>
      <c r="D2640" s="18" t="s">
        <v>2655</v>
      </c>
      <c r="E2640" s="18" t="s">
        <v>3193</v>
      </c>
      <c r="F2640" s="101">
        <v>46275.589583333334</v>
      </c>
      <c r="G2640" s="101">
        <v>46277.583333333336</v>
      </c>
      <c r="H2640" s="18" t="s">
        <v>507</v>
      </c>
      <c r="I2640" s="18" t="s">
        <v>508</v>
      </c>
      <c r="J2640" s="18"/>
      <c r="K2640" s="21">
        <f t="shared" si="123"/>
        <v>47.850000000034925</v>
      </c>
      <c r="L2640" s="19">
        <f t="shared" si="124"/>
        <v>233</v>
      </c>
      <c r="M2640" s="18" t="str">
        <f>IF(I2640&lt;&gt;"Sí","",IF(YEAR(F2640)&lt;&gt;2026,"",INDEX({"Enero","Febrero","Marzo","Abril","Mayo","Junio","Julio","Agosto","Septiembre","Octubre","Noviembre","Diciembre"},MONTH(F2640))))</f>
        <v>Septiembre</v>
      </c>
      <c r="N2640" s="18" t="str">
        <f t="shared" si="125"/>
        <v>Septiembre|233</v>
      </c>
    </row>
    <row r="2641" spans="1:14" ht="14.5" x14ac:dyDescent="0.25">
      <c r="A2641" s="19">
        <v>35</v>
      </c>
      <c r="B2641" s="18" t="s">
        <v>42</v>
      </c>
      <c r="C2641" s="18" t="s">
        <v>92</v>
      </c>
      <c r="D2641" s="18" t="s">
        <v>2655</v>
      </c>
      <c r="E2641" s="18" t="s">
        <v>3194</v>
      </c>
      <c r="F2641" s="101">
        <v>46275.59097222222</v>
      </c>
      <c r="G2641" s="101">
        <v>46277.583333333336</v>
      </c>
      <c r="H2641" s="18" t="s">
        <v>507</v>
      </c>
      <c r="I2641" s="18" t="s">
        <v>508</v>
      </c>
      <c r="J2641" s="18"/>
      <c r="K2641" s="21">
        <f t="shared" si="123"/>
        <v>47.81666666676756</v>
      </c>
      <c r="L2641" s="19">
        <f t="shared" si="124"/>
        <v>234</v>
      </c>
      <c r="M2641" s="18" t="str">
        <f>IF(I2641&lt;&gt;"Sí","",IF(YEAR(F2641)&lt;&gt;2026,"",INDEX({"Enero","Febrero","Marzo","Abril","Mayo","Junio","Julio","Agosto","Septiembre","Octubre","Noviembre","Diciembre"},MONTH(F2641))))</f>
        <v>Septiembre</v>
      </c>
      <c r="N2641" s="18" t="str">
        <f t="shared" si="125"/>
        <v>Septiembre|234</v>
      </c>
    </row>
    <row r="2642" spans="1:14" ht="14.5" x14ac:dyDescent="0.25">
      <c r="A2642" s="19">
        <v>35</v>
      </c>
      <c r="B2642" s="18" t="s">
        <v>42</v>
      </c>
      <c r="C2642" s="18" t="s">
        <v>92</v>
      </c>
      <c r="D2642" s="18" t="s">
        <v>2655</v>
      </c>
      <c r="E2642" s="18" t="s">
        <v>3195</v>
      </c>
      <c r="F2642" s="101">
        <v>46275.592361111114</v>
      </c>
      <c r="G2642" s="101">
        <v>46277.583333333336</v>
      </c>
      <c r="H2642" s="18" t="s">
        <v>507</v>
      </c>
      <c r="I2642" s="18" t="s">
        <v>508</v>
      </c>
      <c r="J2642" s="18"/>
      <c r="K2642" s="21">
        <f t="shared" si="123"/>
        <v>47.783333333325572</v>
      </c>
      <c r="L2642" s="19">
        <f t="shared" si="124"/>
        <v>235</v>
      </c>
      <c r="M2642" s="18" t="str">
        <f>IF(I2642&lt;&gt;"Sí","",IF(YEAR(F2642)&lt;&gt;2026,"",INDEX({"Enero","Febrero","Marzo","Abril","Mayo","Junio","Julio","Agosto","Septiembre","Octubre","Noviembre","Diciembre"},MONTH(F2642))))</f>
        <v>Septiembre</v>
      </c>
      <c r="N2642" s="18" t="str">
        <f t="shared" si="125"/>
        <v>Septiembre|235</v>
      </c>
    </row>
    <row r="2643" spans="1:14" ht="14.5" x14ac:dyDescent="0.25">
      <c r="A2643" s="19">
        <v>35</v>
      </c>
      <c r="B2643" s="18" t="s">
        <v>42</v>
      </c>
      <c r="C2643" s="18" t="s">
        <v>126</v>
      </c>
      <c r="D2643" s="18" t="s">
        <v>2974</v>
      </c>
      <c r="E2643" s="18" t="s">
        <v>3196</v>
      </c>
      <c r="F2643" s="101">
        <v>46276.59652777778</v>
      </c>
      <c r="G2643" s="101">
        <v>46283.070138888892</v>
      </c>
      <c r="H2643" s="18" t="s">
        <v>507</v>
      </c>
      <c r="I2643" s="18" t="s">
        <v>508</v>
      </c>
      <c r="J2643" s="18"/>
      <c r="K2643" s="21">
        <f t="shared" si="123"/>
        <v>155.36666666669771</v>
      </c>
      <c r="L2643" s="19">
        <f t="shared" si="124"/>
        <v>237</v>
      </c>
      <c r="M2643" s="18" t="str">
        <f>IF(I2643&lt;&gt;"Sí","",IF(YEAR(F2643)&lt;&gt;2026,"",INDEX({"Enero","Febrero","Marzo","Abril","Mayo","Junio","Julio","Agosto","Septiembre","Octubre","Noviembre","Diciembre"},MONTH(F2643))))</f>
        <v>Septiembre</v>
      </c>
      <c r="N2643" s="18" t="str">
        <f t="shared" si="125"/>
        <v>Septiembre|237</v>
      </c>
    </row>
    <row r="2644" spans="1:14" ht="14.5" x14ac:dyDescent="0.25">
      <c r="A2644" s="19">
        <v>35</v>
      </c>
      <c r="B2644" s="18" t="s">
        <v>42</v>
      </c>
      <c r="C2644" s="18" t="s">
        <v>126</v>
      </c>
      <c r="D2644" s="18" t="s">
        <v>2974</v>
      </c>
      <c r="E2644" s="18" t="s">
        <v>3197</v>
      </c>
      <c r="F2644" s="101">
        <v>46276.59652777778</v>
      </c>
      <c r="G2644" s="101">
        <v>46283.111111111109</v>
      </c>
      <c r="H2644" s="18" t="s">
        <v>507</v>
      </c>
      <c r="I2644" s="18" t="s">
        <v>508</v>
      </c>
      <c r="J2644" s="18"/>
      <c r="K2644" s="21">
        <f t="shared" si="123"/>
        <v>156.34999999991851</v>
      </c>
      <c r="L2644" s="19">
        <f t="shared" si="124"/>
        <v>237</v>
      </c>
      <c r="M2644" s="18" t="str">
        <f>IF(I2644&lt;&gt;"Sí","",IF(YEAR(F2644)&lt;&gt;2026,"",INDEX({"Enero","Febrero","Marzo","Abril","Mayo","Junio","Julio","Agosto","Septiembre","Octubre","Noviembre","Diciembre"},MONTH(F2644))))</f>
        <v>Septiembre</v>
      </c>
      <c r="N2644" s="18" t="str">
        <f t="shared" si="125"/>
        <v>Septiembre|237</v>
      </c>
    </row>
    <row r="2645" spans="1:14" ht="14.5" x14ac:dyDescent="0.25">
      <c r="A2645" s="19">
        <v>35</v>
      </c>
      <c r="B2645" s="18" t="s">
        <v>42</v>
      </c>
      <c r="C2645" s="18" t="s">
        <v>126</v>
      </c>
      <c r="D2645" s="18" t="s">
        <v>2974</v>
      </c>
      <c r="E2645" s="18" t="s">
        <v>3198</v>
      </c>
      <c r="F2645" s="101">
        <v>46276.59652777778</v>
      </c>
      <c r="G2645" s="101">
        <v>46283.111111111109</v>
      </c>
      <c r="H2645" s="18" t="s">
        <v>507</v>
      </c>
      <c r="I2645" s="18" t="s">
        <v>508</v>
      </c>
      <c r="J2645" s="18"/>
      <c r="K2645" s="21">
        <f t="shared" si="123"/>
        <v>156.34999999991851</v>
      </c>
      <c r="L2645" s="19">
        <f t="shared" si="124"/>
        <v>237</v>
      </c>
      <c r="M2645" s="18" t="str">
        <f>IF(I2645&lt;&gt;"Sí","",IF(YEAR(F2645)&lt;&gt;2026,"",INDEX({"Enero","Febrero","Marzo","Abril","Mayo","Junio","Julio","Agosto","Septiembre","Octubre","Noviembre","Diciembre"},MONTH(F2645))))</f>
        <v>Septiembre</v>
      </c>
      <c r="N2645" s="18" t="str">
        <f t="shared" si="125"/>
        <v>Septiembre|237</v>
      </c>
    </row>
    <row r="2646" spans="1:14" ht="14.5" x14ac:dyDescent="0.25">
      <c r="A2646" s="19">
        <v>35</v>
      </c>
      <c r="B2646" s="18" t="s">
        <v>42</v>
      </c>
      <c r="C2646" s="18" t="s">
        <v>126</v>
      </c>
      <c r="D2646" s="18" t="s">
        <v>2974</v>
      </c>
      <c r="E2646" s="18" t="s">
        <v>3199</v>
      </c>
      <c r="F2646" s="101">
        <v>46276.59652777778</v>
      </c>
      <c r="G2646" s="101">
        <v>46283.077777777777</v>
      </c>
      <c r="H2646" s="18" t="s">
        <v>507</v>
      </c>
      <c r="I2646" s="18" t="s">
        <v>508</v>
      </c>
      <c r="J2646" s="18"/>
      <c r="K2646" s="21">
        <f t="shared" si="123"/>
        <v>155.54999999993015</v>
      </c>
      <c r="L2646" s="19">
        <f t="shared" si="124"/>
        <v>237</v>
      </c>
      <c r="M2646" s="18" t="str">
        <f>IF(I2646&lt;&gt;"Sí","",IF(YEAR(F2646)&lt;&gt;2026,"",INDEX({"Enero","Febrero","Marzo","Abril","Mayo","Junio","Julio","Agosto","Septiembre","Octubre","Noviembre","Diciembre"},MONTH(F2646))))</f>
        <v>Septiembre</v>
      </c>
      <c r="N2646" s="18" t="str">
        <f t="shared" si="125"/>
        <v>Septiembre|237</v>
      </c>
    </row>
    <row r="2647" spans="1:14" ht="14.5" x14ac:dyDescent="0.25">
      <c r="A2647" s="19">
        <v>35</v>
      </c>
      <c r="B2647" s="18" t="s">
        <v>42</v>
      </c>
      <c r="C2647" s="18" t="s">
        <v>126</v>
      </c>
      <c r="D2647" s="18" t="s">
        <v>2974</v>
      </c>
      <c r="E2647" s="18" t="s">
        <v>3200</v>
      </c>
      <c r="F2647" s="101">
        <v>46276.59652777778</v>
      </c>
      <c r="G2647" s="101">
        <v>46283.070138888892</v>
      </c>
      <c r="H2647" s="18" t="s">
        <v>507</v>
      </c>
      <c r="I2647" s="18" t="s">
        <v>508</v>
      </c>
      <c r="J2647" s="18"/>
      <c r="K2647" s="21">
        <f t="shared" si="123"/>
        <v>155.36666666669771</v>
      </c>
      <c r="L2647" s="19">
        <f t="shared" si="124"/>
        <v>237</v>
      </c>
      <c r="M2647" s="18" t="str">
        <f>IF(I2647&lt;&gt;"Sí","",IF(YEAR(F2647)&lt;&gt;2026,"",INDEX({"Enero","Febrero","Marzo","Abril","Mayo","Junio","Julio","Agosto","Septiembre","Octubre","Noviembre","Diciembre"},MONTH(F2647))))</f>
        <v>Septiembre</v>
      </c>
      <c r="N2647" s="18" t="str">
        <f t="shared" si="125"/>
        <v>Septiembre|237</v>
      </c>
    </row>
    <row r="2648" spans="1:14" ht="14.5" x14ac:dyDescent="0.25">
      <c r="A2648" s="19">
        <v>35</v>
      </c>
      <c r="B2648" s="18" t="s">
        <v>42</v>
      </c>
      <c r="C2648" s="18" t="s">
        <v>126</v>
      </c>
      <c r="D2648" s="18" t="s">
        <v>2974</v>
      </c>
      <c r="E2648" s="18" t="s">
        <v>3201</v>
      </c>
      <c r="F2648" s="101">
        <v>46276.59652777778</v>
      </c>
      <c r="G2648" s="101">
        <v>46283.077777777777</v>
      </c>
      <c r="H2648" s="18" t="s">
        <v>507</v>
      </c>
      <c r="I2648" s="18" t="s">
        <v>508</v>
      </c>
      <c r="J2648" s="18"/>
      <c r="K2648" s="21">
        <f t="shared" si="123"/>
        <v>155.54999999993015</v>
      </c>
      <c r="L2648" s="19">
        <f t="shared" si="124"/>
        <v>237</v>
      </c>
      <c r="M2648" s="18" t="str">
        <f>IF(I2648&lt;&gt;"Sí","",IF(YEAR(F2648)&lt;&gt;2026,"",INDEX({"Enero","Febrero","Marzo","Abril","Mayo","Junio","Julio","Agosto","Septiembre","Octubre","Noviembre","Diciembre"},MONTH(F2648))))</f>
        <v>Septiembre</v>
      </c>
      <c r="N2648" s="18" t="str">
        <f t="shared" si="125"/>
        <v>Septiembre|237</v>
      </c>
    </row>
    <row r="2649" spans="1:14" ht="14.5" x14ac:dyDescent="0.25">
      <c r="A2649" s="19">
        <v>35</v>
      </c>
      <c r="B2649" s="18" t="s">
        <v>42</v>
      </c>
      <c r="C2649" s="18" t="s">
        <v>126</v>
      </c>
      <c r="D2649" s="18" t="s">
        <v>2974</v>
      </c>
      <c r="E2649" s="18" t="s">
        <v>3202</v>
      </c>
      <c r="F2649" s="101">
        <v>46276.59652777778</v>
      </c>
      <c r="G2649" s="101">
        <v>46283.111111111109</v>
      </c>
      <c r="H2649" s="18" t="s">
        <v>507</v>
      </c>
      <c r="I2649" s="18" t="s">
        <v>508</v>
      </c>
      <c r="J2649" s="18"/>
      <c r="K2649" s="21">
        <f t="shared" si="123"/>
        <v>156.34999999991851</v>
      </c>
      <c r="L2649" s="19">
        <f t="shared" si="124"/>
        <v>237</v>
      </c>
      <c r="M2649" s="18" t="str">
        <f>IF(I2649&lt;&gt;"Sí","",IF(YEAR(F2649)&lt;&gt;2026,"",INDEX({"Enero","Febrero","Marzo","Abril","Mayo","Junio","Julio","Agosto","Septiembre","Octubre","Noviembre","Diciembre"},MONTH(F2649))))</f>
        <v>Septiembre</v>
      </c>
      <c r="N2649" s="18" t="str">
        <f t="shared" si="125"/>
        <v>Septiembre|237</v>
      </c>
    </row>
    <row r="2650" spans="1:14" ht="14.5" x14ac:dyDescent="0.25">
      <c r="A2650" s="19">
        <v>35</v>
      </c>
      <c r="B2650" s="18" t="s">
        <v>42</v>
      </c>
      <c r="C2650" s="18" t="s">
        <v>126</v>
      </c>
      <c r="D2650" s="18" t="s">
        <v>2974</v>
      </c>
      <c r="E2650" s="18" t="s">
        <v>3203</v>
      </c>
      <c r="F2650" s="101">
        <v>46276.628472222219</v>
      </c>
      <c r="G2650" s="101">
        <v>46283.077777777777</v>
      </c>
      <c r="H2650" s="18" t="s">
        <v>507</v>
      </c>
      <c r="I2650" s="18" t="s">
        <v>508</v>
      </c>
      <c r="J2650" s="18"/>
      <c r="K2650" s="21">
        <f t="shared" si="123"/>
        <v>154.78333333338378</v>
      </c>
      <c r="L2650" s="19">
        <f t="shared" si="124"/>
        <v>238</v>
      </c>
      <c r="M2650" s="18" t="str">
        <f>IF(I2650&lt;&gt;"Sí","",IF(YEAR(F2650)&lt;&gt;2026,"",INDEX({"Enero","Febrero","Marzo","Abril","Mayo","Junio","Julio","Agosto","Septiembre","Octubre","Noviembre","Diciembre"},MONTH(F2650))))</f>
        <v>Septiembre</v>
      </c>
      <c r="N2650" s="18" t="str">
        <f t="shared" si="125"/>
        <v>Septiembre|238</v>
      </c>
    </row>
    <row r="2651" spans="1:14" ht="14.5" x14ac:dyDescent="0.25">
      <c r="A2651" s="19">
        <v>35</v>
      </c>
      <c r="B2651" s="18" t="s">
        <v>42</v>
      </c>
      <c r="C2651" s="18" t="s">
        <v>95</v>
      </c>
      <c r="D2651" s="18" t="s">
        <v>3204</v>
      </c>
      <c r="E2651" s="18" t="s">
        <v>3205</v>
      </c>
      <c r="F2651" s="101">
        <v>46276.629166666666</v>
      </c>
      <c r="G2651" s="101">
        <v>46284.009722222225</v>
      </c>
      <c r="H2651" s="18" t="s">
        <v>507</v>
      </c>
      <c r="I2651" s="18" t="s">
        <v>508</v>
      </c>
      <c r="J2651" s="18"/>
      <c r="K2651" s="21">
        <f t="shared" si="123"/>
        <v>177.1333333334187</v>
      </c>
      <c r="L2651" s="19">
        <f t="shared" si="124"/>
        <v>239</v>
      </c>
      <c r="M2651" s="18" t="str">
        <f>IF(I2651&lt;&gt;"Sí","",IF(YEAR(F2651)&lt;&gt;2026,"",INDEX({"Enero","Febrero","Marzo","Abril","Mayo","Junio","Julio","Agosto","Septiembre","Octubre","Noviembre","Diciembre"},MONTH(F2651))))</f>
        <v>Septiembre</v>
      </c>
      <c r="N2651" s="18" t="str">
        <f t="shared" si="125"/>
        <v>Septiembre|239</v>
      </c>
    </row>
    <row r="2652" spans="1:14" ht="14.5" x14ac:dyDescent="0.25">
      <c r="A2652" s="19">
        <v>35</v>
      </c>
      <c r="B2652" s="18" t="s">
        <v>42</v>
      </c>
      <c r="C2652" s="18" t="s">
        <v>126</v>
      </c>
      <c r="D2652" s="18" t="s">
        <v>2974</v>
      </c>
      <c r="E2652" s="18" t="s">
        <v>3206</v>
      </c>
      <c r="F2652" s="101">
        <v>46276.645138888889</v>
      </c>
      <c r="G2652" s="101">
        <v>46282.777777777781</v>
      </c>
      <c r="H2652" s="18" t="s">
        <v>507</v>
      </c>
      <c r="I2652" s="18" t="s">
        <v>508</v>
      </c>
      <c r="J2652" s="18"/>
      <c r="K2652" s="21">
        <f t="shared" si="123"/>
        <v>147.18333333340706</v>
      </c>
      <c r="L2652" s="19">
        <f t="shared" si="124"/>
        <v>240</v>
      </c>
      <c r="M2652" s="18" t="str">
        <f>IF(I2652&lt;&gt;"Sí","",IF(YEAR(F2652)&lt;&gt;2026,"",INDEX({"Enero","Febrero","Marzo","Abril","Mayo","Junio","Julio","Agosto","Septiembre","Octubre","Noviembre","Diciembre"},MONTH(F2652))))</f>
        <v>Septiembre</v>
      </c>
      <c r="N2652" s="18" t="str">
        <f t="shared" si="125"/>
        <v>Septiembre|240</v>
      </c>
    </row>
    <row r="2653" spans="1:14" ht="14.5" x14ac:dyDescent="0.25">
      <c r="A2653" s="19">
        <v>35</v>
      </c>
      <c r="B2653" s="18" t="s">
        <v>42</v>
      </c>
      <c r="C2653" s="18" t="s">
        <v>126</v>
      </c>
      <c r="D2653" s="18" t="s">
        <v>2974</v>
      </c>
      <c r="E2653" s="18" t="s">
        <v>3207</v>
      </c>
      <c r="F2653" s="101">
        <v>46277.484027777777</v>
      </c>
      <c r="G2653" s="101">
        <v>46282.777777777781</v>
      </c>
      <c r="H2653" s="18" t="s">
        <v>507</v>
      </c>
      <c r="I2653" s="18" t="s">
        <v>508</v>
      </c>
      <c r="J2653" s="18"/>
      <c r="K2653" s="21">
        <f t="shared" si="123"/>
        <v>127.05000000010477</v>
      </c>
      <c r="L2653" s="19">
        <f t="shared" si="124"/>
        <v>212</v>
      </c>
      <c r="M2653" s="18" t="str">
        <f>IF(I2653&lt;&gt;"Sí","",IF(YEAR(F2653)&lt;&gt;2026,"",INDEX({"Enero","Febrero","Marzo","Abril","Mayo","Junio","Julio","Agosto","Septiembre","Octubre","Noviembre","Diciembre"},MONTH(F2653))))</f>
        <v>Septiembre</v>
      </c>
      <c r="N2653" s="18" t="str">
        <f t="shared" si="125"/>
        <v>Septiembre|212</v>
      </c>
    </row>
    <row r="2654" spans="1:14" ht="14.5" x14ac:dyDescent="0.25">
      <c r="A2654" s="19">
        <v>35</v>
      </c>
      <c r="B2654" s="18" t="s">
        <v>42</v>
      </c>
      <c r="C2654" s="18" t="s">
        <v>126</v>
      </c>
      <c r="D2654" s="18" t="s">
        <v>2974</v>
      </c>
      <c r="E2654" s="18" t="s">
        <v>3208</v>
      </c>
      <c r="F2654" s="101">
        <v>46277.484027777777</v>
      </c>
      <c r="G2654" s="101">
        <v>46282.777777777781</v>
      </c>
      <c r="H2654" s="18" t="s">
        <v>507</v>
      </c>
      <c r="I2654" s="18" t="s">
        <v>508</v>
      </c>
      <c r="J2654" s="18"/>
      <c r="K2654" s="21">
        <f t="shared" si="123"/>
        <v>127.05000000010477</v>
      </c>
      <c r="L2654" s="19">
        <f t="shared" si="124"/>
        <v>212</v>
      </c>
      <c r="M2654" s="18" t="str">
        <f>IF(I2654&lt;&gt;"Sí","",IF(YEAR(F2654)&lt;&gt;2026,"",INDEX({"Enero","Febrero","Marzo","Abril","Mayo","Junio","Julio","Agosto","Septiembre","Octubre","Noviembre","Diciembre"},MONTH(F2654))))</f>
        <v>Septiembre</v>
      </c>
      <c r="N2654" s="18" t="str">
        <f t="shared" si="125"/>
        <v>Septiembre|212</v>
      </c>
    </row>
    <row r="2655" spans="1:14" ht="14.5" x14ac:dyDescent="0.25">
      <c r="A2655" s="19">
        <v>35</v>
      </c>
      <c r="B2655" s="18" t="s">
        <v>42</v>
      </c>
      <c r="C2655" s="18" t="s">
        <v>126</v>
      </c>
      <c r="D2655" s="18" t="s">
        <v>2974</v>
      </c>
      <c r="E2655" s="18" t="s">
        <v>3209</v>
      </c>
      <c r="F2655" s="101">
        <v>46277.590277777781</v>
      </c>
      <c r="G2655" s="101">
        <v>46283.077777777777</v>
      </c>
      <c r="H2655" s="18" t="s">
        <v>507</v>
      </c>
      <c r="I2655" s="18" t="s">
        <v>508</v>
      </c>
      <c r="J2655" s="18"/>
      <c r="K2655" s="21">
        <f t="shared" si="123"/>
        <v>131.69999999989523</v>
      </c>
      <c r="L2655" s="19">
        <f t="shared" si="124"/>
        <v>205</v>
      </c>
      <c r="M2655" s="18" t="str">
        <f>IF(I2655&lt;&gt;"Sí","",IF(YEAR(F2655)&lt;&gt;2026,"",INDEX({"Enero","Febrero","Marzo","Abril","Mayo","Junio","Julio","Agosto","Septiembre","Octubre","Noviembre","Diciembre"},MONTH(F2655))))</f>
        <v>Septiembre</v>
      </c>
      <c r="N2655" s="18" t="str">
        <f t="shared" si="125"/>
        <v>Septiembre|205</v>
      </c>
    </row>
    <row r="2656" spans="1:14" ht="14.5" x14ac:dyDescent="0.25">
      <c r="A2656" s="19">
        <v>35</v>
      </c>
      <c r="B2656" s="18" t="s">
        <v>42</v>
      </c>
      <c r="C2656" s="18" t="s">
        <v>126</v>
      </c>
      <c r="D2656" s="18" t="s">
        <v>2974</v>
      </c>
      <c r="E2656" s="18" t="s">
        <v>3210</v>
      </c>
      <c r="F2656" s="101">
        <v>46277.590277777781</v>
      </c>
      <c r="G2656" s="101">
        <v>46282.777777777781</v>
      </c>
      <c r="H2656" s="18" t="s">
        <v>507</v>
      </c>
      <c r="I2656" s="18" t="s">
        <v>508</v>
      </c>
      <c r="J2656" s="18"/>
      <c r="K2656" s="21">
        <f t="shared" si="123"/>
        <v>124.5</v>
      </c>
      <c r="L2656" s="19">
        <f t="shared" si="124"/>
        <v>205</v>
      </c>
      <c r="M2656" s="18" t="str">
        <f>IF(I2656&lt;&gt;"Sí","",IF(YEAR(F2656)&lt;&gt;2026,"",INDEX({"Enero","Febrero","Marzo","Abril","Mayo","Junio","Julio","Agosto","Septiembre","Octubre","Noviembre","Diciembre"},MONTH(F2656))))</f>
        <v>Septiembre</v>
      </c>
      <c r="N2656" s="18" t="str">
        <f t="shared" si="125"/>
        <v>Septiembre|205</v>
      </c>
    </row>
    <row r="2657" spans="1:14" ht="14.5" x14ac:dyDescent="0.25">
      <c r="A2657" s="19">
        <v>35</v>
      </c>
      <c r="B2657" s="18" t="s">
        <v>42</v>
      </c>
      <c r="C2657" s="18" t="s">
        <v>126</v>
      </c>
      <c r="D2657" s="18" t="s">
        <v>2974</v>
      </c>
      <c r="E2657" s="18" t="s">
        <v>3211</v>
      </c>
      <c r="F2657" s="101">
        <v>46279.587500000001</v>
      </c>
      <c r="G2657" s="101">
        <v>46282.777777777781</v>
      </c>
      <c r="H2657" s="18" t="s">
        <v>507</v>
      </c>
      <c r="I2657" s="18" t="s">
        <v>508</v>
      </c>
      <c r="J2657" s="18"/>
      <c r="K2657" s="21">
        <f t="shared" si="123"/>
        <v>76.566666666709352</v>
      </c>
      <c r="L2657" s="19">
        <f t="shared" si="124"/>
        <v>37</v>
      </c>
      <c r="M2657" s="18" t="str">
        <f>IF(I2657&lt;&gt;"Sí","",IF(YEAR(F2657)&lt;&gt;2026,"",INDEX({"Enero","Febrero","Marzo","Abril","Mayo","Junio","Julio","Agosto","Septiembre","Octubre","Noviembre","Diciembre"},MONTH(F2657))))</f>
        <v>Septiembre</v>
      </c>
      <c r="N2657" s="18" t="str">
        <f t="shared" si="125"/>
        <v>Septiembre|37</v>
      </c>
    </row>
    <row r="2658" spans="1:14" ht="14.5" x14ac:dyDescent="0.25">
      <c r="A2658" s="19">
        <v>35</v>
      </c>
      <c r="B2658" s="18" t="s">
        <v>42</v>
      </c>
      <c r="C2658" s="18" t="s">
        <v>126</v>
      </c>
      <c r="D2658" s="18" t="s">
        <v>2974</v>
      </c>
      <c r="E2658" s="18" t="s">
        <v>3212</v>
      </c>
      <c r="F2658" s="101">
        <v>46279.587500000001</v>
      </c>
      <c r="G2658" s="101">
        <v>46282.777777777781</v>
      </c>
      <c r="H2658" s="18" t="s">
        <v>507</v>
      </c>
      <c r="I2658" s="18" t="s">
        <v>508</v>
      </c>
      <c r="J2658" s="18"/>
      <c r="K2658" s="21">
        <f t="shared" si="123"/>
        <v>76.566666666709352</v>
      </c>
      <c r="L2658" s="19">
        <f t="shared" si="124"/>
        <v>37</v>
      </c>
      <c r="M2658" s="18" t="str">
        <f>IF(I2658&lt;&gt;"Sí","",IF(YEAR(F2658)&lt;&gt;2026,"",INDEX({"Enero","Febrero","Marzo","Abril","Mayo","Junio","Julio","Agosto","Septiembre","Octubre","Noviembre","Diciembre"},MONTH(F2658))))</f>
        <v>Septiembre</v>
      </c>
      <c r="N2658" s="18" t="str">
        <f t="shared" si="125"/>
        <v>Septiembre|37</v>
      </c>
    </row>
    <row r="2659" spans="1:14" ht="14.5" x14ac:dyDescent="0.25">
      <c r="A2659" s="19">
        <v>35</v>
      </c>
      <c r="B2659" s="18" t="s">
        <v>42</v>
      </c>
      <c r="C2659" s="18" t="s">
        <v>126</v>
      </c>
      <c r="D2659" s="18" t="s">
        <v>2974</v>
      </c>
      <c r="E2659" s="18" t="s">
        <v>3213</v>
      </c>
      <c r="F2659" s="101">
        <v>46279.587500000001</v>
      </c>
      <c r="G2659" s="101">
        <v>46282.777777777781</v>
      </c>
      <c r="H2659" s="18" t="s">
        <v>507</v>
      </c>
      <c r="I2659" s="18" t="s">
        <v>508</v>
      </c>
      <c r="J2659" s="18"/>
      <c r="K2659" s="21">
        <f t="shared" si="123"/>
        <v>76.566666666709352</v>
      </c>
      <c r="L2659" s="19">
        <f t="shared" si="124"/>
        <v>37</v>
      </c>
      <c r="M2659" s="18" t="str">
        <f>IF(I2659&lt;&gt;"Sí","",IF(YEAR(F2659)&lt;&gt;2026,"",INDEX({"Enero","Febrero","Marzo","Abril","Mayo","Junio","Julio","Agosto","Septiembre","Octubre","Noviembre","Diciembre"},MONTH(F2659))))</f>
        <v>Septiembre</v>
      </c>
      <c r="N2659" s="18" t="str">
        <f t="shared" si="125"/>
        <v>Septiembre|37</v>
      </c>
    </row>
    <row r="2660" spans="1:14" ht="14.5" x14ac:dyDescent="0.25">
      <c r="A2660" s="19">
        <v>35</v>
      </c>
      <c r="B2660" s="18" t="s">
        <v>42</v>
      </c>
      <c r="C2660" s="18" t="s">
        <v>126</v>
      </c>
      <c r="D2660" s="18" t="s">
        <v>2974</v>
      </c>
      <c r="E2660" s="18" t="s">
        <v>3214</v>
      </c>
      <c r="F2660" s="101">
        <v>46279.587500000001</v>
      </c>
      <c r="G2660" s="101">
        <v>46282.777777777781</v>
      </c>
      <c r="H2660" s="18" t="s">
        <v>507</v>
      </c>
      <c r="I2660" s="18" t="s">
        <v>508</v>
      </c>
      <c r="J2660" s="18"/>
      <c r="K2660" s="21">
        <f t="shared" si="123"/>
        <v>76.566666666709352</v>
      </c>
      <c r="L2660" s="19">
        <f t="shared" si="124"/>
        <v>37</v>
      </c>
      <c r="M2660" s="18" t="str">
        <f>IF(I2660&lt;&gt;"Sí","",IF(YEAR(F2660)&lt;&gt;2026,"",INDEX({"Enero","Febrero","Marzo","Abril","Mayo","Junio","Julio","Agosto","Septiembre","Octubre","Noviembre","Diciembre"},MONTH(F2660))))</f>
        <v>Septiembre</v>
      </c>
      <c r="N2660" s="18" t="str">
        <f t="shared" si="125"/>
        <v>Septiembre|37</v>
      </c>
    </row>
    <row r="2661" spans="1:14" ht="14.5" x14ac:dyDescent="0.25">
      <c r="A2661" s="19">
        <v>35</v>
      </c>
      <c r="B2661" s="18" t="s">
        <v>42</v>
      </c>
      <c r="C2661" s="18" t="s">
        <v>126</v>
      </c>
      <c r="D2661" s="18" t="s">
        <v>2974</v>
      </c>
      <c r="E2661" s="18" t="s">
        <v>3215</v>
      </c>
      <c r="F2661" s="101">
        <v>46279.679861111108</v>
      </c>
      <c r="G2661" s="101">
        <v>46282.777777777781</v>
      </c>
      <c r="H2661" s="18" t="s">
        <v>507</v>
      </c>
      <c r="I2661" s="18" t="s">
        <v>508</v>
      </c>
      <c r="J2661" s="18"/>
      <c r="K2661" s="21">
        <f t="shared" si="123"/>
        <v>74.35000000015134</v>
      </c>
      <c r="L2661" s="19">
        <f t="shared" si="124"/>
        <v>38</v>
      </c>
      <c r="M2661" s="18" t="str">
        <f>IF(I2661&lt;&gt;"Sí","",IF(YEAR(F2661)&lt;&gt;2026,"",INDEX({"Enero","Febrero","Marzo","Abril","Mayo","Junio","Julio","Agosto","Septiembre","Octubre","Noviembre","Diciembre"},MONTH(F2661))))</f>
        <v>Septiembre</v>
      </c>
      <c r="N2661" s="18" t="str">
        <f t="shared" si="125"/>
        <v>Septiembre|38</v>
      </c>
    </row>
    <row r="2662" spans="1:14" ht="14.5" x14ac:dyDescent="0.25">
      <c r="A2662" s="19">
        <v>35</v>
      </c>
      <c r="B2662" s="18" t="s">
        <v>42</v>
      </c>
      <c r="C2662" s="18" t="s">
        <v>106</v>
      </c>
      <c r="D2662" s="18" t="s">
        <v>3216</v>
      </c>
      <c r="E2662" s="18" t="s">
        <v>3217</v>
      </c>
      <c r="F2662" s="101"/>
      <c r="G2662" s="101">
        <v>46279.96597222222</v>
      </c>
      <c r="H2662" s="18" t="s">
        <v>554</v>
      </c>
      <c r="I2662" s="18" t="s">
        <v>555</v>
      </c>
      <c r="J2662" s="18" t="s">
        <v>556</v>
      </c>
      <c r="K2662" s="21" t="str">
        <f t="shared" si="123"/>
        <v/>
      </c>
      <c r="L2662" s="19" t="str">
        <f t="shared" si="124"/>
        <v/>
      </c>
      <c r="M2662" s="18" t="str">
        <f>IF(I2662&lt;&gt;"Sí","",IF(YEAR(F2662)&lt;&gt;2026,"",INDEX({"Enero","Febrero","Marzo","Abril","Mayo","Junio","Julio","Agosto","Septiembre","Octubre","Noviembre","Diciembre"},MONTH(F2662))))</f>
        <v/>
      </c>
      <c r="N2662" s="18" t="str">
        <f t="shared" si="125"/>
        <v/>
      </c>
    </row>
    <row r="2663" spans="1:14" ht="14.5" x14ac:dyDescent="0.25">
      <c r="A2663" s="19">
        <v>35</v>
      </c>
      <c r="B2663" s="18" t="s">
        <v>42</v>
      </c>
      <c r="C2663" s="18" t="s">
        <v>106</v>
      </c>
      <c r="D2663" s="18" t="s">
        <v>3216</v>
      </c>
      <c r="E2663" s="18" t="s">
        <v>3217</v>
      </c>
      <c r="F2663" s="101">
        <v>46280.006944444445</v>
      </c>
      <c r="G2663" s="101">
        <v>46282.351388888892</v>
      </c>
      <c r="H2663" s="18" t="s">
        <v>554</v>
      </c>
      <c r="I2663" s="18" t="s">
        <v>508</v>
      </c>
      <c r="J2663" s="18"/>
      <c r="K2663" s="21">
        <f t="shared" si="123"/>
        <v>56.266666666720994</v>
      </c>
      <c r="L2663" s="19">
        <f t="shared" si="124"/>
        <v>39</v>
      </c>
      <c r="M2663" s="18" t="str">
        <f>IF(I2663&lt;&gt;"Sí","",IF(YEAR(F2663)&lt;&gt;2026,"",INDEX({"Enero","Febrero","Marzo","Abril","Mayo","Junio","Julio","Agosto","Septiembre","Octubre","Noviembre","Diciembre"},MONTH(F2663))))</f>
        <v>Septiembre</v>
      </c>
      <c r="N2663" s="18" t="str">
        <f t="shared" si="125"/>
        <v>Septiembre|39</v>
      </c>
    </row>
    <row r="2664" spans="1:14" ht="14.5" x14ac:dyDescent="0.25">
      <c r="A2664" s="19">
        <v>35</v>
      </c>
      <c r="B2664" s="18" t="s">
        <v>42</v>
      </c>
      <c r="C2664" s="18" t="s">
        <v>126</v>
      </c>
      <c r="D2664" s="18" t="s">
        <v>2974</v>
      </c>
      <c r="E2664" s="18" t="s">
        <v>3218</v>
      </c>
      <c r="F2664" s="101">
        <v>46280.407638888886</v>
      </c>
      <c r="G2664" s="101">
        <v>46282.777777777781</v>
      </c>
      <c r="H2664" s="18" t="s">
        <v>507</v>
      </c>
      <c r="I2664" s="18" t="s">
        <v>508</v>
      </c>
      <c r="J2664" s="18"/>
      <c r="K2664" s="21">
        <f t="shared" si="123"/>
        <v>56.883333333476912</v>
      </c>
      <c r="L2664" s="19">
        <f t="shared" si="124"/>
        <v>40</v>
      </c>
      <c r="M2664" s="18" t="str">
        <f>IF(I2664&lt;&gt;"Sí","",IF(YEAR(F2664)&lt;&gt;2026,"",INDEX({"Enero","Febrero","Marzo","Abril","Mayo","Junio","Julio","Agosto","Septiembre","Octubre","Noviembre","Diciembre"},MONTH(F2664))))</f>
        <v>Septiembre</v>
      </c>
      <c r="N2664" s="18" t="str">
        <f t="shared" si="125"/>
        <v>Septiembre|40</v>
      </c>
    </row>
    <row r="2665" spans="1:14" ht="14.5" x14ac:dyDescent="0.25">
      <c r="A2665" s="19">
        <v>35</v>
      </c>
      <c r="B2665" s="18" t="s">
        <v>42</v>
      </c>
      <c r="C2665" s="18" t="s">
        <v>126</v>
      </c>
      <c r="D2665" s="18" t="s">
        <v>2974</v>
      </c>
      <c r="E2665" s="18" t="s">
        <v>3219</v>
      </c>
      <c r="F2665" s="101">
        <v>46280.407638888886</v>
      </c>
      <c r="G2665" s="101">
        <v>46282.777777777781</v>
      </c>
      <c r="H2665" s="18" t="s">
        <v>507</v>
      </c>
      <c r="I2665" s="18" t="s">
        <v>508</v>
      </c>
      <c r="J2665" s="18"/>
      <c r="K2665" s="21">
        <f t="shared" si="123"/>
        <v>56.883333333476912</v>
      </c>
      <c r="L2665" s="19">
        <f t="shared" si="124"/>
        <v>40</v>
      </c>
      <c r="M2665" s="18" t="str">
        <f>IF(I2665&lt;&gt;"Sí","",IF(YEAR(F2665)&lt;&gt;2026,"",INDEX({"Enero","Febrero","Marzo","Abril","Mayo","Junio","Julio","Agosto","Septiembre","Octubre","Noviembre","Diciembre"},MONTH(F2665))))</f>
        <v>Septiembre</v>
      </c>
      <c r="N2665" s="18" t="str">
        <f t="shared" si="125"/>
        <v>Septiembre|40</v>
      </c>
    </row>
    <row r="2666" spans="1:14" ht="14.5" x14ac:dyDescent="0.25">
      <c r="A2666" s="19">
        <v>35</v>
      </c>
      <c r="B2666" s="18" t="s">
        <v>42</v>
      </c>
      <c r="C2666" s="18" t="s">
        <v>126</v>
      </c>
      <c r="D2666" s="18" t="s">
        <v>2974</v>
      </c>
      <c r="E2666" s="18" t="s">
        <v>3220</v>
      </c>
      <c r="F2666" s="101">
        <v>46280.472222222219</v>
      </c>
      <c r="G2666" s="101">
        <v>46283.070138888892</v>
      </c>
      <c r="H2666" s="18" t="s">
        <v>507</v>
      </c>
      <c r="I2666" s="18" t="s">
        <v>508</v>
      </c>
      <c r="J2666" s="18"/>
      <c r="K2666" s="21">
        <f t="shared" si="123"/>
        <v>62.35000000015134</v>
      </c>
      <c r="L2666" s="19">
        <f t="shared" si="124"/>
        <v>41</v>
      </c>
      <c r="M2666" s="18" t="str">
        <f>IF(I2666&lt;&gt;"Sí","",IF(YEAR(F2666)&lt;&gt;2026,"",INDEX({"Enero","Febrero","Marzo","Abril","Mayo","Junio","Julio","Agosto","Septiembre","Octubre","Noviembre","Diciembre"},MONTH(F2666))))</f>
        <v>Septiembre</v>
      </c>
      <c r="N2666" s="18" t="str">
        <f t="shared" si="125"/>
        <v>Septiembre|41</v>
      </c>
    </row>
    <row r="2667" spans="1:14" ht="14.5" x14ac:dyDescent="0.25">
      <c r="A2667" s="19">
        <v>35</v>
      </c>
      <c r="B2667" s="18" t="s">
        <v>42</v>
      </c>
      <c r="C2667" s="18" t="s">
        <v>715</v>
      </c>
      <c r="D2667" s="18" t="s">
        <v>3221</v>
      </c>
      <c r="E2667" s="18" t="s">
        <v>3222</v>
      </c>
      <c r="F2667" s="101">
        <v>46280.640972222223</v>
      </c>
      <c r="G2667" s="101">
        <v>46290.628472222219</v>
      </c>
      <c r="H2667" s="18" t="s">
        <v>507</v>
      </c>
      <c r="I2667" s="18" t="s">
        <v>508</v>
      </c>
      <c r="J2667" s="18"/>
      <c r="K2667" s="21">
        <f t="shared" si="123"/>
        <v>239.69999999989523</v>
      </c>
      <c r="L2667" s="19">
        <f t="shared" si="124"/>
        <v>44</v>
      </c>
      <c r="M2667" s="18" t="str">
        <f>IF(I2667&lt;&gt;"Sí","",IF(YEAR(F2667)&lt;&gt;2026,"",INDEX({"Enero","Febrero","Marzo","Abril","Mayo","Junio","Julio","Agosto","Septiembre","Octubre","Noviembre","Diciembre"},MONTH(F2667))))</f>
        <v>Septiembre</v>
      </c>
      <c r="N2667" s="18" t="str">
        <f t="shared" si="125"/>
        <v>Septiembre|44</v>
      </c>
    </row>
    <row r="2668" spans="1:14" ht="14.5" x14ac:dyDescent="0.25">
      <c r="A2668" s="19">
        <v>35</v>
      </c>
      <c r="B2668" s="18" t="s">
        <v>42</v>
      </c>
      <c r="C2668" s="18" t="s">
        <v>715</v>
      </c>
      <c r="D2668" s="18" t="s">
        <v>3221</v>
      </c>
      <c r="E2668" s="18" t="s">
        <v>3223</v>
      </c>
      <c r="F2668" s="101">
        <v>46280.640972222223</v>
      </c>
      <c r="G2668" s="101">
        <v>46290.625</v>
      </c>
      <c r="H2668" s="18" t="s">
        <v>507</v>
      </c>
      <c r="I2668" s="18" t="s">
        <v>508</v>
      </c>
      <c r="J2668" s="18"/>
      <c r="K2668" s="21">
        <f t="shared" si="123"/>
        <v>239.6166666666395</v>
      </c>
      <c r="L2668" s="19">
        <f t="shared" si="124"/>
        <v>44</v>
      </c>
      <c r="M2668" s="18" t="str">
        <f>IF(I2668&lt;&gt;"Sí","",IF(YEAR(F2668)&lt;&gt;2026,"",INDEX({"Enero","Febrero","Marzo","Abril","Mayo","Junio","Julio","Agosto","Septiembre","Octubre","Noviembre","Diciembre"},MONTH(F2668))))</f>
        <v>Septiembre</v>
      </c>
      <c r="N2668" s="18" t="str">
        <f t="shared" si="125"/>
        <v>Septiembre|44</v>
      </c>
    </row>
    <row r="2669" spans="1:14" ht="14.5" x14ac:dyDescent="0.25">
      <c r="A2669" s="19">
        <v>35</v>
      </c>
      <c r="B2669" s="18" t="s">
        <v>42</v>
      </c>
      <c r="C2669" s="18" t="s">
        <v>715</v>
      </c>
      <c r="D2669" s="18" t="s">
        <v>3221</v>
      </c>
      <c r="E2669" s="18" t="s">
        <v>3224</v>
      </c>
      <c r="F2669" s="101">
        <v>46280.640972222223</v>
      </c>
      <c r="G2669" s="101">
        <v>46290.616666666669</v>
      </c>
      <c r="H2669" s="18" t="s">
        <v>507</v>
      </c>
      <c r="I2669" s="18" t="s">
        <v>508</v>
      </c>
      <c r="J2669" s="18"/>
      <c r="K2669" s="21">
        <f t="shared" si="123"/>
        <v>239.41666666668607</v>
      </c>
      <c r="L2669" s="19">
        <f t="shared" si="124"/>
        <v>44</v>
      </c>
      <c r="M2669" s="18" t="str">
        <f>IF(I2669&lt;&gt;"Sí","",IF(YEAR(F2669)&lt;&gt;2026,"",INDEX({"Enero","Febrero","Marzo","Abril","Mayo","Junio","Julio","Agosto","Septiembre","Octubre","Noviembre","Diciembre"},MONTH(F2669))))</f>
        <v>Septiembre</v>
      </c>
      <c r="N2669" s="18" t="str">
        <f t="shared" si="125"/>
        <v>Septiembre|44</v>
      </c>
    </row>
    <row r="2670" spans="1:14" ht="14.5" x14ac:dyDescent="0.25">
      <c r="A2670" s="19">
        <v>35</v>
      </c>
      <c r="B2670" s="18" t="s">
        <v>42</v>
      </c>
      <c r="C2670" s="18" t="s">
        <v>715</v>
      </c>
      <c r="D2670" s="18" t="s">
        <v>3221</v>
      </c>
      <c r="E2670" s="18" t="s">
        <v>3225</v>
      </c>
      <c r="F2670" s="101">
        <v>46281.629166666666</v>
      </c>
      <c r="G2670" s="101">
        <v>46290.706944444442</v>
      </c>
      <c r="H2670" s="18" t="s">
        <v>507</v>
      </c>
      <c r="I2670" s="18" t="s">
        <v>508</v>
      </c>
      <c r="J2670" s="18"/>
      <c r="K2670" s="21">
        <f t="shared" si="123"/>
        <v>217.8666666666395</v>
      </c>
      <c r="L2670" s="19">
        <f t="shared" si="124"/>
        <v>45</v>
      </c>
      <c r="M2670" s="18" t="str">
        <f>IF(I2670&lt;&gt;"Sí","",IF(YEAR(F2670)&lt;&gt;2026,"",INDEX({"Enero","Febrero","Marzo","Abril","Mayo","Junio","Julio","Agosto","Septiembre","Octubre","Noviembre","Diciembre"},MONTH(F2670))))</f>
        <v>Septiembre</v>
      </c>
      <c r="N2670" s="18" t="str">
        <f t="shared" si="125"/>
        <v>Septiembre|45</v>
      </c>
    </row>
    <row r="2671" spans="1:14" ht="14.5" x14ac:dyDescent="0.25">
      <c r="A2671" s="19">
        <v>35</v>
      </c>
      <c r="B2671" s="18" t="s">
        <v>42</v>
      </c>
      <c r="C2671" s="18" t="s">
        <v>95</v>
      </c>
      <c r="D2671" s="18" t="s">
        <v>3204</v>
      </c>
      <c r="E2671" s="18" t="s">
        <v>3226</v>
      </c>
      <c r="F2671" s="101">
        <v>46282.04791666667</v>
      </c>
      <c r="G2671" s="101">
        <v>46284.589583333334</v>
      </c>
      <c r="H2671" s="18" t="s">
        <v>507</v>
      </c>
      <c r="I2671" s="18" t="s">
        <v>508</v>
      </c>
      <c r="J2671" s="18"/>
      <c r="K2671" s="21">
        <f t="shared" si="123"/>
        <v>60.999999999941792</v>
      </c>
      <c r="L2671" s="19">
        <f t="shared" si="124"/>
        <v>81</v>
      </c>
      <c r="M2671" s="18" t="str">
        <f>IF(I2671&lt;&gt;"Sí","",IF(YEAR(F2671)&lt;&gt;2026,"",INDEX({"Enero","Febrero","Marzo","Abril","Mayo","Junio","Julio","Agosto","Septiembre","Octubre","Noviembre","Diciembre"},MONTH(F2671))))</f>
        <v>Septiembre</v>
      </c>
      <c r="N2671" s="18" t="str">
        <f t="shared" si="125"/>
        <v>Septiembre|81</v>
      </c>
    </row>
    <row r="2672" spans="1:14" ht="14.5" x14ac:dyDescent="0.25">
      <c r="A2672" s="19">
        <v>35</v>
      </c>
      <c r="B2672" s="18" t="s">
        <v>42</v>
      </c>
      <c r="C2672" s="18" t="s">
        <v>95</v>
      </c>
      <c r="D2672" s="18" t="s">
        <v>3204</v>
      </c>
      <c r="E2672" s="18" t="s">
        <v>3227</v>
      </c>
      <c r="F2672" s="101">
        <v>46282.04791666667</v>
      </c>
      <c r="G2672" s="101">
        <v>46284.572916666664</v>
      </c>
      <c r="H2672" s="18" t="s">
        <v>507</v>
      </c>
      <c r="I2672" s="18" t="s">
        <v>508</v>
      </c>
      <c r="J2672" s="18"/>
      <c r="K2672" s="21">
        <f t="shared" si="123"/>
        <v>60.599999999860302</v>
      </c>
      <c r="L2672" s="19">
        <f t="shared" si="124"/>
        <v>81</v>
      </c>
      <c r="M2672" s="18" t="str">
        <f>IF(I2672&lt;&gt;"Sí","",IF(YEAR(F2672)&lt;&gt;2026,"",INDEX({"Enero","Febrero","Marzo","Abril","Mayo","Junio","Julio","Agosto","Septiembre","Octubre","Noviembre","Diciembre"},MONTH(F2672))))</f>
        <v>Septiembre</v>
      </c>
      <c r="N2672" s="18" t="str">
        <f t="shared" si="125"/>
        <v>Septiembre|81</v>
      </c>
    </row>
    <row r="2673" spans="1:14" ht="14.5" x14ac:dyDescent="0.25">
      <c r="A2673" s="19">
        <v>35</v>
      </c>
      <c r="B2673" s="18" t="s">
        <v>42</v>
      </c>
      <c r="C2673" s="18" t="s">
        <v>95</v>
      </c>
      <c r="D2673" s="18" t="s">
        <v>3204</v>
      </c>
      <c r="E2673" s="18" t="s">
        <v>3228</v>
      </c>
      <c r="F2673" s="101">
        <v>46282.04791666667</v>
      </c>
      <c r="G2673" s="101">
        <v>46284.572916666664</v>
      </c>
      <c r="H2673" s="18" t="s">
        <v>507</v>
      </c>
      <c r="I2673" s="18" t="s">
        <v>508</v>
      </c>
      <c r="J2673" s="18"/>
      <c r="K2673" s="21">
        <f t="shared" si="123"/>
        <v>60.599999999860302</v>
      </c>
      <c r="L2673" s="19">
        <f t="shared" si="124"/>
        <v>81</v>
      </c>
      <c r="M2673" s="18" t="str">
        <f>IF(I2673&lt;&gt;"Sí","",IF(YEAR(F2673)&lt;&gt;2026,"",INDEX({"Enero","Febrero","Marzo","Abril","Mayo","Junio","Julio","Agosto","Septiembre","Octubre","Noviembre","Diciembre"},MONTH(F2673))))</f>
        <v>Septiembre</v>
      </c>
      <c r="N2673" s="18" t="str">
        <f t="shared" si="125"/>
        <v>Septiembre|81</v>
      </c>
    </row>
    <row r="2674" spans="1:14" ht="14.5" x14ac:dyDescent="0.25">
      <c r="A2674" s="19">
        <v>35</v>
      </c>
      <c r="B2674" s="18" t="s">
        <v>42</v>
      </c>
      <c r="C2674" s="18" t="s">
        <v>95</v>
      </c>
      <c r="D2674" s="18" t="s">
        <v>3204</v>
      </c>
      <c r="E2674" s="18" t="s">
        <v>3229</v>
      </c>
      <c r="F2674" s="101">
        <v>46282.04791666667</v>
      </c>
      <c r="G2674" s="101">
        <v>46284.572916666664</v>
      </c>
      <c r="H2674" s="18" t="s">
        <v>507</v>
      </c>
      <c r="I2674" s="18" t="s">
        <v>508</v>
      </c>
      <c r="J2674" s="18"/>
      <c r="K2674" s="21">
        <f t="shared" si="123"/>
        <v>60.599999999860302</v>
      </c>
      <c r="L2674" s="19">
        <f t="shared" si="124"/>
        <v>81</v>
      </c>
      <c r="M2674" s="18" t="str">
        <f>IF(I2674&lt;&gt;"Sí","",IF(YEAR(F2674)&lt;&gt;2026,"",INDEX({"Enero","Febrero","Marzo","Abril","Mayo","Junio","Julio","Agosto","Septiembre","Octubre","Noviembre","Diciembre"},MONTH(F2674))))</f>
        <v>Septiembre</v>
      </c>
      <c r="N2674" s="18" t="str">
        <f t="shared" si="125"/>
        <v>Septiembre|81</v>
      </c>
    </row>
    <row r="2675" spans="1:14" ht="14.5" x14ac:dyDescent="0.25">
      <c r="A2675" s="19">
        <v>35</v>
      </c>
      <c r="B2675" s="18" t="s">
        <v>42</v>
      </c>
      <c r="C2675" s="18" t="s">
        <v>95</v>
      </c>
      <c r="D2675" s="18" t="s">
        <v>3204</v>
      </c>
      <c r="E2675" s="18" t="s">
        <v>3230</v>
      </c>
      <c r="F2675" s="101">
        <v>46282.04791666667</v>
      </c>
      <c r="G2675" s="101">
        <v>46284.572916666664</v>
      </c>
      <c r="H2675" s="18" t="s">
        <v>507</v>
      </c>
      <c r="I2675" s="18" t="s">
        <v>508</v>
      </c>
      <c r="J2675" s="18"/>
      <c r="K2675" s="21">
        <f t="shared" si="123"/>
        <v>60.599999999860302</v>
      </c>
      <c r="L2675" s="19">
        <f t="shared" si="124"/>
        <v>81</v>
      </c>
      <c r="M2675" s="18" t="str">
        <f>IF(I2675&lt;&gt;"Sí","",IF(YEAR(F2675)&lt;&gt;2026,"",INDEX({"Enero","Febrero","Marzo","Abril","Mayo","Junio","Julio","Agosto","Septiembre","Octubre","Noviembre","Diciembre"},MONTH(F2675))))</f>
        <v>Septiembre</v>
      </c>
      <c r="N2675" s="18" t="str">
        <f t="shared" si="125"/>
        <v>Septiembre|81</v>
      </c>
    </row>
    <row r="2676" spans="1:14" ht="14.5" x14ac:dyDescent="0.25">
      <c r="A2676" s="19">
        <v>35</v>
      </c>
      <c r="B2676" s="18" t="s">
        <v>42</v>
      </c>
      <c r="C2676" s="18" t="s">
        <v>95</v>
      </c>
      <c r="D2676" s="18" t="s">
        <v>3204</v>
      </c>
      <c r="E2676" s="18" t="s">
        <v>3231</v>
      </c>
      <c r="F2676" s="101">
        <v>46282.04791666667</v>
      </c>
      <c r="G2676" s="101">
        <v>46284.572916666664</v>
      </c>
      <c r="H2676" s="18" t="s">
        <v>507</v>
      </c>
      <c r="I2676" s="18" t="s">
        <v>508</v>
      </c>
      <c r="J2676" s="18"/>
      <c r="K2676" s="21">
        <f t="shared" si="123"/>
        <v>60.599999999860302</v>
      </c>
      <c r="L2676" s="19">
        <f t="shared" si="124"/>
        <v>81</v>
      </c>
      <c r="M2676" s="18" t="str">
        <f>IF(I2676&lt;&gt;"Sí","",IF(YEAR(F2676)&lt;&gt;2026,"",INDEX({"Enero","Febrero","Marzo","Abril","Mayo","Junio","Julio","Agosto","Septiembre","Octubre","Noviembre","Diciembre"},MONTH(F2676))))</f>
        <v>Septiembre</v>
      </c>
      <c r="N2676" s="18" t="str">
        <f t="shared" si="125"/>
        <v>Septiembre|81</v>
      </c>
    </row>
    <row r="2677" spans="1:14" ht="14.5" x14ac:dyDescent="0.25">
      <c r="A2677" s="19">
        <v>35</v>
      </c>
      <c r="B2677" s="18" t="s">
        <v>42</v>
      </c>
      <c r="C2677" s="18" t="s">
        <v>95</v>
      </c>
      <c r="D2677" s="18" t="s">
        <v>3204</v>
      </c>
      <c r="E2677" s="18" t="s">
        <v>3232</v>
      </c>
      <c r="F2677" s="101">
        <v>46282.04791666667</v>
      </c>
      <c r="G2677" s="101">
        <v>46284.572916666664</v>
      </c>
      <c r="H2677" s="18" t="s">
        <v>507</v>
      </c>
      <c r="I2677" s="18" t="s">
        <v>508</v>
      </c>
      <c r="J2677" s="18"/>
      <c r="K2677" s="21">
        <f t="shared" si="123"/>
        <v>60.599999999860302</v>
      </c>
      <c r="L2677" s="19">
        <f t="shared" si="124"/>
        <v>81</v>
      </c>
      <c r="M2677" s="18" t="str">
        <f>IF(I2677&lt;&gt;"Sí","",IF(YEAR(F2677)&lt;&gt;2026,"",INDEX({"Enero","Febrero","Marzo","Abril","Mayo","Junio","Julio","Agosto","Septiembre","Octubre","Noviembre","Diciembre"},MONTH(F2677))))</f>
        <v>Septiembre</v>
      </c>
      <c r="N2677" s="18" t="str">
        <f t="shared" si="125"/>
        <v>Septiembre|81</v>
      </c>
    </row>
    <row r="2678" spans="1:14" ht="14.5" x14ac:dyDescent="0.25">
      <c r="A2678" s="19">
        <v>35</v>
      </c>
      <c r="B2678" s="18" t="s">
        <v>42</v>
      </c>
      <c r="C2678" s="18" t="s">
        <v>95</v>
      </c>
      <c r="D2678" s="18" t="s">
        <v>3204</v>
      </c>
      <c r="E2678" s="18" t="s">
        <v>3233</v>
      </c>
      <c r="F2678" s="101">
        <v>46282.04791666667</v>
      </c>
      <c r="G2678" s="101">
        <v>46284.572916666664</v>
      </c>
      <c r="H2678" s="18" t="s">
        <v>507</v>
      </c>
      <c r="I2678" s="18" t="s">
        <v>508</v>
      </c>
      <c r="J2678" s="18"/>
      <c r="K2678" s="21">
        <f t="shared" si="123"/>
        <v>60.599999999860302</v>
      </c>
      <c r="L2678" s="19">
        <f t="shared" si="124"/>
        <v>81</v>
      </c>
      <c r="M2678" s="18" t="str">
        <f>IF(I2678&lt;&gt;"Sí","",IF(YEAR(F2678)&lt;&gt;2026,"",INDEX({"Enero","Febrero","Marzo","Abril","Mayo","Junio","Julio","Agosto","Septiembre","Octubre","Noviembre","Diciembre"},MONTH(F2678))))</f>
        <v>Septiembre</v>
      </c>
      <c r="N2678" s="18" t="str">
        <f t="shared" si="125"/>
        <v>Septiembre|81</v>
      </c>
    </row>
    <row r="2679" spans="1:14" ht="14.5" x14ac:dyDescent="0.25">
      <c r="A2679" s="19">
        <v>35</v>
      </c>
      <c r="B2679" s="18" t="s">
        <v>42</v>
      </c>
      <c r="C2679" s="18" t="s">
        <v>95</v>
      </c>
      <c r="D2679" s="18" t="s">
        <v>3204</v>
      </c>
      <c r="E2679" s="18" t="s">
        <v>3234</v>
      </c>
      <c r="F2679" s="101">
        <v>46282.04791666667</v>
      </c>
      <c r="G2679" s="101">
        <v>46284.555555555555</v>
      </c>
      <c r="H2679" s="18" t="s">
        <v>507</v>
      </c>
      <c r="I2679" s="18" t="s">
        <v>508</v>
      </c>
      <c r="J2679" s="18"/>
      <c r="K2679" s="21">
        <f t="shared" si="123"/>
        <v>60.18333333323244</v>
      </c>
      <c r="L2679" s="19">
        <f t="shared" si="124"/>
        <v>81</v>
      </c>
      <c r="M2679" s="18" t="str">
        <f>IF(I2679&lt;&gt;"Sí","",IF(YEAR(F2679)&lt;&gt;2026,"",INDEX({"Enero","Febrero","Marzo","Abril","Mayo","Junio","Julio","Agosto","Septiembre","Octubre","Noviembre","Diciembre"},MONTH(F2679))))</f>
        <v>Septiembre</v>
      </c>
      <c r="N2679" s="18" t="str">
        <f t="shared" si="125"/>
        <v>Septiembre|81</v>
      </c>
    </row>
    <row r="2680" spans="1:14" ht="14.5" x14ac:dyDescent="0.25">
      <c r="A2680" s="19">
        <v>35</v>
      </c>
      <c r="B2680" s="18" t="s">
        <v>42</v>
      </c>
      <c r="C2680" s="18" t="s">
        <v>95</v>
      </c>
      <c r="D2680" s="18" t="s">
        <v>3204</v>
      </c>
      <c r="E2680" s="18" t="s">
        <v>3235</v>
      </c>
      <c r="F2680" s="101">
        <v>46282.04791666667</v>
      </c>
      <c r="G2680" s="101">
        <v>46284.572916666664</v>
      </c>
      <c r="H2680" s="18" t="s">
        <v>507</v>
      </c>
      <c r="I2680" s="18" t="s">
        <v>508</v>
      </c>
      <c r="J2680" s="18"/>
      <c r="K2680" s="21">
        <f t="shared" si="123"/>
        <v>60.599999999860302</v>
      </c>
      <c r="L2680" s="19">
        <f t="shared" si="124"/>
        <v>81</v>
      </c>
      <c r="M2680" s="18" t="str">
        <f>IF(I2680&lt;&gt;"Sí","",IF(YEAR(F2680)&lt;&gt;2026,"",INDEX({"Enero","Febrero","Marzo","Abril","Mayo","Junio","Julio","Agosto","Septiembre","Octubre","Noviembre","Diciembre"},MONTH(F2680))))</f>
        <v>Septiembre</v>
      </c>
      <c r="N2680" s="18" t="str">
        <f t="shared" si="125"/>
        <v>Septiembre|81</v>
      </c>
    </row>
    <row r="2681" spans="1:14" ht="14.5" x14ac:dyDescent="0.25">
      <c r="A2681" s="19">
        <v>35</v>
      </c>
      <c r="B2681" s="18" t="s">
        <v>42</v>
      </c>
      <c r="C2681" s="18" t="s">
        <v>95</v>
      </c>
      <c r="D2681" s="18" t="s">
        <v>3204</v>
      </c>
      <c r="E2681" s="18" t="s">
        <v>3236</v>
      </c>
      <c r="F2681" s="101">
        <v>46282.04791666667</v>
      </c>
      <c r="G2681" s="101">
        <v>46284.555555555555</v>
      </c>
      <c r="H2681" s="18" t="s">
        <v>507</v>
      </c>
      <c r="I2681" s="18" t="s">
        <v>508</v>
      </c>
      <c r="J2681" s="18"/>
      <c r="K2681" s="21">
        <f t="shared" si="123"/>
        <v>60.18333333323244</v>
      </c>
      <c r="L2681" s="19">
        <f t="shared" si="124"/>
        <v>81</v>
      </c>
      <c r="M2681" s="18" t="str">
        <f>IF(I2681&lt;&gt;"Sí","",IF(YEAR(F2681)&lt;&gt;2026,"",INDEX({"Enero","Febrero","Marzo","Abril","Mayo","Junio","Julio","Agosto","Septiembre","Octubre","Noviembre","Diciembre"},MONTH(F2681))))</f>
        <v>Septiembre</v>
      </c>
      <c r="N2681" s="18" t="str">
        <f t="shared" si="125"/>
        <v>Septiembre|81</v>
      </c>
    </row>
    <row r="2682" spans="1:14" ht="14.5" x14ac:dyDescent="0.25">
      <c r="A2682" s="19">
        <v>35</v>
      </c>
      <c r="B2682" s="18" t="s">
        <v>42</v>
      </c>
      <c r="C2682" s="18" t="s">
        <v>95</v>
      </c>
      <c r="D2682" s="18" t="s">
        <v>3204</v>
      </c>
      <c r="E2682" s="18" t="s">
        <v>3237</v>
      </c>
      <c r="F2682" s="101">
        <v>46282.04791666667</v>
      </c>
      <c r="G2682" s="101">
        <v>46284.551388888889</v>
      </c>
      <c r="H2682" s="18" t="s">
        <v>507</v>
      </c>
      <c r="I2682" s="18" t="s">
        <v>508</v>
      </c>
      <c r="J2682" s="18"/>
      <c r="K2682" s="21">
        <f t="shared" si="123"/>
        <v>60.083333333255723</v>
      </c>
      <c r="L2682" s="19">
        <f t="shared" si="124"/>
        <v>81</v>
      </c>
      <c r="M2682" s="18" t="str">
        <f>IF(I2682&lt;&gt;"Sí","",IF(YEAR(F2682)&lt;&gt;2026,"",INDEX({"Enero","Febrero","Marzo","Abril","Mayo","Junio","Julio","Agosto","Septiembre","Octubre","Noviembre","Diciembre"},MONTH(F2682))))</f>
        <v>Septiembre</v>
      </c>
      <c r="N2682" s="18" t="str">
        <f t="shared" si="125"/>
        <v>Septiembre|81</v>
      </c>
    </row>
    <row r="2683" spans="1:14" ht="14.5" x14ac:dyDescent="0.25">
      <c r="A2683" s="19">
        <v>35</v>
      </c>
      <c r="B2683" s="18" t="s">
        <v>42</v>
      </c>
      <c r="C2683" s="18" t="s">
        <v>95</v>
      </c>
      <c r="D2683" s="18" t="s">
        <v>3204</v>
      </c>
      <c r="E2683" s="18" t="s">
        <v>3238</v>
      </c>
      <c r="F2683" s="101">
        <v>46282.04791666667</v>
      </c>
      <c r="G2683" s="101">
        <v>46284.551388888889</v>
      </c>
      <c r="H2683" s="18" t="s">
        <v>507</v>
      </c>
      <c r="I2683" s="18" t="s">
        <v>508</v>
      </c>
      <c r="J2683" s="18"/>
      <c r="K2683" s="21">
        <f t="shared" si="123"/>
        <v>60.083333333255723</v>
      </c>
      <c r="L2683" s="19">
        <f t="shared" si="124"/>
        <v>81</v>
      </c>
      <c r="M2683" s="18" t="str">
        <f>IF(I2683&lt;&gt;"Sí","",IF(YEAR(F2683)&lt;&gt;2026,"",INDEX({"Enero","Febrero","Marzo","Abril","Mayo","Junio","Julio","Agosto","Septiembre","Octubre","Noviembre","Diciembre"},MONTH(F2683))))</f>
        <v>Septiembre</v>
      </c>
      <c r="N2683" s="18" t="str">
        <f t="shared" si="125"/>
        <v>Septiembre|81</v>
      </c>
    </row>
    <row r="2684" spans="1:14" ht="14.5" x14ac:dyDescent="0.25">
      <c r="A2684" s="19">
        <v>35</v>
      </c>
      <c r="B2684" s="18" t="s">
        <v>42</v>
      </c>
      <c r="C2684" s="18" t="s">
        <v>95</v>
      </c>
      <c r="D2684" s="18" t="s">
        <v>3204</v>
      </c>
      <c r="E2684" s="18" t="s">
        <v>3239</v>
      </c>
      <c r="F2684" s="101">
        <v>46282.04791666667</v>
      </c>
      <c r="G2684" s="101">
        <v>46284.551388888889</v>
      </c>
      <c r="H2684" s="18" t="s">
        <v>507</v>
      </c>
      <c r="I2684" s="18" t="s">
        <v>508</v>
      </c>
      <c r="J2684" s="18"/>
      <c r="K2684" s="21">
        <f t="shared" si="123"/>
        <v>60.083333333255723</v>
      </c>
      <c r="L2684" s="19">
        <f t="shared" si="124"/>
        <v>81</v>
      </c>
      <c r="M2684" s="18" t="str">
        <f>IF(I2684&lt;&gt;"Sí","",IF(YEAR(F2684)&lt;&gt;2026,"",INDEX({"Enero","Febrero","Marzo","Abril","Mayo","Junio","Julio","Agosto","Septiembre","Octubre","Noviembre","Diciembre"},MONTH(F2684))))</f>
        <v>Septiembre</v>
      </c>
      <c r="N2684" s="18" t="str">
        <f t="shared" si="125"/>
        <v>Septiembre|81</v>
      </c>
    </row>
    <row r="2685" spans="1:14" ht="14.5" x14ac:dyDescent="0.25">
      <c r="A2685" s="19">
        <v>35</v>
      </c>
      <c r="B2685" s="18" t="s">
        <v>42</v>
      </c>
      <c r="C2685" s="18" t="s">
        <v>95</v>
      </c>
      <c r="D2685" s="18" t="s">
        <v>3204</v>
      </c>
      <c r="E2685" s="18" t="s">
        <v>3240</v>
      </c>
      <c r="F2685" s="101">
        <v>46282.04791666667</v>
      </c>
      <c r="G2685" s="101">
        <v>46284.551388888889</v>
      </c>
      <c r="H2685" s="18" t="s">
        <v>507</v>
      </c>
      <c r="I2685" s="18" t="s">
        <v>508</v>
      </c>
      <c r="J2685" s="18"/>
      <c r="K2685" s="21">
        <f t="shared" si="123"/>
        <v>60.083333333255723</v>
      </c>
      <c r="L2685" s="19">
        <f t="shared" si="124"/>
        <v>81</v>
      </c>
      <c r="M2685" s="18" t="str">
        <f>IF(I2685&lt;&gt;"Sí","",IF(YEAR(F2685)&lt;&gt;2026,"",INDEX({"Enero","Febrero","Marzo","Abril","Mayo","Junio","Julio","Agosto","Septiembre","Octubre","Noviembre","Diciembre"},MONTH(F2685))))</f>
        <v>Septiembre</v>
      </c>
      <c r="N2685" s="18" t="str">
        <f t="shared" si="125"/>
        <v>Septiembre|81</v>
      </c>
    </row>
    <row r="2686" spans="1:14" ht="14.5" x14ac:dyDescent="0.25">
      <c r="A2686" s="19">
        <v>35</v>
      </c>
      <c r="B2686" s="18" t="s">
        <v>42</v>
      </c>
      <c r="C2686" s="18" t="s">
        <v>95</v>
      </c>
      <c r="D2686" s="18" t="s">
        <v>3204</v>
      </c>
      <c r="E2686" s="18" t="s">
        <v>3241</v>
      </c>
      <c r="F2686" s="101">
        <v>46282.04791666667</v>
      </c>
      <c r="G2686" s="101">
        <v>46284.54791666667</v>
      </c>
      <c r="H2686" s="18" t="s">
        <v>507</v>
      </c>
      <c r="I2686" s="18" t="s">
        <v>508</v>
      </c>
      <c r="J2686" s="18"/>
      <c r="K2686" s="21">
        <f t="shared" si="123"/>
        <v>60</v>
      </c>
      <c r="L2686" s="19">
        <f t="shared" si="124"/>
        <v>81</v>
      </c>
      <c r="M2686" s="18" t="str">
        <f>IF(I2686&lt;&gt;"Sí","",IF(YEAR(F2686)&lt;&gt;2026,"",INDEX({"Enero","Febrero","Marzo","Abril","Mayo","Junio","Julio","Agosto","Septiembre","Octubre","Noviembre","Diciembre"},MONTH(F2686))))</f>
        <v>Septiembre</v>
      </c>
      <c r="N2686" s="18" t="str">
        <f t="shared" si="125"/>
        <v>Septiembre|81</v>
      </c>
    </row>
    <row r="2687" spans="1:14" ht="14.5" x14ac:dyDescent="0.25">
      <c r="A2687" s="19">
        <v>35</v>
      </c>
      <c r="B2687" s="18" t="s">
        <v>42</v>
      </c>
      <c r="C2687" s="18" t="s">
        <v>95</v>
      </c>
      <c r="D2687" s="18" t="s">
        <v>3204</v>
      </c>
      <c r="E2687" s="18" t="s">
        <v>3242</v>
      </c>
      <c r="F2687" s="101">
        <v>46282.04791666667</v>
      </c>
      <c r="G2687" s="101">
        <v>46284.589583333334</v>
      </c>
      <c r="H2687" s="18" t="s">
        <v>507</v>
      </c>
      <c r="I2687" s="18" t="s">
        <v>508</v>
      </c>
      <c r="J2687" s="18"/>
      <c r="K2687" s="21">
        <f t="shared" si="123"/>
        <v>60.999999999941792</v>
      </c>
      <c r="L2687" s="19">
        <f t="shared" si="124"/>
        <v>81</v>
      </c>
      <c r="M2687" s="18" t="str">
        <f>IF(I2687&lt;&gt;"Sí","",IF(YEAR(F2687)&lt;&gt;2026,"",INDEX({"Enero","Febrero","Marzo","Abril","Mayo","Junio","Julio","Agosto","Septiembre","Octubre","Noviembre","Diciembre"},MONTH(F2687))))</f>
        <v>Septiembre</v>
      </c>
      <c r="N2687" s="18" t="str">
        <f t="shared" si="125"/>
        <v>Septiembre|81</v>
      </c>
    </row>
    <row r="2688" spans="1:14" ht="14.5" x14ac:dyDescent="0.25">
      <c r="A2688" s="19">
        <v>35</v>
      </c>
      <c r="B2688" s="18" t="s">
        <v>42</v>
      </c>
      <c r="C2688" s="18" t="s">
        <v>95</v>
      </c>
      <c r="D2688" s="18" t="s">
        <v>3204</v>
      </c>
      <c r="E2688" s="18" t="s">
        <v>3243</v>
      </c>
      <c r="F2688" s="101">
        <v>46282.04791666667</v>
      </c>
      <c r="G2688" s="101">
        <v>46284.54791666667</v>
      </c>
      <c r="H2688" s="18" t="s">
        <v>507</v>
      </c>
      <c r="I2688" s="18" t="s">
        <v>508</v>
      </c>
      <c r="J2688" s="18"/>
      <c r="K2688" s="21">
        <f t="shared" si="123"/>
        <v>60</v>
      </c>
      <c r="L2688" s="19">
        <f t="shared" si="124"/>
        <v>81</v>
      </c>
      <c r="M2688" s="18" t="str">
        <f>IF(I2688&lt;&gt;"Sí","",IF(YEAR(F2688)&lt;&gt;2026,"",INDEX({"Enero","Febrero","Marzo","Abril","Mayo","Junio","Julio","Agosto","Septiembre","Octubre","Noviembre","Diciembre"},MONTH(F2688))))</f>
        <v>Septiembre</v>
      </c>
      <c r="N2688" s="18" t="str">
        <f t="shared" si="125"/>
        <v>Septiembre|81</v>
      </c>
    </row>
    <row r="2689" spans="1:14" ht="14.5" x14ac:dyDescent="0.25">
      <c r="A2689" s="19">
        <v>35</v>
      </c>
      <c r="B2689" s="18" t="s">
        <v>42</v>
      </c>
      <c r="C2689" s="18" t="s">
        <v>95</v>
      </c>
      <c r="D2689" s="18" t="s">
        <v>3204</v>
      </c>
      <c r="E2689" s="18" t="s">
        <v>3244</v>
      </c>
      <c r="F2689" s="101">
        <v>46282.04791666667</v>
      </c>
      <c r="G2689" s="101">
        <v>46284.589583333334</v>
      </c>
      <c r="H2689" s="18" t="s">
        <v>507</v>
      </c>
      <c r="I2689" s="18" t="s">
        <v>508</v>
      </c>
      <c r="J2689" s="18"/>
      <c r="K2689" s="21">
        <f t="shared" si="123"/>
        <v>60.999999999941792</v>
      </c>
      <c r="L2689" s="19">
        <f t="shared" si="124"/>
        <v>81</v>
      </c>
      <c r="M2689" s="18" t="str">
        <f>IF(I2689&lt;&gt;"Sí","",IF(YEAR(F2689)&lt;&gt;2026,"",INDEX({"Enero","Febrero","Marzo","Abril","Mayo","Junio","Julio","Agosto","Septiembre","Octubre","Noviembre","Diciembre"},MONTH(F2689))))</f>
        <v>Septiembre</v>
      </c>
      <c r="N2689" s="18" t="str">
        <f t="shared" si="125"/>
        <v>Septiembre|81</v>
      </c>
    </row>
    <row r="2690" spans="1:14" ht="14.5" x14ac:dyDescent="0.25">
      <c r="A2690" s="19">
        <v>35</v>
      </c>
      <c r="B2690" s="18" t="s">
        <v>42</v>
      </c>
      <c r="C2690" s="18" t="s">
        <v>95</v>
      </c>
      <c r="D2690" s="18" t="s">
        <v>3204</v>
      </c>
      <c r="E2690" s="18" t="s">
        <v>3245</v>
      </c>
      <c r="F2690" s="101">
        <v>46282.04791666667</v>
      </c>
      <c r="G2690" s="101">
        <v>46284.451388888891</v>
      </c>
      <c r="H2690" s="18" t="s">
        <v>507</v>
      </c>
      <c r="I2690" s="18" t="s">
        <v>508</v>
      </c>
      <c r="J2690" s="18"/>
      <c r="K2690" s="21">
        <f t="shared" si="123"/>
        <v>57.683333333290648</v>
      </c>
      <c r="L2690" s="19">
        <f t="shared" si="124"/>
        <v>81</v>
      </c>
      <c r="M2690" s="18" t="str">
        <f>IF(I2690&lt;&gt;"Sí","",IF(YEAR(F2690)&lt;&gt;2026,"",INDEX({"Enero","Febrero","Marzo","Abril","Mayo","Junio","Julio","Agosto","Septiembre","Octubre","Noviembre","Diciembre"},MONTH(F2690))))</f>
        <v>Septiembre</v>
      </c>
      <c r="N2690" s="18" t="str">
        <f t="shared" si="125"/>
        <v>Septiembre|81</v>
      </c>
    </row>
    <row r="2691" spans="1:14" ht="14.5" x14ac:dyDescent="0.25">
      <c r="A2691" s="19">
        <v>35</v>
      </c>
      <c r="B2691" s="18" t="s">
        <v>42</v>
      </c>
      <c r="C2691" s="18" t="s">
        <v>95</v>
      </c>
      <c r="D2691" s="18" t="s">
        <v>3204</v>
      </c>
      <c r="E2691" s="18" t="s">
        <v>3246</v>
      </c>
      <c r="F2691" s="101">
        <v>46282.04791666667</v>
      </c>
      <c r="G2691" s="101">
        <v>46284.451388888891</v>
      </c>
      <c r="H2691" s="18" t="s">
        <v>507</v>
      </c>
      <c r="I2691" s="18" t="s">
        <v>508</v>
      </c>
      <c r="J2691" s="18"/>
      <c r="K2691" s="21">
        <f t="shared" si="123"/>
        <v>57.683333333290648</v>
      </c>
      <c r="L2691" s="19">
        <f t="shared" si="124"/>
        <v>81</v>
      </c>
      <c r="M2691" s="18" t="str">
        <f>IF(I2691&lt;&gt;"Sí","",IF(YEAR(F2691)&lt;&gt;2026,"",INDEX({"Enero","Febrero","Marzo","Abril","Mayo","Junio","Julio","Agosto","Septiembre","Octubre","Noviembre","Diciembre"},MONTH(F2691))))</f>
        <v>Septiembre</v>
      </c>
      <c r="N2691" s="18" t="str">
        <f t="shared" si="125"/>
        <v>Septiembre|81</v>
      </c>
    </row>
    <row r="2692" spans="1:14" ht="14.5" x14ac:dyDescent="0.25">
      <c r="A2692" s="19">
        <v>35</v>
      </c>
      <c r="B2692" s="18" t="s">
        <v>42</v>
      </c>
      <c r="C2692" s="18" t="s">
        <v>95</v>
      </c>
      <c r="D2692" s="18" t="s">
        <v>3204</v>
      </c>
      <c r="E2692" s="18" t="s">
        <v>3247</v>
      </c>
      <c r="F2692" s="101">
        <v>46282.04791666667</v>
      </c>
      <c r="G2692" s="101">
        <v>46284.589583333334</v>
      </c>
      <c r="H2692" s="18" t="s">
        <v>507</v>
      </c>
      <c r="I2692" s="18" t="s">
        <v>508</v>
      </c>
      <c r="J2692" s="18"/>
      <c r="K2692" s="21">
        <f t="shared" si="123"/>
        <v>60.999999999941792</v>
      </c>
      <c r="L2692" s="19">
        <f t="shared" si="124"/>
        <v>81</v>
      </c>
      <c r="M2692" s="18" t="str">
        <f>IF(I2692&lt;&gt;"Sí","",IF(YEAR(F2692)&lt;&gt;2026,"",INDEX({"Enero","Febrero","Marzo","Abril","Mayo","Junio","Julio","Agosto","Septiembre","Octubre","Noviembre","Diciembre"},MONTH(F2692))))</f>
        <v>Septiembre</v>
      </c>
      <c r="N2692" s="18" t="str">
        <f t="shared" si="125"/>
        <v>Septiembre|81</v>
      </c>
    </row>
    <row r="2693" spans="1:14" ht="14.5" x14ac:dyDescent="0.25">
      <c r="A2693" s="19">
        <v>35</v>
      </c>
      <c r="B2693" s="18" t="s">
        <v>42</v>
      </c>
      <c r="C2693" s="18" t="s">
        <v>95</v>
      </c>
      <c r="D2693" s="18" t="s">
        <v>3204</v>
      </c>
      <c r="E2693" s="18" t="s">
        <v>3248</v>
      </c>
      <c r="F2693" s="101">
        <v>46282.04791666667</v>
      </c>
      <c r="G2693" s="101">
        <v>46284.451388888891</v>
      </c>
      <c r="H2693" s="18" t="s">
        <v>507</v>
      </c>
      <c r="I2693" s="18" t="s">
        <v>508</v>
      </c>
      <c r="J2693" s="18"/>
      <c r="K2693" s="21">
        <f t="shared" si="123"/>
        <v>57.683333333290648</v>
      </c>
      <c r="L2693" s="19">
        <f t="shared" si="124"/>
        <v>81</v>
      </c>
      <c r="M2693" s="18" t="str">
        <f>IF(I2693&lt;&gt;"Sí","",IF(YEAR(F2693)&lt;&gt;2026,"",INDEX({"Enero","Febrero","Marzo","Abril","Mayo","Junio","Julio","Agosto","Septiembre","Octubre","Noviembre","Diciembre"},MONTH(F2693))))</f>
        <v>Septiembre</v>
      </c>
      <c r="N2693" s="18" t="str">
        <f t="shared" si="125"/>
        <v>Septiembre|81</v>
      </c>
    </row>
    <row r="2694" spans="1:14" ht="14.5" x14ac:dyDescent="0.25">
      <c r="A2694" s="19">
        <v>35</v>
      </c>
      <c r="B2694" s="18" t="s">
        <v>42</v>
      </c>
      <c r="C2694" s="18" t="s">
        <v>95</v>
      </c>
      <c r="D2694" s="18" t="s">
        <v>3204</v>
      </c>
      <c r="E2694" s="18" t="s">
        <v>3249</v>
      </c>
      <c r="F2694" s="101">
        <v>46282.04791666667</v>
      </c>
      <c r="G2694" s="101">
        <v>46284.451388888891</v>
      </c>
      <c r="H2694" s="18" t="s">
        <v>507</v>
      </c>
      <c r="I2694" s="18" t="s">
        <v>508</v>
      </c>
      <c r="J2694" s="18"/>
      <c r="K2694" s="21">
        <f t="shared" si="123"/>
        <v>57.683333333290648</v>
      </c>
      <c r="L2694" s="19">
        <f t="shared" si="124"/>
        <v>81</v>
      </c>
      <c r="M2694" s="18" t="str">
        <f>IF(I2694&lt;&gt;"Sí","",IF(YEAR(F2694)&lt;&gt;2026,"",INDEX({"Enero","Febrero","Marzo","Abril","Mayo","Junio","Julio","Agosto","Septiembre","Octubre","Noviembre","Diciembre"},MONTH(F2694))))</f>
        <v>Septiembre</v>
      </c>
      <c r="N2694" s="18" t="str">
        <f t="shared" si="125"/>
        <v>Septiembre|81</v>
      </c>
    </row>
    <row r="2695" spans="1:14" ht="14.5" x14ac:dyDescent="0.25">
      <c r="A2695" s="19">
        <v>35</v>
      </c>
      <c r="B2695" s="18" t="s">
        <v>42</v>
      </c>
      <c r="C2695" s="18" t="s">
        <v>95</v>
      </c>
      <c r="D2695" s="18" t="s">
        <v>3204</v>
      </c>
      <c r="E2695" s="18" t="s">
        <v>3250</v>
      </c>
      <c r="F2695" s="101">
        <v>46282.04791666667</v>
      </c>
      <c r="G2695" s="101">
        <v>46284.451388888891</v>
      </c>
      <c r="H2695" s="18" t="s">
        <v>507</v>
      </c>
      <c r="I2695" s="18" t="s">
        <v>508</v>
      </c>
      <c r="J2695" s="18"/>
      <c r="K2695" s="21">
        <f t="shared" ref="K2695:K2758" si="126">IF(I2695="Sí",(G2695-F2695)*24,"")</f>
        <v>57.683333333290648</v>
      </c>
      <c r="L2695" s="19">
        <f t="shared" ref="L2695:L2758" si="127">IF(I2695="Sí",COUNTIFS($F$7:$F$4000,"&lt;="&amp;F2695,$G$7:$G$4000,"&gt;"&amp;F2695,$I$7:$I$4000,"Sí"),"")</f>
        <v>81</v>
      </c>
      <c r="M2695" s="18" t="str">
        <f>IF(I2695&lt;&gt;"Sí","",IF(YEAR(F2695)&lt;&gt;2026,"",INDEX({"Enero","Febrero","Marzo","Abril","Mayo","Junio","Julio","Agosto","Septiembre","Octubre","Noviembre","Diciembre"},MONTH(F2695))))</f>
        <v>Septiembre</v>
      </c>
      <c r="N2695" s="18" t="str">
        <f t="shared" ref="N2695:N2758" si="128">IF(M2695="","",M2695&amp;"|"&amp;L2695)</f>
        <v>Septiembre|81</v>
      </c>
    </row>
    <row r="2696" spans="1:14" ht="14.5" x14ac:dyDescent="0.25">
      <c r="A2696" s="19">
        <v>35</v>
      </c>
      <c r="B2696" s="18" t="s">
        <v>42</v>
      </c>
      <c r="C2696" s="18" t="s">
        <v>95</v>
      </c>
      <c r="D2696" s="18" t="s">
        <v>3204</v>
      </c>
      <c r="E2696" s="18" t="s">
        <v>3251</v>
      </c>
      <c r="F2696" s="101">
        <v>46282.04791666667</v>
      </c>
      <c r="G2696" s="101">
        <v>46284.451388888891</v>
      </c>
      <c r="H2696" s="18" t="s">
        <v>507</v>
      </c>
      <c r="I2696" s="18" t="s">
        <v>508</v>
      </c>
      <c r="J2696" s="18"/>
      <c r="K2696" s="21">
        <f t="shared" si="126"/>
        <v>57.683333333290648</v>
      </c>
      <c r="L2696" s="19">
        <f t="shared" si="127"/>
        <v>81</v>
      </c>
      <c r="M2696" s="18" t="str">
        <f>IF(I2696&lt;&gt;"Sí","",IF(YEAR(F2696)&lt;&gt;2026,"",INDEX({"Enero","Febrero","Marzo","Abril","Mayo","Junio","Julio","Agosto","Septiembre","Octubre","Noviembre","Diciembre"},MONTH(F2696))))</f>
        <v>Septiembre</v>
      </c>
      <c r="N2696" s="18" t="str">
        <f t="shared" si="128"/>
        <v>Septiembre|81</v>
      </c>
    </row>
    <row r="2697" spans="1:14" ht="14.5" x14ac:dyDescent="0.25">
      <c r="A2697" s="19">
        <v>35</v>
      </c>
      <c r="B2697" s="18" t="s">
        <v>42</v>
      </c>
      <c r="C2697" s="18" t="s">
        <v>95</v>
      </c>
      <c r="D2697" s="18" t="s">
        <v>3204</v>
      </c>
      <c r="E2697" s="18" t="s">
        <v>3252</v>
      </c>
      <c r="F2697" s="101">
        <v>46282.04791666667</v>
      </c>
      <c r="G2697" s="101">
        <v>46284.451388888891</v>
      </c>
      <c r="H2697" s="18" t="s">
        <v>507</v>
      </c>
      <c r="I2697" s="18" t="s">
        <v>508</v>
      </c>
      <c r="J2697" s="18"/>
      <c r="K2697" s="21">
        <f t="shared" si="126"/>
        <v>57.683333333290648</v>
      </c>
      <c r="L2697" s="19">
        <f t="shared" si="127"/>
        <v>81</v>
      </c>
      <c r="M2697" s="18" t="str">
        <f>IF(I2697&lt;&gt;"Sí","",IF(YEAR(F2697)&lt;&gt;2026,"",INDEX({"Enero","Febrero","Marzo","Abril","Mayo","Junio","Julio","Agosto","Septiembre","Octubre","Noviembre","Diciembre"},MONTH(F2697))))</f>
        <v>Septiembre</v>
      </c>
      <c r="N2697" s="18" t="str">
        <f t="shared" si="128"/>
        <v>Septiembre|81</v>
      </c>
    </row>
    <row r="2698" spans="1:14" ht="14.5" x14ac:dyDescent="0.25">
      <c r="A2698" s="19">
        <v>35</v>
      </c>
      <c r="B2698" s="18" t="s">
        <v>42</v>
      </c>
      <c r="C2698" s="18" t="s">
        <v>95</v>
      </c>
      <c r="D2698" s="18" t="s">
        <v>3204</v>
      </c>
      <c r="E2698" s="18" t="s">
        <v>3253</v>
      </c>
      <c r="F2698" s="101">
        <v>46282.04791666667</v>
      </c>
      <c r="G2698" s="101">
        <v>46284.451388888891</v>
      </c>
      <c r="H2698" s="18" t="s">
        <v>507</v>
      </c>
      <c r="I2698" s="18" t="s">
        <v>508</v>
      </c>
      <c r="J2698" s="18"/>
      <c r="K2698" s="21">
        <f t="shared" si="126"/>
        <v>57.683333333290648</v>
      </c>
      <c r="L2698" s="19">
        <f t="shared" si="127"/>
        <v>81</v>
      </c>
      <c r="M2698" s="18" t="str">
        <f>IF(I2698&lt;&gt;"Sí","",IF(YEAR(F2698)&lt;&gt;2026,"",INDEX({"Enero","Febrero","Marzo","Abril","Mayo","Junio","Julio","Agosto","Septiembre","Octubre","Noviembre","Diciembre"},MONTH(F2698))))</f>
        <v>Septiembre</v>
      </c>
      <c r="N2698" s="18" t="str">
        <f t="shared" si="128"/>
        <v>Septiembre|81</v>
      </c>
    </row>
    <row r="2699" spans="1:14" ht="14.5" x14ac:dyDescent="0.25">
      <c r="A2699" s="19">
        <v>35</v>
      </c>
      <c r="B2699" s="18" t="s">
        <v>42</v>
      </c>
      <c r="C2699" s="18" t="s">
        <v>95</v>
      </c>
      <c r="D2699" s="18" t="s">
        <v>3204</v>
      </c>
      <c r="E2699" s="18" t="s">
        <v>3254</v>
      </c>
      <c r="F2699" s="101">
        <v>46282.04791666667</v>
      </c>
      <c r="G2699" s="101">
        <v>46284.451388888891</v>
      </c>
      <c r="H2699" s="18" t="s">
        <v>507</v>
      </c>
      <c r="I2699" s="18" t="s">
        <v>508</v>
      </c>
      <c r="J2699" s="18"/>
      <c r="K2699" s="21">
        <f t="shared" si="126"/>
        <v>57.683333333290648</v>
      </c>
      <c r="L2699" s="19">
        <f t="shared" si="127"/>
        <v>81</v>
      </c>
      <c r="M2699" s="18" t="str">
        <f>IF(I2699&lt;&gt;"Sí","",IF(YEAR(F2699)&lt;&gt;2026,"",INDEX({"Enero","Febrero","Marzo","Abril","Mayo","Junio","Julio","Agosto","Septiembre","Octubre","Noviembre","Diciembre"},MONTH(F2699))))</f>
        <v>Septiembre</v>
      </c>
      <c r="N2699" s="18" t="str">
        <f t="shared" si="128"/>
        <v>Septiembre|81</v>
      </c>
    </row>
    <row r="2700" spans="1:14" ht="14.5" x14ac:dyDescent="0.25">
      <c r="A2700" s="19">
        <v>35</v>
      </c>
      <c r="B2700" s="18" t="s">
        <v>42</v>
      </c>
      <c r="C2700" s="18" t="s">
        <v>95</v>
      </c>
      <c r="D2700" s="18" t="s">
        <v>3204</v>
      </c>
      <c r="E2700" s="18" t="s">
        <v>3255</v>
      </c>
      <c r="F2700" s="101">
        <v>46282.04791666667</v>
      </c>
      <c r="G2700" s="101">
        <v>46284.451388888891</v>
      </c>
      <c r="H2700" s="18" t="s">
        <v>507</v>
      </c>
      <c r="I2700" s="18" t="s">
        <v>508</v>
      </c>
      <c r="J2700" s="18"/>
      <c r="K2700" s="21">
        <f t="shared" si="126"/>
        <v>57.683333333290648</v>
      </c>
      <c r="L2700" s="19">
        <f t="shared" si="127"/>
        <v>81</v>
      </c>
      <c r="M2700" s="18" t="str">
        <f>IF(I2700&lt;&gt;"Sí","",IF(YEAR(F2700)&lt;&gt;2026,"",INDEX({"Enero","Febrero","Marzo","Abril","Mayo","Junio","Julio","Agosto","Septiembre","Octubre","Noviembre","Diciembre"},MONTH(F2700))))</f>
        <v>Septiembre</v>
      </c>
      <c r="N2700" s="18" t="str">
        <f t="shared" si="128"/>
        <v>Septiembre|81</v>
      </c>
    </row>
    <row r="2701" spans="1:14" ht="14.5" x14ac:dyDescent="0.25">
      <c r="A2701" s="19">
        <v>35</v>
      </c>
      <c r="B2701" s="18" t="s">
        <v>42</v>
      </c>
      <c r="C2701" s="18" t="s">
        <v>95</v>
      </c>
      <c r="D2701" s="18" t="s">
        <v>3204</v>
      </c>
      <c r="E2701" s="18" t="s">
        <v>3256</v>
      </c>
      <c r="F2701" s="101">
        <v>46282.04791666667</v>
      </c>
      <c r="G2701" s="101">
        <v>46284.451388888891</v>
      </c>
      <c r="H2701" s="18" t="s">
        <v>507</v>
      </c>
      <c r="I2701" s="18" t="s">
        <v>508</v>
      </c>
      <c r="J2701" s="18"/>
      <c r="K2701" s="21">
        <f t="shared" si="126"/>
        <v>57.683333333290648</v>
      </c>
      <c r="L2701" s="19">
        <f t="shared" si="127"/>
        <v>81</v>
      </c>
      <c r="M2701" s="18" t="str">
        <f>IF(I2701&lt;&gt;"Sí","",IF(YEAR(F2701)&lt;&gt;2026,"",INDEX({"Enero","Febrero","Marzo","Abril","Mayo","Junio","Julio","Agosto","Septiembre","Octubre","Noviembre","Diciembre"},MONTH(F2701))))</f>
        <v>Septiembre</v>
      </c>
      <c r="N2701" s="18" t="str">
        <f t="shared" si="128"/>
        <v>Septiembre|81</v>
      </c>
    </row>
    <row r="2702" spans="1:14" ht="14.5" x14ac:dyDescent="0.25">
      <c r="A2702" s="19">
        <v>35</v>
      </c>
      <c r="B2702" s="18" t="s">
        <v>42</v>
      </c>
      <c r="C2702" s="18" t="s">
        <v>95</v>
      </c>
      <c r="D2702" s="18" t="s">
        <v>3204</v>
      </c>
      <c r="E2702" s="18" t="s">
        <v>3257</v>
      </c>
      <c r="F2702" s="101">
        <v>46282.04791666667</v>
      </c>
      <c r="G2702" s="101">
        <v>46284.451388888891</v>
      </c>
      <c r="H2702" s="18" t="s">
        <v>507</v>
      </c>
      <c r="I2702" s="18" t="s">
        <v>508</v>
      </c>
      <c r="J2702" s="18"/>
      <c r="K2702" s="21">
        <f t="shared" si="126"/>
        <v>57.683333333290648</v>
      </c>
      <c r="L2702" s="19">
        <f t="shared" si="127"/>
        <v>81</v>
      </c>
      <c r="M2702" s="18" t="str">
        <f>IF(I2702&lt;&gt;"Sí","",IF(YEAR(F2702)&lt;&gt;2026,"",INDEX({"Enero","Febrero","Marzo","Abril","Mayo","Junio","Julio","Agosto","Septiembre","Octubre","Noviembre","Diciembre"},MONTH(F2702))))</f>
        <v>Septiembre</v>
      </c>
      <c r="N2702" s="18" t="str">
        <f t="shared" si="128"/>
        <v>Septiembre|81</v>
      </c>
    </row>
    <row r="2703" spans="1:14" ht="14.5" x14ac:dyDescent="0.25">
      <c r="A2703" s="19">
        <v>35</v>
      </c>
      <c r="B2703" s="18" t="s">
        <v>42</v>
      </c>
      <c r="C2703" s="18" t="s">
        <v>95</v>
      </c>
      <c r="D2703" s="18" t="s">
        <v>3204</v>
      </c>
      <c r="E2703" s="18" t="s">
        <v>3258</v>
      </c>
      <c r="F2703" s="101">
        <v>46282.04791666667</v>
      </c>
      <c r="G2703" s="101">
        <v>46284.451388888891</v>
      </c>
      <c r="H2703" s="18" t="s">
        <v>507</v>
      </c>
      <c r="I2703" s="18" t="s">
        <v>508</v>
      </c>
      <c r="J2703" s="18"/>
      <c r="K2703" s="21">
        <f t="shared" si="126"/>
        <v>57.683333333290648</v>
      </c>
      <c r="L2703" s="19">
        <f t="shared" si="127"/>
        <v>81</v>
      </c>
      <c r="M2703" s="18" t="str">
        <f>IF(I2703&lt;&gt;"Sí","",IF(YEAR(F2703)&lt;&gt;2026,"",INDEX({"Enero","Febrero","Marzo","Abril","Mayo","Junio","Julio","Agosto","Septiembre","Octubre","Noviembre","Diciembre"},MONTH(F2703))))</f>
        <v>Septiembre</v>
      </c>
      <c r="N2703" s="18" t="str">
        <f t="shared" si="128"/>
        <v>Septiembre|81</v>
      </c>
    </row>
    <row r="2704" spans="1:14" ht="14.5" x14ac:dyDescent="0.25">
      <c r="A2704" s="19">
        <v>35</v>
      </c>
      <c r="B2704" s="18" t="s">
        <v>42</v>
      </c>
      <c r="C2704" s="18" t="s">
        <v>95</v>
      </c>
      <c r="D2704" s="18" t="s">
        <v>3204</v>
      </c>
      <c r="E2704" s="18" t="s">
        <v>3259</v>
      </c>
      <c r="F2704" s="101">
        <v>46282.04791666667</v>
      </c>
      <c r="G2704" s="101">
        <v>46284.589583333334</v>
      </c>
      <c r="H2704" s="18" t="s">
        <v>507</v>
      </c>
      <c r="I2704" s="18" t="s">
        <v>508</v>
      </c>
      <c r="J2704" s="18"/>
      <c r="K2704" s="21">
        <f t="shared" si="126"/>
        <v>60.999999999941792</v>
      </c>
      <c r="L2704" s="19">
        <f t="shared" si="127"/>
        <v>81</v>
      </c>
      <c r="M2704" s="18" t="str">
        <f>IF(I2704&lt;&gt;"Sí","",IF(YEAR(F2704)&lt;&gt;2026,"",INDEX({"Enero","Febrero","Marzo","Abril","Mayo","Junio","Julio","Agosto","Septiembre","Octubre","Noviembre","Diciembre"},MONTH(F2704))))</f>
        <v>Septiembre</v>
      </c>
      <c r="N2704" s="18" t="str">
        <f t="shared" si="128"/>
        <v>Septiembre|81</v>
      </c>
    </row>
    <row r="2705" spans="1:14" ht="14.5" x14ac:dyDescent="0.25">
      <c r="A2705" s="19">
        <v>35</v>
      </c>
      <c r="B2705" s="18" t="s">
        <v>42</v>
      </c>
      <c r="C2705" s="18" t="s">
        <v>95</v>
      </c>
      <c r="D2705" s="18" t="s">
        <v>3204</v>
      </c>
      <c r="E2705" s="18" t="s">
        <v>3260</v>
      </c>
      <c r="F2705" s="101">
        <v>46282.04791666667</v>
      </c>
      <c r="G2705" s="101">
        <v>46284.589583333334</v>
      </c>
      <c r="H2705" s="18" t="s">
        <v>507</v>
      </c>
      <c r="I2705" s="18" t="s">
        <v>508</v>
      </c>
      <c r="J2705" s="18"/>
      <c r="K2705" s="21">
        <f t="shared" si="126"/>
        <v>60.999999999941792</v>
      </c>
      <c r="L2705" s="19">
        <f t="shared" si="127"/>
        <v>81</v>
      </c>
      <c r="M2705" s="18" t="str">
        <f>IF(I2705&lt;&gt;"Sí","",IF(YEAR(F2705)&lt;&gt;2026,"",INDEX({"Enero","Febrero","Marzo","Abril","Mayo","Junio","Julio","Agosto","Septiembre","Octubre","Noviembre","Diciembre"},MONTH(F2705))))</f>
        <v>Septiembre</v>
      </c>
      <c r="N2705" s="18" t="str">
        <f t="shared" si="128"/>
        <v>Septiembre|81</v>
      </c>
    </row>
    <row r="2706" spans="1:14" ht="14.5" x14ac:dyDescent="0.25">
      <c r="A2706" s="19">
        <v>35</v>
      </c>
      <c r="B2706" s="18" t="s">
        <v>42</v>
      </c>
      <c r="C2706" s="18" t="s">
        <v>95</v>
      </c>
      <c r="D2706" s="18" t="s">
        <v>3204</v>
      </c>
      <c r="E2706" s="18" t="s">
        <v>3261</v>
      </c>
      <c r="F2706" s="101">
        <v>46282.04791666667</v>
      </c>
      <c r="G2706" s="101">
        <v>46284.589583333334</v>
      </c>
      <c r="H2706" s="18" t="s">
        <v>507</v>
      </c>
      <c r="I2706" s="18" t="s">
        <v>508</v>
      </c>
      <c r="J2706" s="18"/>
      <c r="K2706" s="21">
        <f t="shared" si="126"/>
        <v>60.999999999941792</v>
      </c>
      <c r="L2706" s="19">
        <f t="shared" si="127"/>
        <v>81</v>
      </c>
      <c r="M2706" s="18" t="str">
        <f>IF(I2706&lt;&gt;"Sí","",IF(YEAR(F2706)&lt;&gt;2026,"",INDEX({"Enero","Febrero","Marzo","Abril","Mayo","Junio","Julio","Agosto","Septiembre","Octubre","Noviembre","Diciembre"},MONTH(F2706))))</f>
        <v>Septiembre</v>
      </c>
      <c r="N2706" s="18" t="str">
        <f t="shared" si="128"/>
        <v>Septiembre|81</v>
      </c>
    </row>
    <row r="2707" spans="1:14" ht="14.5" x14ac:dyDescent="0.25">
      <c r="A2707" s="19">
        <v>35</v>
      </c>
      <c r="B2707" s="18" t="s">
        <v>42</v>
      </c>
      <c r="C2707" s="18" t="s">
        <v>95</v>
      </c>
      <c r="D2707" s="18" t="s">
        <v>3204</v>
      </c>
      <c r="E2707" s="18" t="s">
        <v>3262</v>
      </c>
      <c r="F2707" s="101">
        <v>46282.048611111109</v>
      </c>
      <c r="G2707" s="101">
        <v>46283.784722222219</v>
      </c>
      <c r="H2707" s="18" t="s">
        <v>507</v>
      </c>
      <c r="I2707" s="18" t="s">
        <v>508</v>
      </c>
      <c r="J2707" s="18"/>
      <c r="K2707" s="21">
        <f t="shared" si="126"/>
        <v>41.666666666627862</v>
      </c>
      <c r="L2707" s="19">
        <f t="shared" si="127"/>
        <v>82</v>
      </c>
      <c r="M2707" s="18" t="str">
        <f>IF(I2707&lt;&gt;"Sí","",IF(YEAR(F2707)&lt;&gt;2026,"",INDEX({"Enero","Febrero","Marzo","Abril","Mayo","Junio","Julio","Agosto","Septiembre","Octubre","Noviembre","Diciembre"},MONTH(F2707))))</f>
        <v>Septiembre</v>
      </c>
      <c r="N2707" s="18" t="str">
        <f t="shared" si="128"/>
        <v>Septiembre|82</v>
      </c>
    </row>
    <row r="2708" spans="1:14" ht="14.5" x14ac:dyDescent="0.25">
      <c r="A2708" s="19">
        <v>35</v>
      </c>
      <c r="B2708" s="18" t="s">
        <v>42</v>
      </c>
      <c r="C2708" s="18" t="s">
        <v>95</v>
      </c>
      <c r="D2708" s="18" t="s">
        <v>3204</v>
      </c>
      <c r="E2708" s="18" t="s">
        <v>3263</v>
      </c>
      <c r="F2708" s="101">
        <v>46282.055555555555</v>
      </c>
      <c r="G2708" s="101">
        <v>46284.451388888891</v>
      </c>
      <c r="H2708" s="18" t="s">
        <v>507</v>
      </c>
      <c r="I2708" s="18" t="s">
        <v>508</v>
      </c>
      <c r="J2708" s="18"/>
      <c r="K2708" s="21">
        <f t="shared" si="126"/>
        <v>57.500000000058208</v>
      </c>
      <c r="L2708" s="19">
        <f t="shared" si="127"/>
        <v>86</v>
      </c>
      <c r="M2708" s="18" t="str">
        <f>IF(I2708&lt;&gt;"Sí","",IF(YEAR(F2708)&lt;&gt;2026,"",INDEX({"Enero","Febrero","Marzo","Abril","Mayo","Junio","Julio","Agosto","Septiembre","Octubre","Noviembre","Diciembre"},MONTH(F2708))))</f>
        <v>Septiembre</v>
      </c>
      <c r="N2708" s="18" t="str">
        <f t="shared" si="128"/>
        <v>Septiembre|86</v>
      </c>
    </row>
    <row r="2709" spans="1:14" ht="14.5" x14ac:dyDescent="0.25">
      <c r="A2709" s="19">
        <v>35</v>
      </c>
      <c r="B2709" s="18" t="s">
        <v>42</v>
      </c>
      <c r="C2709" s="18" t="s">
        <v>95</v>
      </c>
      <c r="D2709" s="18" t="s">
        <v>3204</v>
      </c>
      <c r="E2709" s="18" t="s">
        <v>3264</v>
      </c>
      <c r="F2709" s="101">
        <v>46282.055555555555</v>
      </c>
      <c r="G2709" s="101">
        <v>46284.451388888891</v>
      </c>
      <c r="H2709" s="18" t="s">
        <v>507</v>
      </c>
      <c r="I2709" s="18" t="s">
        <v>508</v>
      </c>
      <c r="J2709" s="18"/>
      <c r="K2709" s="21">
        <f t="shared" si="126"/>
        <v>57.500000000058208</v>
      </c>
      <c r="L2709" s="19">
        <f t="shared" si="127"/>
        <v>86</v>
      </c>
      <c r="M2709" s="18" t="str">
        <f>IF(I2709&lt;&gt;"Sí","",IF(YEAR(F2709)&lt;&gt;2026,"",INDEX({"Enero","Febrero","Marzo","Abril","Mayo","Junio","Julio","Agosto","Septiembre","Octubre","Noviembre","Diciembre"},MONTH(F2709))))</f>
        <v>Septiembre</v>
      </c>
      <c r="N2709" s="18" t="str">
        <f t="shared" si="128"/>
        <v>Septiembre|86</v>
      </c>
    </row>
    <row r="2710" spans="1:14" ht="14.5" x14ac:dyDescent="0.25">
      <c r="A2710" s="19">
        <v>35</v>
      </c>
      <c r="B2710" s="18" t="s">
        <v>42</v>
      </c>
      <c r="C2710" s="18" t="s">
        <v>95</v>
      </c>
      <c r="D2710" s="18" t="s">
        <v>3204</v>
      </c>
      <c r="E2710" s="18" t="s">
        <v>3265</v>
      </c>
      <c r="F2710" s="101">
        <v>46282.055555555555</v>
      </c>
      <c r="G2710" s="101">
        <v>46283.784722222219</v>
      </c>
      <c r="H2710" s="18" t="s">
        <v>507</v>
      </c>
      <c r="I2710" s="18" t="s">
        <v>508</v>
      </c>
      <c r="J2710" s="18"/>
      <c r="K2710" s="21">
        <f t="shared" si="126"/>
        <v>41.499999999941792</v>
      </c>
      <c r="L2710" s="19">
        <f t="shared" si="127"/>
        <v>86</v>
      </c>
      <c r="M2710" s="18" t="str">
        <f>IF(I2710&lt;&gt;"Sí","",IF(YEAR(F2710)&lt;&gt;2026,"",INDEX({"Enero","Febrero","Marzo","Abril","Mayo","Junio","Julio","Agosto","Septiembre","Octubre","Noviembre","Diciembre"},MONTH(F2710))))</f>
        <v>Septiembre</v>
      </c>
      <c r="N2710" s="18" t="str">
        <f t="shared" si="128"/>
        <v>Septiembre|86</v>
      </c>
    </row>
    <row r="2711" spans="1:14" ht="14.5" x14ac:dyDescent="0.25">
      <c r="A2711" s="19">
        <v>35</v>
      </c>
      <c r="B2711" s="18" t="s">
        <v>42</v>
      </c>
      <c r="C2711" s="18" t="s">
        <v>95</v>
      </c>
      <c r="D2711" s="18" t="s">
        <v>3204</v>
      </c>
      <c r="E2711" s="18" t="s">
        <v>3266</v>
      </c>
      <c r="F2711" s="101">
        <v>46282.055555555555</v>
      </c>
      <c r="G2711" s="101">
        <v>46283.784722222219</v>
      </c>
      <c r="H2711" s="18" t="s">
        <v>507</v>
      </c>
      <c r="I2711" s="18" t="s">
        <v>508</v>
      </c>
      <c r="J2711" s="18"/>
      <c r="K2711" s="21">
        <f t="shared" si="126"/>
        <v>41.499999999941792</v>
      </c>
      <c r="L2711" s="19">
        <f t="shared" si="127"/>
        <v>86</v>
      </c>
      <c r="M2711" s="18" t="str">
        <f>IF(I2711&lt;&gt;"Sí","",IF(YEAR(F2711)&lt;&gt;2026,"",INDEX({"Enero","Febrero","Marzo","Abril","Mayo","Junio","Julio","Agosto","Septiembre","Octubre","Noviembre","Diciembre"},MONTH(F2711))))</f>
        <v>Septiembre</v>
      </c>
      <c r="N2711" s="18" t="str">
        <f t="shared" si="128"/>
        <v>Septiembre|86</v>
      </c>
    </row>
    <row r="2712" spans="1:14" ht="14.5" x14ac:dyDescent="0.25">
      <c r="A2712" s="19">
        <v>35</v>
      </c>
      <c r="B2712" s="18" t="s">
        <v>42</v>
      </c>
      <c r="C2712" s="18" t="s">
        <v>95</v>
      </c>
      <c r="D2712" s="18" t="s">
        <v>3204</v>
      </c>
      <c r="E2712" s="18" t="s">
        <v>3267</v>
      </c>
      <c r="F2712" s="101">
        <v>46282.099305555559</v>
      </c>
      <c r="G2712" s="101">
        <v>46283.784722222219</v>
      </c>
      <c r="H2712" s="18" t="s">
        <v>507</v>
      </c>
      <c r="I2712" s="18" t="s">
        <v>508</v>
      </c>
      <c r="J2712" s="18"/>
      <c r="K2712" s="21">
        <f t="shared" si="126"/>
        <v>40.449999999837019</v>
      </c>
      <c r="L2712" s="19">
        <f t="shared" si="127"/>
        <v>92</v>
      </c>
      <c r="M2712" s="18" t="str">
        <f>IF(I2712&lt;&gt;"Sí","",IF(YEAR(F2712)&lt;&gt;2026,"",INDEX({"Enero","Febrero","Marzo","Abril","Mayo","Junio","Julio","Agosto","Septiembre","Octubre","Noviembre","Diciembre"},MONTH(F2712))))</f>
        <v>Septiembre</v>
      </c>
      <c r="N2712" s="18" t="str">
        <f t="shared" si="128"/>
        <v>Septiembre|92</v>
      </c>
    </row>
    <row r="2713" spans="1:14" ht="14.5" x14ac:dyDescent="0.25">
      <c r="A2713" s="19">
        <v>35</v>
      </c>
      <c r="B2713" s="18" t="s">
        <v>42</v>
      </c>
      <c r="C2713" s="18" t="s">
        <v>95</v>
      </c>
      <c r="D2713" s="18" t="s">
        <v>3204</v>
      </c>
      <c r="E2713" s="18" t="s">
        <v>3268</v>
      </c>
      <c r="F2713" s="101">
        <v>46282.099305555559</v>
      </c>
      <c r="G2713" s="101">
        <v>46283.784722222219</v>
      </c>
      <c r="H2713" s="18" t="s">
        <v>507</v>
      </c>
      <c r="I2713" s="18" t="s">
        <v>508</v>
      </c>
      <c r="J2713" s="18"/>
      <c r="K2713" s="21">
        <f t="shared" si="126"/>
        <v>40.449999999837019</v>
      </c>
      <c r="L2713" s="19">
        <f t="shared" si="127"/>
        <v>92</v>
      </c>
      <c r="M2713" s="18" t="str">
        <f>IF(I2713&lt;&gt;"Sí","",IF(YEAR(F2713)&lt;&gt;2026,"",INDEX({"Enero","Febrero","Marzo","Abril","Mayo","Junio","Julio","Agosto","Septiembre","Octubre","Noviembre","Diciembre"},MONTH(F2713))))</f>
        <v>Septiembre</v>
      </c>
      <c r="N2713" s="18" t="str">
        <f t="shared" si="128"/>
        <v>Septiembre|92</v>
      </c>
    </row>
    <row r="2714" spans="1:14" ht="14.5" x14ac:dyDescent="0.25">
      <c r="A2714" s="19">
        <v>35</v>
      </c>
      <c r="B2714" s="18" t="s">
        <v>42</v>
      </c>
      <c r="C2714" s="18" t="s">
        <v>95</v>
      </c>
      <c r="D2714" s="18" t="s">
        <v>3204</v>
      </c>
      <c r="E2714" s="18" t="s">
        <v>3269</v>
      </c>
      <c r="F2714" s="101">
        <v>46282.099305555559</v>
      </c>
      <c r="G2714" s="101">
        <v>46283.784722222219</v>
      </c>
      <c r="H2714" s="18" t="s">
        <v>507</v>
      </c>
      <c r="I2714" s="18" t="s">
        <v>508</v>
      </c>
      <c r="J2714" s="18"/>
      <c r="K2714" s="21">
        <f t="shared" si="126"/>
        <v>40.449999999837019</v>
      </c>
      <c r="L2714" s="19">
        <f t="shared" si="127"/>
        <v>92</v>
      </c>
      <c r="M2714" s="18" t="str">
        <f>IF(I2714&lt;&gt;"Sí","",IF(YEAR(F2714)&lt;&gt;2026,"",INDEX({"Enero","Febrero","Marzo","Abril","Mayo","Junio","Julio","Agosto","Septiembre","Octubre","Noviembre","Diciembre"},MONTH(F2714))))</f>
        <v>Septiembre</v>
      </c>
      <c r="N2714" s="18" t="str">
        <f t="shared" si="128"/>
        <v>Septiembre|92</v>
      </c>
    </row>
    <row r="2715" spans="1:14" ht="14.5" x14ac:dyDescent="0.25">
      <c r="A2715" s="19">
        <v>35</v>
      </c>
      <c r="B2715" s="18" t="s">
        <v>42</v>
      </c>
      <c r="C2715" s="18" t="s">
        <v>95</v>
      </c>
      <c r="D2715" s="18" t="s">
        <v>3204</v>
      </c>
      <c r="E2715" s="18" t="s">
        <v>3270</v>
      </c>
      <c r="F2715" s="101">
        <v>46282.099305555559</v>
      </c>
      <c r="G2715" s="101">
        <v>46283.784722222219</v>
      </c>
      <c r="H2715" s="18" t="s">
        <v>507</v>
      </c>
      <c r="I2715" s="18" t="s">
        <v>508</v>
      </c>
      <c r="J2715" s="18"/>
      <c r="K2715" s="21">
        <f t="shared" si="126"/>
        <v>40.449999999837019</v>
      </c>
      <c r="L2715" s="19">
        <f t="shared" si="127"/>
        <v>92</v>
      </c>
      <c r="M2715" s="18" t="str">
        <f>IF(I2715&lt;&gt;"Sí","",IF(YEAR(F2715)&lt;&gt;2026,"",INDEX({"Enero","Febrero","Marzo","Abril","Mayo","Junio","Julio","Agosto","Septiembre","Octubre","Noviembre","Diciembre"},MONTH(F2715))))</f>
        <v>Septiembre</v>
      </c>
      <c r="N2715" s="18" t="str">
        <f t="shared" si="128"/>
        <v>Septiembre|92</v>
      </c>
    </row>
    <row r="2716" spans="1:14" ht="14.5" x14ac:dyDescent="0.25">
      <c r="A2716" s="19">
        <v>35</v>
      </c>
      <c r="B2716" s="18" t="s">
        <v>42</v>
      </c>
      <c r="C2716" s="18" t="s">
        <v>95</v>
      </c>
      <c r="D2716" s="18" t="s">
        <v>3204</v>
      </c>
      <c r="E2716" s="18" t="s">
        <v>3271</v>
      </c>
      <c r="F2716" s="101">
        <v>46282.099305555559</v>
      </c>
      <c r="G2716" s="101">
        <v>46284.222222222219</v>
      </c>
      <c r="H2716" s="18" t="s">
        <v>507</v>
      </c>
      <c r="I2716" s="18" t="s">
        <v>508</v>
      </c>
      <c r="J2716" s="18"/>
      <c r="K2716" s="21">
        <f t="shared" si="126"/>
        <v>50.949999999837019</v>
      </c>
      <c r="L2716" s="19">
        <f t="shared" si="127"/>
        <v>92</v>
      </c>
      <c r="M2716" s="18" t="str">
        <f>IF(I2716&lt;&gt;"Sí","",IF(YEAR(F2716)&lt;&gt;2026,"",INDEX({"Enero","Febrero","Marzo","Abril","Mayo","Junio","Julio","Agosto","Septiembre","Octubre","Noviembre","Diciembre"},MONTH(F2716))))</f>
        <v>Septiembre</v>
      </c>
      <c r="N2716" s="18" t="str">
        <f t="shared" si="128"/>
        <v>Septiembre|92</v>
      </c>
    </row>
    <row r="2717" spans="1:14" ht="14.5" x14ac:dyDescent="0.25">
      <c r="A2717" s="19">
        <v>35</v>
      </c>
      <c r="B2717" s="18" t="s">
        <v>42</v>
      </c>
      <c r="C2717" s="18" t="s">
        <v>95</v>
      </c>
      <c r="D2717" s="18" t="s">
        <v>3204</v>
      </c>
      <c r="E2717" s="18" t="s">
        <v>3272</v>
      </c>
      <c r="F2717" s="101">
        <v>46282.099305555559</v>
      </c>
      <c r="G2717" s="101">
        <v>46284.54791666667</v>
      </c>
      <c r="H2717" s="18" t="s">
        <v>507</v>
      </c>
      <c r="I2717" s="18" t="s">
        <v>508</v>
      </c>
      <c r="J2717" s="18"/>
      <c r="K2717" s="21">
        <f t="shared" si="126"/>
        <v>58.766666666662786</v>
      </c>
      <c r="L2717" s="19">
        <f t="shared" si="127"/>
        <v>92</v>
      </c>
      <c r="M2717" s="18" t="str">
        <f>IF(I2717&lt;&gt;"Sí","",IF(YEAR(F2717)&lt;&gt;2026,"",INDEX({"Enero","Febrero","Marzo","Abril","Mayo","Junio","Julio","Agosto","Septiembre","Octubre","Noviembre","Diciembre"},MONTH(F2717))))</f>
        <v>Septiembre</v>
      </c>
      <c r="N2717" s="18" t="str">
        <f t="shared" si="128"/>
        <v>Septiembre|92</v>
      </c>
    </row>
    <row r="2718" spans="1:14" ht="14.5" x14ac:dyDescent="0.25">
      <c r="A2718" s="19">
        <v>35</v>
      </c>
      <c r="B2718" s="18" t="s">
        <v>42</v>
      </c>
      <c r="C2718" s="18" t="s">
        <v>95</v>
      </c>
      <c r="D2718" s="18" t="s">
        <v>3204</v>
      </c>
      <c r="E2718" s="18" t="s">
        <v>3273</v>
      </c>
      <c r="F2718" s="101">
        <v>46282.124305555553</v>
      </c>
      <c r="G2718" s="101">
        <v>46284.54791666667</v>
      </c>
      <c r="H2718" s="18" t="s">
        <v>507</v>
      </c>
      <c r="I2718" s="18" t="s">
        <v>508</v>
      </c>
      <c r="J2718" s="18"/>
      <c r="K2718" s="21">
        <f t="shared" si="126"/>
        <v>58.166666666802485</v>
      </c>
      <c r="L2718" s="19">
        <f t="shared" si="127"/>
        <v>106</v>
      </c>
      <c r="M2718" s="18" t="str">
        <f>IF(I2718&lt;&gt;"Sí","",IF(YEAR(F2718)&lt;&gt;2026,"",INDEX({"Enero","Febrero","Marzo","Abril","Mayo","Junio","Julio","Agosto","Septiembre","Octubre","Noviembre","Diciembre"},MONTH(F2718))))</f>
        <v>Septiembre</v>
      </c>
      <c r="N2718" s="18" t="str">
        <f t="shared" si="128"/>
        <v>Septiembre|106</v>
      </c>
    </row>
    <row r="2719" spans="1:14" ht="14.5" x14ac:dyDescent="0.25">
      <c r="A2719" s="19">
        <v>35</v>
      </c>
      <c r="B2719" s="18" t="s">
        <v>42</v>
      </c>
      <c r="C2719" s="18" t="s">
        <v>95</v>
      </c>
      <c r="D2719" s="18" t="s">
        <v>3204</v>
      </c>
      <c r="E2719" s="18" t="s">
        <v>3274</v>
      </c>
      <c r="F2719" s="101">
        <v>46282.124305555553</v>
      </c>
      <c r="G2719" s="101">
        <v>46284.236111111109</v>
      </c>
      <c r="H2719" s="18" t="s">
        <v>507</v>
      </c>
      <c r="I2719" s="18" t="s">
        <v>508</v>
      </c>
      <c r="J2719" s="18"/>
      <c r="K2719" s="21">
        <f t="shared" si="126"/>
        <v>50.683333333348855</v>
      </c>
      <c r="L2719" s="19">
        <f t="shared" si="127"/>
        <v>106</v>
      </c>
      <c r="M2719" s="18" t="str">
        <f>IF(I2719&lt;&gt;"Sí","",IF(YEAR(F2719)&lt;&gt;2026,"",INDEX({"Enero","Febrero","Marzo","Abril","Mayo","Junio","Julio","Agosto","Septiembre","Octubre","Noviembre","Diciembre"},MONTH(F2719))))</f>
        <v>Septiembre</v>
      </c>
      <c r="N2719" s="18" t="str">
        <f t="shared" si="128"/>
        <v>Septiembre|106</v>
      </c>
    </row>
    <row r="2720" spans="1:14" ht="14.5" x14ac:dyDescent="0.25">
      <c r="A2720" s="19">
        <v>35</v>
      </c>
      <c r="B2720" s="18" t="s">
        <v>42</v>
      </c>
      <c r="C2720" s="18" t="s">
        <v>95</v>
      </c>
      <c r="D2720" s="18" t="s">
        <v>3204</v>
      </c>
      <c r="E2720" s="18" t="s">
        <v>3275</v>
      </c>
      <c r="F2720" s="101">
        <v>46282.124305555553</v>
      </c>
      <c r="G2720" s="101">
        <v>46284.236111111109</v>
      </c>
      <c r="H2720" s="18" t="s">
        <v>507</v>
      </c>
      <c r="I2720" s="18" t="s">
        <v>508</v>
      </c>
      <c r="J2720" s="18"/>
      <c r="K2720" s="21">
        <f t="shared" si="126"/>
        <v>50.683333333348855</v>
      </c>
      <c r="L2720" s="19">
        <f t="shared" si="127"/>
        <v>106</v>
      </c>
      <c r="M2720" s="18" t="str">
        <f>IF(I2720&lt;&gt;"Sí","",IF(YEAR(F2720)&lt;&gt;2026,"",INDEX({"Enero","Febrero","Marzo","Abril","Mayo","Junio","Julio","Agosto","Septiembre","Octubre","Noviembre","Diciembre"},MONTH(F2720))))</f>
        <v>Septiembre</v>
      </c>
      <c r="N2720" s="18" t="str">
        <f t="shared" si="128"/>
        <v>Septiembre|106</v>
      </c>
    </row>
    <row r="2721" spans="1:14" ht="14.5" x14ac:dyDescent="0.25">
      <c r="A2721" s="19">
        <v>35</v>
      </c>
      <c r="B2721" s="18" t="s">
        <v>42</v>
      </c>
      <c r="C2721" s="18" t="s">
        <v>95</v>
      </c>
      <c r="D2721" s="18" t="s">
        <v>3204</v>
      </c>
      <c r="E2721" s="18" t="s">
        <v>3276</v>
      </c>
      <c r="F2721" s="101">
        <v>46282.124305555553</v>
      </c>
      <c r="G2721" s="101">
        <v>46284.232638888891</v>
      </c>
      <c r="H2721" s="18" t="s">
        <v>507</v>
      </c>
      <c r="I2721" s="18" t="s">
        <v>508</v>
      </c>
      <c r="J2721" s="18"/>
      <c r="K2721" s="21">
        <f t="shared" si="126"/>
        <v>50.600000000093132</v>
      </c>
      <c r="L2721" s="19">
        <f t="shared" si="127"/>
        <v>106</v>
      </c>
      <c r="M2721" s="18" t="str">
        <f>IF(I2721&lt;&gt;"Sí","",IF(YEAR(F2721)&lt;&gt;2026,"",INDEX({"Enero","Febrero","Marzo","Abril","Mayo","Junio","Julio","Agosto","Septiembre","Octubre","Noviembre","Diciembre"},MONTH(F2721))))</f>
        <v>Septiembre</v>
      </c>
      <c r="N2721" s="18" t="str">
        <f t="shared" si="128"/>
        <v>Septiembre|106</v>
      </c>
    </row>
    <row r="2722" spans="1:14" ht="14.5" x14ac:dyDescent="0.25">
      <c r="A2722" s="19">
        <v>35</v>
      </c>
      <c r="B2722" s="18" t="s">
        <v>42</v>
      </c>
      <c r="C2722" s="18" t="s">
        <v>95</v>
      </c>
      <c r="D2722" s="18" t="s">
        <v>3204</v>
      </c>
      <c r="E2722" s="18" t="s">
        <v>3277</v>
      </c>
      <c r="F2722" s="101">
        <v>46282.124305555553</v>
      </c>
      <c r="G2722" s="101">
        <v>46284.222222222219</v>
      </c>
      <c r="H2722" s="18" t="s">
        <v>507</v>
      </c>
      <c r="I2722" s="18" t="s">
        <v>508</v>
      </c>
      <c r="J2722" s="18"/>
      <c r="K2722" s="21">
        <f t="shared" si="126"/>
        <v>50.349999999976717</v>
      </c>
      <c r="L2722" s="19">
        <f t="shared" si="127"/>
        <v>106</v>
      </c>
      <c r="M2722" s="18" t="str">
        <f>IF(I2722&lt;&gt;"Sí","",IF(YEAR(F2722)&lt;&gt;2026,"",INDEX({"Enero","Febrero","Marzo","Abril","Mayo","Junio","Julio","Agosto","Septiembre","Octubre","Noviembre","Diciembre"},MONTH(F2722))))</f>
        <v>Septiembre</v>
      </c>
      <c r="N2722" s="18" t="str">
        <f t="shared" si="128"/>
        <v>Septiembre|106</v>
      </c>
    </row>
    <row r="2723" spans="1:14" ht="14.5" x14ac:dyDescent="0.25">
      <c r="A2723" s="19">
        <v>35</v>
      </c>
      <c r="B2723" s="18" t="s">
        <v>42</v>
      </c>
      <c r="C2723" s="18" t="s">
        <v>95</v>
      </c>
      <c r="D2723" s="18" t="s">
        <v>3204</v>
      </c>
      <c r="E2723" s="18" t="s">
        <v>3278</v>
      </c>
      <c r="F2723" s="101">
        <v>46282.124305555553</v>
      </c>
      <c r="G2723" s="101">
        <v>46284.174305555556</v>
      </c>
      <c r="H2723" s="18" t="s">
        <v>507</v>
      </c>
      <c r="I2723" s="18" t="s">
        <v>508</v>
      </c>
      <c r="J2723" s="18"/>
      <c r="K2723" s="21">
        <f t="shared" si="126"/>
        <v>49.200000000069849</v>
      </c>
      <c r="L2723" s="19">
        <f t="shared" si="127"/>
        <v>106</v>
      </c>
      <c r="M2723" s="18" t="str">
        <f>IF(I2723&lt;&gt;"Sí","",IF(YEAR(F2723)&lt;&gt;2026,"",INDEX({"Enero","Febrero","Marzo","Abril","Mayo","Junio","Julio","Agosto","Septiembre","Octubre","Noviembre","Diciembre"},MONTH(F2723))))</f>
        <v>Septiembre</v>
      </c>
      <c r="N2723" s="18" t="str">
        <f t="shared" si="128"/>
        <v>Septiembre|106</v>
      </c>
    </row>
    <row r="2724" spans="1:14" ht="14.5" x14ac:dyDescent="0.25">
      <c r="A2724" s="19">
        <v>35</v>
      </c>
      <c r="B2724" s="18" t="s">
        <v>42</v>
      </c>
      <c r="C2724" s="18" t="s">
        <v>95</v>
      </c>
      <c r="D2724" s="18" t="s">
        <v>3204</v>
      </c>
      <c r="E2724" s="18" t="s">
        <v>3279</v>
      </c>
      <c r="F2724" s="101">
        <v>46282.124305555553</v>
      </c>
      <c r="G2724" s="101">
        <v>46284.174305555556</v>
      </c>
      <c r="H2724" s="18" t="s">
        <v>507</v>
      </c>
      <c r="I2724" s="18" t="s">
        <v>508</v>
      </c>
      <c r="J2724" s="18"/>
      <c r="K2724" s="21">
        <f t="shared" si="126"/>
        <v>49.200000000069849</v>
      </c>
      <c r="L2724" s="19">
        <f t="shared" si="127"/>
        <v>106</v>
      </c>
      <c r="M2724" s="18" t="str">
        <f>IF(I2724&lt;&gt;"Sí","",IF(YEAR(F2724)&lt;&gt;2026,"",INDEX({"Enero","Febrero","Marzo","Abril","Mayo","Junio","Julio","Agosto","Septiembre","Octubre","Noviembre","Diciembre"},MONTH(F2724))))</f>
        <v>Septiembre</v>
      </c>
      <c r="N2724" s="18" t="str">
        <f t="shared" si="128"/>
        <v>Septiembre|106</v>
      </c>
    </row>
    <row r="2725" spans="1:14" ht="14.5" x14ac:dyDescent="0.25">
      <c r="A2725" s="19">
        <v>35</v>
      </c>
      <c r="B2725" s="18" t="s">
        <v>42</v>
      </c>
      <c r="C2725" s="18" t="s">
        <v>95</v>
      </c>
      <c r="D2725" s="18" t="s">
        <v>3204</v>
      </c>
      <c r="E2725" s="18" t="s">
        <v>3280</v>
      </c>
      <c r="F2725" s="101">
        <v>46282.124305555553</v>
      </c>
      <c r="G2725" s="101">
        <v>46284.174305555556</v>
      </c>
      <c r="H2725" s="18" t="s">
        <v>507</v>
      </c>
      <c r="I2725" s="18" t="s">
        <v>508</v>
      </c>
      <c r="J2725" s="18"/>
      <c r="K2725" s="21">
        <f t="shared" si="126"/>
        <v>49.200000000069849</v>
      </c>
      <c r="L2725" s="19">
        <f t="shared" si="127"/>
        <v>106</v>
      </c>
      <c r="M2725" s="18" t="str">
        <f>IF(I2725&lt;&gt;"Sí","",IF(YEAR(F2725)&lt;&gt;2026,"",INDEX({"Enero","Febrero","Marzo","Abril","Mayo","Junio","Julio","Agosto","Septiembre","Octubre","Noviembre","Diciembre"},MONTH(F2725))))</f>
        <v>Septiembre</v>
      </c>
      <c r="N2725" s="18" t="str">
        <f t="shared" si="128"/>
        <v>Septiembre|106</v>
      </c>
    </row>
    <row r="2726" spans="1:14" ht="14.5" x14ac:dyDescent="0.25">
      <c r="A2726" s="19">
        <v>35</v>
      </c>
      <c r="B2726" s="18" t="s">
        <v>42</v>
      </c>
      <c r="C2726" s="18" t="s">
        <v>95</v>
      </c>
      <c r="D2726" s="18" t="s">
        <v>3204</v>
      </c>
      <c r="E2726" s="18" t="s">
        <v>3281</v>
      </c>
      <c r="F2726" s="101">
        <v>46282.124305555553</v>
      </c>
      <c r="G2726" s="101">
        <v>46284.174305555556</v>
      </c>
      <c r="H2726" s="18" t="s">
        <v>507</v>
      </c>
      <c r="I2726" s="18" t="s">
        <v>508</v>
      </c>
      <c r="J2726" s="18"/>
      <c r="K2726" s="21">
        <f t="shared" si="126"/>
        <v>49.200000000069849</v>
      </c>
      <c r="L2726" s="19">
        <f t="shared" si="127"/>
        <v>106</v>
      </c>
      <c r="M2726" s="18" t="str">
        <f>IF(I2726&lt;&gt;"Sí","",IF(YEAR(F2726)&lt;&gt;2026,"",INDEX({"Enero","Febrero","Marzo","Abril","Mayo","Junio","Julio","Agosto","Septiembre","Octubre","Noviembre","Diciembre"},MONTH(F2726))))</f>
        <v>Septiembre</v>
      </c>
      <c r="N2726" s="18" t="str">
        <f t="shared" si="128"/>
        <v>Septiembre|106</v>
      </c>
    </row>
    <row r="2727" spans="1:14" ht="14.5" x14ac:dyDescent="0.25">
      <c r="A2727" s="19">
        <v>35</v>
      </c>
      <c r="B2727" s="18" t="s">
        <v>42</v>
      </c>
      <c r="C2727" s="18" t="s">
        <v>95</v>
      </c>
      <c r="D2727" s="18" t="s">
        <v>3204</v>
      </c>
      <c r="E2727" s="18" t="s">
        <v>3282</v>
      </c>
      <c r="F2727" s="101">
        <v>46282.124305555553</v>
      </c>
      <c r="G2727" s="101">
        <v>46284.174305555556</v>
      </c>
      <c r="H2727" s="18" t="s">
        <v>507</v>
      </c>
      <c r="I2727" s="18" t="s">
        <v>508</v>
      </c>
      <c r="J2727" s="18"/>
      <c r="K2727" s="21">
        <f t="shared" si="126"/>
        <v>49.200000000069849</v>
      </c>
      <c r="L2727" s="19">
        <f t="shared" si="127"/>
        <v>106</v>
      </c>
      <c r="M2727" s="18" t="str">
        <f>IF(I2727&lt;&gt;"Sí","",IF(YEAR(F2727)&lt;&gt;2026,"",INDEX({"Enero","Febrero","Marzo","Abril","Mayo","Junio","Julio","Agosto","Septiembre","Octubre","Noviembre","Diciembre"},MONTH(F2727))))</f>
        <v>Septiembre</v>
      </c>
      <c r="N2727" s="18" t="str">
        <f t="shared" si="128"/>
        <v>Septiembre|106</v>
      </c>
    </row>
    <row r="2728" spans="1:14" ht="14.5" x14ac:dyDescent="0.25">
      <c r="A2728" s="19">
        <v>35</v>
      </c>
      <c r="B2728" s="18" t="s">
        <v>42</v>
      </c>
      <c r="C2728" s="18" t="s">
        <v>95</v>
      </c>
      <c r="D2728" s="18" t="s">
        <v>3204</v>
      </c>
      <c r="E2728" s="18" t="s">
        <v>3283</v>
      </c>
      <c r="F2728" s="101">
        <v>46282.124305555553</v>
      </c>
      <c r="G2728" s="101">
        <v>46284.174305555556</v>
      </c>
      <c r="H2728" s="18" t="s">
        <v>507</v>
      </c>
      <c r="I2728" s="18" t="s">
        <v>508</v>
      </c>
      <c r="J2728" s="18"/>
      <c r="K2728" s="21">
        <f t="shared" si="126"/>
        <v>49.200000000069849</v>
      </c>
      <c r="L2728" s="19">
        <f t="shared" si="127"/>
        <v>106</v>
      </c>
      <c r="M2728" s="18" t="str">
        <f>IF(I2728&lt;&gt;"Sí","",IF(YEAR(F2728)&lt;&gt;2026,"",INDEX({"Enero","Febrero","Marzo","Abril","Mayo","Junio","Julio","Agosto","Septiembre","Octubre","Noviembre","Diciembre"},MONTH(F2728))))</f>
        <v>Septiembre</v>
      </c>
      <c r="N2728" s="18" t="str">
        <f t="shared" si="128"/>
        <v>Septiembre|106</v>
      </c>
    </row>
    <row r="2729" spans="1:14" ht="14.5" x14ac:dyDescent="0.25">
      <c r="A2729" s="19">
        <v>35</v>
      </c>
      <c r="B2729" s="18" t="s">
        <v>42</v>
      </c>
      <c r="C2729" s="18" t="s">
        <v>95</v>
      </c>
      <c r="D2729" s="18" t="s">
        <v>3204</v>
      </c>
      <c r="E2729" s="18" t="s">
        <v>3284</v>
      </c>
      <c r="F2729" s="101">
        <v>46282.124305555553</v>
      </c>
      <c r="G2729" s="101">
        <v>46284.174305555556</v>
      </c>
      <c r="H2729" s="18" t="s">
        <v>507</v>
      </c>
      <c r="I2729" s="18" t="s">
        <v>508</v>
      </c>
      <c r="J2729" s="18"/>
      <c r="K2729" s="21">
        <f t="shared" si="126"/>
        <v>49.200000000069849</v>
      </c>
      <c r="L2729" s="19">
        <f t="shared" si="127"/>
        <v>106</v>
      </c>
      <c r="M2729" s="18" t="str">
        <f>IF(I2729&lt;&gt;"Sí","",IF(YEAR(F2729)&lt;&gt;2026,"",INDEX({"Enero","Febrero","Marzo","Abril","Mayo","Junio","Julio","Agosto","Septiembre","Octubre","Noviembre","Diciembre"},MONTH(F2729))))</f>
        <v>Septiembre</v>
      </c>
      <c r="N2729" s="18" t="str">
        <f t="shared" si="128"/>
        <v>Septiembre|106</v>
      </c>
    </row>
    <row r="2730" spans="1:14" ht="14.5" x14ac:dyDescent="0.25">
      <c r="A2730" s="19">
        <v>35</v>
      </c>
      <c r="B2730" s="18" t="s">
        <v>42</v>
      </c>
      <c r="C2730" s="18" t="s">
        <v>95</v>
      </c>
      <c r="D2730" s="18" t="s">
        <v>3204</v>
      </c>
      <c r="E2730" s="18" t="s">
        <v>3285</v>
      </c>
      <c r="F2730" s="101">
        <v>46282.124305555553</v>
      </c>
      <c r="G2730" s="101">
        <v>46284.174305555556</v>
      </c>
      <c r="H2730" s="18" t="s">
        <v>507</v>
      </c>
      <c r="I2730" s="18" t="s">
        <v>508</v>
      </c>
      <c r="J2730" s="18"/>
      <c r="K2730" s="21">
        <f t="shared" si="126"/>
        <v>49.200000000069849</v>
      </c>
      <c r="L2730" s="19">
        <f t="shared" si="127"/>
        <v>106</v>
      </c>
      <c r="M2730" s="18" t="str">
        <f>IF(I2730&lt;&gt;"Sí","",IF(YEAR(F2730)&lt;&gt;2026,"",INDEX({"Enero","Febrero","Marzo","Abril","Mayo","Junio","Julio","Agosto","Septiembre","Octubre","Noviembre","Diciembre"},MONTH(F2730))))</f>
        <v>Septiembre</v>
      </c>
      <c r="N2730" s="18" t="str">
        <f t="shared" si="128"/>
        <v>Septiembre|106</v>
      </c>
    </row>
    <row r="2731" spans="1:14" ht="14.5" x14ac:dyDescent="0.25">
      <c r="A2731" s="19">
        <v>35</v>
      </c>
      <c r="B2731" s="18" t="s">
        <v>42</v>
      </c>
      <c r="C2731" s="18" t="s">
        <v>95</v>
      </c>
      <c r="D2731" s="18" t="s">
        <v>3204</v>
      </c>
      <c r="E2731" s="18" t="s">
        <v>3286</v>
      </c>
      <c r="F2731" s="101">
        <v>46282.124305555553</v>
      </c>
      <c r="G2731" s="101">
        <v>46284.174305555556</v>
      </c>
      <c r="H2731" s="18" t="s">
        <v>507</v>
      </c>
      <c r="I2731" s="18" t="s">
        <v>508</v>
      </c>
      <c r="J2731" s="18"/>
      <c r="K2731" s="21">
        <f t="shared" si="126"/>
        <v>49.200000000069849</v>
      </c>
      <c r="L2731" s="19">
        <f t="shared" si="127"/>
        <v>106</v>
      </c>
      <c r="M2731" s="18" t="str">
        <f>IF(I2731&lt;&gt;"Sí","",IF(YEAR(F2731)&lt;&gt;2026,"",INDEX({"Enero","Febrero","Marzo","Abril","Mayo","Junio","Julio","Agosto","Septiembre","Octubre","Noviembre","Diciembre"},MONTH(F2731))))</f>
        <v>Septiembre</v>
      </c>
      <c r="N2731" s="18" t="str">
        <f t="shared" si="128"/>
        <v>Septiembre|106</v>
      </c>
    </row>
    <row r="2732" spans="1:14" ht="14.5" x14ac:dyDescent="0.25">
      <c r="A2732" s="19">
        <v>35</v>
      </c>
      <c r="B2732" s="18" t="s">
        <v>42</v>
      </c>
      <c r="C2732" s="18" t="s">
        <v>95</v>
      </c>
      <c r="D2732" s="18" t="s">
        <v>3204</v>
      </c>
      <c r="E2732" s="18" t="s">
        <v>3287</v>
      </c>
      <c r="F2732" s="101">
        <v>46282.145833333336</v>
      </c>
      <c r="G2732" s="101">
        <v>46283.784722222219</v>
      </c>
      <c r="H2732" s="18" t="s">
        <v>507</v>
      </c>
      <c r="I2732" s="18" t="s">
        <v>508</v>
      </c>
      <c r="J2732" s="18"/>
      <c r="K2732" s="21">
        <f t="shared" si="126"/>
        <v>39.333333333197515</v>
      </c>
      <c r="L2732" s="19">
        <f t="shared" si="127"/>
        <v>130</v>
      </c>
      <c r="M2732" s="18" t="str">
        <f>IF(I2732&lt;&gt;"Sí","",IF(YEAR(F2732)&lt;&gt;2026,"",INDEX({"Enero","Febrero","Marzo","Abril","Mayo","Junio","Julio","Agosto","Septiembre","Octubre","Noviembre","Diciembre"},MONTH(F2732))))</f>
        <v>Septiembre</v>
      </c>
      <c r="N2732" s="18" t="str">
        <f t="shared" si="128"/>
        <v>Septiembre|130</v>
      </c>
    </row>
    <row r="2733" spans="1:14" ht="14.5" x14ac:dyDescent="0.25">
      <c r="A2733" s="19">
        <v>35</v>
      </c>
      <c r="B2733" s="18" t="s">
        <v>42</v>
      </c>
      <c r="C2733" s="18" t="s">
        <v>95</v>
      </c>
      <c r="D2733" s="18" t="s">
        <v>3204</v>
      </c>
      <c r="E2733" s="18" t="s">
        <v>3288</v>
      </c>
      <c r="F2733" s="101">
        <v>46282.145833333336</v>
      </c>
      <c r="G2733" s="101">
        <v>46283.784722222219</v>
      </c>
      <c r="H2733" s="18" t="s">
        <v>507</v>
      </c>
      <c r="I2733" s="18" t="s">
        <v>508</v>
      </c>
      <c r="J2733" s="18"/>
      <c r="K2733" s="21">
        <f t="shared" si="126"/>
        <v>39.333333333197515</v>
      </c>
      <c r="L2733" s="19">
        <f t="shared" si="127"/>
        <v>130</v>
      </c>
      <c r="M2733" s="18" t="str">
        <f>IF(I2733&lt;&gt;"Sí","",IF(YEAR(F2733)&lt;&gt;2026,"",INDEX({"Enero","Febrero","Marzo","Abril","Mayo","Junio","Julio","Agosto","Septiembre","Octubre","Noviembre","Diciembre"},MONTH(F2733))))</f>
        <v>Septiembre</v>
      </c>
      <c r="N2733" s="18" t="str">
        <f t="shared" si="128"/>
        <v>Septiembre|130</v>
      </c>
    </row>
    <row r="2734" spans="1:14" ht="14.5" x14ac:dyDescent="0.25">
      <c r="A2734" s="19">
        <v>35</v>
      </c>
      <c r="B2734" s="18" t="s">
        <v>42</v>
      </c>
      <c r="C2734" s="18" t="s">
        <v>95</v>
      </c>
      <c r="D2734" s="18" t="s">
        <v>3204</v>
      </c>
      <c r="E2734" s="18" t="s">
        <v>3289</v>
      </c>
      <c r="F2734" s="101">
        <v>46282.145833333336</v>
      </c>
      <c r="G2734" s="101">
        <v>46283.784722222219</v>
      </c>
      <c r="H2734" s="18" t="s">
        <v>507</v>
      </c>
      <c r="I2734" s="18" t="s">
        <v>508</v>
      </c>
      <c r="J2734" s="18"/>
      <c r="K2734" s="21">
        <f t="shared" si="126"/>
        <v>39.333333333197515</v>
      </c>
      <c r="L2734" s="19">
        <f t="shared" si="127"/>
        <v>130</v>
      </c>
      <c r="M2734" s="18" t="str">
        <f>IF(I2734&lt;&gt;"Sí","",IF(YEAR(F2734)&lt;&gt;2026,"",INDEX({"Enero","Febrero","Marzo","Abril","Mayo","Junio","Julio","Agosto","Septiembre","Octubre","Noviembre","Diciembre"},MONTH(F2734))))</f>
        <v>Septiembre</v>
      </c>
      <c r="N2734" s="18" t="str">
        <f t="shared" si="128"/>
        <v>Septiembre|130</v>
      </c>
    </row>
    <row r="2735" spans="1:14" ht="14.5" x14ac:dyDescent="0.25">
      <c r="A2735" s="19">
        <v>35</v>
      </c>
      <c r="B2735" s="18" t="s">
        <v>42</v>
      </c>
      <c r="C2735" s="18" t="s">
        <v>95</v>
      </c>
      <c r="D2735" s="18" t="s">
        <v>3204</v>
      </c>
      <c r="E2735" s="18" t="s">
        <v>3290</v>
      </c>
      <c r="F2735" s="101">
        <v>46282.145833333336</v>
      </c>
      <c r="G2735" s="101">
        <v>46284.222222222219</v>
      </c>
      <c r="H2735" s="18" t="s">
        <v>507</v>
      </c>
      <c r="I2735" s="18" t="s">
        <v>508</v>
      </c>
      <c r="J2735" s="18"/>
      <c r="K2735" s="21">
        <f t="shared" si="126"/>
        <v>49.833333333197515</v>
      </c>
      <c r="L2735" s="19">
        <f t="shared" si="127"/>
        <v>130</v>
      </c>
      <c r="M2735" s="18" t="str">
        <f>IF(I2735&lt;&gt;"Sí","",IF(YEAR(F2735)&lt;&gt;2026,"",INDEX({"Enero","Febrero","Marzo","Abril","Mayo","Junio","Julio","Agosto","Septiembre","Octubre","Noviembre","Diciembre"},MONTH(F2735))))</f>
        <v>Septiembre</v>
      </c>
      <c r="N2735" s="18" t="str">
        <f t="shared" si="128"/>
        <v>Septiembre|130</v>
      </c>
    </row>
    <row r="2736" spans="1:14" ht="14.5" x14ac:dyDescent="0.25">
      <c r="A2736" s="19">
        <v>35</v>
      </c>
      <c r="B2736" s="18" t="s">
        <v>42</v>
      </c>
      <c r="C2736" s="18" t="s">
        <v>95</v>
      </c>
      <c r="D2736" s="18" t="s">
        <v>3204</v>
      </c>
      <c r="E2736" s="18" t="s">
        <v>3291</v>
      </c>
      <c r="F2736" s="101">
        <v>46282.145833333336</v>
      </c>
      <c r="G2736" s="101">
        <v>46283.756944444445</v>
      </c>
      <c r="H2736" s="18" t="s">
        <v>507</v>
      </c>
      <c r="I2736" s="18" t="s">
        <v>508</v>
      </c>
      <c r="J2736" s="18"/>
      <c r="K2736" s="21">
        <f t="shared" si="126"/>
        <v>38.666666666627862</v>
      </c>
      <c r="L2736" s="19">
        <f t="shared" si="127"/>
        <v>130</v>
      </c>
      <c r="M2736" s="18" t="str">
        <f>IF(I2736&lt;&gt;"Sí","",IF(YEAR(F2736)&lt;&gt;2026,"",INDEX({"Enero","Febrero","Marzo","Abril","Mayo","Junio","Julio","Agosto","Septiembre","Octubre","Noviembre","Diciembre"},MONTH(F2736))))</f>
        <v>Septiembre</v>
      </c>
      <c r="N2736" s="18" t="str">
        <f t="shared" si="128"/>
        <v>Septiembre|130</v>
      </c>
    </row>
    <row r="2737" spans="1:14" ht="14.5" x14ac:dyDescent="0.25">
      <c r="A2737" s="19">
        <v>35</v>
      </c>
      <c r="B2737" s="18" t="s">
        <v>42</v>
      </c>
      <c r="C2737" s="18" t="s">
        <v>95</v>
      </c>
      <c r="D2737" s="18" t="s">
        <v>3204</v>
      </c>
      <c r="E2737" s="18" t="s">
        <v>3292</v>
      </c>
      <c r="F2737" s="101">
        <v>46282.145833333336</v>
      </c>
      <c r="G2737" s="101">
        <v>46283.756944444445</v>
      </c>
      <c r="H2737" s="18" t="s">
        <v>507</v>
      </c>
      <c r="I2737" s="18" t="s">
        <v>508</v>
      </c>
      <c r="J2737" s="18"/>
      <c r="K2737" s="21">
        <f t="shared" si="126"/>
        <v>38.666666666627862</v>
      </c>
      <c r="L2737" s="19">
        <f t="shared" si="127"/>
        <v>130</v>
      </c>
      <c r="M2737" s="18" t="str">
        <f>IF(I2737&lt;&gt;"Sí","",IF(YEAR(F2737)&lt;&gt;2026,"",INDEX({"Enero","Febrero","Marzo","Abril","Mayo","Junio","Julio","Agosto","Septiembre","Octubre","Noviembre","Diciembre"},MONTH(F2737))))</f>
        <v>Septiembre</v>
      </c>
      <c r="N2737" s="18" t="str">
        <f t="shared" si="128"/>
        <v>Septiembre|130</v>
      </c>
    </row>
    <row r="2738" spans="1:14" ht="14.5" x14ac:dyDescent="0.25">
      <c r="A2738" s="19">
        <v>35</v>
      </c>
      <c r="B2738" s="18" t="s">
        <v>42</v>
      </c>
      <c r="C2738" s="18" t="s">
        <v>95</v>
      </c>
      <c r="D2738" s="18" t="s">
        <v>3204</v>
      </c>
      <c r="E2738" s="18" t="s">
        <v>3293</v>
      </c>
      <c r="F2738" s="101">
        <v>46282.145833333336</v>
      </c>
      <c r="G2738" s="101">
        <v>46283.784722222219</v>
      </c>
      <c r="H2738" s="18" t="s">
        <v>507</v>
      </c>
      <c r="I2738" s="18" t="s">
        <v>508</v>
      </c>
      <c r="J2738" s="18"/>
      <c r="K2738" s="21">
        <f t="shared" si="126"/>
        <v>39.333333333197515</v>
      </c>
      <c r="L2738" s="19">
        <f t="shared" si="127"/>
        <v>130</v>
      </c>
      <c r="M2738" s="18" t="str">
        <f>IF(I2738&lt;&gt;"Sí","",IF(YEAR(F2738)&lt;&gt;2026,"",INDEX({"Enero","Febrero","Marzo","Abril","Mayo","Junio","Julio","Agosto","Septiembre","Octubre","Noviembre","Diciembre"},MONTH(F2738))))</f>
        <v>Septiembre</v>
      </c>
      <c r="N2738" s="18" t="str">
        <f t="shared" si="128"/>
        <v>Septiembre|130</v>
      </c>
    </row>
    <row r="2739" spans="1:14" ht="14.5" x14ac:dyDescent="0.25">
      <c r="A2739" s="19">
        <v>35</v>
      </c>
      <c r="B2739" s="18" t="s">
        <v>42</v>
      </c>
      <c r="C2739" s="18" t="s">
        <v>95</v>
      </c>
      <c r="D2739" s="18" t="s">
        <v>3204</v>
      </c>
      <c r="E2739" s="18" t="s">
        <v>3294</v>
      </c>
      <c r="F2739" s="101">
        <v>46282.145833333336</v>
      </c>
      <c r="G2739" s="101">
        <v>46283.756944444445</v>
      </c>
      <c r="H2739" s="18" t="s">
        <v>507</v>
      </c>
      <c r="I2739" s="18" t="s">
        <v>508</v>
      </c>
      <c r="J2739" s="18"/>
      <c r="K2739" s="21">
        <f t="shared" si="126"/>
        <v>38.666666666627862</v>
      </c>
      <c r="L2739" s="19">
        <f t="shared" si="127"/>
        <v>130</v>
      </c>
      <c r="M2739" s="18" t="str">
        <f>IF(I2739&lt;&gt;"Sí","",IF(YEAR(F2739)&lt;&gt;2026,"",INDEX({"Enero","Febrero","Marzo","Abril","Mayo","Junio","Julio","Agosto","Septiembre","Octubre","Noviembre","Diciembre"},MONTH(F2739))))</f>
        <v>Septiembre</v>
      </c>
      <c r="N2739" s="18" t="str">
        <f t="shared" si="128"/>
        <v>Septiembre|130</v>
      </c>
    </row>
    <row r="2740" spans="1:14" ht="14.5" x14ac:dyDescent="0.25">
      <c r="A2740" s="19">
        <v>35</v>
      </c>
      <c r="B2740" s="18" t="s">
        <v>42</v>
      </c>
      <c r="C2740" s="18" t="s">
        <v>95</v>
      </c>
      <c r="D2740" s="18" t="s">
        <v>3204</v>
      </c>
      <c r="E2740" s="18" t="s">
        <v>3295</v>
      </c>
      <c r="F2740" s="101">
        <v>46282.145833333336</v>
      </c>
      <c r="G2740" s="101">
        <v>46283.756944444445</v>
      </c>
      <c r="H2740" s="18" t="s">
        <v>507</v>
      </c>
      <c r="I2740" s="18" t="s">
        <v>508</v>
      </c>
      <c r="J2740" s="18"/>
      <c r="K2740" s="21">
        <f t="shared" si="126"/>
        <v>38.666666666627862</v>
      </c>
      <c r="L2740" s="19">
        <f t="shared" si="127"/>
        <v>130</v>
      </c>
      <c r="M2740" s="18" t="str">
        <f>IF(I2740&lt;&gt;"Sí","",IF(YEAR(F2740)&lt;&gt;2026,"",INDEX({"Enero","Febrero","Marzo","Abril","Mayo","Junio","Julio","Agosto","Septiembre","Octubre","Noviembre","Diciembre"},MONTH(F2740))))</f>
        <v>Septiembre</v>
      </c>
      <c r="N2740" s="18" t="str">
        <f t="shared" si="128"/>
        <v>Septiembre|130</v>
      </c>
    </row>
    <row r="2741" spans="1:14" ht="14.5" x14ac:dyDescent="0.25">
      <c r="A2741" s="19">
        <v>35</v>
      </c>
      <c r="B2741" s="18" t="s">
        <v>42</v>
      </c>
      <c r="C2741" s="18" t="s">
        <v>95</v>
      </c>
      <c r="D2741" s="18" t="s">
        <v>3204</v>
      </c>
      <c r="E2741" s="18" t="s">
        <v>3296</v>
      </c>
      <c r="F2741" s="101">
        <v>46282.145833333336</v>
      </c>
      <c r="G2741" s="101">
        <v>46283.756944444445</v>
      </c>
      <c r="H2741" s="18" t="s">
        <v>507</v>
      </c>
      <c r="I2741" s="18" t="s">
        <v>508</v>
      </c>
      <c r="J2741" s="18"/>
      <c r="K2741" s="21">
        <f t="shared" si="126"/>
        <v>38.666666666627862</v>
      </c>
      <c r="L2741" s="19">
        <f t="shared" si="127"/>
        <v>130</v>
      </c>
      <c r="M2741" s="18" t="str">
        <f>IF(I2741&lt;&gt;"Sí","",IF(YEAR(F2741)&lt;&gt;2026,"",INDEX({"Enero","Febrero","Marzo","Abril","Mayo","Junio","Julio","Agosto","Septiembre","Octubre","Noviembre","Diciembre"},MONTH(F2741))))</f>
        <v>Septiembre</v>
      </c>
      <c r="N2741" s="18" t="str">
        <f t="shared" si="128"/>
        <v>Septiembre|130</v>
      </c>
    </row>
    <row r="2742" spans="1:14" ht="14.5" x14ac:dyDescent="0.25">
      <c r="A2742" s="19">
        <v>35</v>
      </c>
      <c r="B2742" s="18" t="s">
        <v>42</v>
      </c>
      <c r="C2742" s="18" t="s">
        <v>95</v>
      </c>
      <c r="D2742" s="18" t="s">
        <v>3204</v>
      </c>
      <c r="E2742" s="18" t="s">
        <v>3297</v>
      </c>
      <c r="F2742" s="101">
        <v>46282.145833333336</v>
      </c>
      <c r="G2742" s="101">
        <v>46283.756944444445</v>
      </c>
      <c r="H2742" s="18" t="s">
        <v>507</v>
      </c>
      <c r="I2742" s="18" t="s">
        <v>508</v>
      </c>
      <c r="J2742" s="18"/>
      <c r="K2742" s="21">
        <f t="shared" si="126"/>
        <v>38.666666666627862</v>
      </c>
      <c r="L2742" s="19">
        <f t="shared" si="127"/>
        <v>130</v>
      </c>
      <c r="M2742" s="18" t="str">
        <f>IF(I2742&lt;&gt;"Sí","",IF(YEAR(F2742)&lt;&gt;2026,"",INDEX({"Enero","Febrero","Marzo","Abril","Mayo","Junio","Julio","Agosto","Septiembre","Octubre","Noviembre","Diciembre"},MONTH(F2742))))</f>
        <v>Septiembre</v>
      </c>
      <c r="N2742" s="18" t="str">
        <f t="shared" si="128"/>
        <v>Septiembre|130</v>
      </c>
    </row>
    <row r="2743" spans="1:14" ht="14.5" x14ac:dyDescent="0.25">
      <c r="A2743" s="19">
        <v>35</v>
      </c>
      <c r="B2743" s="18" t="s">
        <v>42</v>
      </c>
      <c r="C2743" s="18" t="s">
        <v>95</v>
      </c>
      <c r="D2743" s="18" t="s">
        <v>3204</v>
      </c>
      <c r="E2743" s="18" t="s">
        <v>3298</v>
      </c>
      <c r="F2743" s="101">
        <v>46282.145833333336</v>
      </c>
      <c r="G2743" s="101">
        <v>46283.756944444445</v>
      </c>
      <c r="H2743" s="18" t="s">
        <v>507</v>
      </c>
      <c r="I2743" s="18" t="s">
        <v>508</v>
      </c>
      <c r="J2743" s="18"/>
      <c r="K2743" s="21">
        <f t="shared" si="126"/>
        <v>38.666666666627862</v>
      </c>
      <c r="L2743" s="19">
        <f t="shared" si="127"/>
        <v>130</v>
      </c>
      <c r="M2743" s="18" t="str">
        <f>IF(I2743&lt;&gt;"Sí","",IF(YEAR(F2743)&lt;&gt;2026,"",INDEX({"Enero","Febrero","Marzo","Abril","Mayo","Junio","Julio","Agosto","Septiembre","Octubre","Noviembre","Diciembre"},MONTH(F2743))))</f>
        <v>Septiembre</v>
      </c>
      <c r="N2743" s="18" t="str">
        <f t="shared" si="128"/>
        <v>Septiembre|130</v>
      </c>
    </row>
    <row r="2744" spans="1:14" ht="14.5" x14ac:dyDescent="0.25">
      <c r="A2744" s="19">
        <v>35</v>
      </c>
      <c r="B2744" s="18" t="s">
        <v>42</v>
      </c>
      <c r="C2744" s="18" t="s">
        <v>95</v>
      </c>
      <c r="D2744" s="18" t="s">
        <v>3204</v>
      </c>
      <c r="E2744" s="18" t="s">
        <v>3299</v>
      </c>
      <c r="F2744" s="101">
        <v>46282.145833333336</v>
      </c>
      <c r="G2744" s="101">
        <v>46283.756944444445</v>
      </c>
      <c r="H2744" s="18" t="s">
        <v>507</v>
      </c>
      <c r="I2744" s="18" t="s">
        <v>508</v>
      </c>
      <c r="J2744" s="18"/>
      <c r="K2744" s="21">
        <f t="shared" si="126"/>
        <v>38.666666666627862</v>
      </c>
      <c r="L2744" s="19">
        <f t="shared" si="127"/>
        <v>130</v>
      </c>
      <c r="M2744" s="18" t="str">
        <f>IF(I2744&lt;&gt;"Sí","",IF(YEAR(F2744)&lt;&gt;2026,"",INDEX({"Enero","Febrero","Marzo","Abril","Mayo","Junio","Julio","Agosto","Septiembre","Octubre","Noviembre","Diciembre"},MONTH(F2744))))</f>
        <v>Septiembre</v>
      </c>
      <c r="N2744" s="18" t="str">
        <f t="shared" si="128"/>
        <v>Septiembre|130</v>
      </c>
    </row>
    <row r="2745" spans="1:14" ht="14.5" x14ac:dyDescent="0.25">
      <c r="A2745" s="19">
        <v>35</v>
      </c>
      <c r="B2745" s="18" t="s">
        <v>42</v>
      </c>
      <c r="C2745" s="18" t="s">
        <v>95</v>
      </c>
      <c r="D2745" s="18" t="s">
        <v>3204</v>
      </c>
      <c r="E2745" s="18" t="s">
        <v>3300</v>
      </c>
      <c r="F2745" s="101">
        <v>46282.145833333336</v>
      </c>
      <c r="G2745" s="101">
        <v>46283.756944444445</v>
      </c>
      <c r="H2745" s="18" t="s">
        <v>507</v>
      </c>
      <c r="I2745" s="18" t="s">
        <v>508</v>
      </c>
      <c r="J2745" s="18"/>
      <c r="K2745" s="21">
        <f t="shared" si="126"/>
        <v>38.666666666627862</v>
      </c>
      <c r="L2745" s="19">
        <f t="shared" si="127"/>
        <v>130</v>
      </c>
      <c r="M2745" s="18" t="str">
        <f>IF(I2745&lt;&gt;"Sí","",IF(YEAR(F2745)&lt;&gt;2026,"",INDEX({"Enero","Febrero","Marzo","Abril","Mayo","Junio","Julio","Agosto","Septiembre","Octubre","Noviembre","Diciembre"},MONTH(F2745))))</f>
        <v>Septiembre</v>
      </c>
      <c r="N2745" s="18" t="str">
        <f t="shared" si="128"/>
        <v>Septiembre|130</v>
      </c>
    </row>
    <row r="2746" spans="1:14" ht="14.5" x14ac:dyDescent="0.25">
      <c r="A2746" s="19">
        <v>35</v>
      </c>
      <c r="B2746" s="18" t="s">
        <v>42</v>
      </c>
      <c r="C2746" s="18" t="s">
        <v>95</v>
      </c>
      <c r="D2746" s="18" t="s">
        <v>3204</v>
      </c>
      <c r="E2746" s="18" t="s">
        <v>3301</v>
      </c>
      <c r="F2746" s="101">
        <v>46282.145833333336</v>
      </c>
      <c r="G2746" s="101">
        <v>46283.756944444445</v>
      </c>
      <c r="H2746" s="18" t="s">
        <v>507</v>
      </c>
      <c r="I2746" s="18" t="s">
        <v>508</v>
      </c>
      <c r="J2746" s="18"/>
      <c r="K2746" s="21">
        <f t="shared" si="126"/>
        <v>38.666666666627862</v>
      </c>
      <c r="L2746" s="19">
        <f t="shared" si="127"/>
        <v>130</v>
      </c>
      <c r="M2746" s="18" t="str">
        <f>IF(I2746&lt;&gt;"Sí","",IF(YEAR(F2746)&lt;&gt;2026,"",INDEX({"Enero","Febrero","Marzo","Abril","Mayo","Junio","Julio","Agosto","Septiembre","Octubre","Noviembre","Diciembre"},MONTH(F2746))))</f>
        <v>Septiembre</v>
      </c>
      <c r="N2746" s="18" t="str">
        <f t="shared" si="128"/>
        <v>Septiembre|130</v>
      </c>
    </row>
    <row r="2747" spans="1:14" ht="14.5" x14ac:dyDescent="0.25">
      <c r="A2747" s="19">
        <v>35</v>
      </c>
      <c r="B2747" s="18" t="s">
        <v>42</v>
      </c>
      <c r="C2747" s="18" t="s">
        <v>95</v>
      </c>
      <c r="D2747" s="18" t="s">
        <v>3204</v>
      </c>
      <c r="E2747" s="18" t="s">
        <v>3302</v>
      </c>
      <c r="F2747" s="101">
        <v>46282.145833333336</v>
      </c>
      <c r="G2747" s="101">
        <v>46283.756944444445</v>
      </c>
      <c r="H2747" s="18" t="s">
        <v>507</v>
      </c>
      <c r="I2747" s="18" t="s">
        <v>508</v>
      </c>
      <c r="J2747" s="18"/>
      <c r="K2747" s="21">
        <f t="shared" si="126"/>
        <v>38.666666666627862</v>
      </c>
      <c r="L2747" s="19">
        <f t="shared" si="127"/>
        <v>130</v>
      </c>
      <c r="M2747" s="18" t="str">
        <f>IF(I2747&lt;&gt;"Sí","",IF(YEAR(F2747)&lt;&gt;2026,"",INDEX({"Enero","Febrero","Marzo","Abril","Mayo","Junio","Julio","Agosto","Septiembre","Octubre","Noviembre","Diciembre"},MONTH(F2747))))</f>
        <v>Septiembre</v>
      </c>
      <c r="N2747" s="18" t="str">
        <f t="shared" si="128"/>
        <v>Septiembre|130</v>
      </c>
    </row>
    <row r="2748" spans="1:14" ht="14.5" x14ac:dyDescent="0.25">
      <c r="A2748" s="19">
        <v>35</v>
      </c>
      <c r="B2748" s="18" t="s">
        <v>42</v>
      </c>
      <c r="C2748" s="18" t="s">
        <v>95</v>
      </c>
      <c r="D2748" s="18" t="s">
        <v>3204</v>
      </c>
      <c r="E2748" s="18" t="s">
        <v>3303</v>
      </c>
      <c r="F2748" s="101">
        <v>46282.145833333336</v>
      </c>
      <c r="G2748" s="101">
        <v>46283.756944444445</v>
      </c>
      <c r="H2748" s="18" t="s">
        <v>507</v>
      </c>
      <c r="I2748" s="18" t="s">
        <v>508</v>
      </c>
      <c r="J2748" s="18"/>
      <c r="K2748" s="21">
        <f t="shared" si="126"/>
        <v>38.666666666627862</v>
      </c>
      <c r="L2748" s="19">
        <f t="shared" si="127"/>
        <v>130</v>
      </c>
      <c r="M2748" s="18" t="str">
        <f>IF(I2748&lt;&gt;"Sí","",IF(YEAR(F2748)&lt;&gt;2026,"",INDEX({"Enero","Febrero","Marzo","Abril","Mayo","Junio","Julio","Agosto","Septiembre","Octubre","Noviembre","Diciembre"},MONTH(F2748))))</f>
        <v>Septiembre</v>
      </c>
      <c r="N2748" s="18" t="str">
        <f t="shared" si="128"/>
        <v>Septiembre|130</v>
      </c>
    </row>
    <row r="2749" spans="1:14" ht="14.5" x14ac:dyDescent="0.25">
      <c r="A2749" s="19">
        <v>35</v>
      </c>
      <c r="B2749" s="18" t="s">
        <v>42</v>
      </c>
      <c r="C2749" s="18" t="s">
        <v>95</v>
      </c>
      <c r="D2749" s="18" t="s">
        <v>3204</v>
      </c>
      <c r="E2749" s="18" t="s">
        <v>3304</v>
      </c>
      <c r="F2749" s="101">
        <v>46282.145833333336</v>
      </c>
      <c r="G2749" s="101">
        <v>46283.756944444445</v>
      </c>
      <c r="H2749" s="18" t="s">
        <v>507</v>
      </c>
      <c r="I2749" s="18" t="s">
        <v>508</v>
      </c>
      <c r="J2749" s="18"/>
      <c r="K2749" s="21">
        <f t="shared" si="126"/>
        <v>38.666666666627862</v>
      </c>
      <c r="L2749" s="19">
        <f t="shared" si="127"/>
        <v>130</v>
      </c>
      <c r="M2749" s="18" t="str">
        <f>IF(I2749&lt;&gt;"Sí","",IF(YEAR(F2749)&lt;&gt;2026,"",INDEX({"Enero","Febrero","Marzo","Abril","Mayo","Junio","Julio","Agosto","Septiembre","Octubre","Noviembre","Diciembre"},MONTH(F2749))))</f>
        <v>Septiembre</v>
      </c>
      <c r="N2749" s="18" t="str">
        <f t="shared" si="128"/>
        <v>Septiembre|130</v>
      </c>
    </row>
    <row r="2750" spans="1:14" ht="14.5" x14ac:dyDescent="0.25">
      <c r="A2750" s="19">
        <v>35</v>
      </c>
      <c r="B2750" s="18" t="s">
        <v>42</v>
      </c>
      <c r="C2750" s="18" t="s">
        <v>95</v>
      </c>
      <c r="D2750" s="18" t="s">
        <v>3204</v>
      </c>
      <c r="E2750" s="18" t="s">
        <v>3305</v>
      </c>
      <c r="F2750" s="101">
        <v>46282.145833333336</v>
      </c>
      <c r="G2750" s="101">
        <v>46283.756944444445</v>
      </c>
      <c r="H2750" s="18" t="s">
        <v>507</v>
      </c>
      <c r="I2750" s="18" t="s">
        <v>508</v>
      </c>
      <c r="J2750" s="18"/>
      <c r="K2750" s="21">
        <f t="shared" si="126"/>
        <v>38.666666666627862</v>
      </c>
      <c r="L2750" s="19">
        <f t="shared" si="127"/>
        <v>130</v>
      </c>
      <c r="M2750" s="18" t="str">
        <f>IF(I2750&lt;&gt;"Sí","",IF(YEAR(F2750)&lt;&gt;2026,"",INDEX({"Enero","Febrero","Marzo","Abril","Mayo","Junio","Julio","Agosto","Septiembre","Octubre","Noviembre","Diciembre"},MONTH(F2750))))</f>
        <v>Septiembre</v>
      </c>
      <c r="N2750" s="18" t="str">
        <f t="shared" si="128"/>
        <v>Septiembre|130</v>
      </c>
    </row>
    <row r="2751" spans="1:14" ht="14.5" x14ac:dyDescent="0.25">
      <c r="A2751" s="19">
        <v>35</v>
      </c>
      <c r="B2751" s="18" t="s">
        <v>42</v>
      </c>
      <c r="C2751" s="18" t="s">
        <v>95</v>
      </c>
      <c r="D2751" s="18" t="s">
        <v>3204</v>
      </c>
      <c r="E2751" s="18" t="s">
        <v>3306</v>
      </c>
      <c r="F2751" s="101">
        <v>46282.145833333336</v>
      </c>
      <c r="G2751" s="101">
        <v>46284.207638888889</v>
      </c>
      <c r="H2751" s="18" t="s">
        <v>507</v>
      </c>
      <c r="I2751" s="18" t="s">
        <v>508</v>
      </c>
      <c r="J2751" s="18"/>
      <c r="K2751" s="21">
        <f t="shared" si="126"/>
        <v>49.483333333279006</v>
      </c>
      <c r="L2751" s="19">
        <f t="shared" si="127"/>
        <v>130</v>
      </c>
      <c r="M2751" s="18" t="str">
        <f>IF(I2751&lt;&gt;"Sí","",IF(YEAR(F2751)&lt;&gt;2026,"",INDEX({"Enero","Febrero","Marzo","Abril","Mayo","Junio","Julio","Agosto","Septiembre","Octubre","Noviembre","Diciembre"},MONTH(F2751))))</f>
        <v>Septiembre</v>
      </c>
      <c r="N2751" s="18" t="str">
        <f t="shared" si="128"/>
        <v>Septiembre|130</v>
      </c>
    </row>
    <row r="2752" spans="1:14" ht="14.5" x14ac:dyDescent="0.25">
      <c r="A2752" s="19">
        <v>35</v>
      </c>
      <c r="B2752" s="18" t="s">
        <v>42</v>
      </c>
      <c r="C2752" s="18" t="s">
        <v>95</v>
      </c>
      <c r="D2752" s="18" t="s">
        <v>3204</v>
      </c>
      <c r="E2752" s="18" t="s">
        <v>3307</v>
      </c>
      <c r="F2752" s="101">
        <v>46282.145833333336</v>
      </c>
      <c r="G2752" s="101">
        <v>46283.709722222222</v>
      </c>
      <c r="H2752" s="18" t="s">
        <v>507</v>
      </c>
      <c r="I2752" s="18" t="s">
        <v>508</v>
      </c>
      <c r="J2752" s="18"/>
      <c r="K2752" s="21">
        <f t="shared" si="126"/>
        <v>37.533333333267365</v>
      </c>
      <c r="L2752" s="19">
        <f t="shared" si="127"/>
        <v>130</v>
      </c>
      <c r="M2752" s="18" t="str">
        <f>IF(I2752&lt;&gt;"Sí","",IF(YEAR(F2752)&lt;&gt;2026,"",INDEX({"Enero","Febrero","Marzo","Abril","Mayo","Junio","Julio","Agosto","Septiembre","Octubre","Noviembre","Diciembre"},MONTH(F2752))))</f>
        <v>Septiembre</v>
      </c>
      <c r="N2752" s="18" t="str">
        <f t="shared" si="128"/>
        <v>Septiembre|130</v>
      </c>
    </row>
    <row r="2753" spans="1:14" ht="14.5" x14ac:dyDescent="0.25">
      <c r="A2753" s="19">
        <v>35</v>
      </c>
      <c r="B2753" s="18" t="s">
        <v>42</v>
      </c>
      <c r="C2753" s="18" t="s">
        <v>95</v>
      </c>
      <c r="D2753" s="18" t="s">
        <v>3204</v>
      </c>
      <c r="E2753" s="18" t="s">
        <v>3308</v>
      </c>
      <c r="F2753" s="101">
        <v>46282.145833333336</v>
      </c>
      <c r="G2753" s="101">
        <v>46283.711805555555</v>
      </c>
      <c r="H2753" s="18" t="s">
        <v>507</v>
      </c>
      <c r="I2753" s="18" t="s">
        <v>508</v>
      </c>
      <c r="J2753" s="18"/>
      <c r="K2753" s="21">
        <f t="shared" si="126"/>
        <v>37.583333333255723</v>
      </c>
      <c r="L2753" s="19">
        <f t="shared" si="127"/>
        <v>130</v>
      </c>
      <c r="M2753" s="18" t="str">
        <f>IF(I2753&lt;&gt;"Sí","",IF(YEAR(F2753)&lt;&gt;2026,"",INDEX({"Enero","Febrero","Marzo","Abril","Mayo","Junio","Julio","Agosto","Septiembre","Octubre","Noviembre","Diciembre"},MONTH(F2753))))</f>
        <v>Septiembre</v>
      </c>
      <c r="N2753" s="18" t="str">
        <f t="shared" si="128"/>
        <v>Septiembre|130</v>
      </c>
    </row>
    <row r="2754" spans="1:14" ht="14.5" x14ac:dyDescent="0.25">
      <c r="A2754" s="19">
        <v>35</v>
      </c>
      <c r="B2754" s="18" t="s">
        <v>42</v>
      </c>
      <c r="C2754" s="18" t="s">
        <v>95</v>
      </c>
      <c r="D2754" s="18" t="s">
        <v>3204</v>
      </c>
      <c r="E2754" s="18" t="s">
        <v>3309</v>
      </c>
      <c r="F2754" s="101">
        <v>46282.145833333336</v>
      </c>
      <c r="G2754" s="101">
        <v>46283.712500000001</v>
      </c>
      <c r="H2754" s="18" t="s">
        <v>507</v>
      </c>
      <c r="I2754" s="18" t="s">
        <v>508</v>
      </c>
      <c r="J2754" s="18"/>
      <c r="K2754" s="21">
        <f t="shared" si="126"/>
        <v>37.599999999976717</v>
      </c>
      <c r="L2754" s="19">
        <f t="shared" si="127"/>
        <v>130</v>
      </c>
      <c r="M2754" s="18" t="str">
        <f>IF(I2754&lt;&gt;"Sí","",IF(YEAR(F2754)&lt;&gt;2026,"",INDEX({"Enero","Febrero","Marzo","Abril","Mayo","Junio","Julio","Agosto","Septiembre","Octubre","Noviembre","Diciembre"},MONTH(F2754))))</f>
        <v>Septiembre</v>
      </c>
      <c r="N2754" s="18" t="str">
        <f t="shared" si="128"/>
        <v>Septiembre|130</v>
      </c>
    </row>
    <row r="2755" spans="1:14" ht="14.5" x14ac:dyDescent="0.25">
      <c r="A2755" s="19">
        <v>35</v>
      </c>
      <c r="B2755" s="18" t="s">
        <v>42</v>
      </c>
      <c r="C2755" s="18" t="s">
        <v>95</v>
      </c>
      <c r="D2755" s="18" t="s">
        <v>3204</v>
      </c>
      <c r="E2755" s="18" t="s">
        <v>3310</v>
      </c>
      <c r="F2755" s="101">
        <v>46282.145833333336</v>
      </c>
      <c r="G2755" s="101">
        <v>46283.715277777781</v>
      </c>
      <c r="H2755" s="18" t="s">
        <v>507</v>
      </c>
      <c r="I2755" s="18" t="s">
        <v>508</v>
      </c>
      <c r="J2755" s="18"/>
      <c r="K2755" s="21">
        <f t="shared" si="126"/>
        <v>37.666666666686069</v>
      </c>
      <c r="L2755" s="19">
        <f t="shared" si="127"/>
        <v>130</v>
      </c>
      <c r="M2755" s="18" t="str">
        <f>IF(I2755&lt;&gt;"Sí","",IF(YEAR(F2755)&lt;&gt;2026,"",INDEX({"Enero","Febrero","Marzo","Abril","Mayo","Junio","Julio","Agosto","Septiembre","Octubre","Noviembre","Diciembre"},MONTH(F2755))))</f>
        <v>Septiembre</v>
      </c>
      <c r="N2755" s="18" t="str">
        <f t="shared" si="128"/>
        <v>Septiembre|130</v>
      </c>
    </row>
    <row r="2756" spans="1:14" ht="14.5" x14ac:dyDescent="0.25">
      <c r="A2756" s="19">
        <v>35</v>
      </c>
      <c r="B2756" s="18" t="s">
        <v>42</v>
      </c>
      <c r="C2756" s="18" t="s">
        <v>95</v>
      </c>
      <c r="D2756" s="18" t="s">
        <v>3204</v>
      </c>
      <c r="E2756" s="18" t="s">
        <v>3311</v>
      </c>
      <c r="F2756" s="101">
        <v>46282.166666666664</v>
      </c>
      <c r="G2756" s="101">
        <v>46284.004861111112</v>
      </c>
      <c r="H2756" s="18" t="s">
        <v>507</v>
      </c>
      <c r="I2756" s="18" t="s">
        <v>508</v>
      </c>
      <c r="J2756" s="18"/>
      <c r="K2756" s="21">
        <f t="shared" si="126"/>
        <v>44.116666666755918</v>
      </c>
      <c r="L2756" s="19">
        <f t="shared" si="127"/>
        <v>146</v>
      </c>
      <c r="M2756" s="18" t="str">
        <f>IF(I2756&lt;&gt;"Sí","",IF(YEAR(F2756)&lt;&gt;2026,"",INDEX({"Enero","Febrero","Marzo","Abril","Mayo","Junio","Julio","Agosto","Septiembre","Octubre","Noviembre","Diciembre"},MONTH(F2756))))</f>
        <v>Septiembre</v>
      </c>
      <c r="N2756" s="18" t="str">
        <f t="shared" si="128"/>
        <v>Septiembre|146</v>
      </c>
    </row>
    <row r="2757" spans="1:14" ht="14.5" x14ac:dyDescent="0.25">
      <c r="A2757" s="19">
        <v>35</v>
      </c>
      <c r="B2757" s="18" t="s">
        <v>42</v>
      </c>
      <c r="C2757" s="18" t="s">
        <v>95</v>
      </c>
      <c r="D2757" s="18" t="s">
        <v>3204</v>
      </c>
      <c r="E2757" s="18" t="s">
        <v>3312</v>
      </c>
      <c r="F2757" s="101">
        <v>46282.166666666664</v>
      </c>
      <c r="G2757" s="101">
        <v>46284.007638888892</v>
      </c>
      <c r="H2757" s="18" t="s">
        <v>507</v>
      </c>
      <c r="I2757" s="18" t="s">
        <v>508</v>
      </c>
      <c r="J2757" s="18"/>
      <c r="K2757" s="21">
        <f t="shared" si="126"/>
        <v>44.183333333465271</v>
      </c>
      <c r="L2757" s="19">
        <f t="shared" si="127"/>
        <v>146</v>
      </c>
      <c r="M2757" s="18" t="str">
        <f>IF(I2757&lt;&gt;"Sí","",IF(YEAR(F2757)&lt;&gt;2026,"",INDEX({"Enero","Febrero","Marzo","Abril","Mayo","Junio","Julio","Agosto","Septiembre","Octubre","Noviembre","Diciembre"},MONTH(F2757))))</f>
        <v>Septiembre</v>
      </c>
      <c r="N2757" s="18" t="str">
        <f t="shared" si="128"/>
        <v>Septiembre|146</v>
      </c>
    </row>
    <row r="2758" spans="1:14" ht="14.5" x14ac:dyDescent="0.25">
      <c r="A2758" s="19">
        <v>35</v>
      </c>
      <c r="B2758" s="18" t="s">
        <v>42</v>
      </c>
      <c r="C2758" s="18" t="s">
        <v>95</v>
      </c>
      <c r="D2758" s="18" t="s">
        <v>3204</v>
      </c>
      <c r="E2758" s="18" t="s">
        <v>3313</v>
      </c>
      <c r="F2758" s="101">
        <v>46282.166666666664</v>
      </c>
      <c r="G2758" s="101">
        <v>46283.888888888891</v>
      </c>
      <c r="H2758" s="18" t="s">
        <v>507</v>
      </c>
      <c r="I2758" s="18" t="s">
        <v>508</v>
      </c>
      <c r="J2758" s="18"/>
      <c r="K2758" s="21">
        <f t="shared" si="126"/>
        <v>41.333333333430346</v>
      </c>
      <c r="L2758" s="19">
        <f t="shared" si="127"/>
        <v>146</v>
      </c>
      <c r="M2758" s="18" t="str">
        <f>IF(I2758&lt;&gt;"Sí","",IF(YEAR(F2758)&lt;&gt;2026,"",INDEX({"Enero","Febrero","Marzo","Abril","Mayo","Junio","Julio","Agosto","Septiembre","Octubre","Noviembre","Diciembre"},MONTH(F2758))))</f>
        <v>Septiembre</v>
      </c>
      <c r="N2758" s="18" t="str">
        <f t="shared" si="128"/>
        <v>Septiembre|146</v>
      </c>
    </row>
    <row r="2759" spans="1:14" ht="14.5" x14ac:dyDescent="0.25">
      <c r="A2759" s="19">
        <v>35</v>
      </c>
      <c r="B2759" s="18" t="s">
        <v>42</v>
      </c>
      <c r="C2759" s="18" t="s">
        <v>95</v>
      </c>
      <c r="D2759" s="18" t="s">
        <v>3204</v>
      </c>
      <c r="E2759" s="18" t="s">
        <v>3314</v>
      </c>
      <c r="F2759" s="101">
        <v>46282.166666666664</v>
      </c>
      <c r="G2759" s="101">
        <v>46283.888888888891</v>
      </c>
      <c r="H2759" s="18" t="s">
        <v>507</v>
      </c>
      <c r="I2759" s="18" t="s">
        <v>508</v>
      </c>
      <c r="J2759" s="18"/>
      <c r="K2759" s="21">
        <f t="shared" ref="K2759:K2822" si="129">IF(I2759="Sí",(G2759-F2759)*24,"")</f>
        <v>41.333333333430346</v>
      </c>
      <c r="L2759" s="19">
        <f t="shared" ref="L2759:L2822" si="130">IF(I2759="Sí",COUNTIFS($F$7:$F$4000,"&lt;="&amp;F2759,$G$7:$G$4000,"&gt;"&amp;F2759,$I$7:$I$4000,"Sí"),"")</f>
        <v>146</v>
      </c>
      <c r="M2759" s="18" t="str">
        <f>IF(I2759&lt;&gt;"Sí","",IF(YEAR(F2759)&lt;&gt;2026,"",INDEX({"Enero","Febrero","Marzo","Abril","Mayo","Junio","Julio","Agosto","Septiembre","Octubre","Noviembre","Diciembre"},MONTH(F2759))))</f>
        <v>Septiembre</v>
      </c>
      <c r="N2759" s="18" t="str">
        <f t="shared" ref="N2759:N2822" si="131">IF(M2759="","",M2759&amp;"|"&amp;L2759)</f>
        <v>Septiembre|146</v>
      </c>
    </row>
    <row r="2760" spans="1:14" ht="14.5" x14ac:dyDescent="0.25">
      <c r="A2760" s="19">
        <v>35</v>
      </c>
      <c r="B2760" s="18" t="s">
        <v>42</v>
      </c>
      <c r="C2760" s="18" t="s">
        <v>95</v>
      </c>
      <c r="D2760" s="18" t="s">
        <v>3204</v>
      </c>
      <c r="E2760" s="18" t="s">
        <v>3315</v>
      </c>
      <c r="F2760" s="101">
        <v>46282.166666666664</v>
      </c>
      <c r="G2760" s="101">
        <v>46284.174305555556</v>
      </c>
      <c r="H2760" s="18" t="s">
        <v>507</v>
      </c>
      <c r="I2760" s="18" t="s">
        <v>508</v>
      </c>
      <c r="J2760" s="18"/>
      <c r="K2760" s="21">
        <f t="shared" si="129"/>
        <v>48.183333333407063</v>
      </c>
      <c r="L2760" s="19">
        <f t="shared" si="130"/>
        <v>146</v>
      </c>
      <c r="M2760" s="18" t="str">
        <f>IF(I2760&lt;&gt;"Sí","",IF(YEAR(F2760)&lt;&gt;2026,"",INDEX({"Enero","Febrero","Marzo","Abril","Mayo","Junio","Julio","Agosto","Septiembre","Octubre","Noviembre","Diciembre"},MONTH(F2760))))</f>
        <v>Septiembre</v>
      </c>
      <c r="N2760" s="18" t="str">
        <f t="shared" si="131"/>
        <v>Septiembre|146</v>
      </c>
    </row>
    <row r="2761" spans="1:14" ht="14.5" x14ac:dyDescent="0.25">
      <c r="A2761" s="19">
        <v>35</v>
      </c>
      <c r="B2761" s="18" t="s">
        <v>42</v>
      </c>
      <c r="C2761" s="18" t="s">
        <v>95</v>
      </c>
      <c r="D2761" s="18" t="s">
        <v>3204</v>
      </c>
      <c r="E2761" s="18" t="s">
        <v>3316</v>
      </c>
      <c r="F2761" s="101">
        <v>46282.166666666664</v>
      </c>
      <c r="G2761" s="101">
        <v>46284.174305555556</v>
      </c>
      <c r="H2761" s="18" t="s">
        <v>507</v>
      </c>
      <c r="I2761" s="18" t="s">
        <v>508</v>
      </c>
      <c r="J2761" s="18"/>
      <c r="K2761" s="21">
        <f t="shared" si="129"/>
        <v>48.183333333407063</v>
      </c>
      <c r="L2761" s="19">
        <f t="shared" si="130"/>
        <v>146</v>
      </c>
      <c r="M2761" s="18" t="str">
        <f>IF(I2761&lt;&gt;"Sí","",IF(YEAR(F2761)&lt;&gt;2026,"",INDEX({"Enero","Febrero","Marzo","Abril","Mayo","Junio","Julio","Agosto","Septiembre","Octubre","Noviembre","Diciembre"},MONTH(F2761))))</f>
        <v>Septiembre</v>
      </c>
      <c r="N2761" s="18" t="str">
        <f t="shared" si="131"/>
        <v>Septiembre|146</v>
      </c>
    </row>
    <row r="2762" spans="1:14" ht="14.5" x14ac:dyDescent="0.25">
      <c r="A2762" s="19">
        <v>35</v>
      </c>
      <c r="B2762" s="18" t="s">
        <v>42</v>
      </c>
      <c r="C2762" s="18" t="s">
        <v>95</v>
      </c>
      <c r="D2762" s="18" t="s">
        <v>3204</v>
      </c>
      <c r="E2762" s="18" t="s">
        <v>3317</v>
      </c>
      <c r="F2762" s="101">
        <v>46282.166666666664</v>
      </c>
      <c r="G2762" s="101">
        <v>46283.866666666669</v>
      </c>
      <c r="H2762" s="18" t="s">
        <v>507</v>
      </c>
      <c r="I2762" s="18" t="s">
        <v>508</v>
      </c>
      <c r="J2762" s="18"/>
      <c r="K2762" s="21">
        <f t="shared" si="129"/>
        <v>40.800000000104774</v>
      </c>
      <c r="L2762" s="19">
        <f t="shared" si="130"/>
        <v>146</v>
      </c>
      <c r="M2762" s="18" t="str">
        <f>IF(I2762&lt;&gt;"Sí","",IF(YEAR(F2762)&lt;&gt;2026,"",INDEX({"Enero","Febrero","Marzo","Abril","Mayo","Junio","Julio","Agosto","Septiembre","Octubre","Noviembre","Diciembre"},MONTH(F2762))))</f>
        <v>Septiembre</v>
      </c>
      <c r="N2762" s="18" t="str">
        <f t="shared" si="131"/>
        <v>Septiembre|146</v>
      </c>
    </row>
    <row r="2763" spans="1:14" ht="14.5" x14ac:dyDescent="0.25">
      <c r="A2763" s="19">
        <v>35</v>
      </c>
      <c r="B2763" s="18" t="s">
        <v>42</v>
      </c>
      <c r="C2763" s="18" t="s">
        <v>95</v>
      </c>
      <c r="D2763" s="18" t="s">
        <v>3204</v>
      </c>
      <c r="E2763" s="18" t="s">
        <v>3318</v>
      </c>
      <c r="F2763" s="101">
        <v>46282.166666666664</v>
      </c>
      <c r="G2763" s="101">
        <v>46283.888888888891</v>
      </c>
      <c r="H2763" s="18" t="s">
        <v>507</v>
      </c>
      <c r="I2763" s="18" t="s">
        <v>508</v>
      </c>
      <c r="J2763" s="18"/>
      <c r="K2763" s="21">
        <f t="shared" si="129"/>
        <v>41.333333333430346</v>
      </c>
      <c r="L2763" s="19">
        <f t="shared" si="130"/>
        <v>146</v>
      </c>
      <c r="M2763" s="18" t="str">
        <f>IF(I2763&lt;&gt;"Sí","",IF(YEAR(F2763)&lt;&gt;2026,"",INDEX({"Enero","Febrero","Marzo","Abril","Mayo","Junio","Julio","Agosto","Septiembre","Octubre","Noviembre","Diciembre"},MONTH(F2763))))</f>
        <v>Septiembre</v>
      </c>
      <c r="N2763" s="18" t="str">
        <f t="shared" si="131"/>
        <v>Septiembre|146</v>
      </c>
    </row>
    <row r="2764" spans="1:14" ht="14.5" x14ac:dyDescent="0.25">
      <c r="A2764" s="19">
        <v>35</v>
      </c>
      <c r="B2764" s="18" t="s">
        <v>42</v>
      </c>
      <c r="C2764" s="18" t="s">
        <v>95</v>
      </c>
      <c r="D2764" s="18" t="s">
        <v>3204</v>
      </c>
      <c r="E2764" s="18" t="s">
        <v>3319</v>
      </c>
      <c r="F2764" s="101">
        <v>46282.166666666664</v>
      </c>
      <c r="G2764" s="101">
        <v>46283.888888888891</v>
      </c>
      <c r="H2764" s="18" t="s">
        <v>507</v>
      </c>
      <c r="I2764" s="18" t="s">
        <v>508</v>
      </c>
      <c r="J2764" s="18"/>
      <c r="K2764" s="21">
        <f t="shared" si="129"/>
        <v>41.333333333430346</v>
      </c>
      <c r="L2764" s="19">
        <f t="shared" si="130"/>
        <v>146</v>
      </c>
      <c r="M2764" s="18" t="str">
        <f>IF(I2764&lt;&gt;"Sí","",IF(YEAR(F2764)&lt;&gt;2026,"",INDEX({"Enero","Febrero","Marzo","Abril","Mayo","Junio","Julio","Agosto","Septiembre","Octubre","Noviembre","Diciembre"},MONTH(F2764))))</f>
        <v>Septiembre</v>
      </c>
      <c r="N2764" s="18" t="str">
        <f t="shared" si="131"/>
        <v>Septiembre|146</v>
      </c>
    </row>
    <row r="2765" spans="1:14" ht="14.5" x14ac:dyDescent="0.25">
      <c r="A2765" s="19">
        <v>35</v>
      </c>
      <c r="B2765" s="18" t="s">
        <v>42</v>
      </c>
      <c r="C2765" s="18" t="s">
        <v>95</v>
      </c>
      <c r="D2765" s="18" t="s">
        <v>3204</v>
      </c>
      <c r="E2765" s="18" t="s">
        <v>3320</v>
      </c>
      <c r="F2765" s="101">
        <v>46282.166666666664</v>
      </c>
      <c r="G2765" s="101">
        <v>46283.888888888891</v>
      </c>
      <c r="H2765" s="18" t="s">
        <v>507</v>
      </c>
      <c r="I2765" s="18" t="s">
        <v>508</v>
      </c>
      <c r="J2765" s="18"/>
      <c r="K2765" s="21">
        <f t="shared" si="129"/>
        <v>41.333333333430346</v>
      </c>
      <c r="L2765" s="19">
        <f t="shared" si="130"/>
        <v>146</v>
      </c>
      <c r="M2765" s="18" t="str">
        <f>IF(I2765&lt;&gt;"Sí","",IF(YEAR(F2765)&lt;&gt;2026,"",INDEX({"Enero","Febrero","Marzo","Abril","Mayo","Junio","Julio","Agosto","Septiembre","Octubre","Noviembre","Diciembre"},MONTH(F2765))))</f>
        <v>Septiembre</v>
      </c>
      <c r="N2765" s="18" t="str">
        <f t="shared" si="131"/>
        <v>Septiembre|146</v>
      </c>
    </row>
    <row r="2766" spans="1:14" ht="14.5" x14ac:dyDescent="0.25">
      <c r="A2766" s="19">
        <v>35</v>
      </c>
      <c r="B2766" s="18" t="s">
        <v>42</v>
      </c>
      <c r="C2766" s="18" t="s">
        <v>95</v>
      </c>
      <c r="D2766" s="18" t="s">
        <v>3204</v>
      </c>
      <c r="E2766" s="18" t="s">
        <v>3321</v>
      </c>
      <c r="F2766" s="101">
        <v>46282.166666666664</v>
      </c>
      <c r="G2766" s="101">
        <v>46283.866666666669</v>
      </c>
      <c r="H2766" s="18" t="s">
        <v>507</v>
      </c>
      <c r="I2766" s="18" t="s">
        <v>508</v>
      </c>
      <c r="J2766" s="18"/>
      <c r="K2766" s="21">
        <f t="shared" si="129"/>
        <v>40.800000000104774</v>
      </c>
      <c r="L2766" s="19">
        <f t="shared" si="130"/>
        <v>146</v>
      </c>
      <c r="M2766" s="18" t="str">
        <f>IF(I2766&lt;&gt;"Sí","",IF(YEAR(F2766)&lt;&gt;2026,"",INDEX({"Enero","Febrero","Marzo","Abril","Mayo","Junio","Julio","Agosto","Septiembre","Octubre","Noviembre","Diciembre"},MONTH(F2766))))</f>
        <v>Septiembre</v>
      </c>
      <c r="N2766" s="18" t="str">
        <f t="shared" si="131"/>
        <v>Septiembre|146</v>
      </c>
    </row>
    <row r="2767" spans="1:14" ht="14.5" x14ac:dyDescent="0.25">
      <c r="A2767" s="19">
        <v>35</v>
      </c>
      <c r="B2767" s="18" t="s">
        <v>42</v>
      </c>
      <c r="C2767" s="18" t="s">
        <v>95</v>
      </c>
      <c r="D2767" s="18" t="s">
        <v>3204</v>
      </c>
      <c r="E2767" s="18" t="s">
        <v>3322</v>
      </c>
      <c r="F2767" s="101">
        <v>46282.166666666664</v>
      </c>
      <c r="G2767" s="101">
        <v>46283.866666666669</v>
      </c>
      <c r="H2767" s="18" t="s">
        <v>507</v>
      </c>
      <c r="I2767" s="18" t="s">
        <v>508</v>
      </c>
      <c r="J2767" s="18"/>
      <c r="K2767" s="21">
        <f t="shared" si="129"/>
        <v>40.800000000104774</v>
      </c>
      <c r="L2767" s="19">
        <f t="shared" si="130"/>
        <v>146</v>
      </c>
      <c r="M2767" s="18" t="str">
        <f>IF(I2767&lt;&gt;"Sí","",IF(YEAR(F2767)&lt;&gt;2026,"",INDEX({"Enero","Febrero","Marzo","Abril","Mayo","Junio","Julio","Agosto","Septiembre","Octubre","Noviembre","Diciembre"},MONTH(F2767))))</f>
        <v>Septiembre</v>
      </c>
      <c r="N2767" s="18" t="str">
        <f t="shared" si="131"/>
        <v>Septiembre|146</v>
      </c>
    </row>
    <row r="2768" spans="1:14" ht="14.5" x14ac:dyDescent="0.25">
      <c r="A2768" s="19">
        <v>35</v>
      </c>
      <c r="B2768" s="18" t="s">
        <v>42</v>
      </c>
      <c r="C2768" s="18" t="s">
        <v>95</v>
      </c>
      <c r="D2768" s="18" t="s">
        <v>3204</v>
      </c>
      <c r="E2768" s="18" t="s">
        <v>3323</v>
      </c>
      <c r="F2768" s="101">
        <v>46282.166666666664</v>
      </c>
      <c r="G2768" s="101">
        <v>46283.866666666669</v>
      </c>
      <c r="H2768" s="18" t="s">
        <v>507</v>
      </c>
      <c r="I2768" s="18" t="s">
        <v>508</v>
      </c>
      <c r="J2768" s="18"/>
      <c r="K2768" s="21">
        <f t="shared" si="129"/>
        <v>40.800000000104774</v>
      </c>
      <c r="L2768" s="19">
        <f t="shared" si="130"/>
        <v>146</v>
      </c>
      <c r="M2768" s="18" t="str">
        <f>IF(I2768&lt;&gt;"Sí","",IF(YEAR(F2768)&lt;&gt;2026,"",INDEX({"Enero","Febrero","Marzo","Abril","Mayo","Junio","Julio","Agosto","Septiembre","Octubre","Noviembre","Diciembre"},MONTH(F2768))))</f>
        <v>Septiembre</v>
      </c>
      <c r="N2768" s="18" t="str">
        <f t="shared" si="131"/>
        <v>Septiembre|146</v>
      </c>
    </row>
    <row r="2769" spans="1:14" ht="14.5" x14ac:dyDescent="0.25">
      <c r="A2769" s="19">
        <v>35</v>
      </c>
      <c r="B2769" s="18" t="s">
        <v>42</v>
      </c>
      <c r="C2769" s="18" t="s">
        <v>95</v>
      </c>
      <c r="D2769" s="18" t="s">
        <v>3204</v>
      </c>
      <c r="E2769" s="18" t="s">
        <v>3324</v>
      </c>
      <c r="F2769" s="101">
        <v>46282.166666666664</v>
      </c>
      <c r="G2769" s="101">
        <v>46283.866666666669</v>
      </c>
      <c r="H2769" s="18" t="s">
        <v>507</v>
      </c>
      <c r="I2769" s="18" t="s">
        <v>508</v>
      </c>
      <c r="J2769" s="18"/>
      <c r="K2769" s="21">
        <f t="shared" si="129"/>
        <v>40.800000000104774</v>
      </c>
      <c r="L2769" s="19">
        <f t="shared" si="130"/>
        <v>146</v>
      </c>
      <c r="M2769" s="18" t="str">
        <f>IF(I2769&lt;&gt;"Sí","",IF(YEAR(F2769)&lt;&gt;2026,"",INDEX({"Enero","Febrero","Marzo","Abril","Mayo","Junio","Julio","Agosto","Septiembre","Octubre","Noviembre","Diciembre"},MONTH(F2769))))</f>
        <v>Septiembre</v>
      </c>
      <c r="N2769" s="18" t="str">
        <f t="shared" si="131"/>
        <v>Septiembre|146</v>
      </c>
    </row>
    <row r="2770" spans="1:14" ht="14.5" x14ac:dyDescent="0.25">
      <c r="A2770" s="19">
        <v>35</v>
      </c>
      <c r="B2770" s="18" t="s">
        <v>42</v>
      </c>
      <c r="C2770" s="18" t="s">
        <v>95</v>
      </c>
      <c r="D2770" s="18" t="s">
        <v>3204</v>
      </c>
      <c r="E2770" s="18" t="s">
        <v>3325</v>
      </c>
      <c r="F2770" s="101">
        <v>46282.166666666664</v>
      </c>
      <c r="G2770" s="101">
        <v>46283.866666666669</v>
      </c>
      <c r="H2770" s="18" t="s">
        <v>507</v>
      </c>
      <c r="I2770" s="18" t="s">
        <v>508</v>
      </c>
      <c r="J2770" s="18"/>
      <c r="K2770" s="21">
        <f t="shared" si="129"/>
        <v>40.800000000104774</v>
      </c>
      <c r="L2770" s="19">
        <f t="shared" si="130"/>
        <v>146</v>
      </c>
      <c r="M2770" s="18" t="str">
        <f>IF(I2770&lt;&gt;"Sí","",IF(YEAR(F2770)&lt;&gt;2026,"",INDEX({"Enero","Febrero","Marzo","Abril","Mayo","Junio","Julio","Agosto","Septiembre","Octubre","Noviembre","Diciembre"},MONTH(F2770))))</f>
        <v>Septiembre</v>
      </c>
      <c r="N2770" s="18" t="str">
        <f t="shared" si="131"/>
        <v>Septiembre|146</v>
      </c>
    </row>
    <row r="2771" spans="1:14" ht="14.5" x14ac:dyDescent="0.25">
      <c r="A2771" s="19">
        <v>35</v>
      </c>
      <c r="B2771" s="18" t="s">
        <v>42</v>
      </c>
      <c r="C2771" s="18" t="s">
        <v>95</v>
      </c>
      <c r="D2771" s="18" t="s">
        <v>3204</v>
      </c>
      <c r="E2771" s="18" t="s">
        <v>3326</v>
      </c>
      <c r="F2771" s="101">
        <v>46282.166666666664</v>
      </c>
      <c r="G2771" s="101">
        <v>46284.002083333333</v>
      </c>
      <c r="H2771" s="18" t="s">
        <v>507</v>
      </c>
      <c r="I2771" s="18" t="s">
        <v>508</v>
      </c>
      <c r="J2771" s="18"/>
      <c r="K2771" s="21">
        <f t="shared" si="129"/>
        <v>44.050000000046566</v>
      </c>
      <c r="L2771" s="19">
        <f t="shared" si="130"/>
        <v>146</v>
      </c>
      <c r="M2771" s="18" t="str">
        <f>IF(I2771&lt;&gt;"Sí","",IF(YEAR(F2771)&lt;&gt;2026,"",INDEX({"Enero","Febrero","Marzo","Abril","Mayo","Junio","Julio","Agosto","Septiembre","Octubre","Noviembre","Diciembre"},MONTH(F2771))))</f>
        <v>Septiembre</v>
      </c>
      <c r="N2771" s="18" t="str">
        <f t="shared" si="131"/>
        <v>Septiembre|146</v>
      </c>
    </row>
    <row r="2772" spans="1:14" ht="14.5" x14ac:dyDescent="0.25">
      <c r="A2772" s="19">
        <v>35</v>
      </c>
      <c r="B2772" s="18" t="s">
        <v>42</v>
      </c>
      <c r="C2772" s="18" t="s">
        <v>95</v>
      </c>
      <c r="D2772" s="18" t="s">
        <v>3204</v>
      </c>
      <c r="E2772" s="18" t="s">
        <v>3327</v>
      </c>
      <c r="F2772" s="101">
        <v>46282.364583333336</v>
      </c>
      <c r="G2772" s="101">
        <v>46284.207638888889</v>
      </c>
      <c r="H2772" s="18" t="s">
        <v>507</v>
      </c>
      <c r="I2772" s="18" t="s">
        <v>508</v>
      </c>
      <c r="J2772" s="18"/>
      <c r="K2772" s="21">
        <f t="shared" si="129"/>
        <v>44.233333333279006</v>
      </c>
      <c r="L2772" s="19">
        <f t="shared" si="130"/>
        <v>146</v>
      </c>
      <c r="M2772" s="18" t="str">
        <f>IF(I2772&lt;&gt;"Sí","",IF(YEAR(F2772)&lt;&gt;2026,"",INDEX({"Enero","Febrero","Marzo","Abril","Mayo","Junio","Julio","Agosto","Septiembre","Octubre","Noviembre","Diciembre"},MONTH(F2772))))</f>
        <v>Septiembre</v>
      </c>
      <c r="N2772" s="18" t="str">
        <f t="shared" si="131"/>
        <v>Septiembre|146</v>
      </c>
    </row>
    <row r="2773" spans="1:14" ht="14.5" x14ac:dyDescent="0.25">
      <c r="A2773" s="19">
        <v>35</v>
      </c>
      <c r="B2773" s="18" t="s">
        <v>42</v>
      </c>
      <c r="C2773" s="18" t="s">
        <v>95</v>
      </c>
      <c r="D2773" s="18" t="s">
        <v>3204</v>
      </c>
      <c r="E2773" s="18" t="s">
        <v>3328</v>
      </c>
      <c r="F2773" s="101">
        <v>46282.366666666669</v>
      </c>
      <c r="G2773" s="101">
        <v>46284.207638888889</v>
      </c>
      <c r="H2773" s="18" t="s">
        <v>507</v>
      </c>
      <c r="I2773" s="18" t="s">
        <v>508</v>
      </c>
      <c r="J2773" s="18"/>
      <c r="K2773" s="21">
        <f t="shared" si="129"/>
        <v>44.183333333290648</v>
      </c>
      <c r="L2773" s="19">
        <f t="shared" si="130"/>
        <v>147</v>
      </c>
      <c r="M2773" s="18" t="str">
        <f>IF(I2773&lt;&gt;"Sí","",IF(YEAR(F2773)&lt;&gt;2026,"",INDEX({"Enero","Febrero","Marzo","Abril","Mayo","Junio","Julio","Agosto","Septiembre","Octubre","Noviembre","Diciembre"},MONTH(F2773))))</f>
        <v>Septiembre</v>
      </c>
      <c r="N2773" s="18" t="str">
        <f t="shared" si="131"/>
        <v>Septiembre|147</v>
      </c>
    </row>
    <row r="2774" spans="1:14" ht="14.5" x14ac:dyDescent="0.25">
      <c r="A2774" s="19">
        <v>35</v>
      </c>
      <c r="B2774" s="18" t="s">
        <v>42</v>
      </c>
      <c r="C2774" s="18" t="s">
        <v>95</v>
      </c>
      <c r="D2774" s="18" t="s">
        <v>3204</v>
      </c>
      <c r="E2774" s="18" t="s">
        <v>3329</v>
      </c>
      <c r="F2774" s="101">
        <v>46282.367361111108</v>
      </c>
      <c r="G2774" s="101">
        <v>46284.207638888889</v>
      </c>
      <c r="H2774" s="18" t="s">
        <v>507</v>
      </c>
      <c r="I2774" s="18" t="s">
        <v>508</v>
      </c>
      <c r="J2774" s="18"/>
      <c r="K2774" s="21">
        <f t="shared" si="129"/>
        <v>44.166666666744277</v>
      </c>
      <c r="L2774" s="19">
        <f t="shared" si="130"/>
        <v>148</v>
      </c>
      <c r="M2774" s="18" t="str">
        <f>IF(I2774&lt;&gt;"Sí","",IF(YEAR(F2774)&lt;&gt;2026,"",INDEX({"Enero","Febrero","Marzo","Abril","Mayo","Junio","Julio","Agosto","Septiembre","Octubre","Noviembre","Diciembre"},MONTH(F2774))))</f>
        <v>Septiembre</v>
      </c>
      <c r="N2774" s="18" t="str">
        <f t="shared" si="131"/>
        <v>Septiembre|148</v>
      </c>
    </row>
    <row r="2775" spans="1:14" ht="14.5" x14ac:dyDescent="0.25">
      <c r="A2775" s="19">
        <v>35</v>
      </c>
      <c r="B2775" s="18" t="s">
        <v>42</v>
      </c>
      <c r="C2775" s="18" t="s">
        <v>95</v>
      </c>
      <c r="D2775" s="18" t="s">
        <v>3204</v>
      </c>
      <c r="E2775" s="18" t="s">
        <v>3330</v>
      </c>
      <c r="F2775" s="101">
        <v>46282.370833333334</v>
      </c>
      <c r="G2775" s="101">
        <v>46284.207638888889</v>
      </c>
      <c r="H2775" s="18" t="s">
        <v>507</v>
      </c>
      <c r="I2775" s="18" t="s">
        <v>508</v>
      </c>
      <c r="J2775" s="18"/>
      <c r="K2775" s="21">
        <f t="shared" si="129"/>
        <v>44.083333333313931</v>
      </c>
      <c r="L2775" s="19">
        <f t="shared" si="130"/>
        <v>149</v>
      </c>
      <c r="M2775" s="18" t="str">
        <f>IF(I2775&lt;&gt;"Sí","",IF(YEAR(F2775)&lt;&gt;2026,"",INDEX({"Enero","Febrero","Marzo","Abril","Mayo","Junio","Julio","Agosto","Septiembre","Octubre","Noviembre","Diciembre"},MONTH(F2775))))</f>
        <v>Septiembre</v>
      </c>
      <c r="N2775" s="18" t="str">
        <f t="shared" si="131"/>
        <v>Septiembre|149</v>
      </c>
    </row>
    <row r="2776" spans="1:14" ht="14.5" x14ac:dyDescent="0.25">
      <c r="A2776" s="19">
        <v>35</v>
      </c>
      <c r="B2776" s="18" t="s">
        <v>42</v>
      </c>
      <c r="C2776" s="18" t="s">
        <v>95</v>
      </c>
      <c r="D2776" s="18" t="s">
        <v>3204</v>
      </c>
      <c r="E2776" s="18" t="s">
        <v>3331</v>
      </c>
      <c r="F2776" s="101">
        <v>46282.371527777781</v>
      </c>
      <c r="G2776" s="101">
        <v>46284.207638888889</v>
      </c>
      <c r="H2776" s="18" t="s">
        <v>507</v>
      </c>
      <c r="I2776" s="18" t="s">
        <v>508</v>
      </c>
      <c r="J2776" s="18"/>
      <c r="K2776" s="21">
        <f t="shared" si="129"/>
        <v>44.066666666592937</v>
      </c>
      <c r="L2776" s="19">
        <f t="shared" si="130"/>
        <v>150</v>
      </c>
      <c r="M2776" s="18" t="str">
        <f>IF(I2776&lt;&gt;"Sí","",IF(YEAR(F2776)&lt;&gt;2026,"",INDEX({"Enero","Febrero","Marzo","Abril","Mayo","Junio","Julio","Agosto","Septiembre","Octubre","Noviembre","Diciembre"},MONTH(F2776))))</f>
        <v>Septiembre</v>
      </c>
      <c r="N2776" s="18" t="str">
        <f t="shared" si="131"/>
        <v>Septiembre|150</v>
      </c>
    </row>
    <row r="2777" spans="1:14" ht="14.5" x14ac:dyDescent="0.25">
      <c r="A2777" s="19">
        <v>35</v>
      </c>
      <c r="B2777" s="18" t="s">
        <v>42</v>
      </c>
      <c r="C2777" s="18" t="s">
        <v>95</v>
      </c>
      <c r="D2777" s="18" t="s">
        <v>3204</v>
      </c>
      <c r="E2777" s="18" t="s">
        <v>3332</v>
      </c>
      <c r="F2777" s="101">
        <v>46282.372916666667</v>
      </c>
      <c r="G2777" s="101">
        <v>46284.207638888889</v>
      </c>
      <c r="H2777" s="18" t="s">
        <v>507</v>
      </c>
      <c r="I2777" s="18" t="s">
        <v>508</v>
      </c>
      <c r="J2777" s="18"/>
      <c r="K2777" s="21">
        <f t="shared" si="129"/>
        <v>44.033333333325572</v>
      </c>
      <c r="L2777" s="19">
        <f t="shared" si="130"/>
        <v>151</v>
      </c>
      <c r="M2777" s="18" t="str">
        <f>IF(I2777&lt;&gt;"Sí","",IF(YEAR(F2777)&lt;&gt;2026,"",INDEX({"Enero","Febrero","Marzo","Abril","Mayo","Junio","Julio","Agosto","Septiembre","Octubre","Noviembre","Diciembre"},MONTH(F2777))))</f>
        <v>Septiembre</v>
      </c>
      <c r="N2777" s="18" t="str">
        <f t="shared" si="131"/>
        <v>Septiembre|151</v>
      </c>
    </row>
    <row r="2778" spans="1:14" ht="14.5" x14ac:dyDescent="0.25">
      <c r="A2778" s="19">
        <v>35</v>
      </c>
      <c r="B2778" s="18" t="s">
        <v>42</v>
      </c>
      <c r="C2778" s="18" t="s">
        <v>95</v>
      </c>
      <c r="D2778" s="18" t="s">
        <v>3204</v>
      </c>
      <c r="E2778" s="18" t="s">
        <v>3333</v>
      </c>
      <c r="F2778" s="101">
        <v>46282.375694444447</v>
      </c>
      <c r="G2778" s="101">
        <v>46284.207638888889</v>
      </c>
      <c r="H2778" s="18" t="s">
        <v>507</v>
      </c>
      <c r="I2778" s="18" t="s">
        <v>508</v>
      </c>
      <c r="J2778" s="18"/>
      <c r="K2778" s="21">
        <f t="shared" si="129"/>
        <v>43.96666666661622</v>
      </c>
      <c r="L2778" s="19">
        <f t="shared" si="130"/>
        <v>152</v>
      </c>
      <c r="M2778" s="18" t="str">
        <f>IF(I2778&lt;&gt;"Sí","",IF(YEAR(F2778)&lt;&gt;2026,"",INDEX({"Enero","Febrero","Marzo","Abril","Mayo","Junio","Julio","Agosto","Septiembre","Octubre","Noviembre","Diciembre"},MONTH(F2778))))</f>
        <v>Septiembre</v>
      </c>
      <c r="N2778" s="18" t="str">
        <f t="shared" si="131"/>
        <v>Septiembre|152</v>
      </c>
    </row>
    <row r="2779" spans="1:14" ht="14.5" x14ac:dyDescent="0.25">
      <c r="A2779" s="19">
        <v>35</v>
      </c>
      <c r="B2779" s="18" t="s">
        <v>42</v>
      </c>
      <c r="C2779" s="18" t="s">
        <v>95</v>
      </c>
      <c r="D2779" s="18" t="s">
        <v>3204</v>
      </c>
      <c r="E2779" s="18" t="s">
        <v>3334</v>
      </c>
      <c r="F2779" s="101">
        <v>46282.377083333333</v>
      </c>
      <c r="G2779" s="101">
        <v>46284.207638888889</v>
      </c>
      <c r="H2779" s="18" t="s">
        <v>507</v>
      </c>
      <c r="I2779" s="18" t="s">
        <v>508</v>
      </c>
      <c r="J2779" s="18"/>
      <c r="K2779" s="21">
        <f t="shared" si="129"/>
        <v>43.933333333348855</v>
      </c>
      <c r="L2779" s="19">
        <f t="shared" si="130"/>
        <v>153</v>
      </c>
      <c r="M2779" s="18" t="str">
        <f>IF(I2779&lt;&gt;"Sí","",IF(YEAR(F2779)&lt;&gt;2026,"",INDEX({"Enero","Febrero","Marzo","Abril","Mayo","Junio","Julio","Agosto","Septiembre","Octubre","Noviembre","Diciembre"},MONTH(F2779))))</f>
        <v>Septiembre</v>
      </c>
      <c r="N2779" s="18" t="str">
        <f t="shared" si="131"/>
        <v>Septiembre|153</v>
      </c>
    </row>
    <row r="2780" spans="1:14" ht="14.5" x14ac:dyDescent="0.25">
      <c r="A2780" s="19">
        <v>35</v>
      </c>
      <c r="B2780" s="18" t="s">
        <v>42</v>
      </c>
      <c r="C2780" s="18" t="s">
        <v>95</v>
      </c>
      <c r="D2780" s="18" t="s">
        <v>3204</v>
      </c>
      <c r="E2780" s="18" t="s">
        <v>3335</v>
      </c>
      <c r="F2780" s="101">
        <v>46282.378472222219</v>
      </c>
      <c r="G2780" s="101">
        <v>46284.207638888889</v>
      </c>
      <c r="H2780" s="18" t="s">
        <v>507</v>
      </c>
      <c r="I2780" s="18" t="s">
        <v>508</v>
      </c>
      <c r="J2780" s="18"/>
      <c r="K2780" s="21">
        <f t="shared" si="129"/>
        <v>43.900000000081491</v>
      </c>
      <c r="L2780" s="19">
        <f t="shared" si="130"/>
        <v>154</v>
      </c>
      <c r="M2780" s="18" t="str">
        <f>IF(I2780&lt;&gt;"Sí","",IF(YEAR(F2780)&lt;&gt;2026,"",INDEX({"Enero","Febrero","Marzo","Abril","Mayo","Junio","Julio","Agosto","Septiembre","Octubre","Noviembre","Diciembre"},MONTH(F2780))))</f>
        <v>Septiembre</v>
      </c>
      <c r="N2780" s="18" t="str">
        <f t="shared" si="131"/>
        <v>Septiembre|154</v>
      </c>
    </row>
    <row r="2781" spans="1:14" ht="14.5" x14ac:dyDescent="0.25">
      <c r="A2781" s="19">
        <v>35</v>
      </c>
      <c r="B2781" s="18" t="s">
        <v>42</v>
      </c>
      <c r="C2781" s="18" t="s">
        <v>95</v>
      </c>
      <c r="D2781" s="18" t="s">
        <v>3204</v>
      </c>
      <c r="E2781" s="18" t="s">
        <v>3336</v>
      </c>
      <c r="F2781" s="101">
        <v>46282.380555555559</v>
      </c>
      <c r="G2781" s="101">
        <v>46284.207638888889</v>
      </c>
      <c r="H2781" s="18" t="s">
        <v>507</v>
      </c>
      <c r="I2781" s="18" t="s">
        <v>508</v>
      </c>
      <c r="J2781" s="18"/>
      <c r="K2781" s="21">
        <f t="shared" si="129"/>
        <v>43.849999999918509</v>
      </c>
      <c r="L2781" s="19">
        <f t="shared" si="130"/>
        <v>155</v>
      </c>
      <c r="M2781" s="18" t="str">
        <f>IF(I2781&lt;&gt;"Sí","",IF(YEAR(F2781)&lt;&gt;2026,"",INDEX({"Enero","Febrero","Marzo","Abril","Mayo","Junio","Julio","Agosto","Septiembre","Octubre","Noviembre","Diciembre"},MONTH(F2781))))</f>
        <v>Septiembre</v>
      </c>
      <c r="N2781" s="18" t="str">
        <f t="shared" si="131"/>
        <v>Septiembre|155</v>
      </c>
    </row>
    <row r="2782" spans="1:14" ht="14.5" x14ac:dyDescent="0.25">
      <c r="A2782" s="19">
        <v>35</v>
      </c>
      <c r="B2782" s="18" t="s">
        <v>42</v>
      </c>
      <c r="C2782" s="18" t="s">
        <v>95</v>
      </c>
      <c r="D2782" s="18" t="s">
        <v>3204</v>
      </c>
      <c r="E2782" s="18" t="s">
        <v>3337</v>
      </c>
      <c r="F2782" s="101">
        <v>46282.381249999999</v>
      </c>
      <c r="G2782" s="101">
        <v>46284.207638888889</v>
      </c>
      <c r="H2782" s="18" t="s">
        <v>507</v>
      </c>
      <c r="I2782" s="18" t="s">
        <v>508</v>
      </c>
      <c r="J2782" s="18"/>
      <c r="K2782" s="21">
        <f t="shared" si="129"/>
        <v>43.833333333372138</v>
      </c>
      <c r="L2782" s="19">
        <f t="shared" si="130"/>
        <v>156</v>
      </c>
      <c r="M2782" s="18" t="str">
        <f>IF(I2782&lt;&gt;"Sí","",IF(YEAR(F2782)&lt;&gt;2026,"",INDEX({"Enero","Febrero","Marzo","Abril","Mayo","Junio","Julio","Agosto","Septiembre","Octubre","Noviembre","Diciembre"},MONTH(F2782))))</f>
        <v>Septiembre</v>
      </c>
      <c r="N2782" s="18" t="str">
        <f t="shared" si="131"/>
        <v>Septiembre|156</v>
      </c>
    </row>
    <row r="2783" spans="1:14" ht="14.5" x14ac:dyDescent="0.25">
      <c r="A2783" s="19">
        <v>35</v>
      </c>
      <c r="B2783" s="18" t="s">
        <v>42</v>
      </c>
      <c r="C2783" s="18" t="s">
        <v>95</v>
      </c>
      <c r="D2783" s="18" t="s">
        <v>3204</v>
      </c>
      <c r="E2783" s="18" t="s">
        <v>3338</v>
      </c>
      <c r="F2783" s="101">
        <v>46282.381944444445</v>
      </c>
      <c r="G2783" s="101">
        <v>46284.207638888889</v>
      </c>
      <c r="H2783" s="18" t="s">
        <v>507</v>
      </c>
      <c r="I2783" s="18" t="s">
        <v>508</v>
      </c>
      <c r="J2783" s="18"/>
      <c r="K2783" s="21">
        <f t="shared" si="129"/>
        <v>43.816666666651145</v>
      </c>
      <c r="L2783" s="19">
        <f t="shared" si="130"/>
        <v>157</v>
      </c>
      <c r="M2783" s="18" t="str">
        <f>IF(I2783&lt;&gt;"Sí","",IF(YEAR(F2783)&lt;&gt;2026,"",INDEX({"Enero","Febrero","Marzo","Abril","Mayo","Junio","Julio","Agosto","Septiembre","Octubre","Noviembre","Diciembre"},MONTH(F2783))))</f>
        <v>Septiembre</v>
      </c>
      <c r="N2783" s="18" t="str">
        <f t="shared" si="131"/>
        <v>Septiembre|157</v>
      </c>
    </row>
    <row r="2784" spans="1:14" ht="14.5" x14ac:dyDescent="0.25">
      <c r="A2784" s="19">
        <v>35</v>
      </c>
      <c r="B2784" s="18" t="s">
        <v>42</v>
      </c>
      <c r="C2784" s="18" t="s">
        <v>95</v>
      </c>
      <c r="D2784" s="18" t="s">
        <v>3204</v>
      </c>
      <c r="E2784" s="18" t="s">
        <v>3339</v>
      </c>
      <c r="F2784" s="101">
        <v>46282.383333333331</v>
      </c>
      <c r="G2784" s="101">
        <v>46284.207638888889</v>
      </c>
      <c r="H2784" s="18" t="s">
        <v>507</v>
      </c>
      <c r="I2784" s="18" t="s">
        <v>508</v>
      </c>
      <c r="J2784" s="18"/>
      <c r="K2784" s="21">
        <f t="shared" si="129"/>
        <v>43.78333333338378</v>
      </c>
      <c r="L2784" s="19">
        <f t="shared" si="130"/>
        <v>158</v>
      </c>
      <c r="M2784" s="18" t="str">
        <f>IF(I2784&lt;&gt;"Sí","",IF(YEAR(F2784)&lt;&gt;2026,"",INDEX({"Enero","Febrero","Marzo","Abril","Mayo","Junio","Julio","Agosto","Septiembre","Octubre","Noviembre","Diciembre"},MONTH(F2784))))</f>
        <v>Septiembre</v>
      </c>
      <c r="N2784" s="18" t="str">
        <f t="shared" si="131"/>
        <v>Septiembre|158</v>
      </c>
    </row>
    <row r="2785" spans="1:14" ht="14.5" x14ac:dyDescent="0.25">
      <c r="A2785" s="19">
        <v>35</v>
      </c>
      <c r="B2785" s="18" t="s">
        <v>42</v>
      </c>
      <c r="C2785" s="18" t="s">
        <v>95</v>
      </c>
      <c r="D2785" s="18" t="s">
        <v>3204</v>
      </c>
      <c r="E2785" s="18" t="s">
        <v>3340</v>
      </c>
      <c r="F2785" s="101">
        <v>46282.384722222225</v>
      </c>
      <c r="G2785" s="101">
        <v>46284.207638888889</v>
      </c>
      <c r="H2785" s="18" t="s">
        <v>507</v>
      </c>
      <c r="I2785" s="18" t="s">
        <v>508</v>
      </c>
      <c r="J2785" s="18"/>
      <c r="K2785" s="21">
        <f t="shared" si="129"/>
        <v>43.749999999941792</v>
      </c>
      <c r="L2785" s="19">
        <f t="shared" si="130"/>
        <v>159</v>
      </c>
      <c r="M2785" s="18" t="str">
        <f>IF(I2785&lt;&gt;"Sí","",IF(YEAR(F2785)&lt;&gt;2026,"",INDEX({"Enero","Febrero","Marzo","Abril","Mayo","Junio","Julio","Agosto","Septiembre","Octubre","Noviembre","Diciembre"},MONTH(F2785))))</f>
        <v>Septiembre</v>
      </c>
      <c r="N2785" s="18" t="str">
        <f t="shared" si="131"/>
        <v>Septiembre|159</v>
      </c>
    </row>
    <row r="2786" spans="1:14" ht="14.5" x14ac:dyDescent="0.25">
      <c r="A2786" s="19">
        <v>35</v>
      </c>
      <c r="B2786" s="18" t="s">
        <v>42</v>
      </c>
      <c r="C2786" s="18" t="s">
        <v>95</v>
      </c>
      <c r="D2786" s="18" t="s">
        <v>3204</v>
      </c>
      <c r="E2786" s="18" t="s">
        <v>3341</v>
      </c>
      <c r="F2786" s="101">
        <v>46282.386111111111</v>
      </c>
      <c r="G2786" s="101">
        <v>46284.12222222222</v>
      </c>
      <c r="H2786" s="18" t="s">
        <v>507</v>
      </c>
      <c r="I2786" s="18" t="s">
        <v>508</v>
      </c>
      <c r="J2786" s="18"/>
      <c r="K2786" s="21">
        <f t="shared" si="129"/>
        <v>41.666666666627862</v>
      </c>
      <c r="L2786" s="19">
        <f t="shared" si="130"/>
        <v>160</v>
      </c>
      <c r="M2786" s="18" t="str">
        <f>IF(I2786&lt;&gt;"Sí","",IF(YEAR(F2786)&lt;&gt;2026,"",INDEX({"Enero","Febrero","Marzo","Abril","Mayo","Junio","Julio","Agosto","Septiembre","Octubre","Noviembre","Diciembre"},MONTH(F2786))))</f>
        <v>Septiembre</v>
      </c>
      <c r="N2786" s="18" t="str">
        <f t="shared" si="131"/>
        <v>Septiembre|160</v>
      </c>
    </row>
    <row r="2787" spans="1:14" ht="14.5" x14ac:dyDescent="0.25">
      <c r="A2787" s="19">
        <v>35</v>
      </c>
      <c r="B2787" s="18" t="s">
        <v>42</v>
      </c>
      <c r="C2787" s="18" t="s">
        <v>95</v>
      </c>
      <c r="D2787" s="18" t="s">
        <v>3204</v>
      </c>
      <c r="E2787" s="18" t="s">
        <v>3342</v>
      </c>
      <c r="F2787" s="101">
        <v>46282.387499999997</v>
      </c>
      <c r="G2787" s="101">
        <v>46284.12222222222</v>
      </c>
      <c r="H2787" s="18" t="s">
        <v>507</v>
      </c>
      <c r="I2787" s="18" t="s">
        <v>508</v>
      </c>
      <c r="J2787" s="18"/>
      <c r="K2787" s="21">
        <f t="shared" si="129"/>
        <v>41.633333333360497</v>
      </c>
      <c r="L2787" s="19">
        <f t="shared" si="130"/>
        <v>161</v>
      </c>
      <c r="M2787" s="18" t="str">
        <f>IF(I2787&lt;&gt;"Sí","",IF(YEAR(F2787)&lt;&gt;2026,"",INDEX({"Enero","Febrero","Marzo","Abril","Mayo","Junio","Julio","Agosto","Septiembre","Octubre","Noviembre","Diciembre"},MONTH(F2787))))</f>
        <v>Septiembre</v>
      </c>
      <c r="N2787" s="18" t="str">
        <f t="shared" si="131"/>
        <v>Septiembre|161</v>
      </c>
    </row>
    <row r="2788" spans="1:14" ht="14.5" x14ac:dyDescent="0.25">
      <c r="A2788" s="19">
        <v>35</v>
      </c>
      <c r="B2788" s="18" t="s">
        <v>42</v>
      </c>
      <c r="C2788" s="18" t="s">
        <v>95</v>
      </c>
      <c r="D2788" s="18" t="s">
        <v>3204</v>
      </c>
      <c r="E2788" s="18" t="s">
        <v>3343</v>
      </c>
      <c r="F2788" s="101">
        <v>46282.388194444444</v>
      </c>
      <c r="G2788" s="101">
        <v>46284.207638888889</v>
      </c>
      <c r="H2788" s="18" t="s">
        <v>507</v>
      </c>
      <c r="I2788" s="18" t="s">
        <v>508</v>
      </c>
      <c r="J2788" s="18"/>
      <c r="K2788" s="21">
        <f t="shared" si="129"/>
        <v>43.666666666686069</v>
      </c>
      <c r="L2788" s="19">
        <f t="shared" si="130"/>
        <v>162</v>
      </c>
      <c r="M2788" s="18" t="str">
        <f>IF(I2788&lt;&gt;"Sí","",IF(YEAR(F2788)&lt;&gt;2026,"",INDEX({"Enero","Febrero","Marzo","Abril","Mayo","Junio","Julio","Agosto","Septiembre","Octubre","Noviembre","Diciembre"},MONTH(F2788))))</f>
        <v>Septiembre</v>
      </c>
      <c r="N2788" s="18" t="str">
        <f t="shared" si="131"/>
        <v>Septiembre|162</v>
      </c>
    </row>
    <row r="2789" spans="1:14" ht="14.5" x14ac:dyDescent="0.25">
      <c r="A2789" s="19">
        <v>35</v>
      </c>
      <c r="B2789" s="18" t="s">
        <v>42</v>
      </c>
      <c r="C2789" s="18" t="s">
        <v>95</v>
      </c>
      <c r="D2789" s="18" t="s">
        <v>3204</v>
      </c>
      <c r="E2789" s="18" t="s">
        <v>3344</v>
      </c>
      <c r="F2789" s="101">
        <v>46282.390277777777</v>
      </c>
      <c r="G2789" s="101">
        <v>46284.12222222222</v>
      </c>
      <c r="H2789" s="18" t="s">
        <v>507</v>
      </c>
      <c r="I2789" s="18" t="s">
        <v>508</v>
      </c>
      <c r="J2789" s="18"/>
      <c r="K2789" s="21">
        <f t="shared" si="129"/>
        <v>41.566666666651145</v>
      </c>
      <c r="L2789" s="19">
        <f t="shared" si="130"/>
        <v>163</v>
      </c>
      <c r="M2789" s="18" t="str">
        <f>IF(I2789&lt;&gt;"Sí","",IF(YEAR(F2789)&lt;&gt;2026,"",INDEX({"Enero","Febrero","Marzo","Abril","Mayo","Junio","Julio","Agosto","Septiembre","Octubre","Noviembre","Diciembre"},MONTH(F2789))))</f>
        <v>Septiembre</v>
      </c>
      <c r="N2789" s="18" t="str">
        <f t="shared" si="131"/>
        <v>Septiembre|163</v>
      </c>
    </row>
    <row r="2790" spans="1:14" ht="14.5" x14ac:dyDescent="0.25">
      <c r="A2790" s="19">
        <v>35</v>
      </c>
      <c r="B2790" s="18" t="s">
        <v>42</v>
      </c>
      <c r="C2790" s="18" t="s">
        <v>95</v>
      </c>
      <c r="D2790" s="18" t="s">
        <v>3204</v>
      </c>
      <c r="E2790" s="18" t="s">
        <v>3345</v>
      </c>
      <c r="F2790" s="101">
        <v>46282.394444444442</v>
      </c>
      <c r="G2790" s="101">
        <v>46284.12222222222</v>
      </c>
      <c r="H2790" s="18" t="s">
        <v>507</v>
      </c>
      <c r="I2790" s="18" t="s">
        <v>508</v>
      </c>
      <c r="J2790" s="18"/>
      <c r="K2790" s="21">
        <f t="shared" si="129"/>
        <v>41.466666666674428</v>
      </c>
      <c r="L2790" s="19">
        <f t="shared" si="130"/>
        <v>164</v>
      </c>
      <c r="M2790" s="18" t="str">
        <f>IF(I2790&lt;&gt;"Sí","",IF(YEAR(F2790)&lt;&gt;2026,"",INDEX({"Enero","Febrero","Marzo","Abril","Mayo","Junio","Julio","Agosto","Septiembre","Octubre","Noviembre","Diciembre"},MONTH(F2790))))</f>
        <v>Septiembre</v>
      </c>
      <c r="N2790" s="18" t="str">
        <f t="shared" si="131"/>
        <v>Septiembre|164</v>
      </c>
    </row>
    <row r="2791" spans="1:14" ht="14.5" x14ac:dyDescent="0.25">
      <c r="A2791" s="19">
        <v>35</v>
      </c>
      <c r="B2791" s="18" t="s">
        <v>42</v>
      </c>
      <c r="C2791" s="18" t="s">
        <v>95</v>
      </c>
      <c r="D2791" s="18" t="s">
        <v>3204</v>
      </c>
      <c r="E2791" s="18" t="s">
        <v>3346</v>
      </c>
      <c r="F2791" s="101">
        <v>46282.395833333336</v>
      </c>
      <c r="G2791" s="101">
        <v>46284.112500000003</v>
      </c>
      <c r="H2791" s="18" t="s">
        <v>507</v>
      </c>
      <c r="I2791" s="18" t="s">
        <v>508</v>
      </c>
      <c r="J2791" s="18"/>
      <c r="K2791" s="21">
        <f t="shared" si="129"/>
        <v>41.200000000011642</v>
      </c>
      <c r="L2791" s="19">
        <f t="shared" si="130"/>
        <v>165</v>
      </c>
      <c r="M2791" s="18" t="str">
        <f>IF(I2791&lt;&gt;"Sí","",IF(YEAR(F2791)&lt;&gt;2026,"",INDEX({"Enero","Febrero","Marzo","Abril","Mayo","Junio","Julio","Agosto","Septiembre","Octubre","Noviembre","Diciembre"},MONTH(F2791))))</f>
        <v>Septiembre</v>
      </c>
      <c r="N2791" s="18" t="str">
        <f t="shared" si="131"/>
        <v>Septiembre|165</v>
      </c>
    </row>
    <row r="2792" spans="1:14" ht="14.5" x14ac:dyDescent="0.25">
      <c r="A2792" s="19">
        <v>35</v>
      </c>
      <c r="B2792" s="18" t="s">
        <v>42</v>
      </c>
      <c r="C2792" s="18" t="s">
        <v>95</v>
      </c>
      <c r="D2792" s="18" t="s">
        <v>3204</v>
      </c>
      <c r="E2792" s="18" t="s">
        <v>3347</v>
      </c>
      <c r="F2792" s="101">
        <v>46282.397222222222</v>
      </c>
      <c r="G2792" s="101">
        <v>46284.112500000003</v>
      </c>
      <c r="H2792" s="18" t="s">
        <v>507</v>
      </c>
      <c r="I2792" s="18" t="s">
        <v>508</v>
      </c>
      <c r="J2792" s="18"/>
      <c r="K2792" s="21">
        <f t="shared" si="129"/>
        <v>41.166666666744277</v>
      </c>
      <c r="L2792" s="19">
        <f t="shared" si="130"/>
        <v>166</v>
      </c>
      <c r="M2792" s="18" t="str">
        <f>IF(I2792&lt;&gt;"Sí","",IF(YEAR(F2792)&lt;&gt;2026,"",INDEX({"Enero","Febrero","Marzo","Abril","Mayo","Junio","Julio","Agosto","Septiembre","Octubre","Noviembre","Diciembre"},MONTH(F2792))))</f>
        <v>Septiembre</v>
      </c>
      <c r="N2792" s="18" t="str">
        <f t="shared" si="131"/>
        <v>Septiembre|166</v>
      </c>
    </row>
    <row r="2793" spans="1:14" ht="14.5" x14ac:dyDescent="0.25">
      <c r="A2793" s="19">
        <v>35</v>
      </c>
      <c r="B2793" s="18" t="s">
        <v>42</v>
      </c>
      <c r="C2793" s="18" t="s">
        <v>95</v>
      </c>
      <c r="D2793" s="18" t="s">
        <v>3204</v>
      </c>
      <c r="E2793" s="18" t="s">
        <v>3348</v>
      </c>
      <c r="F2793" s="101">
        <v>46282.397916666669</v>
      </c>
      <c r="G2793" s="101">
        <v>46284.112500000003</v>
      </c>
      <c r="H2793" s="18" t="s">
        <v>507</v>
      </c>
      <c r="I2793" s="18" t="s">
        <v>508</v>
      </c>
      <c r="J2793" s="18"/>
      <c r="K2793" s="21">
        <f t="shared" si="129"/>
        <v>41.150000000023283</v>
      </c>
      <c r="L2793" s="19">
        <f t="shared" si="130"/>
        <v>167</v>
      </c>
      <c r="M2793" s="18" t="str">
        <f>IF(I2793&lt;&gt;"Sí","",IF(YEAR(F2793)&lt;&gt;2026,"",INDEX({"Enero","Febrero","Marzo","Abril","Mayo","Junio","Julio","Agosto","Septiembre","Octubre","Noviembre","Diciembre"},MONTH(F2793))))</f>
        <v>Septiembre</v>
      </c>
      <c r="N2793" s="18" t="str">
        <f t="shared" si="131"/>
        <v>Septiembre|167</v>
      </c>
    </row>
    <row r="2794" spans="1:14" ht="14.5" x14ac:dyDescent="0.25">
      <c r="A2794" s="19">
        <v>35</v>
      </c>
      <c r="B2794" s="18" t="s">
        <v>42</v>
      </c>
      <c r="C2794" s="18" t="s">
        <v>95</v>
      </c>
      <c r="D2794" s="18" t="s">
        <v>3204</v>
      </c>
      <c r="E2794" s="18" t="s">
        <v>3349</v>
      </c>
      <c r="F2794" s="101">
        <v>46282.399305555555</v>
      </c>
      <c r="G2794" s="101">
        <v>46284.10833333333</v>
      </c>
      <c r="H2794" s="18" t="s">
        <v>507</v>
      </c>
      <c r="I2794" s="18" t="s">
        <v>508</v>
      </c>
      <c r="J2794" s="18"/>
      <c r="K2794" s="21">
        <f t="shared" si="129"/>
        <v>41.016666666604578</v>
      </c>
      <c r="L2794" s="19">
        <f t="shared" si="130"/>
        <v>168</v>
      </c>
      <c r="M2794" s="18" t="str">
        <f>IF(I2794&lt;&gt;"Sí","",IF(YEAR(F2794)&lt;&gt;2026,"",INDEX({"Enero","Febrero","Marzo","Abril","Mayo","Junio","Julio","Agosto","Septiembre","Octubre","Noviembre","Diciembre"},MONTH(F2794))))</f>
        <v>Septiembre</v>
      </c>
      <c r="N2794" s="18" t="str">
        <f t="shared" si="131"/>
        <v>Septiembre|168</v>
      </c>
    </row>
    <row r="2795" spans="1:14" ht="14.5" x14ac:dyDescent="0.25">
      <c r="A2795" s="19">
        <v>35</v>
      </c>
      <c r="B2795" s="18" t="s">
        <v>42</v>
      </c>
      <c r="C2795" s="18" t="s">
        <v>95</v>
      </c>
      <c r="D2795" s="18" t="s">
        <v>3204</v>
      </c>
      <c r="E2795" s="18" t="s">
        <v>3350</v>
      </c>
      <c r="F2795" s="101">
        <v>46282.400694444441</v>
      </c>
      <c r="G2795" s="101">
        <v>46284.207638888889</v>
      </c>
      <c r="H2795" s="18" t="s">
        <v>507</v>
      </c>
      <c r="I2795" s="18" t="s">
        <v>508</v>
      </c>
      <c r="J2795" s="18"/>
      <c r="K2795" s="21">
        <f t="shared" si="129"/>
        <v>43.366666666755918</v>
      </c>
      <c r="L2795" s="19">
        <f t="shared" si="130"/>
        <v>169</v>
      </c>
      <c r="M2795" s="18" t="str">
        <f>IF(I2795&lt;&gt;"Sí","",IF(YEAR(F2795)&lt;&gt;2026,"",INDEX({"Enero","Febrero","Marzo","Abril","Mayo","Junio","Julio","Agosto","Septiembre","Octubre","Noviembre","Diciembre"},MONTH(F2795))))</f>
        <v>Septiembre</v>
      </c>
      <c r="N2795" s="18" t="str">
        <f t="shared" si="131"/>
        <v>Septiembre|169</v>
      </c>
    </row>
    <row r="2796" spans="1:14" ht="14.5" x14ac:dyDescent="0.25">
      <c r="A2796" s="19">
        <v>35</v>
      </c>
      <c r="B2796" s="18" t="s">
        <v>42</v>
      </c>
      <c r="C2796" s="18" t="s">
        <v>95</v>
      </c>
      <c r="D2796" s="18" t="s">
        <v>3204</v>
      </c>
      <c r="E2796" s="18" t="s">
        <v>3351</v>
      </c>
      <c r="F2796" s="101">
        <v>46282.401388888888</v>
      </c>
      <c r="G2796" s="101">
        <v>46284.10833333333</v>
      </c>
      <c r="H2796" s="18" t="s">
        <v>507</v>
      </c>
      <c r="I2796" s="18" t="s">
        <v>508</v>
      </c>
      <c r="J2796" s="18"/>
      <c r="K2796" s="21">
        <f t="shared" si="129"/>
        <v>40.96666666661622</v>
      </c>
      <c r="L2796" s="19">
        <f t="shared" si="130"/>
        <v>170</v>
      </c>
      <c r="M2796" s="18" t="str">
        <f>IF(I2796&lt;&gt;"Sí","",IF(YEAR(F2796)&lt;&gt;2026,"",INDEX({"Enero","Febrero","Marzo","Abril","Mayo","Junio","Julio","Agosto","Septiembre","Octubre","Noviembre","Diciembre"},MONTH(F2796))))</f>
        <v>Septiembre</v>
      </c>
      <c r="N2796" s="18" t="str">
        <f t="shared" si="131"/>
        <v>Septiembre|170</v>
      </c>
    </row>
    <row r="2797" spans="1:14" ht="14.5" x14ac:dyDescent="0.25">
      <c r="A2797" s="19">
        <v>35</v>
      </c>
      <c r="B2797" s="18" t="s">
        <v>42</v>
      </c>
      <c r="C2797" s="18" t="s">
        <v>95</v>
      </c>
      <c r="D2797" s="18" t="s">
        <v>3204</v>
      </c>
      <c r="E2797" s="18" t="s">
        <v>3352</v>
      </c>
      <c r="F2797" s="101">
        <v>46282.402083333334</v>
      </c>
      <c r="G2797" s="101">
        <v>46284.10833333333</v>
      </c>
      <c r="H2797" s="18" t="s">
        <v>507</v>
      </c>
      <c r="I2797" s="18" t="s">
        <v>508</v>
      </c>
      <c r="J2797" s="18"/>
      <c r="K2797" s="21">
        <f t="shared" si="129"/>
        <v>40.949999999895226</v>
      </c>
      <c r="L2797" s="19">
        <f t="shared" si="130"/>
        <v>171</v>
      </c>
      <c r="M2797" s="18" t="str">
        <f>IF(I2797&lt;&gt;"Sí","",IF(YEAR(F2797)&lt;&gt;2026,"",INDEX({"Enero","Febrero","Marzo","Abril","Mayo","Junio","Julio","Agosto","Septiembre","Octubre","Noviembre","Diciembre"},MONTH(F2797))))</f>
        <v>Septiembre</v>
      </c>
      <c r="N2797" s="18" t="str">
        <f t="shared" si="131"/>
        <v>Septiembre|171</v>
      </c>
    </row>
    <row r="2798" spans="1:14" ht="14.5" x14ac:dyDescent="0.25">
      <c r="A2798" s="19">
        <v>35</v>
      </c>
      <c r="B2798" s="18" t="s">
        <v>42</v>
      </c>
      <c r="C2798" s="18" t="s">
        <v>95</v>
      </c>
      <c r="D2798" s="18" t="s">
        <v>3204</v>
      </c>
      <c r="E2798" s="18" t="s">
        <v>3353</v>
      </c>
      <c r="F2798" s="101">
        <v>46282.404166666667</v>
      </c>
      <c r="G2798" s="101">
        <v>46284.112500000003</v>
      </c>
      <c r="H2798" s="18" t="s">
        <v>507</v>
      </c>
      <c r="I2798" s="18" t="s">
        <v>508</v>
      </c>
      <c r="J2798" s="18"/>
      <c r="K2798" s="21">
        <f t="shared" si="129"/>
        <v>41.000000000058208</v>
      </c>
      <c r="L2798" s="19">
        <f t="shared" si="130"/>
        <v>172</v>
      </c>
      <c r="M2798" s="18" t="str">
        <f>IF(I2798&lt;&gt;"Sí","",IF(YEAR(F2798)&lt;&gt;2026,"",INDEX({"Enero","Febrero","Marzo","Abril","Mayo","Junio","Julio","Agosto","Septiembre","Octubre","Noviembre","Diciembre"},MONTH(F2798))))</f>
        <v>Septiembre</v>
      </c>
      <c r="N2798" s="18" t="str">
        <f t="shared" si="131"/>
        <v>Septiembre|172</v>
      </c>
    </row>
    <row r="2799" spans="1:14" ht="14.5" x14ac:dyDescent="0.25">
      <c r="A2799" s="19">
        <v>35</v>
      </c>
      <c r="B2799" s="18" t="s">
        <v>42</v>
      </c>
      <c r="C2799" s="18" t="s">
        <v>95</v>
      </c>
      <c r="D2799" s="18" t="s">
        <v>3204</v>
      </c>
      <c r="E2799" s="18" t="s">
        <v>3354</v>
      </c>
      <c r="F2799" s="101">
        <v>46282.409722222219</v>
      </c>
      <c r="G2799" s="101">
        <v>46284.10833333333</v>
      </c>
      <c r="H2799" s="18" t="s">
        <v>507</v>
      </c>
      <c r="I2799" s="18" t="s">
        <v>508</v>
      </c>
      <c r="J2799" s="18"/>
      <c r="K2799" s="21">
        <f t="shared" si="129"/>
        <v>40.766666666662786</v>
      </c>
      <c r="L2799" s="19">
        <f t="shared" si="130"/>
        <v>174</v>
      </c>
      <c r="M2799" s="18" t="str">
        <f>IF(I2799&lt;&gt;"Sí","",IF(YEAR(F2799)&lt;&gt;2026,"",INDEX({"Enero","Febrero","Marzo","Abril","Mayo","Junio","Julio","Agosto","Septiembre","Octubre","Noviembre","Diciembre"},MONTH(F2799))))</f>
        <v>Septiembre</v>
      </c>
      <c r="N2799" s="18" t="str">
        <f t="shared" si="131"/>
        <v>Septiembre|174</v>
      </c>
    </row>
    <row r="2800" spans="1:14" ht="14.5" x14ac:dyDescent="0.25">
      <c r="A2800" s="19">
        <v>35</v>
      </c>
      <c r="B2800" s="18" t="s">
        <v>42</v>
      </c>
      <c r="C2800" s="18" t="s">
        <v>95</v>
      </c>
      <c r="D2800" s="18" t="s">
        <v>3204</v>
      </c>
      <c r="E2800" s="18" t="s">
        <v>3355</v>
      </c>
      <c r="F2800" s="101">
        <v>46282.409722222219</v>
      </c>
      <c r="G2800" s="101">
        <v>46284.09375</v>
      </c>
      <c r="H2800" s="18" t="s">
        <v>507</v>
      </c>
      <c r="I2800" s="18" t="s">
        <v>508</v>
      </c>
      <c r="J2800" s="18"/>
      <c r="K2800" s="21">
        <f t="shared" si="129"/>
        <v>40.416666666744277</v>
      </c>
      <c r="L2800" s="19">
        <f t="shared" si="130"/>
        <v>174</v>
      </c>
      <c r="M2800" s="18" t="str">
        <f>IF(I2800&lt;&gt;"Sí","",IF(YEAR(F2800)&lt;&gt;2026,"",INDEX({"Enero","Febrero","Marzo","Abril","Mayo","Junio","Julio","Agosto","Septiembre","Octubre","Noviembre","Diciembre"},MONTH(F2800))))</f>
        <v>Septiembre</v>
      </c>
      <c r="N2800" s="18" t="str">
        <f t="shared" si="131"/>
        <v>Septiembre|174</v>
      </c>
    </row>
    <row r="2801" spans="1:14" ht="14.5" x14ac:dyDescent="0.25">
      <c r="A2801" s="19">
        <v>35</v>
      </c>
      <c r="B2801" s="18" t="s">
        <v>42</v>
      </c>
      <c r="C2801" s="18" t="s">
        <v>95</v>
      </c>
      <c r="D2801" s="18" t="s">
        <v>3204</v>
      </c>
      <c r="E2801" s="18" t="s">
        <v>3356</v>
      </c>
      <c r="F2801" s="101">
        <v>46282.412499999999</v>
      </c>
      <c r="G2801" s="101">
        <v>46284.09375</v>
      </c>
      <c r="H2801" s="18" t="s">
        <v>507</v>
      </c>
      <c r="I2801" s="18" t="s">
        <v>508</v>
      </c>
      <c r="J2801" s="18"/>
      <c r="K2801" s="21">
        <f t="shared" si="129"/>
        <v>40.350000000034925</v>
      </c>
      <c r="L2801" s="19">
        <f t="shared" si="130"/>
        <v>175</v>
      </c>
      <c r="M2801" s="18" t="str">
        <f>IF(I2801&lt;&gt;"Sí","",IF(YEAR(F2801)&lt;&gt;2026,"",INDEX({"Enero","Febrero","Marzo","Abril","Mayo","Junio","Julio","Agosto","Septiembre","Octubre","Noviembre","Diciembre"},MONTH(F2801))))</f>
        <v>Septiembre</v>
      </c>
      <c r="N2801" s="18" t="str">
        <f t="shared" si="131"/>
        <v>Septiembre|175</v>
      </c>
    </row>
    <row r="2802" spans="1:14" ht="14.5" x14ac:dyDescent="0.25">
      <c r="A2802" s="19">
        <v>35</v>
      </c>
      <c r="B2802" s="18" t="s">
        <v>42</v>
      </c>
      <c r="C2802" s="18" t="s">
        <v>95</v>
      </c>
      <c r="D2802" s="18" t="s">
        <v>3204</v>
      </c>
      <c r="E2802" s="18" t="s">
        <v>3357</v>
      </c>
      <c r="F2802" s="101">
        <v>46282.413194444445</v>
      </c>
      <c r="G2802" s="101">
        <v>46284.09375</v>
      </c>
      <c r="H2802" s="18" t="s">
        <v>507</v>
      </c>
      <c r="I2802" s="18" t="s">
        <v>508</v>
      </c>
      <c r="J2802" s="18"/>
      <c r="K2802" s="21">
        <f t="shared" si="129"/>
        <v>40.333333333313931</v>
      </c>
      <c r="L2802" s="19">
        <f t="shared" si="130"/>
        <v>176</v>
      </c>
      <c r="M2802" s="18" t="str">
        <f>IF(I2802&lt;&gt;"Sí","",IF(YEAR(F2802)&lt;&gt;2026,"",INDEX({"Enero","Febrero","Marzo","Abril","Mayo","Junio","Julio","Agosto","Septiembre","Octubre","Noviembre","Diciembre"},MONTH(F2802))))</f>
        <v>Septiembre</v>
      </c>
      <c r="N2802" s="18" t="str">
        <f t="shared" si="131"/>
        <v>Septiembre|176</v>
      </c>
    </row>
    <row r="2803" spans="1:14" ht="14.5" x14ac:dyDescent="0.25">
      <c r="A2803" s="19">
        <v>35</v>
      </c>
      <c r="B2803" s="18" t="s">
        <v>42</v>
      </c>
      <c r="C2803" s="18" t="s">
        <v>95</v>
      </c>
      <c r="D2803" s="18" t="s">
        <v>3204</v>
      </c>
      <c r="E2803" s="18" t="s">
        <v>3358</v>
      </c>
      <c r="F2803" s="101">
        <v>46282.413888888892</v>
      </c>
      <c r="G2803" s="101">
        <v>46284.09375</v>
      </c>
      <c r="H2803" s="18" t="s">
        <v>507</v>
      </c>
      <c r="I2803" s="18" t="s">
        <v>508</v>
      </c>
      <c r="J2803" s="18"/>
      <c r="K2803" s="21">
        <f t="shared" si="129"/>
        <v>40.316666666592937</v>
      </c>
      <c r="L2803" s="19">
        <f t="shared" si="130"/>
        <v>177</v>
      </c>
      <c r="M2803" s="18" t="str">
        <f>IF(I2803&lt;&gt;"Sí","",IF(YEAR(F2803)&lt;&gt;2026,"",INDEX({"Enero","Febrero","Marzo","Abril","Mayo","Junio","Julio","Agosto","Septiembre","Octubre","Noviembre","Diciembre"},MONTH(F2803))))</f>
        <v>Septiembre</v>
      </c>
      <c r="N2803" s="18" t="str">
        <f t="shared" si="131"/>
        <v>Septiembre|177</v>
      </c>
    </row>
    <row r="2804" spans="1:14" ht="14.5" x14ac:dyDescent="0.25">
      <c r="A2804" s="19">
        <v>35</v>
      </c>
      <c r="B2804" s="18" t="s">
        <v>42</v>
      </c>
      <c r="C2804" s="18" t="s">
        <v>95</v>
      </c>
      <c r="D2804" s="18" t="s">
        <v>3204</v>
      </c>
      <c r="E2804" s="18" t="s">
        <v>3359</v>
      </c>
      <c r="F2804" s="101">
        <v>46282.415277777778</v>
      </c>
      <c r="G2804" s="101">
        <v>46284.085416666669</v>
      </c>
      <c r="H2804" s="18" t="s">
        <v>507</v>
      </c>
      <c r="I2804" s="18" t="s">
        <v>508</v>
      </c>
      <c r="J2804" s="18"/>
      <c r="K2804" s="21">
        <f t="shared" si="129"/>
        <v>40.083333333372138</v>
      </c>
      <c r="L2804" s="19">
        <f t="shared" si="130"/>
        <v>178</v>
      </c>
      <c r="M2804" s="18" t="str">
        <f>IF(I2804&lt;&gt;"Sí","",IF(YEAR(F2804)&lt;&gt;2026,"",INDEX({"Enero","Febrero","Marzo","Abril","Mayo","Junio","Julio","Agosto","Septiembre","Octubre","Noviembre","Diciembre"},MONTH(F2804))))</f>
        <v>Septiembre</v>
      </c>
      <c r="N2804" s="18" t="str">
        <f t="shared" si="131"/>
        <v>Septiembre|178</v>
      </c>
    </row>
    <row r="2805" spans="1:14" ht="14.5" x14ac:dyDescent="0.25">
      <c r="A2805" s="19">
        <v>35</v>
      </c>
      <c r="B2805" s="18" t="s">
        <v>42</v>
      </c>
      <c r="C2805" s="18" t="s">
        <v>95</v>
      </c>
      <c r="D2805" s="18" t="s">
        <v>3204</v>
      </c>
      <c r="E2805" s="18" t="s">
        <v>3360</v>
      </c>
      <c r="F2805" s="101">
        <v>46282.416666666664</v>
      </c>
      <c r="G2805" s="101">
        <v>46284.085416666669</v>
      </c>
      <c r="H2805" s="18" t="s">
        <v>507</v>
      </c>
      <c r="I2805" s="18" t="s">
        <v>508</v>
      </c>
      <c r="J2805" s="18"/>
      <c r="K2805" s="21">
        <f t="shared" si="129"/>
        <v>40.050000000104774</v>
      </c>
      <c r="L2805" s="19">
        <f t="shared" si="130"/>
        <v>179</v>
      </c>
      <c r="M2805" s="18" t="str">
        <f>IF(I2805&lt;&gt;"Sí","",IF(YEAR(F2805)&lt;&gt;2026,"",INDEX({"Enero","Febrero","Marzo","Abril","Mayo","Junio","Julio","Agosto","Septiembre","Octubre","Noviembre","Diciembre"},MONTH(F2805))))</f>
        <v>Septiembre</v>
      </c>
      <c r="N2805" s="18" t="str">
        <f t="shared" si="131"/>
        <v>Septiembre|179</v>
      </c>
    </row>
    <row r="2806" spans="1:14" ht="14.5" x14ac:dyDescent="0.25">
      <c r="A2806" s="19">
        <v>35</v>
      </c>
      <c r="B2806" s="18" t="s">
        <v>42</v>
      </c>
      <c r="C2806" s="18" t="s">
        <v>95</v>
      </c>
      <c r="D2806" s="18" t="s">
        <v>3204</v>
      </c>
      <c r="E2806" s="18" t="s">
        <v>3361</v>
      </c>
      <c r="F2806" s="101">
        <v>46282.418749999997</v>
      </c>
      <c r="G2806" s="101">
        <v>46284.085416666669</v>
      </c>
      <c r="H2806" s="18" t="s">
        <v>507</v>
      </c>
      <c r="I2806" s="18" t="s">
        <v>508</v>
      </c>
      <c r="J2806" s="18"/>
      <c r="K2806" s="21">
        <f t="shared" si="129"/>
        <v>40.000000000116415</v>
      </c>
      <c r="L2806" s="19">
        <f t="shared" si="130"/>
        <v>180</v>
      </c>
      <c r="M2806" s="18" t="str">
        <f>IF(I2806&lt;&gt;"Sí","",IF(YEAR(F2806)&lt;&gt;2026,"",INDEX({"Enero","Febrero","Marzo","Abril","Mayo","Junio","Julio","Agosto","Septiembre","Octubre","Noviembre","Diciembre"},MONTH(F2806))))</f>
        <v>Septiembre</v>
      </c>
      <c r="N2806" s="18" t="str">
        <f t="shared" si="131"/>
        <v>Septiembre|180</v>
      </c>
    </row>
    <row r="2807" spans="1:14" ht="14.5" x14ac:dyDescent="0.25">
      <c r="A2807" s="19">
        <v>35</v>
      </c>
      <c r="B2807" s="18" t="s">
        <v>42</v>
      </c>
      <c r="C2807" s="18" t="s">
        <v>95</v>
      </c>
      <c r="D2807" s="18" t="s">
        <v>3204</v>
      </c>
      <c r="E2807" s="18" t="s">
        <v>3362</v>
      </c>
      <c r="F2807" s="101">
        <v>46282.420138888891</v>
      </c>
      <c r="G2807" s="101">
        <v>46284.072916666664</v>
      </c>
      <c r="H2807" s="18" t="s">
        <v>507</v>
      </c>
      <c r="I2807" s="18" t="s">
        <v>508</v>
      </c>
      <c r="J2807" s="18"/>
      <c r="K2807" s="21">
        <f t="shared" si="129"/>
        <v>39.666666666569654</v>
      </c>
      <c r="L2807" s="19">
        <f t="shared" si="130"/>
        <v>181</v>
      </c>
      <c r="M2807" s="18" t="str">
        <f>IF(I2807&lt;&gt;"Sí","",IF(YEAR(F2807)&lt;&gt;2026,"",INDEX({"Enero","Febrero","Marzo","Abril","Mayo","Junio","Julio","Agosto","Septiembre","Octubre","Noviembre","Diciembre"},MONTH(F2807))))</f>
        <v>Septiembre</v>
      </c>
      <c r="N2807" s="18" t="str">
        <f t="shared" si="131"/>
        <v>Septiembre|181</v>
      </c>
    </row>
    <row r="2808" spans="1:14" ht="14.5" x14ac:dyDescent="0.25">
      <c r="A2808" s="19">
        <v>35</v>
      </c>
      <c r="B2808" s="18" t="s">
        <v>42</v>
      </c>
      <c r="C2808" s="18" t="s">
        <v>95</v>
      </c>
      <c r="D2808" s="18" t="s">
        <v>3204</v>
      </c>
      <c r="E2808" s="18" t="s">
        <v>2670</v>
      </c>
      <c r="F2808" s="101">
        <v>46282.427777777775</v>
      </c>
      <c r="G2808" s="101">
        <v>46284.072916666664</v>
      </c>
      <c r="H2808" s="18" t="s">
        <v>507</v>
      </c>
      <c r="I2808" s="18" t="s">
        <v>508</v>
      </c>
      <c r="J2808" s="18"/>
      <c r="K2808" s="21">
        <f t="shared" si="129"/>
        <v>39.483333333337214</v>
      </c>
      <c r="L2808" s="19">
        <f t="shared" si="130"/>
        <v>182</v>
      </c>
      <c r="M2808" s="18" t="str">
        <f>IF(I2808&lt;&gt;"Sí","",IF(YEAR(F2808)&lt;&gt;2026,"",INDEX({"Enero","Febrero","Marzo","Abril","Mayo","Junio","Julio","Agosto","Septiembre","Octubre","Noviembre","Diciembre"},MONTH(F2808))))</f>
        <v>Septiembre</v>
      </c>
      <c r="N2808" s="18" t="str">
        <f t="shared" si="131"/>
        <v>Septiembre|182</v>
      </c>
    </row>
    <row r="2809" spans="1:14" ht="14.5" x14ac:dyDescent="0.25">
      <c r="A2809" s="19">
        <v>35</v>
      </c>
      <c r="B2809" s="18" t="s">
        <v>42</v>
      </c>
      <c r="C2809" s="18" t="s">
        <v>95</v>
      </c>
      <c r="D2809" s="18" t="s">
        <v>3204</v>
      </c>
      <c r="E2809" s="18" t="s">
        <v>3363</v>
      </c>
      <c r="F2809" s="101">
        <v>46282.428472222222</v>
      </c>
      <c r="G2809" s="101">
        <v>46284.072916666664</v>
      </c>
      <c r="H2809" s="18" t="s">
        <v>507</v>
      </c>
      <c r="I2809" s="18" t="s">
        <v>508</v>
      </c>
      <c r="J2809" s="18"/>
      <c r="K2809" s="21">
        <f t="shared" si="129"/>
        <v>39.46666666661622</v>
      </c>
      <c r="L2809" s="19">
        <f t="shared" si="130"/>
        <v>183</v>
      </c>
      <c r="M2809" s="18" t="str">
        <f>IF(I2809&lt;&gt;"Sí","",IF(YEAR(F2809)&lt;&gt;2026,"",INDEX({"Enero","Febrero","Marzo","Abril","Mayo","Junio","Julio","Agosto","Septiembre","Octubre","Noviembre","Diciembre"},MONTH(F2809))))</f>
        <v>Septiembre</v>
      </c>
      <c r="N2809" s="18" t="str">
        <f t="shared" si="131"/>
        <v>Septiembre|183</v>
      </c>
    </row>
    <row r="2810" spans="1:14" ht="14.5" x14ac:dyDescent="0.25">
      <c r="A2810" s="19">
        <v>35</v>
      </c>
      <c r="B2810" s="18" t="s">
        <v>42</v>
      </c>
      <c r="C2810" s="18" t="s">
        <v>95</v>
      </c>
      <c r="D2810" s="18" t="s">
        <v>3204</v>
      </c>
      <c r="E2810" s="18" t="s">
        <v>3364</v>
      </c>
      <c r="F2810" s="101">
        <v>46282.429166666669</v>
      </c>
      <c r="G2810" s="101">
        <v>46284.072916666664</v>
      </c>
      <c r="H2810" s="18" t="s">
        <v>507</v>
      </c>
      <c r="I2810" s="18" t="s">
        <v>508</v>
      </c>
      <c r="J2810" s="18"/>
      <c r="K2810" s="21">
        <f t="shared" si="129"/>
        <v>39.449999999895226</v>
      </c>
      <c r="L2810" s="19">
        <f t="shared" si="130"/>
        <v>184</v>
      </c>
      <c r="M2810" s="18" t="str">
        <f>IF(I2810&lt;&gt;"Sí","",IF(YEAR(F2810)&lt;&gt;2026,"",INDEX({"Enero","Febrero","Marzo","Abril","Mayo","Junio","Julio","Agosto","Septiembre","Octubre","Noviembre","Diciembre"},MONTH(F2810))))</f>
        <v>Septiembre</v>
      </c>
      <c r="N2810" s="18" t="str">
        <f t="shared" si="131"/>
        <v>Septiembre|184</v>
      </c>
    </row>
    <row r="2811" spans="1:14" ht="14.5" x14ac:dyDescent="0.25">
      <c r="A2811" s="19">
        <v>35</v>
      </c>
      <c r="B2811" s="18" t="s">
        <v>42</v>
      </c>
      <c r="C2811" s="18" t="s">
        <v>95</v>
      </c>
      <c r="D2811" s="18" t="s">
        <v>3204</v>
      </c>
      <c r="E2811" s="18" t="s">
        <v>3365</v>
      </c>
      <c r="F2811" s="101">
        <v>46282.431250000001</v>
      </c>
      <c r="G2811" s="101">
        <v>46284.072916666664</v>
      </c>
      <c r="H2811" s="18" t="s">
        <v>507</v>
      </c>
      <c r="I2811" s="18" t="s">
        <v>508</v>
      </c>
      <c r="J2811" s="18"/>
      <c r="K2811" s="21">
        <f t="shared" si="129"/>
        <v>39.399999999906868</v>
      </c>
      <c r="L2811" s="19">
        <f t="shared" si="130"/>
        <v>185</v>
      </c>
      <c r="M2811" s="18" t="str">
        <f>IF(I2811&lt;&gt;"Sí","",IF(YEAR(F2811)&lt;&gt;2026,"",INDEX({"Enero","Febrero","Marzo","Abril","Mayo","Junio","Julio","Agosto","Septiembre","Octubre","Noviembre","Diciembre"},MONTH(F2811))))</f>
        <v>Septiembre</v>
      </c>
      <c r="N2811" s="18" t="str">
        <f t="shared" si="131"/>
        <v>Septiembre|185</v>
      </c>
    </row>
    <row r="2812" spans="1:14" ht="14.5" x14ac:dyDescent="0.25">
      <c r="A2812" s="19">
        <v>35</v>
      </c>
      <c r="B2812" s="18" t="s">
        <v>42</v>
      </c>
      <c r="C2812" s="18" t="s">
        <v>95</v>
      </c>
      <c r="D2812" s="18" t="s">
        <v>3204</v>
      </c>
      <c r="E2812" s="18" t="s">
        <v>3366</v>
      </c>
      <c r="F2812" s="101">
        <v>46282.434027777781</v>
      </c>
      <c r="G2812" s="101">
        <v>46284.497916666667</v>
      </c>
      <c r="H2812" s="18" t="s">
        <v>507</v>
      </c>
      <c r="I2812" s="18" t="s">
        <v>508</v>
      </c>
      <c r="J2812" s="18"/>
      <c r="K2812" s="21">
        <f t="shared" si="129"/>
        <v>49.533333333267365</v>
      </c>
      <c r="L2812" s="19">
        <f t="shared" si="130"/>
        <v>186</v>
      </c>
      <c r="M2812" s="18" t="str">
        <f>IF(I2812&lt;&gt;"Sí","",IF(YEAR(F2812)&lt;&gt;2026,"",INDEX({"Enero","Febrero","Marzo","Abril","Mayo","Junio","Julio","Agosto","Septiembre","Octubre","Noviembre","Diciembre"},MONTH(F2812))))</f>
        <v>Septiembre</v>
      </c>
      <c r="N2812" s="18" t="str">
        <f t="shared" si="131"/>
        <v>Septiembre|186</v>
      </c>
    </row>
    <row r="2813" spans="1:14" ht="14.5" x14ac:dyDescent="0.25">
      <c r="A2813" s="19">
        <v>35</v>
      </c>
      <c r="B2813" s="18" t="s">
        <v>42</v>
      </c>
      <c r="C2813" s="18" t="s">
        <v>95</v>
      </c>
      <c r="D2813" s="18" t="s">
        <v>3204</v>
      </c>
      <c r="E2813" s="18" t="s">
        <v>3367</v>
      </c>
      <c r="F2813" s="101">
        <v>46282.436111111114</v>
      </c>
      <c r="G2813" s="101">
        <v>46284.497916666667</v>
      </c>
      <c r="H2813" s="18" t="s">
        <v>507</v>
      </c>
      <c r="I2813" s="18" t="s">
        <v>508</v>
      </c>
      <c r="J2813" s="18"/>
      <c r="K2813" s="21">
        <f t="shared" si="129"/>
        <v>49.483333333279006</v>
      </c>
      <c r="L2813" s="19">
        <f t="shared" si="130"/>
        <v>187</v>
      </c>
      <c r="M2813" s="18" t="str">
        <f>IF(I2813&lt;&gt;"Sí","",IF(YEAR(F2813)&lt;&gt;2026,"",INDEX({"Enero","Febrero","Marzo","Abril","Mayo","Junio","Julio","Agosto","Septiembre","Octubre","Noviembre","Diciembre"},MONTH(F2813))))</f>
        <v>Septiembre</v>
      </c>
      <c r="N2813" s="18" t="str">
        <f t="shared" si="131"/>
        <v>Septiembre|187</v>
      </c>
    </row>
    <row r="2814" spans="1:14" ht="14.5" x14ac:dyDescent="0.25">
      <c r="A2814" s="19">
        <v>35</v>
      </c>
      <c r="B2814" s="18" t="s">
        <v>42</v>
      </c>
      <c r="C2814" s="18" t="s">
        <v>95</v>
      </c>
      <c r="D2814" s="18" t="s">
        <v>3204</v>
      </c>
      <c r="E2814" s="18" t="s">
        <v>3368</v>
      </c>
      <c r="F2814" s="101">
        <v>46282.438194444447</v>
      </c>
      <c r="G2814" s="101">
        <v>46284.489583333336</v>
      </c>
      <c r="H2814" s="18" t="s">
        <v>507</v>
      </c>
      <c r="I2814" s="18" t="s">
        <v>508</v>
      </c>
      <c r="J2814" s="18"/>
      <c r="K2814" s="21">
        <f t="shared" si="129"/>
        <v>49.233333333337214</v>
      </c>
      <c r="L2814" s="19">
        <f t="shared" si="130"/>
        <v>188</v>
      </c>
      <c r="M2814" s="18" t="str">
        <f>IF(I2814&lt;&gt;"Sí","",IF(YEAR(F2814)&lt;&gt;2026,"",INDEX({"Enero","Febrero","Marzo","Abril","Mayo","Junio","Julio","Agosto","Septiembre","Octubre","Noviembre","Diciembre"},MONTH(F2814))))</f>
        <v>Septiembre</v>
      </c>
      <c r="N2814" s="18" t="str">
        <f t="shared" si="131"/>
        <v>Septiembre|188</v>
      </c>
    </row>
    <row r="2815" spans="1:14" ht="14.5" x14ac:dyDescent="0.25">
      <c r="A2815" s="19">
        <v>35</v>
      </c>
      <c r="B2815" s="18" t="s">
        <v>42</v>
      </c>
      <c r="C2815" s="18" t="s">
        <v>95</v>
      </c>
      <c r="D2815" s="18" t="s">
        <v>3204</v>
      </c>
      <c r="E2815" s="18" t="s">
        <v>3369</v>
      </c>
      <c r="F2815" s="101">
        <v>46282.439583333333</v>
      </c>
      <c r="G2815" s="101">
        <v>46284.489583333336</v>
      </c>
      <c r="H2815" s="18" t="s">
        <v>507</v>
      </c>
      <c r="I2815" s="18" t="s">
        <v>508</v>
      </c>
      <c r="J2815" s="18"/>
      <c r="K2815" s="21">
        <f t="shared" si="129"/>
        <v>49.200000000069849</v>
      </c>
      <c r="L2815" s="19">
        <f t="shared" si="130"/>
        <v>189</v>
      </c>
      <c r="M2815" s="18" t="str">
        <f>IF(I2815&lt;&gt;"Sí","",IF(YEAR(F2815)&lt;&gt;2026,"",INDEX({"Enero","Febrero","Marzo","Abril","Mayo","Junio","Julio","Agosto","Septiembre","Octubre","Noviembre","Diciembre"},MONTH(F2815))))</f>
        <v>Septiembre</v>
      </c>
      <c r="N2815" s="18" t="str">
        <f t="shared" si="131"/>
        <v>Septiembre|189</v>
      </c>
    </row>
    <row r="2816" spans="1:14" ht="14.5" x14ac:dyDescent="0.25">
      <c r="A2816" s="19">
        <v>35</v>
      </c>
      <c r="B2816" s="18" t="s">
        <v>42</v>
      </c>
      <c r="C2816" s="18" t="s">
        <v>95</v>
      </c>
      <c r="D2816" s="18" t="s">
        <v>3204</v>
      </c>
      <c r="E2816" s="18" t="s">
        <v>3370</v>
      </c>
      <c r="F2816" s="101">
        <v>46282.441666666666</v>
      </c>
      <c r="G2816" s="101">
        <v>46284.489583333336</v>
      </c>
      <c r="H2816" s="18" t="s">
        <v>507</v>
      </c>
      <c r="I2816" s="18" t="s">
        <v>508</v>
      </c>
      <c r="J2816" s="18"/>
      <c r="K2816" s="21">
        <f t="shared" si="129"/>
        <v>49.150000000081491</v>
      </c>
      <c r="L2816" s="19">
        <f t="shared" si="130"/>
        <v>190</v>
      </c>
      <c r="M2816" s="18" t="str">
        <f>IF(I2816&lt;&gt;"Sí","",IF(YEAR(F2816)&lt;&gt;2026,"",INDEX({"Enero","Febrero","Marzo","Abril","Mayo","Junio","Julio","Agosto","Septiembre","Octubre","Noviembre","Diciembre"},MONTH(F2816))))</f>
        <v>Septiembre</v>
      </c>
      <c r="N2816" s="18" t="str">
        <f t="shared" si="131"/>
        <v>Septiembre|190</v>
      </c>
    </row>
    <row r="2817" spans="1:14" ht="14.5" x14ac:dyDescent="0.25">
      <c r="A2817" s="19">
        <v>35</v>
      </c>
      <c r="B2817" s="18" t="s">
        <v>42</v>
      </c>
      <c r="C2817" s="18" t="s">
        <v>95</v>
      </c>
      <c r="D2817" s="18" t="s">
        <v>3204</v>
      </c>
      <c r="E2817" s="18" t="s">
        <v>3371</v>
      </c>
      <c r="F2817" s="101">
        <v>46282.447222222225</v>
      </c>
      <c r="G2817" s="101">
        <v>46284.489583333336</v>
      </c>
      <c r="H2817" s="18" t="s">
        <v>507</v>
      </c>
      <c r="I2817" s="18" t="s">
        <v>508</v>
      </c>
      <c r="J2817" s="18"/>
      <c r="K2817" s="21">
        <f t="shared" si="129"/>
        <v>49.016666666662786</v>
      </c>
      <c r="L2817" s="19">
        <f t="shared" si="130"/>
        <v>191</v>
      </c>
      <c r="M2817" s="18" t="str">
        <f>IF(I2817&lt;&gt;"Sí","",IF(YEAR(F2817)&lt;&gt;2026,"",INDEX({"Enero","Febrero","Marzo","Abril","Mayo","Junio","Julio","Agosto","Septiembre","Octubre","Noviembre","Diciembre"},MONTH(F2817))))</f>
        <v>Septiembre</v>
      </c>
      <c r="N2817" s="18" t="str">
        <f t="shared" si="131"/>
        <v>Septiembre|191</v>
      </c>
    </row>
    <row r="2818" spans="1:14" ht="14.5" x14ac:dyDescent="0.25">
      <c r="A2818" s="19">
        <v>35</v>
      </c>
      <c r="B2818" s="18" t="s">
        <v>42</v>
      </c>
      <c r="C2818" s="18" t="s">
        <v>95</v>
      </c>
      <c r="D2818" s="18" t="s">
        <v>3204</v>
      </c>
      <c r="E2818" s="18" t="s">
        <v>3372</v>
      </c>
      <c r="F2818" s="101">
        <v>46282.449305555558</v>
      </c>
      <c r="G2818" s="101">
        <v>46284.489583333336</v>
      </c>
      <c r="H2818" s="18" t="s">
        <v>507</v>
      </c>
      <c r="I2818" s="18" t="s">
        <v>508</v>
      </c>
      <c r="J2818" s="18"/>
      <c r="K2818" s="21">
        <f t="shared" si="129"/>
        <v>48.966666666674428</v>
      </c>
      <c r="L2818" s="19">
        <f t="shared" si="130"/>
        <v>192</v>
      </c>
      <c r="M2818" s="18" t="str">
        <f>IF(I2818&lt;&gt;"Sí","",IF(YEAR(F2818)&lt;&gt;2026,"",INDEX({"Enero","Febrero","Marzo","Abril","Mayo","Junio","Julio","Agosto","Septiembre","Octubre","Noviembre","Diciembre"},MONTH(F2818))))</f>
        <v>Septiembre</v>
      </c>
      <c r="N2818" s="18" t="str">
        <f t="shared" si="131"/>
        <v>Septiembre|192</v>
      </c>
    </row>
    <row r="2819" spans="1:14" ht="14.5" x14ac:dyDescent="0.25">
      <c r="A2819" s="19">
        <v>35</v>
      </c>
      <c r="B2819" s="18" t="s">
        <v>42</v>
      </c>
      <c r="C2819" s="18" t="s">
        <v>95</v>
      </c>
      <c r="D2819" s="18" t="s">
        <v>3204</v>
      </c>
      <c r="E2819" s="18" t="s">
        <v>3373</v>
      </c>
      <c r="F2819" s="101">
        <v>46282.451388888891</v>
      </c>
      <c r="G2819" s="101">
        <v>46284.489583333336</v>
      </c>
      <c r="H2819" s="18" t="s">
        <v>507</v>
      </c>
      <c r="I2819" s="18" t="s">
        <v>508</v>
      </c>
      <c r="J2819" s="18"/>
      <c r="K2819" s="21">
        <f t="shared" si="129"/>
        <v>48.916666666686069</v>
      </c>
      <c r="L2819" s="19">
        <f t="shared" si="130"/>
        <v>193</v>
      </c>
      <c r="M2819" s="18" t="str">
        <f>IF(I2819&lt;&gt;"Sí","",IF(YEAR(F2819)&lt;&gt;2026,"",INDEX({"Enero","Febrero","Marzo","Abril","Mayo","Junio","Julio","Agosto","Septiembre","Octubre","Noviembre","Diciembre"},MONTH(F2819))))</f>
        <v>Septiembre</v>
      </c>
      <c r="N2819" s="18" t="str">
        <f t="shared" si="131"/>
        <v>Septiembre|193</v>
      </c>
    </row>
    <row r="2820" spans="1:14" ht="14.5" x14ac:dyDescent="0.25">
      <c r="A2820" s="19">
        <v>35</v>
      </c>
      <c r="B2820" s="18" t="s">
        <v>42</v>
      </c>
      <c r="C2820" s="18" t="s">
        <v>95</v>
      </c>
      <c r="D2820" s="18" t="s">
        <v>3204</v>
      </c>
      <c r="E2820" s="18" t="s">
        <v>3374</v>
      </c>
      <c r="F2820" s="101">
        <v>46282.45208333333</v>
      </c>
      <c r="G2820" s="101">
        <v>46284.479166666664</v>
      </c>
      <c r="H2820" s="18" t="s">
        <v>507</v>
      </c>
      <c r="I2820" s="18" t="s">
        <v>508</v>
      </c>
      <c r="J2820" s="18"/>
      <c r="K2820" s="21">
        <f t="shared" si="129"/>
        <v>48.650000000023283</v>
      </c>
      <c r="L2820" s="19">
        <f t="shared" si="130"/>
        <v>194</v>
      </c>
      <c r="M2820" s="18" t="str">
        <f>IF(I2820&lt;&gt;"Sí","",IF(YEAR(F2820)&lt;&gt;2026,"",INDEX({"Enero","Febrero","Marzo","Abril","Mayo","Junio","Julio","Agosto","Septiembre","Octubre","Noviembre","Diciembre"},MONTH(F2820))))</f>
        <v>Septiembre</v>
      </c>
      <c r="N2820" s="18" t="str">
        <f t="shared" si="131"/>
        <v>Septiembre|194</v>
      </c>
    </row>
    <row r="2821" spans="1:14" ht="14.5" x14ac:dyDescent="0.25">
      <c r="A2821" s="19">
        <v>35</v>
      </c>
      <c r="B2821" s="18" t="s">
        <v>42</v>
      </c>
      <c r="C2821" s="18" t="s">
        <v>95</v>
      </c>
      <c r="D2821" s="18" t="s">
        <v>3204</v>
      </c>
      <c r="E2821" s="18" t="s">
        <v>3375</v>
      </c>
      <c r="F2821" s="101">
        <v>46282.454861111109</v>
      </c>
      <c r="G2821" s="101">
        <v>46284.479166666664</v>
      </c>
      <c r="H2821" s="18" t="s">
        <v>507</v>
      </c>
      <c r="I2821" s="18" t="s">
        <v>508</v>
      </c>
      <c r="J2821" s="18"/>
      <c r="K2821" s="21">
        <f t="shared" si="129"/>
        <v>48.583333333313931</v>
      </c>
      <c r="L2821" s="19">
        <f t="shared" si="130"/>
        <v>195</v>
      </c>
      <c r="M2821" s="18" t="str">
        <f>IF(I2821&lt;&gt;"Sí","",IF(YEAR(F2821)&lt;&gt;2026,"",INDEX({"Enero","Febrero","Marzo","Abril","Mayo","Junio","Julio","Agosto","Septiembre","Octubre","Noviembre","Diciembre"},MONTH(F2821))))</f>
        <v>Septiembre</v>
      </c>
      <c r="N2821" s="18" t="str">
        <f t="shared" si="131"/>
        <v>Septiembre|195</v>
      </c>
    </row>
    <row r="2822" spans="1:14" ht="14.5" x14ac:dyDescent="0.25">
      <c r="A2822" s="19">
        <v>35</v>
      </c>
      <c r="B2822" s="18" t="s">
        <v>42</v>
      </c>
      <c r="C2822" s="18" t="s">
        <v>95</v>
      </c>
      <c r="D2822" s="18" t="s">
        <v>3204</v>
      </c>
      <c r="E2822" s="18" t="s">
        <v>3376</v>
      </c>
      <c r="F2822" s="101">
        <v>46282.456944444442</v>
      </c>
      <c r="G2822" s="101">
        <v>46284.479166666664</v>
      </c>
      <c r="H2822" s="18" t="s">
        <v>507</v>
      </c>
      <c r="I2822" s="18" t="s">
        <v>508</v>
      </c>
      <c r="J2822" s="18"/>
      <c r="K2822" s="21">
        <f t="shared" si="129"/>
        <v>48.533333333325572</v>
      </c>
      <c r="L2822" s="19">
        <f t="shared" si="130"/>
        <v>196</v>
      </c>
      <c r="M2822" s="18" t="str">
        <f>IF(I2822&lt;&gt;"Sí","",IF(YEAR(F2822)&lt;&gt;2026,"",INDEX({"Enero","Febrero","Marzo","Abril","Mayo","Junio","Julio","Agosto","Septiembre","Octubre","Noviembre","Diciembre"},MONTH(F2822))))</f>
        <v>Septiembre</v>
      </c>
      <c r="N2822" s="18" t="str">
        <f t="shared" si="131"/>
        <v>Septiembre|196</v>
      </c>
    </row>
    <row r="2823" spans="1:14" ht="14.5" x14ac:dyDescent="0.25">
      <c r="A2823" s="19">
        <v>35</v>
      </c>
      <c r="B2823" s="18" t="s">
        <v>42</v>
      </c>
      <c r="C2823" s="18" t="s">
        <v>95</v>
      </c>
      <c r="D2823" s="18" t="s">
        <v>3204</v>
      </c>
      <c r="E2823" s="18" t="s">
        <v>3377</v>
      </c>
      <c r="F2823" s="101">
        <v>46282.457638888889</v>
      </c>
      <c r="G2823" s="101">
        <v>46284.479166666664</v>
      </c>
      <c r="H2823" s="18" t="s">
        <v>507</v>
      </c>
      <c r="I2823" s="18" t="s">
        <v>508</v>
      </c>
      <c r="J2823" s="18"/>
      <c r="K2823" s="21">
        <f t="shared" ref="K2823:K2886" si="132">IF(I2823="Sí",(G2823-F2823)*24,"")</f>
        <v>48.516666666604578</v>
      </c>
      <c r="L2823" s="19">
        <f t="shared" ref="L2823:L2886" si="133">IF(I2823="Sí",COUNTIFS($F$7:$F$4000,"&lt;="&amp;F2823,$G$7:$G$4000,"&gt;"&amp;F2823,$I$7:$I$4000,"Sí"),"")</f>
        <v>197</v>
      </c>
      <c r="M2823" s="18" t="str">
        <f>IF(I2823&lt;&gt;"Sí","",IF(YEAR(F2823)&lt;&gt;2026,"",INDEX({"Enero","Febrero","Marzo","Abril","Mayo","Junio","Julio","Agosto","Septiembre","Octubre","Noviembre","Diciembre"},MONTH(F2823))))</f>
        <v>Septiembre</v>
      </c>
      <c r="N2823" s="18" t="str">
        <f t="shared" ref="N2823:N2886" si="134">IF(M2823="","",M2823&amp;"|"&amp;L2823)</f>
        <v>Septiembre|197</v>
      </c>
    </row>
    <row r="2824" spans="1:14" ht="14.5" x14ac:dyDescent="0.25">
      <c r="A2824" s="19">
        <v>35</v>
      </c>
      <c r="B2824" s="18" t="s">
        <v>42</v>
      </c>
      <c r="C2824" s="18" t="s">
        <v>95</v>
      </c>
      <c r="D2824" s="18" t="s">
        <v>3204</v>
      </c>
      <c r="E2824" s="18" t="s">
        <v>3378</v>
      </c>
      <c r="F2824" s="101">
        <v>46282.459722222222</v>
      </c>
      <c r="G2824" s="101">
        <v>46284.479166666664</v>
      </c>
      <c r="H2824" s="18" t="s">
        <v>507</v>
      </c>
      <c r="I2824" s="18" t="s">
        <v>508</v>
      </c>
      <c r="J2824" s="18"/>
      <c r="K2824" s="21">
        <f t="shared" si="132"/>
        <v>48.46666666661622</v>
      </c>
      <c r="L2824" s="19">
        <f t="shared" si="133"/>
        <v>198</v>
      </c>
      <c r="M2824" s="18" t="str">
        <f>IF(I2824&lt;&gt;"Sí","",IF(YEAR(F2824)&lt;&gt;2026,"",INDEX({"Enero","Febrero","Marzo","Abril","Mayo","Junio","Julio","Agosto","Septiembre","Octubre","Noviembre","Diciembre"},MONTH(F2824))))</f>
        <v>Septiembre</v>
      </c>
      <c r="N2824" s="18" t="str">
        <f t="shared" si="134"/>
        <v>Septiembre|198</v>
      </c>
    </row>
    <row r="2825" spans="1:14" ht="14.5" x14ac:dyDescent="0.25">
      <c r="A2825" s="19">
        <v>35</v>
      </c>
      <c r="B2825" s="18" t="s">
        <v>42</v>
      </c>
      <c r="C2825" s="18" t="s">
        <v>95</v>
      </c>
      <c r="D2825" s="18" t="s">
        <v>3204</v>
      </c>
      <c r="E2825" s="18" t="s">
        <v>3379</v>
      </c>
      <c r="F2825" s="101">
        <v>46282.461805555555</v>
      </c>
      <c r="G2825" s="101">
        <v>46284.479166666664</v>
      </c>
      <c r="H2825" s="18" t="s">
        <v>507</v>
      </c>
      <c r="I2825" s="18" t="s">
        <v>508</v>
      </c>
      <c r="J2825" s="18"/>
      <c r="K2825" s="21">
        <f t="shared" si="132"/>
        <v>48.416666666627862</v>
      </c>
      <c r="L2825" s="19">
        <f t="shared" si="133"/>
        <v>199</v>
      </c>
      <c r="M2825" s="18" t="str">
        <f>IF(I2825&lt;&gt;"Sí","",IF(YEAR(F2825)&lt;&gt;2026,"",INDEX({"Enero","Febrero","Marzo","Abril","Mayo","Junio","Julio","Agosto","Septiembre","Octubre","Noviembre","Diciembre"},MONTH(F2825))))</f>
        <v>Septiembre</v>
      </c>
      <c r="N2825" s="18" t="str">
        <f t="shared" si="134"/>
        <v>Septiembre|199</v>
      </c>
    </row>
    <row r="2826" spans="1:14" ht="14.5" x14ac:dyDescent="0.25">
      <c r="A2826" s="19">
        <v>35</v>
      </c>
      <c r="B2826" s="18" t="s">
        <v>42</v>
      </c>
      <c r="C2826" s="18" t="s">
        <v>95</v>
      </c>
      <c r="D2826" s="18" t="s">
        <v>3204</v>
      </c>
      <c r="E2826" s="18" t="s">
        <v>3380</v>
      </c>
      <c r="F2826" s="101">
        <v>46282.463194444441</v>
      </c>
      <c r="G2826" s="101">
        <v>46284.465277777781</v>
      </c>
      <c r="H2826" s="18" t="s">
        <v>507</v>
      </c>
      <c r="I2826" s="18" t="s">
        <v>508</v>
      </c>
      <c r="J2826" s="18"/>
      <c r="K2826" s="21">
        <f t="shared" si="132"/>
        <v>48.050000000162981</v>
      </c>
      <c r="L2826" s="19">
        <f t="shared" si="133"/>
        <v>200</v>
      </c>
      <c r="M2826" s="18" t="str">
        <f>IF(I2826&lt;&gt;"Sí","",IF(YEAR(F2826)&lt;&gt;2026,"",INDEX({"Enero","Febrero","Marzo","Abril","Mayo","Junio","Julio","Agosto","Septiembre","Octubre","Noviembre","Diciembre"},MONTH(F2826))))</f>
        <v>Septiembre</v>
      </c>
      <c r="N2826" s="18" t="str">
        <f t="shared" si="134"/>
        <v>Septiembre|200</v>
      </c>
    </row>
    <row r="2827" spans="1:14" ht="14.5" x14ac:dyDescent="0.25">
      <c r="A2827" s="19">
        <v>35</v>
      </c>
      <c r="B2827" s="18" t="s">
        <v>42</v>
      </c>
      <c r="C2827" s="18" t="s">
        <v>95</v>
      </c>
      <c r="D2827" s="18" t="s">
        <v>3204</v>
      </c>
      <c r="E2827" s="18" t="s">
        <v>3381</v>
      </c>
      <c r="F2827" s="101">
        <v>46282.463888888888</v>
      </c>
      <c r="G2827" s="101">
        <v>46284.465277777781</v>
      </c>
      <c r="H2827" s="18" t="s">
        <v>507</v>
      </c>
      <c r="I2827" s="18" t="s">
        <v>508</v>
      </c>
      <c r="J2827" s="18"/>
      <c r="K2827" s="21">
        <f t="shared" si="132"/>
        <v>48.033333333441988</v>
      </c>
      <c r="L2827" s="19">
        <f t="shared" si="133"/>
        <v>201</v>
      </c>
      <c r="M2827" s="18" t="str">
        <f>IF(I2827&lt;&gt;"Sí","",IF(YEAR(F2827)&lt;&gt;2026,"",INDEX({"Enero","Febrero","Marzo","Abril","Mayo","Junio","Julio","Agosto","Septiembre","Octubre","Noviembre","Diciembre"},MONTH(F2827))))</f>
        <v>Septiembre</v>
      </c>
      <c r="N2827" s="18" t="str">
        <f t="shared" si="134"/>
        <v>Septiembre|201</v>
      </c>
    </row>
    <row r="2828" spans="1:14" ht="14.5" x14ac:dyDescent="0.25">
      <c r="A2828" s="19">
        <v>35</v>
      </c>
      <c r="B2828" s="18" t="s">
        <v>42</v>
      </c>
      <c r="C2828" s="18" t="s">
        <v>95</v>
      </c>
      <c r="D2828" s="18" t="s">
        <v>3204</v>
      </c>
      <c r="E2828" s="18" t="s">
        <v>3382</v>
      </c>
      <c r="F2828" s="101">
        <v>46282.464583333334</v>
      </c>
      <c r="G2828" s="101">
        <v>46284.465277777781</v>
      </c>
      <c r="H2828" s="18" t="s">
        <v>507</v>
      </c>
      <c r="I2828" s="18" t="s">
        <v>508</v>
      </c>
      <c r="J2828" s="18"/>
      <c r="K2828" s="21">
        <f t="shared" si="132"/>
        <v>48.016666666720994</v>
      </c>
      <c r="L2828" s="19">
        <f t="shared" si="133"/>
        <v>202</v>
      </c>
      <c r="M2828" s="18" t="str">
        <f>IF(I2828&lt;&gt;"Sí","",IF(YEAR(F2828)&lt;&gt;2026,"",INDEX({"Enero","Febrero","Marzo","Abril","Mayo","Junio","Julio","Agosto","Septiembre","Octubre","Noviembre","Diciembre"},MONTH(F2828))))</f>
        <v>Septiembre</v>
      </c>
      <c r="N2828" s="18" t="str">
        <f t="shared" si="134"/>
        <v>Septiembre|202</v>
      </c>
    </row>
    <row r="2829" spans="1:14" ht="14.5" x14ac:dyDescent="0.25">
      <c r="A2829" s="19">
        <v>35</v>
      </c>
      <c r="B2829" s="18" t="s">
        <v>42</v>
      </c>
      <c r="C2829" s="18" t="s">
        <v>95</v>
      </c>
      <c r="D2829" s="18" t="s">
        <v>3204</v>
      </c>
      <c r="E2829" s="18" t="s">
        <v>3383</v>
      </c>
      <c r="F2829" s="101">
        <v>46282.469444444447</v>
      </c>
      <c r="G2829" s="101">
        <v>46284.465277777781</v>
      </c>
      <c r="H2829" s="18" t="s">
        <v>507</v>
      </c>
      <c r="I2829" s="18" t="s">
        <v>508</v>
      </c>
      <c r="J2829" s="18"/>
      <c r="K2829" s="21">
        <f t="shared" si="132"/>
        <v>47.900000000023283</v>
      </c>
      <c r="L2829" s="19">
        <f t="shared" si="133"/>
        <v>203</v>
      </c>
      <c r="M2829" s="18" t="str">
        <f>IF(I2829&lt;&gt;"Sí","",IF(YEAR(F2829)&lt;&gt;2026,"",INDEX({"Enero","Febrero","Marzo","Abril","Mayo","Junio","Julio","Agosto","Septiembre","Octubre","Noviembre","Diciembre"},MONTH(F2829))))</f>
        <v>Septiembre</v>
      </c>
      <c r="N2829" s="18" t="str">
        <f t="shared" si="134"/>
        <v>Septiembre|203</v>
      </c>
    </row>
    <row r="2830" spans="1:14" ht="14.5" x14ac:dyDescent="0.25">
      <c r="A2830" s="19">
        <v>35</v>
      </c>
      <c r="B2830" s="18" t="s">
        <v>42</v>
      </c>
      <c r="C2830" s="18" t="s">
        <v>95</v>
      </c>
      <c r="D2830" s="18" t="s">
        <v>3204</v>
      </c>
      <c r="E2830" s="18" t="s">
        <v>3384</v>
      </c>
      <c r="F2830" s="101">
        <v>46282.47152777778</v>
      </c>
      <c r="G2830" s="101">
        <v>46284.465277777781</v>
      </c>
      <c r="H2830" s="18" t="s">
        <v>507</v>
      </c>
      <c r="I2830" s="18" t="s">
        <v>508</v>
      </c>
      <c r="J2830" s="18"/>
      <c r="K2830" s="21">
        <f t="shared" si="132"/>
        <v>47.850000000034925</v>
      </c>
      <c r="L2830" s="19">
        <f t="shared" si="133"/>
        <v>204</v>
      </c>
      <c r="M2830" s="18" t="str">
        <f>IF(I2830&lt;&gt;"Sí","",IF(YEAR(F2830)&lt;&gt;2026,"",INDEX({"Enero","Febrero","Marzo","Abril","Mayo","Junio","Julio","Agosto","Septiembre","Octubre","Noviembre","Diciembre"},MONTH(F2830))))</f>
        <v>Septiembre</v>
      </c>
      <c r="N2830" s="18" t="str">
        <f t="shared" si="134"/>
        <v>Septiembre|204</v>
      </c>
    </row>
    <row r="2831" spans="1:14" ht="14.5" x14ac:dyDescent="0.25">
      <c r="A2831" s="19">
        <v>35</v>
      </c>
      <c r="B2831" s="18" t="s">
        <v>42</v>
      </c>
      <c r="C2831" s="18" t="s">
        <v>95</v>
      </c>
      <c r="D2831" s="18" t="s">
        <v>3204</v>
      </c>
      <c r="E2831" s="18" t="s">
        <v>3385</v>
      </c>
      <c r="F2831" s="101">
        <v>46282.472222222219</v>
      </c>
      <c r="G2831" s="101">
        <v>46284.465277777781</v>
      </c>
      <c r="H2831" s="18" t="s">
        <v>507</v>
      </c>
      <c r="I2831" s="18" t="s">
        <v>508</v>
      </c>
      <c r="J2831" s="18"/>
      <c r="K2831" s="21">
        <f t="shared" si="132"/>
        <v>47.833333333488554</v>
      </c>
      <c r="L2831" s="19">
        <f t="shared" si="133"/>
        <v>205</v>
      </c>
      <c r="M2831" s="18" t="str">
        <f>IF(I2831&lt;&gt;"Sí","",IF(YEAR(F2831)&lt;&gt;2026,"",INDEX({"Enero","Febrero","Marzo","Abril","Mayo","Junio","Julio","Agosto","Septiembre","Octubre","Noviembre","Diciembre"},MONTH(F2831))))</f>
        <v>Septiembre</v>
      </c>
      <c r="N2831" s="18" t="str">
        <f t="shared" si="134"/>
        <v>Septiembre|205</v>
      </c>
    </row>
    <row r="2832" spans="1:14" ht="14.5" x14ac:dyDescent="0.25">
      <c r="A2832" s="19">
        <v>35</v>
      </c>
      <c r="B2832" s="18" t="s">
        <v>42</v>
      </c>
      <c r="C2832" s="18" t="s">
        <v>95</v>
      </c>
      <c r="D2832" s="18" t="s">
        <v>3204</v>
      </c>
      <c r="E2832" s="18" t="s">
        <v>3386</v>
      </c>
      <c r="F2832" s="101">
        <v>46282.474305555559</v>
      </c>
      <c r="G2832" s="101">
        <v>46284.207638888889</v>
      </c>
      <c r="H2832" s="18" t="s">
        <v>507</v>
      </c>
      <c r="I2832" s="18" t="s">
        <v>508</v>
      </c>
      <c r="J2832" s="18"/>
      <c r="K2832" s="21">
        <f t="shared" si="132"/>
        <v>41.599999999918509</v>
      </c>
      <c r="L2832" s="19">
        <f t="shared" si="133"/>
        <v>207</v>
      </c>
      <c r="M2832" s="18" t="str">
        <f>IF(I2832&lt;&gt;"Sí","",IF(YEAR(F2832)&lt;&gt;2026,"",INDEX({"Enero","Febrero","Marzo","Abril","Mayo","Junio","Julio","Agosto","Septiembre","Octubre","Noviembre","Diciembre"},MONTH(F2832))))</f>
        <v>Septiembre</v>
      </c>
      <c r="N2832" s="18" t="str">
        <f t="shared" si="134"/>
        <v>Septiembre|207</v>
      </c>
    </row>
    <row r="2833" spans="1:14" ht="14.5" x14ac:dyDescent="0.25">
      <c r="A2833" s="19">
        <v>35</v>
      </c>
      <c r="B2833" s="18" t="s">
        <v>42</v>
      </c>
      <c r="C2833" s="18" t="s">
        <v>95</v>
      </c>
      <c r="D2833" s="18" t="s">
        <v>3204</v>
      </c>
      <c r="E2833" s="18" t="s">
        <v>3387</v>
      </c>
      <c r="F2833" s="101">
        <v>46282.474305555559</v>
      </c>
      <c r="G2833" s="101">
        <v>46284.207638888889</v>
      </c>
      <c r="H2833" s="18" t="s">
        <v>507</v>
      </c>
      <c r="I2833" s="18" t="s">
        <v>508</v>
      </c>
      <c r="J2833" s="18"/>
      <c r="K2833" s="21">
        <f t="shared" si="132"/>
        <v>41.599999999918509</v>
      </c>
      <c r="L2833" s="19">
        <f t="shared" si="133"/>
        <v>207</v>
      </c>
      <c r="M2833" s="18" t="str">
        <f>IF(I2833&lt;&gt;"Sí","",IF(YEAR(F2833)&lt;&gt;2026,"",INDEX({"Enero","Febrero","Marzo","Abril","Mayo","Junio","Julio","Agosto","Septiembre","Octubre","Noviembre","Diciembre"},MONTH(F2833))))</f>
        <v>Septiembre</v>
      </c>
      <c r="N2833" s="18" t="str">
        <f t="shared" si="134"/>
        <v>Septiembre|207</v>
      </c>
    </row>
    <row r="2834" spans="1:14" ht="14.5" x14ac:dyDescent="0.25">
      <c r="A2834" s="19">
        <v>35</v>
      </c>
      <c r="B2834" s="18" t="s">
        <v>42</v>
      </c>
      <c r="C2834" s="18" t="s">
        <v>95</v>
      </c>
      <c r="D2834" s="18" t="s">
        <v>3204</v>
      </c>
      <c r="E2834" s="18" t="s">
        <v>3388</v>
      </c>
      <c r="F2834" s="101">
        <v>46282.477083333331</v>
      </c>
      <c r="G2834" s="101">
        <v>46284.207638888889</v>
      </c>
      <c r="H2834" s="18" t="s">
        <v>507</v>
      </c>
      <c r="I2834" s="18" t="s">
        <v>508</v>
      </c>
      <c r="J2834" s="18"/>
      <c r="K2834" s="21">
        <f t="shared" si="132"/>
        <v>41.53333333338378</v>
      </c>
      <c r="L2834" s="19">
        <f t="shared" si="133"/>
        <v>208</v>
      </c>
      <c r="M2834" s="18" t="str">
        <f>IF(I2834&lt;&gt;"Sí","",IF(YEAR(F2834)&lt;&gt;2026,"",INDEX({"Enero","Febrero","Marzo","Abril","Mayo","Junio","Julio","Agosto","Septiembre","Octubre","Noviembre","Diciembre"},MONTH(F2834))))</f>
        <v>Septiembre</v>
      </c>
      <c r="N2834" s="18" t="str">
        <f t="shared" si="134"/>
        <v>Septiembre|208</v>
      </c>
    </row>
    <row r="2835" spans="1:14" ht="14.5" x14ac:dyDescent="0.25">
      <c r="A2835" s="19">
        <v>35</v>
      </c>
      <c r="B2835" s="18" t="s">
        <v>42</v>
      </c>
      <c r="C2835" s="18" t="s">
        <v>95</v>
      </c>
      <c r="D2835" s="18" t="s">
        <v>3204</v>
      </c>
      <c r="E2835" s="18" t="s">
        <v>3389</v>
      </c>
      <c r="F2835" s="101">
        <v>46282.490277777775</v>
      </c>
      <c r="G2835" s="101">
        <v>46283.995833333334</v>
      </c>
      <c r="H2835" s="18" t="s">
        <v>507</v>
      </c>
      <c r="I2835" s="18" t="s">
        <v>508</v>
      </c>
      <c r="J2835" s="18"/>
      <c r="K2835" s="21">
        <f t="shared" si="132"/>
        <v>36.133333333418705</v>
      </c>
      <c r="L2835" s="19">
        <f t="shared" si="133"/>
        <v>209</v>
      </c>
      <c r="M2835" s="18" t="str">
        <f>IF(I2835&lt;&gt;"Sí","",IF(YEAR(F2835)&lt;&gt;2026,"",INDEX({"Enero","Febrero","Marzo","Abril","Mayo","Junio","Julio","Agosto","Septiembre","Octubre","Noviembre","Diciembre"},MONTH(F2835))))</f>
        <v>Septiembre</v>
      </c>
      <c r="N2835" s="18" t="str">
        <f t="shared" si="134"/>
        <v>Septiembre|209</v>
      </c>
    </row>
    <row r="2836" spans="1:14" ht="14.5" x14ac:dyDescent="0.25">
      <c r="A2836" s="19">
        <v>35</v>
      </c>
      <c r="B2836" s="18" t="s">
        <v>42</v>
      </c>
      <c r="C2836" s="18" t="s">
        <v>715</v>
      </c>
      <c r="D2836" s="18" t="s">
        <v>3221</v>
      </c>
      <c r="E2836" s="18" t="s">
        <v>3390</v>
      </c>
      <c r="F2836" s="101">
        <v>46284.504166666666</v>
      </c>
      <c r="G2836" s="101">
        <v>46290.706944444442</v>
      </c>
      <c r="H2836" s="18" t="s">
        <v>507</v>
      </c>
      <c r="I2836" s="18" t="s">
        <v>508</v>
      </c>
      <c r="J2836" s="18"/>
      <c r="K2836" s="21">
        <f t="shared" si="132"/>
        <v>148.8666666666395</v>
      </c>
      <c r="L2836" s="19">
        <f t="shared" si="133"/>
        <v>36</v>
      </c>
      <c r="M2836" s="18" t="str">
        <f>IF(I2836&lt;&gt;"Sí","",IF(YEAR(F2836)&lt;&gt;2026,"",INDEX({"Enero","Febrero","Marzo","Abril","Mayo","Junio","Julio","Agosto","Septiembre","Octubre","Noviembre","Diciembre"},MONTH(F2836))))</f>
        <v>Septiembre</v>
      </c>
      <c r="N2836" s="18" t="str">
        <f t="shared" si="134"/>
        <v>Septiembre|36</v>
      </c>
    </row>
    <row r="2837" spans="1:14" ht="14.5" x14ac:dyDescent="0.25">
      <c r="A2837" s="19">
        <v>35</v>
      </c>
      <c r="B2837" s="18" t="s">
        <v>42</v>
      </c>
      <c r="C2837" s="18" t="s">
        <v>715</v>
      </c>
      <c r="D2837" s="18" t="s">
        <v>3221</v>
      </c>
      <c r="E2837" s="18" t="s">
        <v>3391</v>
      </c>
      <c r="F2837" s="101">
        <v>46284.504166666666</v>
      </c>
      <c r="G2837" s="101">
        <v>46290.706944444442</v>
      </c>
      <c r="H2837" s="18" t="s">
        <v>507</v>
      </c>
      <c r="I2837" s="18" t="s">
        <v>508</v>
      </c>
      <c r="J2837" s="18"/>
      <c r="K2837" s="21">
        <f t="shared" si="132"/>
        <v>148.8666666666395</v>
      </c>
      <c r="L2837" s="19">
        <f t="shared" si="133"/>
        <v>36</v>
      </c>
      <c r="M2837" s="18" t="str">
        <f>IF(I2837&lt;&gt;"Sí","",IF(YEAR(F2837)&lt;&gt;2026,"",INDEX({"Enero","Febrero","Marzo","Abril","Mayo","Junio","Julio","Agosto","Septiembre","Octubre","Noviembre","Diciembre"},MONTH(F2837))))</f>
        <v>Septiembre</v>
      </c>
      <c r="N2837" s="18" t="str">
        <f t="shared" si="134"/>
        <v>Septiembre|36</v>
      </c>
    </row>
    <row r="2838" spans="1:14" ht="14.5" x14ac:dyDescent="0.25">
      <c r="A2838" s="19">
        <v>35</v>
      </c>
      <c r="B2838" s="18" t="s">
        <v>42</v>
      </c>
      <c r="C2838" s="18" t="s">
        <v>715</v>
      </c>
      <c r="D2838" s="18" t="s">
        <v>3221</v>
      </c>
      <c r="E2838" s="18" t="s">
        <v>3392</v>
      </c>
      <c r="F2838" s="101">
        <v>46284.504166666666</v>
      </c>
      <c r="G2838" s="101">
        <v>46290.706944444442</v>
      </c>
      <c r="H2838" s="18" t="s">
        <v>507</v>
      </c>
      <c r="I2838" s="18" t="s">
        <v>508</v>
      </c>
      <c r="J2838" s="18"/>
      <c r="K2838" s="21">
        <f t="shared" si="132"/>
        <v>148.8666666666395</v>
      </c>
      <c r="L2838" s="19">
        <f t="shared" si="133"/>
        <v>36</v>
      </c>
      <c r="M2838" s="18" t="str">
        <f>IF(I2838&lt;&gt;"Sí","",IF(YEAR(F2838)&lt;&gt;2026,"",INDEX({"Enero","Febrero","Marzo","Abril","Mayo","Junio","Julio","Agosto","Septiembre","Octubre","Noviembre","Diciembre"},MONTH(F2838))))</f>
        <v>Septiembre</v>
      </c>
      <c r="N2838" s="18" t="str">
        <f t="shared" si="134"/>
        <v>Septiembre|36</v>
      </c>
    </row>
    <row r="2839" spans="1:14" ht="14.5" x14ac:dyDescent="0.25">
      <c r="A2839" s="19">
        <v>35</v>
      </c>
      <c r="B2839" s="18" t="s">
        <v>42</v>
      </c>
      <c r="C2839" s="18" t="s">
        <v>715</v>
      </c>
      <c r="D2839" s="18" t="s">
        <v>3221</v>
      </c>
      <c r="E2839" s="18" t="s">
        <v>3393</v>
      </c>
      <c r="F2839" s="101">
        <v>46284.504166666666</v>
      </c>
      <c r="G2839" s="101">
        <v>46290.738888888889</v>
      </c>
      <c r="H2839" s="18" t="s">
        <v>507</v>
      </c>
      <c r="I2839" s="18" t="s">
        <v>508</v>
      </c>
      <c r="J2839" s="18"/>
      <c r="K2839" s="21">
        <f t="shared" si="132"/>
        <v>149.6333333333605</v>
      </c>
      <c r="L2839" s="19">
        <f t="shared" si="133"/>
        <v>36</v>
      </c>
      <c r="M2839" s="18" t="str">
        <f>IF(I2839&lt;&gt;"Sí","",IF(YEAR(F2839)&lt;&gt;2026,"",INDEX({"Enero","Febrero","Marzo","Abril","Mayo","Junio","Julio","Agosto","Septiembre","Octubre","Noviembre","Diciembre"},MONTH(F2839))))</f>
        <v>Septiembre</v>
      </c>
      <c r="N2839" s="18" t="str">
        <f t="shared" si="134"/>
        <v>Septiembre|36</v>
      </c>
    </row>
    <row r="2840" spans="1:14" ht="14.5" x14ac:dyDescent="0.25">
      <c r="A2840" s="19">
        <v>35</v>
      </c>
      <c r="B2840" s="18" t="s">
        <v>42</v>
      </c>
      <c r="C2840" s="18" t="s">
        <v>715</v>
      </c>
      <c r="D2840" s="18" t="s">
        <v>3221</v>
      </c>
      <c r="E2840" s="18" t="s">
        <v>3394</v>
      </c>
      <c r="F2840" s="101">
        <v>46284.504166666666</v>
      </c>
      <c r="G2840" s="101">
        <v>46290.738888888889</v>
      </c>
      <c r="H2840" s="18" t="s">
        <v>507</v>
      </c>
      <c r="I2840" s="18" t="s">
        <v>508</v>
      </c>
      <c r="J2840" s="18"/>
      <c r="K2840" s="21">
        <f t="shared" si="132"/>
        <v>149.6333333333605</v>
      </c>
      <c r="L2840" s="19">
        <f t="shared" si="133"/>
        <v>36</v>
      </c>
      <c r="M2840" s="18" t="str">
        <f>IF(I2840&lt;&gt;"Sí","",IF(YEAR(F2840)&lt;&gt;2026,"",INDEX({"Enero","Febrero","Marzo","Abril","Mayo","Junio","Julio","Agosto","Septiembre","Octubre","Noviembre","Diciembre"},MONTH(F2840))))</f>
        <v>Septiembre</v>
      </c>
      <c r="N2840" s="18" t="str">
        <f t="shared" si="134"/>
        <v>Septiembre|36</v>
      </c>
    </row>
    <row r="2841" spans="1:14" ht="14.5" x14ac:dyDescent="0.25">
      <c r="A2841" s="19">
        <v>35</v>
      </c>
      <c r="B2841" s="18" t="s">
        <v>42</v>
      </c>
      <c r="C2841" s="18" t="s">
        <v>715</v>
      </c>
      <c r="D2841" s="18" t="s">
        <v>3221</v>
      </c>
      <c r="E2841" s="18" t="s">
        <v>2277</v>
      </c>
      <c r="F2841" s="101">
        <v>46284.62222222222</v>
      </c>
      <c r="G2841" s="101">
        <v>46290.738888888889</v>
      </c>
      <c r="H2841" s="18" t="s">
        <v>507</v>
      </c>
      <c r="I2841" s="18" t="s">
        <v>508</v>
      </c>
      <c r="J2841" s="18"/>
      <c r="K2841" s="21">
        <f t="shared" si="132"/>
        <v>146.80000000004657</v>
      </c>
      <c r="L2841" s="19">
        <f t="shared" si="133"/>
        <v>12</v>
      </c>
      <c r="M2841" s="18" t="str">
        <f>IF(I2841&lt;&gt;"Sí","",IF(YEAR(F2841)&lt;&gt;2026,"",INDEX({"Enero","Febrero","Marzo","Abril","Mayo","Junio","Julio","Agosto","Septiembre","Octubre","Noviembre","Diciembre"},MONTH(F2841))))</f>
        <v>Septiembre</v>
      </c>
      <c r="N2841" s="18" t="str">
        <f t="shared" si="134"/>
        <v>Septiembre|12</v>
      </c>
    </row>
    <row r="2842" spans="1:14" ht="14.5" x14ac:dyDescent="0.25">
      <c r="A2842" s="19">
        <v>35</v>
      </c>
      <c r="B2842" s="18" t="s">
        <v>42</v>
      </c>
      <c r="C2842" s="18" t="s">
        <v>715</v>
      </c>
      <c r="D2842" s="18" t="s">
        <v>3221</v>
      </c>
      <c r="E2842" s="18" t="s">
        <v>2810</v>
      </c>
      <c r="F2842" s="101">
        <v>46286.468055555553</v>
      </c>
      <c r="G2842" s="101">
        <v>46290.706944444442</v>
      </c>
      <c r="H2842" s="18" t="s">
        <v>507</v>
      </c>
      <c r="I2842" s="18" t="s">
        <v>508</v>
      </c>
      <c r="J2842" s="18"/>
      <c r="K2842" s="21">
        <f t="shared" si="132"/>
        <v>101.73333333333721</v>
      </c>
      <c r="L2842" s="19">
        <f t="shared" si="133"/>
        <v>11</v>
      </c>
      <c r="M2842" s="18" t="str">
        <f>IF(I2842&lt;&gt;"Sí","",IF(YEAR(F2842)&lt;&gt;2026,"",INDEX({"Enero","Febrero","Marzo","Abril","Mayo","Junio","Julio","Agosto","Septiembre","Octubre","Noviembre","Diciembre"},MONTH(F2842))))</f>
        <v>Septiembre</v>
      </c>
      <c r="N2842" s="18" t="str">
        <f t="shared" si="134"/>
        <v>Septiembre|11</v>
      </c>
    </row>
    <row r="2843" spans="1:14" ht="14.5" x14ac:dyDescent="0.25">
      <c r="A2843" s="19">
        <v>35</v>
      </c>
      <c r="B2843" s="18" t="s">
        <v>42</v>
      </c>
      <c r="C2843" s="18" t="s">
        <v>715</v>
      </c>
      <c r="D2843" s="18" t="s">
        <v>3221</v>
      </c>
      <c r="E2843" s="18" t="s">
        <v>3395</v>
      </c>
      <c r="F2843" s="101">
        <v>46286.505555555559</v>
      </c>
      <c r="G2843" s="101">
        <v>46290.738888888889</v>
      </c>
      <c r="H2843" s="18" t="s">
        <v>507</v>
      </c>
      <c r="I2843" s="18" t="s">
        <v>508</v>
      </c>
      <c r="J2843" s="18"/>
      <c r="K2843" s="21">
        <f t="shared" si="132"/>
        <v>101.59999999991851</v>
      </c>
      <c r="L2843" s="19">
        <f t="shared" si="133"/>
        <v>19</v>
      </c>
      <c r="M2843" s="18" t="str">
        <f>IF(I2843&lt;&gt;"Sí","",IF(YEAR(F2843)&lt;&gt;2026,"",INDEX({"Enero","Febrero","Marzo","Abril","Mayo","Junio","Julio","Agosto","Septiembre","Octubre","Noviembre","Diciembre"},MONTH(F2843))))</f>
        <v>Septiembre</v>
      </c>
      <c r="N2843" s="18" t="str">
        <f t="shared" si="134"/>
        <v>Septiembre|19</v>
      </c>
    </row>
    <row r="2844" spans="1:14" ht="14.5" x14ac:dyDescent="0.25">
      <c r="A2844" s="19">
        <v>35</v>
      </c>
      <c r="B2844" s="18" t="s">
        <v>42</v>
      </c>
      <c r="C2844" s="18" t="s">
        <v>715</v>
      </c>
      <c r="D2844" s="18" t="s">
        <v>3221</v>
      </c>
      <c r="E2844" s="18" t="s">
        <v>3396</v>
      </c>
      <c r="F2844" s="101">
        <v>46286.505555555559</v>
      </c>
      <c r="G2844" s="101">
        <v>46290.738888888889</v>
      </c>
      <c r="H2844" s="18" t="s">
        <v>507</v>
      </c>
      <c r="I2844" s="18" t="s">
        <v>508</v>
      </c>
      <c r="J2844" s="18"/>
      <c r="K2844" s="21">
        <f t="shared" si="132"/>
        <v>101.59999999991851</v>
      </c>
      <c r="L2844" s="19">
        <f t="shared" si="133"/>
        <v>19</v>
      </c>
      <c r="M2844" s="18" t="str">
        <f>IF(I2844&lt;&gt;"Sí","",IF(YEAR(F2844)&lt;&gt;2026,"",INDEX({"Enero","Febrero","Marzo","Abril","Mayo","Junio","Julio","Agosto","Septiembre","Octubre","Noviembre","Diciembre"},MONTH(F2844))))</f>
        <v>Septiembre</v>
      </c>
      <c r="N2844" s="18" t="str">
        <f t="shared" si="134"/>
        <v>Septiembre|19</v>
      </c>
    </row>
    <row r="2845" spans="1:14" ht="14.5" x14ac:dyDescent="0.25">
      <c r="A2845" s="19">
        <v>35</v>
      </c>
      <c r="B2845" s="18" t="s">
        <v>42</v>
      </c>
      <c r="C2845" s="18" t="s">
        <v>715</v>
      </c>
      <c r="D2845" s="18" t="s">
        <v>3221</v>
      </c>
      <c r="E2845" s="18" t="s">
        <v>3397</v>
      </c>
      <c r="F2845" s="101">
        <v>46286.505555555559</v>
      </c>
      <c r="G2845" s="101">
        <v>46290.738888888889</v>
      </c>
      <c r="H2845" s="18" t="s">
        <v>507</v>
      </c>
      <c r="I2845" s="18" t="s">
        <v>508</v>
      </c>
      <c r="J2845" s="18"/>
      <c r="K2845" s="21">
        <f t="shared" si="132"/>
        <v>101.59999999991851</v>
      </c>
      <c r="L2845" s="19">
        <f t="shared" si="133"/>
        <v>19</v>
      </c>
      <c r="M2845" s="18" t="str">
        <f>IF(I2845&lt;&gt;"Sí","",IF(YEAR(F2845)&lt;&gt;2026,"",INDEX({"Enero","Febrero","Marzo","Abril","Mayo","Junio","Julio","Agosto","Septiembre","Octubre","Noviembre","Diciembre"},MONTH(F2845))))</f>
        <v>Septiembre</v>
      </c>
      <c r="N2845" s="18" t="str">
        <f t="shared" si="134"/>
        <v>Septiembre|19</v>
      </c>
    </row>
    <row r="2846" spans="1:14" ht="14.5" x14ac:dyDescent="0.25">
      <c r="A2846" s="19">
        <v>35</v>
      </c>
      <c r="B2846" s="18" t="s">
        <v>42</v>
      </c>
      <c r="C2846" s="18" t="s">
        <v>715</v>
      </c>
      <c r="D2846" s="18" t="s">
        <v>3221</v>
      </c>
      <c r="E2846" s="18" t="s">
        <v>3398</v>
      </c>
      <c r="F2846" s="101">
        <v>46286.505555555559</v>
      </c>
      <c r="G2846" s="101">
        <v>46290.738888888889</v>
      </c>
      <c r="H2846" s="18" t="s">
        <v>507</v>
      </c>
      <c r="I2846" s="18" t="s">
        <v>508</v>
      </c>
      <c r="J2846" s="18"/>
      <c r="K2846" s="21">
        <f t="shared" si="132"/>
        <v>101.59999999991851</v>
      </c>
      <c r="L2846" s="19">
        <f t="shared" si="133"/>
        <v>19</v>
      </c>
      <c r="M2846" s="18" t="str">
        <f>IF(I2846&lt;&gt;"Sí","",IF(YEAR(F2846)&lt;&gt;2026,"",INDEX({"Enero","Febrero","Marzo","Abril","Mayo","Junio","Julio","Agosto","Septiembre","Octubre","Noviembre","Diciembre"},MONTH(F2846))))</f>
        <v>Septiembre</v>
      </c>
      <c r="N2846" s="18" t="str">
        <f t="shared" si="134"/>
        <v>Septiembre|19</v>
      </c>
    </row>
    <row r="2847" spans="1:14" ht="14.5" x14ac:dyDescent="0.25">
      <c r="A2847" s="19">
        <v>35</v>
      </c>
      <c r="B2847" s="18" t="s">
        <v>42</v>
      </c>
      <c r="C2847" s="18" t="s">
        <v>715</v>
      </c>
      <c r="D2847" s="18" t="s">
        <v>3221</v>
      </c>
      <c r="E2847" s="18" t="s">
        <v>3399</v>
      </c>
      <c r="F2847" s="101">
        <v>46286.505555555559</v>
      </c>
      <c r="G2847" s="101">
        <v>46291.054861111108</v>
      </c>
      <c r="H2847" s="18" t="s">
        <v>507</v>
      </c>
      <c r="I2847" s="18" t="s">
        <v>508</v>
      </c>
      <c r="J2847" s="18"/>
      <c r="K2847" s="21">
        <f t="shared" si="132"/>
        <v>109.18333333317423</v>
      </c>
      <c r="L2847" s="19">
        <f t="shared" si="133"/>
        <v>19</v>
      </c>
      <c r="M2847" s="18" t="str">
        <f>IF(I2847&lt;&gt;"Sí","",IF(YEAR(F2847)&lt;&gt;2026,"",INDEX({"Enero","Febrero","Marzo","Abril","Mayo","Junio","Julio","Agosto","Septiembre","Octubre","Noviembre","Diciembre"},MONTH(F2847))))</f>
        <v>Septiembre</v>
      </c>
      <c r="N2847" s="18" t="str">
        <f t="shared" si="134"/>
        <v>Septiembre|19</v>
      </c>
    </row>
    <row r="2848" spans="1:14" ht="14.5" x14ac:dyDescent="0.25">
      <c r="A2848" s="19">
        <v>35</v>
      </c>
      <c r="B2848" s="18" t="s">
        <v>42</v>
      </c>
      <c r="C2848" s="18" t="s">
        <v>715</v>
      </c>
      <c r="D2848" s="18" t="s">
        <v>3221</v>
      </c>
      <c r="E2848" s="18" t="s">
        <v>3400</v>
      </c>
      <c r="F2848" s="101">
        <v>46286.505555555559</v>
      </c>
      <c r="G2848" s="101">
        <v>46291.057638888888</v>
      </c>
      <c r="H2848" s="18" t="s">
        <v>507</v>
      </c>
      <c r="I2848" s="18" t="s">
        <v>508</v>
      </c>
      <c r="J2848" s="18"/>
      <c r="K2848" s="21">
        <f t="shared" si="132"/>
        <v>109.24999999988358</v>
      </c>
      <c r="L2848" s="19">
        <f t="shared" si="133"/>
        <v>19</v>
      </c>
      <c r="M2848" s="18" t="str">
        <f>IF(I2848&lt;&gt;"Sí","",IF(YEAR(F2848)&lt;&gt;2026,"",INDEX({"Enero","Febrero","Marzo","Abril","Mayo","Junio","Julio","Agosto","Septiembre","Octubre","Noviembre","Diciembre"},MONTH(F2848))))</f>
        <v>Septiembre</v>
      </c>
      <c r="N2848" s="18" t="str">
        <f t="shared" si="134"/>
        <v>Septiembre|19</v>
      </c>
    </row>
    <row r="2849" spans="1:14" ht="14.5" x14ac:dyDescent="0.25">
      <c r="A2849" s="19">
        <v>35</v>
      </c>
      <c r="B2849" s="18" t="s">
        <v>42</v>
      </c>
      <c r="C2849" s="18" t="s">
        <v>715</v>
      </c>
      <c r="D2849" s="18" t="s">
        <v>3221</v>
      </c>
      <c r="E2849" s="18" t="s">
        <v>3401</v>
      </c>
      <c r="F2849" s="101">
        <v>46286.505555555559</v>
      </c>
      <c r="G2849" s="101">
        <v>46291.059027777781</v>
      </c>
      <c r="H2849" s="18" t="s">
        <v>507</v>
      </c>
      <c r="I2849" s="18" t="s">
        <v>508</v>
      </c>
      <c r="J2849" s="18"/>
      <c r="K2849" s="21">
        <f t="shared" si="132"/>
        <v>109.28333333332557</v>
      </c>
      <c r="L2849" s="19">
        <f t="shared" si="133"/>
        <v>19</v>
      </c>
      <c r="M2849" s="18" t="str">
        <f>IF(I2849&lt;&gt;"Sí","",IF(YEAR(F2849)&lt;&gt;2026,"",INDEX({"Enero","Febrero","Marzo","Abril","Mayo","Junio","Julio","Agosto","Septiembre","Octubre","Noviembre","Diciembre"},MONTH(F2849))))</f>
        <v>Septiembre</v>
      </c>
      <c r="N2849" s="18" t="str">
        <f t="shared" si="134"/>
        <v>Septiembre|19</v>
      </c>
    </row>
    <row r="2850" spans="1:14" ht="14.5" x14ac:dyDescent="0.25">
      <c r="A2850" s="19">
        <v>35</v>
      </c>
      <c r="B2850" s="18" t="s">
        <v>42</v>
      </c>
      <c r="C2850" s="18" t="s">
        <v>715</v>
      </c>
      <c r="D2850" s="18" t="s">
        <v>3221</v>
      </c>
      <c r="E2850" s="18" t="s">
        <v>3402</v>
      </c>
      <c r="F2850" s="101">
        <v>46286.505555555559</v>
      </c>
      <c r="G2850" s="101">
        <v>46291.017361111109</v>
      </c>
      <c r="H2850" s="18" t="s">
        <v>507</v>
      </c>
      <c r="I2850" s="18" t="s">
        <v>508</v>
      </c>
      <c r="J2850" s="18"/>
      <c r="K2850" s="21">
        <f t="shared" si="132"/>
        <v>108.28333333320916</v>
      </c>
      <c r="L2850" s="19">
        <f t="shared" si="133"/>
        <v>19</v>
      </c>
      <c r="M2850" s="18" t="str">
        <f>IF(I2850&lt;&gt;"Sí","",IF(YEAR(F2850)&lt;&gt;2026,"",INDEX({"Enero","Febrero","Marzo","Abril","Mayo","Junio","Julio","Agosto","Septiembre","Octubre","Noviembre","Diciembre"},MONTH(F2850))))</f>
        <v>Septiembre</v>
      </c>
      <c r="N2850" s="18" t="str">
        <f t="shared" si="134"/>
        <v>Septiembre|19</v>
      </c>
    </row>
    <row r="2851" spans="1:14" ht="14.5" x14ac:dyDescent="0.25">
      <c r="A2851" s="19">
        <v>35</v>
      </c>
      <c r="B2851" s="18" t="s">
        <v>42</v>
      </c>
      <c r="C2851" s="18" t="s">
        <v>715</v>
      </c>
      <c r="D2851" s="18" t="s">
        <v>3221</v>
      </c>
      <c r="E2851" s="18" t="s">
        <v>3403</v>
      </c>
      <c r="F2851" s="101">
        <v>46286.55972222222</v>
      </c>
      <c r="G2851" s="101">
        <v>46291.061111111114</v>
      </c>
      <c r="H2851" s="18" t="s">
        <v>507</v>
      </c>
      <c r="I2851" s="18" t="s">
        <v>508</v>
      </c>
      <c r="J2851" s="18"/>
      <c r="K2851" s="21">
        <f t="shared" si="132"/>
        <v>108.03333333344199</v>
      </c>
      <c r="L2851" s="19">
        <f t="shared" si="133"/>
        <v>23</v>
      </c>
      <c r="M2851" s="18" t="str">
        <f>IF(I2851&lt;&gt;"Sí","",IF(YEAR(F2851)&lt;&gt;2026,"",INDEX({"Enero","Febrero","Marzo","Abril","Mayo","Junio","Julio","Agosto","Septiembre","Octubre","Noviembre","Diciembre"},MONTH(F2851))))</f>
        <v>Septiembre</v>
      </c>
      <c r="N2851" s="18" t="str">
        <f t="shared" si="134"/>
        <v>Septiembre|23</v>
      </c>
    </row>
    <row r="2852" spans="1:14" ht="14.5" x14ac:dyDescent="0.25">
      <c r="A2852" s="19">
        <v>35</v>
      </c>
      <c r="B2852" s="18" t="s">
        <v>42</v>
      </c>
      <c r="C2852" s="18" t="s">
        <v>715</v>
      </c>
      <c r="D2852" s="18" t="s">
        <v>3221</v>
      </c>
      <c r="E2852" s="18" t="s">
        <v>3404</v>
      </c>
      <c r="F2852" s="101">
        <v>46286.55972222222</v>
      </c>
      <c r="G2852" s="101">
        <v>46291.012499999997</v>
      </c>
      <c r="H2852" s="18" t="s">
        <v>507</v>
      </c>
      <c r="I2852" s="18" t="s">
        <v>508</v>
      </c>
      <c r="J2852" s="18"/>
      <c r="K2852" s="21">
        <f t="shared" si="132"/>
        <v>106.8666666666395</v>
      </c>
      <c r="L2852" s="19">
        <f t="shared" si="133"/>
        <v>23</v>
      </c>
      <c r="M2852" s="18" t="str">
        <f>IF(I2852&lt;&gt;"Sí","",IF(YEAR(F2852)&lt;&gt;2026,"",INDEX({"Enero","Febrero","Marzo","Abril","Mayo","Junio","Julio","Agosto","Septiembre","Octubre","Noviembre","Diciembre"},MONTH(F2852))))</f>
        <v>Septiembre</v>
      </c>
      <c r="N2852" s="18" t="str">
        <f t="shared" si="134"/>
        <v>Septiembre|23</v>
      </c>
    </row>
    <row r="2853" spans="1:14" ht="14.5" x14ac:dyDescent="0.25">
      <c r="A2853" s="19">
        <v>35</v>
      </c>
      <c r="B2853" s="18" t="s">
        <v>42</v>
      </c>
      <c r="C2853" s="18" t="s">
        <v>715</v>
      </c>
      <c r="D2853" s="18" t="s">
        <v>3221</v>
      </c>
      <c r="E2853" s="18" t="s">
        <v>3405</v>
      </c>
      <c r="F2853" s="101">
        <v>46286.55972222222</v>
      </c>
      <c r="G2853" s="101">
        <v>46291.0625</v>
      </c>
      <c r="H2853" s="18" t="s">
        <v>507</v>
      </c>
      <c r="I2853" s="18" t="s">
        <v>508</v>
      </c>
      <c r="J2853" s="18"/>
      <c r="K2853" s="21">
        <f t="shared" si="132"/>
        <v>108.06666666670935</v>
      </c>
      <c r="L2853" s="19">
        <f t="shared" si="133"/>
        <v>23</v>
      </c>
      <c r="M2853" s="18" t="str">
        <f>IF(I2853&lt;&gt;"Sí","",IF(YEAR(F2853)&lt;&gt;2026,"",INDEX({"Enero","Febrero","Marzo","Abril","Mayo","Junio","Julio","Agosto","Septiembre","Octubre","Noviembre","Diciembre"},MONTH(F2853))))</f>
        <v>Septiembre</v>
      </c>
      <c r="N2853" s="18" t="str">
        <f t="shared" si="134"/>
        <v>Septiembre|23</v>
      </c>
    </row>
    <row r="2854" spans="1:14" ht="14.5" x14ac:dyDescent="0.25">
      <c r="A2854" s="19">
        <v>35</v>
      </c>
      <c r="B2854" s="18" t="s">
        <v>42</v>
      </c>
      <c r="C2854" s="18" t="s">
        <v>715</v>
      </c>
      <c r="D2854" s="18" t="s">
        <v>3221</v>
      </c>
      <c r="E2854" s="18" t="s">
        <v>3406</v>
      </c>
      <c r="F2854" s="101">
        <v>46286.55972222222</v>
      </c>
      <c r="G2854" s="101">
        <v>46291.06527777778</v>
      </c>
      <c r="H2854" s="18" t="s">
        <v>507</v>
      </c>
      <c r="I2854" s="18" t="s">
        <v>508</v>
      </c>
      <c r="J2854" s="18"/>
      <c r="K2854" s="21">
        <f t="shared" si="132"/>
        <v>108.1333333334187</v>
      </c>
      <c r="L2854" s="19">
        <f t="shared" si="133"/>
        <v>23</v>
      </c>
      <c r="M2854" s="18" t="str">
        <f>IF(I2854&lt;&gt;"Sí","",IF(YEAR(F2854)&lt;&gt;2026,"",INDEX({"Enero","Febrero","Marzo","Abril","Mayo","Junio","Julio","Agosto","Septiembre","Octubre","Noviembre","Diciembre"},MONTH(F2854))))</f>
        <v>Septiembre</v>
      </c>
      <c r="N2854" s="18" t="str">
        <f t="shared" si="134"/>
        <v>Septiembre|23</v>
      </c>
    </row>
    <row r="2855" spans="1:14" ht="14.5" x14ac:dyDescent="0.25">
      <c r="A2855" s="19">
        <v>35</v>
      </c>
      <c r="B2855" s="18" t="s">
        <v>42</v>
      </c>
      <c r="C2855" s="18" t="s">
        <v>715</v>
      </c>
      <c r="D2855" s="18" t="s">
        <v>3221</v>
      </c>
      <c r="E2855" s="18" t="s">
        <v>3407</v>
      </c>
      <c r="F2855" s="101">
        <v>46286.665972222225</v>
      </c>
      <c r="G2855" s="101">
        <v>46291.067361111112</v>
      </c>
      <c r="H2855" s="18" t="s">
        <v>507</v>
      </c>
      <c r="I2855" s="18" t="s">
        <v>508</v>
      </c>
      <c r="J2855" s="18"/>
      <c r="K2855" s="21">
        <f t="shared" si="132"/>
        <v>105.63333333330229</v>
      </c>
      <c r="L2855" s="19">
        <f t="shared" si="133"/>
        <v>27</v>
      </c>
      <c r="M2855" s="18" t="str">
        <f>IF(I2855&lt;&gt;"Sí","",IF(YEAR(F2855)&lt;&gt;2026,"",INDEX({"Enero","Febrero","Marzo","Abril","Mayo","Junio","Julio","Agosto","Septiembre","Octubre","Noviembre","Diciembre"},MONTH(F2855))))</f>
        <v>Septiembre</v>
      </c>
      <c r="N2855" s="18" t="str">
        <f t="shared" si="134"/>
        <v>Septiembre|27</v>
      </c>
    </row>
    <row r="2856" spans="1:14" ht="14.5" x14ac:dyDescent="0.25">
      <c r="A2856" s="19">
        <v>35</v>
      </c>
      <c r="B2856" s="18" t="s">
        <v>42</v>
      </c>
      <c r="C2856" s="18" t="s">
        <v>715</v>
      </c>
      <c r="D2856" s="18" t="s">
        <v>3221</v>
      </c>
      <c r="E2856" s="18" t="s">
        <v>2300</v>
      </c>
      <c r="F2856" s="101">
        <v>46286.665972222225</v>
      </c>
      <c r="G2856" s="101">
        <v>46291.069444444445</v>
      </c>
      <c r="H2856" s="18" t="s">
        <v>507</v>
      </c>
      <c r="I2856" s="18" t="s">
        <v>508</v>
      </c>
      <c r="J2856" s="18"/>
      <c r="K2856" s="21">
        <f t="shared" si="132"/>
        <v>105.68333333329065</v>
      </c>
      <c r="L2856" s="19">
        <f t="shared" si="133"/>
        <v>27</v>
      </c>
      <c r="M2856" s="18" t="str">
        <f>IF(I2856&lt;&gt;"Sí","",IF(YEAR(F2856)&lt;&gt;2026,"",INDEX({"Enero","Febrero","Marzo","Abril","Mayo","Junio","Julio","Agosto","Septiembre","Octubre","Noviembre","Diciembre"},MONTH(F2856))))</f>
        <v>Septiembre</v>
      </c>
      <c r="N2856" s="18" t="str">
        <f t="shared" si="134"/>
        <v>Septiembre|27</v>
      </c>
    </row>
    <row r="2857" spans="1:14" ht="14.5" x14ac:dyDescent="0.25">
      <c r="A2857" s="19">
        <v>35</v>
      </c>
      <c r="B2857" s="18" t="s">
        <v>42</v>
      </c>
      <c r="C2857" s="18" t="s">
        <v>715</v>
      </c>
      <c r="D2857" s="18" t="s">
        <v>3221</v>
      </c>
      <c r="E2857" s="18" t="s">
        <v>3408</v>
      </c>
      <c r="F2857" s="101">
        <v>46286.665972222225</v>
      </c>
      <c r="G2857" s="101">
        <v>46291.072222222225</v>
      </c>
      <c r="H2857" s="18" t="s">
        <v>507</v>
      </c>
      <c r="I2857" s="18" t="s">
        <v>508</v>
      </c>
      <c r="J2857" s="18"/>
      <c r="K2857" s="21">
        <f t="shared" si="132"/>
        <v>105.75</v>
      </c>
      <c r="L2857" s="19">
        <f t="shared" si="133"/>
        <v>27</v>
      </c>
      <c r="M2857" s="18" t="str">
        <f>IF(I2857&lt;&gt;"Sí","",IF(YEAR(F2857)&lt;&gt;2026,"",INDEX({"Enero","Febrero","Marzo","Abril","Mayo","Junio","Julio","Agosto","Septiembre","Octubre","Noviembre","Diciembre"},MONTH(F2857))))</f>
        <v>Septiembre</v>
      </c>
      <c r="N2857" s="18" t="str">
        <f t="shared" si="134"/>
        <v>Septiembre|27</v>
      </c>
    </row>
    <row r="2858" spans="1:14" ht="14.5" x14ac:dyDescent="0.25">
      <c r="A2858" s="19">
        <v>35</v>
      </c>
      <c r="B2858" s="18" t="s">
        <v>42</v>
      </c>
      <c r="C2858" s="18" t="s">
        <v>715</v>
      </c>
      <c r="D2858" s="18" t="s">
        <v>3221</v>
      </c>
      <c r="E2858" s="18" t="s">
        <v>3409</v>
      </c>
      <c r="F2858" s="101">
        <v>46286.665972222225</v>
      </c>
      <c r="G2858" s="101">
        <v>46291.074999999997</v>
      </c>
      <c r="H2858" s="18" t="s">
        <v>507</v>
      </c>
      <c r="I2858" s="18" t="s">
        <v>508</v>
      </c>
      <c r="J2858" s="18"/>
      <c r="K2858" s="21">
        <f t="shared" si="132"/>
        <v>105.81666666653473</v>
      </c>
      <c r="L2858" s="19">
        <f t="shared" si="133"/>
        <v>27</v>
      </c>
      <c r="M2858" s="18" t="str">
        <f>IF(I2858&lt;&gt;"Sí","",IF(YEAR(F2858)&lt;&gt;2026,"",INDEX({"Enero","Febrero","Marzo","Abril","Mayo","Junio","Julio","Agosto","Septiembre","Octubre","Noviembre","Diciembre"},MONTH(F2858))))</f>
        <v>Septiembre</v>
      </c>
      <c r="N2858" s="18" t="str">
        <f t="shared" si="134"/>
        <v>Septiembre|27</v>
      </c>
    </row>
    <row r="2859" spans="1:14" ht="14.5" x14ac:dyDescent="0.25">
      <c r="A2859" s="19">
        <v>35</v>
      </c>
      <c r="B2859" s="18" t="s">
        <v>42</v>
      </c>
      <c r="C2859" s="18" t="s">
        <v>715</v>
      </c>
      <c r="D2859" s="18" t="s">
        <v>3221</v>
      </c>
      <c r="E2859" s="18" t="s">
        <v>3410</v>
      </c>
      <c r="F2859" s="101">
        <v>46286.697916666664</v>
      </c>
      <c r="G2859" s="101">
        <v>46291.077777777777</v>
      </c>
      <c r="H2859" s="18" t="s">
        <v>507</v>
      </c>
      <c r="I2859" s="18" t="s">
        <v>508</v>
      </c>
      <c r="J2859" s="18"/>
      <c r="K2859" s="21">
        <f t="shared" si="132"/>
        <v>105.11666666669771</v>
      </c>
      <c r="L2859" s="19">
        <f t="shared" si="133"/>
        <v>28</v>
      </c>
      <c r="M2859" s="18" t="str">
        <f>IF(I2859&lt;&gt;"Sí","",IF(YEAR(F2859)&lt;&gt;2026,"",INDEX({"Enero","Febrero","Marzo","Abril","Mayo","Junio","Julio","Agosto","Septiembre","Octubre","Noviembre","Diciembre"},MONTH(F2859))))</f>
        <v>Septiembre</v>
      </c>
      <c r="N2859" s="18" t="str">
        <f t="shared" si="134"/>
        <v>Septiembre|28</v>
      </c>
    </row>
    <row r="2860" spans="1:14" ht="14.5" x14ac:dyDescent="0.25">
      <c r="A2860" s="19">
        <v>35</v>
      </c>
      <c r="B2860" s="18" t="s">
        <v>42</v>
      </c>
      <c r="C2860" s="18" t="s">
        <v>715</v>
      </c>
      <c r="D2860" s="18" t="s">
        <v>3221</v>
      </c>
      <c r="E2860" s="18" t="s">
        <v>3411</v>
      </c>
      <c r="F2860" s="101">
        <v>46286.8</v>
      </c>
      <c r="G2860" s="101">
        <v>46291.079861111109</v>
      </c>
      <c r="H2860" s="18" t="s">
        <v>507</v>
      </c>
      <c r="I2860" s="18" t="s">
        <v>508</v>
      </c>
      <c r="J2860" s="18"/>
      <c r="K2860" s="21">
        <f t="shared" si="132"/>
        <v>102.71666666655801</v>
      </c>
      <c r="L2860" s="19">
        <f t="shared" si="133"/>
        <v>29</v>
      </c>
      <c r="M2860" s="18" t="str">
        <f>IF(I2860&lt;&gt;"Sí","",IF(YEAR(F2860)&lt;&gt;2026,"",INDEX({"Enero","Febrero","Marzo","Abril","Mayo","Junio","Julio","Agosto","Septiembre","Octubre","Noviembre","Diciembre"},MONTH(F2860))))</f>
        <v>Septiembre</v>
      </c>
      <c r="N2860" s="18" t="str">
        <f t="shared" si="134"/>
        <v>Septiembre|29</v>
      </c>
    </row>
    <row r="2861" spans="1:14" ht="14.5" x14ac:dyDescent="0.25">
      <c r="A2861" s="19">
        <v>35</v>
      </c>
      <c r="B2861" s="18" t="s">
        <v>42</v>
      </c>
      <c r="C2861" s="18" t="s">
        <v>97</v>
      </c>
      <c r="D2861" s="18" t="s">
        <v>3412</v>
      </c>
      <c r="E2861" s="18" t="s">
        <v>3413</v>
      </c>
      <c r="F2861" s="101">
        <v>46289.697222222225</v>
      </c>
      <c r="G2861" s="101">
        <v>46292.504166666666</v>
      </c>
      <c r="H2861" s="18" t="s">
        <v>507</v>
      </c>
      <c r="I2861" s="18" t="s">
        <v>508</v>
      </c>
      <c r="J2861" s="18"/>
      <c r="K2861" s="21">
        <f t="shared" si="132"/>
        <v>67.366666666581295</v>
      </c>
      <c r="L2861" s="19">
        <f t="shared" si="133"/>
        <v>30</v>
      </c>
      <c r="M2861" s="18" t="str">
        <f>IF(I2861&lt;&gt;"Sí","",IF(YEAR(F2861)&lt;&gt;2026,"",INDEX({"Enero","Febrero","Marzo","Abril","Mayo","Junio","Julio","Agosto","Septiembre","Octubre","Noviembre","Diciembre"},MONTH(F2861))))</f>
        <v>Septiembre</v>
      </c>
      <c r="N2861" s="18" t="str">
        <f t="shared" si="134"/>
        <v>Septiembre|30</v>
      </c>
    </row>
    <row r="2862" spans="1:14" ht="14.5" x14ac:dyDescent="0.25">
      <c r="A2862" s="19">
        <v>35</v>
      </c>
      <c r="B2862" s="18" t="s">
        <v>42</v>
      </c>
      <c r="C2862" s="18" t="s">
        <v>97</v>
      </c>
      <c r="D2862" s="18" t="s">
        <v>3412</v>
      </c>
      <c r="E2862" s="18" t="s">
        <v>3414</v>
      </c>
      <c r="F2862" s="101">
        <v>46289.697916666664</v>
      </c>
      <c r="G2862" s="101">
        <v>46292.504166666666</v>
      </c>
      <c r="H2862" s="18" t="s">
        <v>507</v>
      </c>
      <c r="I2862" s="18" t="s">
        <v>508</v>
      </c>
      <c r="J2862" s="18"/>
      <c r="K2862" s="21">
        <f t="shared" si="132"/>
        <v>67.350000000034925</v>
      </c>
      <c r="L2862" s="19">
        <f t="shared" si="133"/>
        <v>31</v>
      </c>
      <c r="M2862" s="18" t="str">
        <f>IF(I2862&lt;&gt;"Sí","",IF(YEAR(F2862)&lt;&gt;2026,"",INDEX({"Enero","Febrero","Marzo","Abril","Mayo","Junio","Julio","Agosto","Septiembre","Octubre","Noviembre","Diciembre"},MONTH(F2862))))</f>
        <v>Septiembre</v>
      </c>
      <c r="N2862" s="18" t="str">
        <f t="shared" si="134"/>
        <v>Septiembre|31</v>
      </c>
    </row>
    <row r="2863" spans="1:14" ht="14.5" x14ac:dyDescent="0.25">
      <c r="A2863" s="19">
        <v>35</v>
      </c>
      <c r="B2863" s="18" t="s">
        <v>42</v>
      </c>
      <c r="C2863" s="18" t="s">
        <v>97</v>
      </c>
      <c r="D2863" s="18" t="s">
        <v>3412</v>
      </c>
      <c r="E2863" s="18" t="s">
        <v>3415</v>
      </c>
      <c r="F2863" s="101">
        <v>46289.698611111111</v>
      </c>
      <c r="G2863" s="101">
        <v>46292.504166666666</v>
      </c>
      <c r="H2863" s="18" t="s">
        <v>507</v>
      </c>
      <c r="I2863" s="18" t="s">
        <v>508</v>
      </c>
      <c r="J2863" s="18"/>
      <c r="K2863" s="21">
        <f t="shared" si="132"/>
        <v>67.333333333313931</v>
      </c>
      <c r="L2863" s="19">
        <f t="shared" si="133"/>
        <v>32</v>
      </c>
      <c r="M2863" s="18" t="str">
        <f>IF(I2863&lt;&gt;"Sí","",IF(YEAR(F2863)&lt;&gt;2026,"",INDEX({"Enero","Febrero","Marzo","Abril","Mayo","Junio","Julio","Agosto","Septiembre","Octubre","Noviembre","Diciembre"},MONTH(F2863))))</f>
        <v>Septiembre</v>
      </c>
      <c r="N2863" s="18" t="str">
        <f t="shared" si="134"/>
        <v>Septiembre|32</v>
      </c>
    </row>
    <row r="2864" spans="1:14" ht="14.5" x14ac:dyDescent="0.25">
      <c r="A2864" s="19">
        <v>35</v>
      </c>
      <c r="B2864" s="18" t="s">
        <v>42</v>
      </c>
      <c r="C2864" s="18" t="s">
        <v>97</v>
      </c>
      <c r="D2864" s="18" t="s">
        <v>3412</v>
      </c>
      <c r="E2864" s="18" t="s">
        <v>3416</v>
      </c>
      <c r="F2864" s="101">
        <v>46289.700694444444</v>
      </c>
      <c r="G2864" s="101">
        <v>46292.240972222222</v>
      </c>
      <c r="H2864" s="18" t="s">
        <v>507</v>
      </c>
      <c r="I2864" s="18" t="s">
        <v>508</v>
      </c>
      <c r="J2864" s="18"/>
      <c r="K2864" s="21">
        <f t="shared" si="132"/>
        <v>60.966666666674428</v>
      </c>
      <c r="L2864" s="19">
        <f t="shared" si="133"/>
        <v>34</v>
      </c>
      <c r="M2864" s="18" t="str">
        <f>IF(I2864&lt;&gt;"Sí","",IF(YEAR(F2864)&lt;&gt;2026,"",INDEX({"Enero","Febrero","Marzo","Abril","Mayo","Junio","Julio","Agosto","Septiembre","Octubre","Noviembre","Diciembre"},MONTH(F2864))))</f>
        <v>Septiembre</v>
      </c>
      <c r="N2864" s="18" t="str">
        <f t="shared" si="134"/>
        <v>Septiembre|34</v>
      </c>
    </row>
    <row r="2865" spans="1:14" ht="14.5" x14ac:dyDescent="0.25">
      <c r="A2865" s="19">
        <v>35</v>
      </c>
      <c r="B2865" s="18" t="s">
        <v>42</v>
      </c>
      <c r="C2865" s="18" t="s">
        <v>97</v>
      </c>
      <c r="D2865" s="18" t="s">
        <v>3412</v>
      </c>
      <c r="E2865" s="18" t="s">
        <v>3417</v>
      </c>
      <c r="F2865" s="101">
        <v>46289.700694444444</v>
      </c>
      <c r="G2865" s="101">
        <v>46292.240972222222</v>
      </c>
      <c r="H2865" s="18" t="s">
        <v>507</v>
      </c>
      <c r="I2865" s="18" t="s">
        <v>508</v>
      </c>
      <c r="J2865" s="18"/>
      <c r="K2865" s="21">
        <f t="shared" si="132"/>
        <v>60.966666666674428</v>
      </c>
      <c r="L2865" s="19">
        <f t="shared" si="133"/>
        <v>34</v>
      </c>
      <c r="M2865" s="18" t="str">
        <f>IF(I2865&lt;&gt;"Sí","",IF(YEAR(F2865)&lt;&gt;2026,"",INDEX({"Enero","Febrero","Marzo","Abril","Mayo","Junio","Julio","Agosto","Septiembre","Octubre","Noviembre","Diciembre"},MONTH(F2865))))</f>
        <v>Septiembre</v>
      </c>
      <c r="N2865" s="18" t="str">
        <f t="shared" si="134"/>
        <v>Septiembre|34</v>
      </c>
    </row>
    <row r="2866" spans="1:14" ht="14.5" x14ac:dyDescent="0.25">
      <c r="A2866" s="19">
        <v>35</v>
      </c>
      <c r="B2866" s="18" t="s">
        <v>42</v>
      </c>
      <c r="C2866" s="18" t="s">
        <v>97</v>
      </c>
      <c r="D2866" s="18" t="s">
        <v>3412</v>
      </c>
      <c r="E2866" s="18" t="s">
        <v>3418</v>
      </c>
      <c r="F2866" s="101">
        <v>46289.704861111109</v>
      </c>
      <c r="G2866" s="101">
        <v>46292.504166666666</v>
      </c>
      <c r="H2866" s="18" t="s">
        <v>507</v>
      </c>
      <c r="I2866" s="18" t="s">
        <v>508</v>
      </c>
      <c r="J2866" s="18"/>
      <c r="K2866" s="21">
        <f t="shared" si="132"/>
        <v>67.183333333348855</v>
      </c>
      <c r="L2866" s="19">
        <f t="shared" si="133"/>
        <v>35</v>
      </c>
      <c r="M2866" s="18" t="str">
        <f>IF(I2866&lt;&gt;"Sí","",IF(YEAR(F2866)&lt;&gt;2026,"",INDEX({"Enero","Febrero","Marzo","Abril","Mayo","Junio","Julio","Agosto","Septiembre","Octubre","Noviembre","Diciembre"},MONTH(F2866))))</f>
        <v>Septiembre</v>
      </c>
      <c r="N2866" s="18" t="str">
        <f t="shared" si="134"/>
        <v>Septiembre|35</v>
      </c>
    </row>
    <row r="2867" spans="1:14" ht="14.5" x14ac:dyDescent="0.25">
      <c r="A2867" s="19">
        <v>35</v>
      </c>
      <c r="B2867" s="18" t="s">
        <v>42</v>
      </c>
      <c r="C2867" s="18" t="s">
        <v>97</v>
      </c>
      <c r="D2867" s="18" t="s">
        <v>3412</v>
      </c>
      <c r="E2867" s="18" t="s">
        <v>3419</v>
      </c>
      <c r="F2867" s="101">
        <v>46289.706944444442</v>
      </c>
      <c r="G2867" s="101">
        <v>46292.504166666666</v>
      </c>
      <c r="H2867" s="18" t="s">
        <v>507</v>
      </c>
      <c r="I2867" s="18" t="s">
        <v>508</v>
      </c>
      <c r="J2867" s="18"/>
      <c r="K2867" s="21">
        <f t="shared" si="132"/>
        <v>67.133333333360497</v>
      </c>
      <c r="L2867" s="19">
        <f t="shared" si="133"/>
        <v>36</v>
      </c>
      <c r="M2867" s="18" t="str">
        <f>IF(I2867&lt;&gt;"Sí","",IF(YEAR(F2867)&lt;&gt;2026,"",INDEX({"Enero","Febrero","Marzo","Abril","Mayo","Junio","Julio","Agosto","Septiembre","Octubre","Noviembre","Diciembre"},MONTH(F2867))))</f>
        <v>Septiembre</v>
      </c>
      <c r="N2867" s="18" t="str">
        <f t="shared" si="134"/>
        <v>Septiembre|36</v>
      </c>
    </row>
    <row r="2868" spans="1:14" ht="14.5" x14ac:dyDescent="0.25">
      <c r="A2868" s="19">
        <v>35</v>
      </c>
      <c r="B2868" s="18" t="s">
        <v>42</v>
      </c>
      <c r="C2868" s="18" t="s">
        <v>97</v>
      </c>
      <c r="D2868" s="18" t="s">
        <v>3412</v>
      </c>
      <c r="E2868" s="18" t="s">
        <v>3420</v>
      </c>
      <c r="F2868" s="101">
        <v>46289.708333333336</v>
      </c>
      <c r="G2868" s="101">
        <v>46292.504166666666</v>
      </c>
      <c r="H2868" s="18" t="s">
        <v>507</v>
      </c>
      <c r="I2868" s="18" t="s">
        <v>508</v>
      </c>
      <c r="J2868" s="18"/>
      <c r="K2868" s="21">
        <f t="shared" si="132"/>
        <v>67.099999999918509</v>
      </c>
      <c r="L2868" s="19">
        <f t="shared" si="133"/>
        <v>37</v>
      </c>
      <c r="M2868" s="18" t="str">
        <f>IF(I2868&lt;&gt;"Sí","",IF(YEAR(F2868)&lt;&gt;2026,"",INDEX({"Enero","Febrero","Marzo","Abril","Mayo","Junio","Julio","Agosto","Septiembre","Octubre","Noviembre","Diciembre"},MONTH(F2868))))</f>
        <v>Septiembre</v>
      </c>
      <c r="N2868" s="18" t="str">
        <f t="shared" si="134"/>
        <v>Septiembre|37</v>
      </c>
    </row>
    <row r="2869" spans="1:14" ht="14.5" x14ac:dyDescent="0.25">
      <c r="A2869" s="19">
        <v>35</v>
      </c>
      <c r="B2869" s="18" t="s">
        <v>42</v>
      </c>
      <c r="C2869" s="18" t="s">
        <v>97</v>
      </c>
      <c r="D2869" s="18" t="s">
        <v>3412</v>
      </c>
      <c r="E2869" s="18" t="s">
        <v>3421</v>
      </c>
      <c r="F2869" s="101">
        <v>46289.709722222222</v>
      </c>
      <c r="G2869" s="101">
        <v>46292.504166666666</v>
      </c>
      <c r="H2869" s="18" t="s">
        <v>507</v>
      </c>
      <c r="I2869" s="18" t="s">
        <v>508</v>
      </c>
      <c r="J2869" s="18"/>
      <c r="K2869" s="21">
        <f t="shared" si="132"/>
        <v>67.066666666651145</v>
      </c>
      <c r="L2869" s="19">
        <f t="shared" si="133"/>
        <v>38</v>
      </c>
      <c r="M2869" s="18" t="str">
        <f>IF(I2869&lt;&gt;"Sí","",IF(YEAR(F2869)&lt;&gt;2026,"",INDEX({"Enero","Febrero","Marzo","Abril","Mayo","Junio","Julio","Agosto","Septiembre","Octubre","Noviembre","Diciembre"},MONTH(F2869))))</f>
        <v>Septiembre</v>
      </c>
      <c r="N2869" s="18" t="str">
        <f t="shared" si="134"/>
        <v>Septiembre|38</v>
      </c>
    </row>
    <row r="2870" spans="1:14" ht="14.5" x14ac:dyDescent="0.25">
      <c r="A2870" s="19">
        <v>35</v>
      </c>
      <c r="B2870" s="18" t="s">
        <v>42</v>
      </c>
      <c r="C2870" s="18" t="s">
        <v>97</v>
      </c>
      <c r="D2870" s="18" t="s">
        <v>3412</v>
      </c>
      <c r="E2870" s="18" t="s">
        <v>3422</v>
      </c>
      <c r="F2870" s="101">
        <v>46289.710416666669</v>
      </c>
      <c r="G2870" s="101">
        <v>46292.504166666666</v>
      </c>
      <c r="H2870" s="18" t="s">
        <v>507</v>
      </c>
      <c r="I2870" s="18" t="s">
        <v>508</v>
      </c>
      <c r="J2870" s="18"/>
      <c r="K2870" s="21">
        <f t="shared" si="132"/>
        <v>67.049999999930151</v>
      </c>
      <c r="L2870" s="19">
        <f t="shared" si="133"/>
        <v>39</v>
      </c>
      <c r="M2870" s="18" t="str">
        <f>IF(I2870&lt;&gt;"Sí","",IF(YEAR(F2870)&lt;&gt;2026,"",INDEX({"Enero","Febrero","Marzo","Abril","Mayo","Junio","Julio","Agosto","Septiembre","Octubre","Noviembre","Diciembre"},MONTH(F2870))))</f>
        <v>Septiembre</v>
      </c>
      <c r="N2870" s="18" t="str">
        <f t="shared" si="134"/>
        <v>Septiembre|39</v>
      </c>
    </row>
    <row r="2871" spans="1:14" ht="14.5" x14ac:dyDescent="0.25">
      <c r="A2871" s="19">
        <v>35</v>
      </c>
      <c r="B2871" s="18" t="s">
        <v>42</v>
      </c>
      <c r="C2871" s="18" t="s">
        <v>97</v>
      </c>
      <c r="D2871" s="18" t="s">
        <v>3412</v>
      </c>
      <c r="E2871" s="18" t="s">
        <v>3423</v>
      </c>
      <c r="F2871" s="101">
        <v>46289.715277777781</v>
      </c>
      <c r="G2871" s="101">
        <v>46292.504166666666</v>
      </c>
      <c r="H2871" s="18" t="s">
        <v>507</v>
      </c>
      <c r="I2871" s="18" t="s">
        <v>508</v>
      </c>
      <c r="J2871" s="18"/>
      <c r="K2871" s="21">
        <f t="shared" si="132"/>
        <v>66.93333333323244</v>
      </c>
      <c r="L2871" s="19">
        <f t="shared" si="133"/>
        <v>40</v>
      </c>
      <c r="M2871" s="18" t="str">
        <f>IF(I2871&lt;&gt;"Sí","",IF(YEAR(F2871)&lt;&gt;2026,"",INDEX({"Enero","Febrero","Marzo","Abril","Mayo","Junio","Julio","Agosto","Septiembre","Octubre","Noviembre","Diciembre"},MONTH(F2871))))</f>
        <v>Septiembre</v>
      </c>
      <c r="N2871" s="18" t="str">
        <f t="shared" si="134"/>
        <v>Septiembre|40</v>
      </c>
    </row>
    <row r="2872" spans="1:14" ht="14.5" x14ac:dyDescent="0.25">
      <c r="A2872" s="19">
        <v>35</v>
      </c>
      <c r="B2872" s="18" t="s">
        <v>42</v>
      </c>
      <c r="C2872" s="18" t="s">
        <v>97</v>
      </c>
      <c r="D2872" s="18" t="s">
        <v>3412</v>
      </c>
      <c r="E2872" s="18" t="s">
        <v>3424</v>
      </c>
      <c r="F2872" s="101">
        <v>46289.716666666667</v>
      </c>
      <c r="G2872" s="101">
        <v>46292.504166666666</v>
      </c>
      <c r="H2872" s="18" t="s">
        <v>507</v>
      </c>
      <c r="I2872" s="18" t="s">
        <v>508</v>
      </c>
      <c r="J2872" s="18"/>
      <c r="K2872" s="21">
        <f t="shared" si="132"/>
        <v>66.899999999965075</v>
      </c>
      <c r="L2872" s="19">
        <f t="shared" si="133"/>
        <v>41</v>
      </c>
      <c r="M2872" s="18" t="str">
        <f>IF(I2872&lt;&gt;"Sí","",IF(YEAR(F2872)&lt;&gt;2026,"",INDEX({"Enero","Febrero","Marzo","Abril","Mayo","Junio","Julio","Agosto","Septiembre","Octubre","Noviembre","Diciembre"},MONTH(F2872))))</f>
        <v>Septiembre</v>
      </c>
      <c r="N2872" s="18" t="str">
        <f t="shared" si="134"/>
        <v>Septiembre|41</v>
      </c>
    </row>
    <row r="2873" spans="1:14" ht="14.5" x14ac:dyDescent="0.25">
      <c r="A2873" s="19">
        <v>35</v>
      </c>
      <c r="B2873" s="18" t="s">
        <v>42</v>
      </c>
      <c r="C2873" s="18" t="s">
        <v>97</v>
      </c>
      <c r="D2873" s="18" t="s">
        <v>3412</v>
      </c>
      <c r="E2873" s="18" t="s">
        <v>3425</v>
      </c>
      <c r="F2873" s="101">
        <v>46289.71875</v>
      </c>
      <c r="G2873" s="101">
        <v>46292.504166666666</v>
      </c>
      <c r="H2873" s="18" t="s">
        <v>507</v>
      </c>
      <c r="I2873" s="18" t="s">
        <v>508</v>
      </c>
      <c r="J2873" s="18"/>
      <c r="K2873" s="21">
        <f t="shared" si="132"/>
        <v>66.849999999976717</v>
      </c>
      <c r="L2873" s="19">
        <f t="shared" si="133"/>
        <v>42</v>
      </c>
      <c r="M2873" s="18" t="str">
        <f>IF(I2873&lt;&gt;"Sí","",IF(YEAR(F2873)&lt;&gt;2026,"",INDEX({"Enero","Febrero","Marzo","Abril","Mayo","Junio","Julio","Agosto","Septiembre","Octubre","Noviembre","Diciembre"},MONTH(F2873))))</f>
        <v>Septiembre</v>
      </c>
      <c r="N2873" s="18" t="str">
        <f t="shared" si="134"/>
        <v>Septiembre|42</v>
      </c>
    </row>
    <row r="2874" spans="1:14" ht="14.5" x14ac:dyDescent="0.25">
      <c r="A2874" s="19">
        <v>35</v>
      </c>
      <c r="B2874" s="18" t="s">
        <v>42</v>
      </c>
      <c r="C2874" s="18" t="s">
        <v>97</v>
      </c>
      <c r="D2874" s="18" t="s">
        <v>3412</v>
      </c>
      <c r="E2874" s="18" t="s">
        <v>3426</v>
      </c>
      <c r="F2874" s="101">
        <v>46289.722222222219</v>
      </c>
      <c r="G2874" s="101">
        <v>46292.504166666666</v>
      </c>
      <c r="H2874" s="18" t="s">
        <v>507</v>
      </c>
      <c r="I2874" s="18" t="s">
        <v>508</v>
      </c>
      <c r="J2874" s="18"/>
      <c r="K2874" s="21">
        <f t="shared" si="132"/>
        <v>66.766666666720994</v>
      </c>
      <c r="L2874" s="19">
        <f t="shared" si="133"/>
        <v>43</v>
      </c>
      <c r="M2874" s="18" t="str">
        <f>IF(I2874&lt;&gt;"Sí","",IF(YEAR(F2874)&lt;&gt;2026,"",INDEX({"Enero","Febrero","Marzo","Abril","Mayo","Junio","Julio","Agosto","Septiembre","Octubre","Noviembre","Diciembre"},MONTH(F2874))))</f>
        <v>Septiembre</v>
      </c>
      <c r="N2874" s="18" t="str">
        <f t="shared" si="134"/>
        <v>Septiembre|43</v>
      </c>
    </row>
    <row r="2875" spans="1:14" ht="14.5" x14ac:dyDescent="0.25">
      <c r="A2875" s="19">
        <v>35</v>
      </c>
      <c r="B2875" s="18" t="s">
        <v>42</v>
      </c>
      <c r="C2875" s="18" t="s">
        <v>97</v>
      </c>
      <c r="D2875" s="18" t="s">
        <v>3412</v>
      </c>
      <c r="E2875" s="18" t="s">
        <v>3427</v>
      </c>
      <c r="F2875" s="101">
        <v>46289.725694444445</v>
      </c>
      <c r="G2875" s="101">
        <v>46292.504166666666</v>
      </c>
      <c r="H2875" s="18" t="s">
        <v>507</v>
      </c>
      <c r="I2875" s="18" t="s">
        <v>508</v>
      </c>
      <c r="J2875" s="18"/>
      <c r="K2875" s="21">
        <f t="shared" si="132"/>
        <v>66.683333333290648</v>
      </c>
      <c r="L2875" s="19">
        <f t="shared" si="133"/>
        <v>44</v>
      </c>
      <c r="M2875" s="18" t="str">
        <f>IF(I2875&lt;&gt;"Sí","",IF(YEAR(F2875)&lt;&gt;2026,"",INDEX({"Enero","Febrero","Marzo","Abril","Mayo","Junio","Julio","Agosto","Septiembre","Octubre","Noviembre","Diciembre"},MONTH(F2875))))</f>
        <v>Septiembre</v>
      </c>
      <c r="N2875" s="18" t="str">
        <f t="shared" si="134"/>
        <v>Septiembre|44</v>
      </c>
    </row>
    <row r="2876" spans="1:14" ht="14.5" x14ac:dyDescent="0.25">
      <c r="A2876" s="19">
        <v>35</v>
      </c>
      <c r="B2876" s="18" t="s">
        <v>42</v>
      </c>
      <c r="C2876" s="18" t="s">
        <v>97</v>
      </c>
      <c r="D2876" s="18" t="s">
        <v>3412</v>
      </c>
      <c r="E2876" s="18" t="s">
        <v>3428</v>
      </c>
      <c r="F2876" s="101">
        <v>46289.727777777778</v>
      </c>
      <c r="G2876" s="101">
        <v>46292.447916666664</v>
      </c>
      <c r="H2876" s="18" t="s">
        <v>507</v>
      </c>
      <c r="I2876" s="18" t="s">
        <v>508</v>
      </c>
      <c r="J2876" s="18"/>
      <c r="K2876" s="21">
        <f t="shared" si="132"/>
        <v>65.283333333267365</v>
      </c>
      <c r="L2876" s="19">
        <f t="shared" si="133"/>
        <v>45</v>
      </c>
      <c r="M2876" s="18" t="str">
        <f>IF(I2876&lt;&gt;"Sí","",IF(YEAR(F2876)&lt;&gt;2026,"",INDEX({"Enero","Febrero","Marzo","Abril","Mayo","Junio","Julio","Agosto","Septiembre","Octubre","Noviembre","Diciembre"},MONTH(F2876))))</f>
        <v>Septiembre</v>
      </c>
      <c r="N2876" s="18" t="str">
        <f t="shared" si="134"/>
        <v>Septiembre|45</v>
      </c>
    </row>
    <row r="2877" spans="1:14" ht="14.5" x14ac:dyDescent="0.25">
      <c r="A2877" s="19">
        <v>35</v>
      </c>
      <c r="B2877" s="18" t="s">
        <v>42</v>
      </c>
      <c r="C2877" s="18" t="s">
        <v>97</v>
      </c>
      <c r="D2877" s="18" t="s">
        <v>3412</v>
      </c>
      <c r="E2877" s="18" t="s">
        <v>3429</v>
      </c>
      <c r="F2877" s="101">
        <v>46289.729166666664</v>
      </c>
      <c r="G2877" s="101">
        <v>46292.447916666664</v>
      </c>
      <c r="H2877" s="18" t="s">
        <v>507</v>
      </c>
      <c r="I2877" s="18" t="s">
        <v>508</v>
      </c>
      <c r="J2877" s="18"/>
      <c r="K2877" s="21">
        <f t="shared" si="132"/>
        <v>65.25</v>
      </c>
      <c r="L2877" s="19">
        <f t="shared" si="133"/>
        <v>46</v>
      </c>
      <c r="M2877" s="18" t="str">
        <f>IF(I2877&lt;&gt;"Sí","",IF(YEAR(F2877)&lt;&gt;2026,"",INDEX({"Enero","Febrero","Marzo","Abril","Mayo","Junio","Julio","Agosto","Septiembre","Octubre","Noviembre","Diciembre"},MONTH(F2877))))</f>
        <v>Septiembre</v>
      </c>
      <c r="N2877" s="18" t="str">
        <f t="shared" si="134"/>
        <v>Septiembre|46</v>
      </c>
    </row>
    <row r="2878" spans="1:14" ht="14.5" x14ac:dyDescent="0.25">
      <c r="A2878" s="19">
        <v>35</v>
      </c>
      <c r="B2878" s="18" t="s">
        <v>42</v>
      </c>
      <c r="C2878" s="18" t="s">
        <v>97</v>
      </c>
      <c r="D2878" s="18" t="s">
        <v>3412</v>
      </c>
      <c r="E2878" s="18" t="s">
        <v>3430</v>
      </c>
      <c r="F2878" s="101">
        <v>46289.731249999997</v>
      </c>
      <c r="G2878" s="101">
        <v>46292.447916666664</v>
      </c>
      <c r="H2878" s="18" t="s">
        <v>507</v>
      </c>
      <c r="I2878" s="18" t="s">
        <v>508</v>
      </c>
      <c r="J2878" s="18"/>
      <c r="K2878" s="21">
        <f t="shared" si="132"/>
        <v>65.200000000011642</v>
      </c>
      <c r="L2878" s="19">
        <f t="shared" si="133"/>
        <v>47</v>
      </c>
      <c r="M2878" s="18" t="str">
        <f>IF(I2878&lt;&gt;"Sí","",IF(YEAR(F2878)&lt;&gt;2026,"",INDEX({"Enero","Febrero","Marzo","Abril","Mayo","Junio","Julio","Agosto","Septiembre","Octubre","Noviembre","Diciembre"},MONTH(F2878))))</f>
        <v>Septiembre</v>
      </c>
      <c r="N2878" s="18" t="str">
        <f t="shared" si="134"/>
        <v>Septiembre|47</v>
      </c>
    </row>
    <row r="2879" spans="1:14" ht="14.5" x14ac:dyDescent="0.25">
      <c r="A2879" s="19">
        <v>35</v>
      </c>
      <c r="B2879" s="18" t="s">
        <v>42</v>
      </c>
      <c r="C2879" s="18" t="s">
        <v>97</v>
      </c>
      <c r="D2879" s="18" t="s">
        <v>3412</v>
      </c>
      <c r="E2879" s="18" t="s">
        <v>3431</v>
      </c>
      <c r="F2879" s="101">
        <v>46289.732638888891</v>
      </c>
      <c r="G2879" s="101">
        <v>46292.447916666664</v>
      </c>
      <c r="H2879" s="18" t="s">
        <v>507</v>
      </c>
      <c r="I2879" s="18" t="s">
        <v>508</v>
      </c>
      <c r="J2879" s="18"/>
      <c r="K2879" s="21">
        <f t="shared" si="132"/>
        <v>65.166666666569654</v>
      </c>
      <c r="L2879" s="19">
        <f t="shared" si="133"/>
        <v>48</v>
      </c>
      <c r="M2879" s="18" t="str">
        <f>IF(I2879&lt;&gt;"Sí","",IF(YEAR(F2879)&lt;&gt;2026,"",INDEX({"Enero","Febrero","Marzo","Abril","Mayo","Junio","Julio","Agosto","Septiembre","Octubre","Noviembre","Diciembre"},MONTH(F2879))))</f>
        <v>Septiembre</v>
      </c>
      <c r="N2879" s="18" t="str">
        <f t="shared" si="134"/>
        <v>Septiembre|48</v>
      </c>
    </row>
    <row r="2880" spans="1:14" ht="14.5" x14ac:dyDescent="0.25">
      <c r="A2880" s="19">
        <v>35</v>
      </c>
      <c r="B2880" s="18" t="s">
        <v>42</v>
      </c>
      <c r="C2880" s="18" t="s">
        <v>97</v>
      </c>
      <c r="D2880" s="18" t="s">
        <v>3412</v>
      </c>
      <c r="E2880" s="18" t="s">
        <v>3432</v>
      </c>
      <c r="F2880" s="101">
        <v>46289.734722222223</v>
      </c>
      <c r="G2880" s="101">
        <v>46292.447916666664</v>
      </c>
      <c r="H2880" s="18" t="s">
        <v>507</v>
      </c>
      <c r="I2880" s="18" t="s">
        <v>508</v>
      </c>
      <c r="J2880" s="18"/>
      <c r="K2880" s="21">
        <f t="shared" si="132"/>
        <v>65.116666666581295</v>
      </c>
      <c r="L2880" s="19">
        <f t="shared" si="133"/>
        <v>49</v>
      </c>
      <c r="M2880" s="18" t="str">
        <f>IF(I2880&lt;&gt;"Sí","",IF(YEAR(F2880)&lt;&gt;2026,"",INDEX({"Enero","Febrero","Marzo","Abril","Mayo","Junio","Julio","Agosto","Septiembre","Octubre","Noviembre","Diciembre"},MONTH(F2880))))</f>
        <v>Septiembre</v>
      </c>
      <c r="N2880" s="18" t="str">
        <f t="shared" si="134"/>
        <v>Septiembre|49</v>
      </c>
    </row>
    <row r="2881" spans="1:14" ht="14.5" x14ac:dyDescent="0.25">
      <c r="A2881" s="19">
        <v>35</v>
      </c>
      <c r="B2881" s="18" t="s">
        <v>42</v>
      </c>
      <c r="C2881" s="18" t="s">
        <v>97</v>
      </c>
      <c r="D2881" s="18" t="s">
        <v>3412</v>
      </c>
      <c r="E2881" s="18" t="s">
        <v>3433</v>
      </c>
      <c r="F2881" s="101">
        <v>46289.736111111109</v>
      </c>
      <c r="G2881" s="101">
        <v>46292.629861111112</v>
      </c>
      <c r="H2881" s="18" t="s">
        <v>507</v>
      </c>
      <c r="I2881" s="18" t="s">
        <v>508</v>
      </c>
      <c r="J2881" s="18"/>
      <c r="K2881" s="21">
        <f t="shared" si="132"/>
        <v>69.450000000069849</v>
      </c>
      <c r="L2881" s="19">
        <f t="shared" si="133"/>
        <v>50</v>
      </c>
      <c r="M2881" s="18" t="str">
        <f>IF(I2881&lt;&gt;"Sí","",IF(YEAR(F2881)&lt;&gt;2026,"",INDEX({"Enero","Febrero","Marzo","Abril","Mayo","Junio","Julio","Agosto","Septiembre","Octubre","Noviembre","Diciembre"},MONTH(F2881))))</f>
        <v>Septiembre</v>
      </c>
      <c r="N2881" s="18" t="str">
        <f t="shared" si="134"/>
        <v>Septiembre|50</v>
      </c>
    </row>
    <row r="2882" spans="1:14" ht="14.5" x14ac:dyDescent="0.25">
      <c r="A2882" s="19">
        <v>35</v>
      </c>
      <c r="B2882" s="18" t="s">
        <v>42</v>
      </c>
      <c r="C2882" s="18" t="s">
        <v>97</v>
      </c>
      <c r="D2882" s="18" t="s">
        <v>3412</v>
      </c>
      <c r="E2882" s="18" t="s">
        <v>3434</v>
      </c>
      <c r="F2882" s="101">
        <v>46289.743055555555</v>
      </c>
      <c r="G2882" s="101">
        <v>46292.447916666664</v>
      </c>
      <c r="H2882" s="18" t="s">
        <v>507</v>
      </c>
      <c r="I2882" s="18" t="s">
        <v>508</v>
      </c>
      <c r="J2882" s="18"/>
      <c r="K2882" s="21">
        <f t="shared" si="132"/>
        <v>64.916666666627862</v>
      </c>
      <c r="L2882" s="19">
        <f t="shared" si="133"/>
        <v>51</v>
      </c>
      <c r="M2882" s="18" t="str">
        <f>IF(I2882&lt;&gt;"Sí","",IF(YEAR(F2882)&lt;&gt;2026,"",INDEX({"Enero","Febrero","Marzo","Abril","Mayo","Junio","Julio","Agosto","Septiembre","Octubre","Noviembre","Diciembre"},MONTH(F2882))))</f>
        <v>Septiembre</v>
      </c>
      <c r="N2882" s="18" t="str">
        <f t="shared" si="134"/>
        <v>Septiembre|51</v>
      </c>
    </row>
    <row r="2883" spans="1:14" ht="14.5" x14ac:dyDescent="0.25">
      <c r="A2883" s="19">
        <v>35</v>
      </c>
      <c r="B2883" s="18" t="s">
        <v>42</v>
      </c>
      <c r="C2883" s="18" t="s">
        <v>97</v>
      </c>
      <c r="D2883" s="18" t="s">
        <v>3412</v>
      </c>
      <c r="E2883" s="18" t="s">
        <v>3435</v>
      </c>
      <c r="F2883" s="101">
        <v>46289.743750000001</v>
      </c>
      <c r="G2883" s="101">
        <v>46292.447916666664</v>
      </c>
      <c r="H2883" s="18" t="s">
        <v>507</v>
      </c>
      <c r="I2883" s="18" t="s">
        <v>508</v>
      </c>
      <c r="J2883" s="18"/>
      <c r="K2883" s="21">
        <f t="shared" si="132"/>
        <v>64.899999999906868</v>
      </c>
      <c r="L2883" s="19">
        <f t="shared" si="133"/>
        <v>52</v>
      </c>
      <c r="M2883" s="18" t="str">
        <f>IF(I2883&lt;&gt;"Sí","",IF(YEAR(F2883)&lt;&gt;2026,"",INDEX({"Enero","Febrero","Marzo","Abril","Mayo","Junio","Julio","Agosto","Septiembre","Octubre","Noviembre","Diciembre"},MONTH(F2883))))</f>
        <v>Septiembre</v>
      </c>
      <c r="N2883" s="18" t="str">
        <f t="shared" si="134"/>
        <v>Septiembre|52</v>
      </c>
    </row>
    <row r="2884" spans="1:14" ht="14.5" x14ac:dyDescent="0.25">
      <c r="A2884" s="19">
        <v>35</v>
      </c>
      <c r="B2884" s="18" t="s">
        <v>42</v>
      </c>
      <c r="C2884" s="18" t="s">
        <v>97</v>
      </c>
      <c r="D2884" s="18" t="s">
        <v>3412</v>
      </c>
      <c r="E2884" s="18" t="s">
        <v>3436</v>
      </c>
      <c r="F2884" s="101">
        <v>46289.745138888888</v>
      </c>
      <c r="G2884" s="101">
        <v>46292.081250000003</v>
      </c>
      <c r="H2884" s="18" t="s">
        <v>507</v>
      </c>
      <c r="I2884" s="18" t="s">
        <v>508</v>
      </c>
      <c r="J2884" s="18"/>
      <c r="K2884" s="21">
        <f t="shared" si="132"/>
        <v>56.06666666676756</v>
      </c>
      <c r="L2884" s="19">
        <f t="shared" si="133"/>
        <v>53</v>
      </c>
      <c r="M2884" s="18" t="str">
        <f>IF(I2884&lt;&gt;"Sí","",IF(YEAR(F2884)&lt;&gt;2026,"",INDEX({"Enero","Febrero","Marzo","Abril","Mayo","Junio","Julio","Agosto","Septiembre","Octubre","Noviembre","Diciembre"},MONTH(F2884))))</f>
        <v>Septiembre</v>
      </c>
      <c r="N2884" s="18" t="str">
        <f t="shared" si="134"/>
        <v>Septiembre|53</v>
      </c>
    </row>
    <row r="2885" spans="1:14" ht="14.5" x14ac:dyDescent="0.25">
      <c r="A2885" s="19">
        <v>35</v>
      </c>
      <c r="B2885" s="18" t="s">
        <v>42</v>
      </c>
      <c r="C2885" s="18" t="s">
        <v>97</v>
      </c>
      <c r="D2885" s="18" t="s">
        <v>3412</v>
      </c>
      <c r="E2885" s="18" t="s">
        <v>3437</v>
      </c>
      <c r="F2885" s="101">
        <v>46289.751388888886</v>
      </c>
      <c r="G2885" s="101">
        <v>46292.07708333333</v>
      </c>
      <c r="H2885" s="18" t="s">
        <v>507</v>
      </c>
      <c r="I2885" s="18" t="s">
        <v>508</v>
      </c>
      <c r="J2885" s="18"/>
      <c r="K2885" s="21">
        <f t="shared" si="132"/>
        <v>55.816666666651145</v>
      </c>
      <c r="L2885" s="19">
        <f t="shared" si="133"/>
        <v>54</v>
      </c>
      <c r="M2885" s="18" t="str">
        <f>IF(I2885&lt;&gt;"Sí","",IF(YEAR(F2885)&lt;&gt;2026,"",INDEX({"Enero","Febrero","Marzo","Abril","Mayo","Junio","Julio","Agosto","Septiembre","Octubre","Noviembre","Diciembre"},MONTH(F2885))))</f>
        <v>Septiembre</v>
      </c>
      <c r="N2885" s="18" t="str">
        <f t="shared" si="134"/>
        <v>Septiembre|54</v>
      </c>
    </row>
    <row r="2886" spans="1:14" ht="14.5" x14ac:dyDescent="0.25">
      <c r="A2886" s="19">
        <v>35</v>
      </c>
      <c r="B2886" s="18" t="s">
        <v>42</v>
      </c>
      <c r="C2886" s="18" t="s">
        <v>97</v>
      </c>
      <c r="D2886" s="18" t="s">
        <v>3412</v>
      </c>
      <c r="E2886" s="18" t="s">
        <v>3438</v>
      </c>
      <c r="F2886" s="101">
        <v>46289.75277777778</v>
      </c>
      <c r="G2886" s="101">
        <v>46292.07708333333</v>
      </c>
      <c r="H2886" s="18" t="s">
        <v>507</v>
      </c>
      <c r="I2886" s="18" t="s">
        <v>508</v>
      </c>
      <c r="J2886" s="18"/>
      <c r="K2886" s="21">
        <f t="shared" si="132"/>
        <v>55.783333333209157</v>
      </c>
      <c r="L2886" s="19">
        <f t="shared" si="133"/>
        <v>55</v>
      </c>
      <c r="M2886" s="18" t="str">
        <f>IF(I2886&lt;&gt;"Sí","",IF(YEAR(F2886)&lt;&gt;2026,"",INDEX({"Enero","Febrero","Marzo","Abril","Mayo","Junio","Julio","Agosto","Septiembre","Octubre","Noviembre","Diciembre"},MONTH(F2886))))</f>
        <v>Septiembre</v>
      </c>
      <c r="N2886" s="18" t="str">
        <f t="shared" si="134"/>
        <v>Septiembre|55</v>
      </c>
    </row>
    <row r="2887" spans="1:14" ht="14.5" x14ac:dyDescent="0.25">
      <c r="A2887" s="19">
        <v>35</v>
      </c>
      <c r="B2887" s="18" t="s">
        <v>42</v>
      </c>
      <c r="C2887" s="18" t="s">
        <v>97</v>
      </c>
      <c r="D2887" s="18" t="s">
        <v>3412</v>
      </c>
      <c r="E2887" s="18" t="s">
        <v>3439</v>
      </c>
      <c r="F2887" s="101">
        <v>46289.753472222219</v>
      </c>
      <c r="G2887" s="101">
        <v>46292.075694444444</v>
      </c>
      <c r="H2887" s="18" t="s">
        <v>507</v>
      </c>
      <c r="I2887" s="18" t="s">
        <v>508</v>
      </c>
      <c r="J2887" s="18"/>
      <c r="K2887" s="21">
        <f t="shared" ref="K2887:K2950" si="135">IF(I2887="Sí",(G2887-F2887)*24,"")</f>
        <v>55.733333333395422</v>
      </c>
      <c r="L2887" s="19">
        <f t="shared" ref="L2887:L2950" si="136">IF(I2887="Sí",COUNTIFS($F$7:$F$4000,"&lt;="&amp;F2887,$G$7:$G$4000,"&gt;"&amp;F2887,$I$7:$I$4000,"Sí"),"")</f>
        <v>56</v>
      </c>
      <c r="M2887" s="18" t="str">
        <f>IF(I2887&lt;&gt;"Sí","",IF(YEAR(F2887)&lt;&gt;2026,"",INDEX({"Enero","Febrero","Marzo","Abril","Mayo","Junio","Julio","Agosto","Septiembre","Octubre","Noviembre","Diciembre"},MONTH(F2887))))</f>
        <v>Septiembre</v>
      </c>
      <c r="N2887" s="18" t="str">
        <f t="shared" ref="N2887:N2950" si="137">IF(M2887="","",M2887&amp;"|"&amp;L2887)</f>
        <v>Septiembre|56</v>
      </c>
    </row>
    <row r="2888" spans="1:14" ht="14.5" x14ac:dyDescent="0.25">
      <c r="A2888" s="19">
        <v>35</v>
      </c>
      <c r="B2888" s="18" t="s">
        <v>42</v>
      </c>
      <c r="C2888" s="18" t="s">
        <v>97</v>
      </c>
      <c r="D2888" s="18" t="s">
        <v>3412</v>
      </c>
      <c r="E2888" s="18" t="s">
        <v>3440</v>
      </c>
      <c r="F2888" s="101">
        <v>46289.756249999999</v>
      </c>
      <c r="G2888" s="101">
        <v>46292.072916666664</v>
      </c>
      <c r="H2888" s="18" t="s">
        <v>507</v>
      </c>
      <c r="I2888" s="18" t="s">
        <v>508</v>
      </c>
      <c r="J2888" s="18"/>
      <c r="K2888" s="21">
        <f t="shared" si="135"/>
        <v>55.599999999976717</v>
      </c>
      <c r="L2888" s="19">
        <f t="shared" si="136"/>
        <v>57</v>
      </c>
      <c r="M2888" s="18" t="str">
        <f>IF(I2888&lt;&gt;"Sí","",IF(YEAR(F2888)&lt;&gt;2026,"",INDEX({"Enero","Febrero","Marzo","Abril","Mayo","Junio","Julio","Agosto","Septiembre","Octubre","Noviembre","Diciembre"},MONTH(F2888))))</f>
        <v>Septiembre</v>
      </c>
      <c r="N2888" s="18" t="str">
        <f t="shared" si="137"/>
        <v>Septiembre|57</v>
      </c>
    </row>
    <row r="2889" spans="1:14" ht="14.5" x14ac:dyDescent="0.25">
      <c r="A2889" s="19">
        <v>35</v>
      </c>
      <c r="B2889" s="18" t="s">
        <v>42</v>
      </c>
      <c r="C2889" s="18" t="s">
        <v>97</v>
      </c>
      <c r="D2889" s="18" t="s">
        <v>3412</v>
      </c>
      <c r="E2889" s="18" t="s">
        <v>3441</v>
      </c>
      <c r="F2889" s="101">
        <v>46289.756944444445</v>
      </c>
      <c r="G2889" s="101">
        <v>46292.074999999997</v>
      </c>
      <c r="H2889" s="18" t="s">
        <v>507</v>
      </c>
      <c r="I2889" s="18" t="s">
        <v>508</v>
      </c>
      <c r="J2889" s="18"/>
      <c r="K2889" s="21">
        <f t="shared" si="135"/>
        <v>55.633333333244082</v>
      </c>
      <c r="L2889" s="19">
        <f t="shared" si="136"/>
        <v>58</v>
      </c>
      <c r="M2889" s="18" t="str">
        <f>IF(I2889&lt;&gt;"Sí","",IF(YEAR(F2889)&lt;&gt;2026,"",INDEX({"Enero","Febrero","Marzo","Abril","Mayo","Junio","Julio","Agosto","Septiembre","Octubre","Noviembre","Diciembre"},MONTH(F2889))))</f>
        <v>Septiembre</v>
      </c>
      <c r="N2889" s="18" t="str">
        <f t="shared" si="137"/>
        <v>Septiembre|58</v>
      </c>
    </row>
    <row r="2890" spans="1:14" ht="14.5" x14ac:dyDescent="0.25">
      <c r="A2890" s="19">
        <v>35</v>
      </c>
      <c r="B2890" s="18" t="s">
        <v>42</v>
      </c>
      <c r="C2890" s="18" t="s">
        <v>97</v>
      </c>
      <c r="D2890" s="18" t="s">
        <v>3412</v>
      </c>
      <c r="E2890" s="18" t="s">
        <v>3442</v>
      </c>
      <c r="F2890" s="101">
        <v>46289.757638888892</v>
      </c>
      <c r="G2890" s="101">
        <v>46292.629861111112</v>
      </c>
      <c r="H2890" s="18" t="s">
        <v>507</v>
      </c>
      <c r="I2890" s="18" t="s">
        <v>508</v>
      </c>
      <c r="J2890" s="18"/>
      <c r="K2890" s="21">
        <f t="shared" si="135"/>
        <v>68.933333333290648</v>
      </c>
      <c r="L2890" s="19">
        <f t="shared" si="136"/>
        <v>59</v>
      </c>
      <c r="M2890" s="18" t="str">
        <f>IF(I2890&lt;&gt;"Sí","",IF(YEAR(F2890)&lt;&gt;2026,"",INDEX({"Enero","Febrero","Marzo","Abril","Mayo","Junio","Julio","Agosto","Septiembre","Octubre","Noviembre","Diciembre"},MONTH(F2890))))</f>
        <v>Septiembre</v>
      </c>
      <c r="N2890" s="18" t="str">
        <f t="shared" si="137"/>
        <v>Septiembre|59</v>
      </c>
    </row>
    <row r="2891" spans="1:14" ht="14.5" x14ac:dyDescent="0.25">
      <c r="A2891" s="19">
        <v>35</v>
      </c>
      <c r="B2891" s="18" t="s">
        <v>42</v>
      </c>
      <c r="C2891" s="18" t="s">
        <v>97</v>
      </c>
      <c r="D2891" s="18" t="s">
        <v>3412</v>
      </c>
      <c r="E2891" s="18" t="s">
        <v>3443</v>
      </c>
      <c r="F2891" s="101">
        <v>46289.763194444444</v>
      </c>
      <c r="G2891" s="101">
        <v>46292.072222222225</v>
      </c>
      <c r="H2891" s="18" t="s">
        <v>507</v>
      </c>
      <c r="I2891" s="18" t="s">
        <v>508</v>
      </c>
      <c r="J2891" s="18"/>
      <c r="K2891" s="21">
        <f t="shared" si="135"/>
        <v>55.416666666744277</v>
      </c>
      <c r="L2891" s="19">
        <f t="shared" si="136"/>
        <v>60</v>
      </c>
      <c r="M2891" s="18" t="str">
        <f>IF(I2891&lt;&gt;"Sí","",IF(YEAR(F2891)&lt;&gt;2026,"",INDEX({"Enero","Febrero","Marzo","Abril","Mayo","Junio","Julio","Agosto","Septiembre","Octubre","Noviembre","Diciembre"},MONTH(F2891))))</f>
        <v>Septiembre</v>
      </c>
      <c r="N2891" s="18" t="str">
        <f t="shared" si="137"/>
        <v>Septiembre|60</v>
      </c>
    </row>
    <row r="2892" spans="1:14" ht="14.5" x14ac:dyDescent="0.25">
      <c r="A2892" s="19">
        <v>35</v>
      </c>
      <c r="B2892" s="18" t="s">
        <v>42</v>
      </c>
      <c r="C2892" s="18" t="s">
        <v>97</v>
      </c>
      <c r="D2892" s="18" t="s">
        <v>3412</v>
      </c>
      <c r="E2892" s="18" t="s">
        <v>3444</v>
      </c>
      <c r="F2892" s="101">
        <v>46289.763888888891</v>
      </c>
      <c r="G2892" s="101">
        <v>46292.068055555559</v>
      </c>
      <c r="H2892" s="18" t="s">
        <v>507</v>
      </c>
      <c r="I2892" s="18" t="s">
        <v>508</v>
      </c>
      <c r="J2892" s="18"/>
      <c r="K2892" s="21">
        <f t="shared" si="135"/>
        <v>55.300000000046566</v>
      </c>
      <c r="L2892" s="19">
        <f t="shared" si="136"/>
        <v>61</v>
      </c>
      <c r="M2892" s="18" t="str">
        <f>IF(I2892&lt;&gt;"Sí","",IF(YEAR(F2892)&lt;&gt;2026,"",INDEX({"Enero","Febrero","Marzo","Abril","Mayo","Junio","Julio","Agosto","Septiembre","Octubre","Noviembre","Diciembre"},MONTH(F2892))))</f>
        <v>Septiembre</v>
      </c>
      <c r="N2892" s="18" t="str">
        <f t="shared" si="137"/>
        <v>Septiembre|61</v>
      </c>
    </row>
    <row r="2893" spans="1:14" ht="14.5" x14ac:dyDescent="0.25">
      <c r="A2893" s="19">
        <v>35</v>
      </c>
      <c r="B2893" s="18" t="s">
        <v>42</v>
      </c>
      <c r="C2893" s="18" t="s">
        <v>97</v>
      </c>
      <c r="D2893" s="18" t="s">
        <v>3412</v>
      </c>
      <c r="E2893" s="18" t="s">
        <v>3445</v>
      </c>
      <c r="F2893" s="101">
        <v>46289.76458333333</v>
      </c>
      <c r="G2893" s="101">
        <v>46292.06527777778</v>
      </c>
      <c r="H2893" s="18" t="s">
        <v>507</v>
      </c>
      <c r="I2893" s="18" t="s">
        <v>508</v>
      </c>
      <c r="J2893" s="18"/>
      <c r="K2893" s="21">
        <f t="shared" si="135"/>
        <v>55.216666666790843</v>
      </c>
      <c r="L2893" s="19">
        <f t="shared" si="136"/>
        <v>62</v>
      </c>
      <c r="M2893" s="18" t="str">
        <f>IF(I2893&lt;&gt;"Sí","",IF(YEAR(F2893)&lt;&gt;2026,"",INDEX({"Enero","Febrero","Marzo","Abril","Mayo","Junio","Julio","Agosto","Septiembre","Octubre","Noviembre","Diciembre"},MONTH(F2893))))</f>
        <v>Septiembre</v>
      </c>
      <c r="N2893" s="18" t="str">
        <f t="shared" si="137"/>
        <v>Septiembre|62</v>
      </c>
    </row>
    <row r="2894" spans="1:14" ht="14.5" x14ac:dyDescent="0.25">
      <c r="A2894" s="19">
        <v>35</v>
      </c>
      <c r="B2894" s="18" t="s">
        <v>42</v>
      </c>
      <c r="C2894" s="18" t="s">
        <v>97</v>
      </c>
      <c r="D2894" s="18" t="s">
        <v>3412</v>
      </c>
      <c r="E2894" s="18" t="s">
        <v>3446</v>
      </c>
      <c r="F2894" s="101">
        <v>46289.767361111109</v>
      </c>
      <c r="G2894" s="101">
        <v>46292.0625</v>
      </c>
      <c r="H2894" s="18" t="s">
        <v>507</v>
      </c>
      <c r="I2894" s="18" t="s">
        <v>508</v>
      </c>
      <c r="J2894" s="18"/>
      <c r="K2894" s="21">
        <f t="shared" si="135"/>
        <v>55.083333333372138</v>
      </c>
      <c r="L2894" s="19">
        <f t="shared" si="136"/>
        <v>63</v>
      </c>
      <c r="M2894" s="18" t="str">
        <f>IF(I2894&lt;&gt;"Sí","",IF(YEAR(F2894)&lt;&gt;2026,"",INDEX({"Enero","Febrero","Marzo","Abril","Mayo","Junio","Julio","Agosto","Septiembre","Octubre","Noviembre","Diciembre"},MONTH(F2894))))</f>
        <v>Septiembre</v>
      </c>
      <c r="N2894" s="18" t="str">
        <f t="shared" si="137"/>
        <v>Septiembre|63</v>
      </c>
    </row>
    <row r="2895" spans="1:14" ht="14.5" x14ac:dyDescent="0.25">
      <c r="A2895" s="19">
        <v>35</v>
      </c>
      <c r="B2895" s="18" t="s">
        <v>42</v>
      </c>
      <c r="C2895" s="18" t="s">
        <v>97</v>
      </c>
      <c r="D2895" s="18" t="s">
        <v>3412</v>
      </c>
      <c r="E2895" s="18" t="s">
        <v>3447</v>
      </c>
      <c r="F2895" s="101">
        <v>46289.768750000003</v>
      </c>
      <c r="G2895" s="101">
        <v>46292.061805555553</v>
      </c>
      <c r="H2895" s="18" t="s">
        <v>507</v>
      </c>
      <c r="I2895" s="18" t="s">
        <v>508</v>
      </c>
      <c r="J2895" s="18"/>
      <c r="K2895" s="21">
        <f t="shared" si="135"/>
        <v>55.033333333209157</v>
      </c>
      <c r="L2895" s="19">
        <f t="shared" si="136"/>
        <v>64</v>
      </c>
      <c r="M2895" s="18" t="str">
        <f>IF(I2895&lt;&gt;"Sí","",IF(YEAR(F2895)&lt;&gt;2026,"",INDEX({"Enero","Febrero","Marzo","Abril","Mayo","Junio","Julio","Agosto","Septiembre","Octubre","Noviembre","Diciembre"},MONTH(F2895))))</f>
        <v>Septiembre</v>
      </c>
      <c r="N2895" s="18" t="str">
        <f t="shared" si="137"/>
        <v>Septiembre|64</v>
      </c>
    </row>
    <row r="2896" spans="1:14" ht="14.5" x14ac:dyDescent="0.25">
      <c r="A2896" s="19">
        <v>35</v>
      </c>
      <c r="B2896" s="18" t="s">
        <v>42</v>
      </c>
      <c r="C2896" s="18" t="s">
        <v>97</v>
      </c>
      <c r="D2896" s="18" t="s">
        <v>3412</v>
      </c>
      <c r="E2896" s="18" t="s">
        <v>3448</v>
      </c>
      <c r="F2896" s="101">
        <v>46289.770833333336</v>
      </c>
      <c r="G2896" s="101">
        <v>46291.9375</v>
      </c>
      <c r="H2896" s="18" t="s">
        <v>507</v>
      </c>
      <c r="I2896" s="18" t="s">
        <v>508</v>
      </c>
      <c r="J2896" s="18"/>
      <c r="K2896" s="21">
        <f t="shared" si="135"/>
        <v>51.999999999941792</v>
      </c>
      <c r="L2896" s="19">
        <f t="shared" si="136"/>
        <v>65</v>
      </c>
      <c r="M2896" s="18" t="str">
        <f>IF(I2896&lt;&gt;"Sí","",IF(YEAR(F2896)&lt;&gt;2026,"",INDEX({"Enero","Febrero","Marzo","Abril","Mayo","Junio","Julio","Agosto","Septiembre","Octubre","Noviembre","Diciembre"},MONTH(F2896))))</f>
        <v>Septiembre</v>
      </c>
      <c r="N2896" s="18" t="str">
        <f t="shared" si="137"/>
        <v>Septiembre|65</v>
      </c>
    </row>
    <row r="2897" spans="1:14" ht="14.5" x14ac:dyDescent="0.25">
      <c r="A2897" s="19">
        <v>35</v>
      </c>
      <c r="B2897" s="18" t="s">
        <v>42</v>
      </c>
      <c r="C2897" s="18" t="s">
        <v>97</v>
      </c>
      <c r="D2897" s="18" t="s">
        <v>3412</v>
      </c>
      <c r="E2897" s="18" t="s">
        <v>3449</v>
      </c>
      <c r="F2897" s="101">
        <v>46289.773611111108</v>
      </c>
      <c r="G2897" s="101">
        <v>46292.059027777781</v>
      </c>
      <c r="H2897" s="18" t="s">
        <v>507</v>
      </c>
      <c r="I2897" s="18" t="s">
        <v>508</v>
      </c>
      <c r="J2897" s="18"/>
      <c r="K2897" s="21">
        <f t="shared" si="135"/>
        <v>54.85000000015134</v>
      </c>
      <c r="L2897" s="19">
        <f t="shared" si="136"/>
        <v>66</v>
      </c>
      <c r="M2897" s="18" t="str">
        <f>IF(I2897&lt;&gt;"Sí","",IF(YEAR(F2897)&lt;&gt;2026,"",INDEX({"Enero","Febrero","Marzo","Abril","Mayo","Junio","Julio","Agosto","Septiembre","Octubre","Noviembre","Diciembre"},MONTH(F2897))))</f>
        <v>Septiembre</v>
      </c>
      <c r="N2897" s="18" t="str">
        <f t="shared" si="137"/>
        <v>Septiembre|66</v>
      </c>
    </row>
    <row r="2898" spans="1:14" ht="14.5" x14ac:dyDescent="0.25">
      <c r="A2898" s="19">
        <v>35</v>
      </c>
      <c r="B2898" s="18" t="s">
        <v>42</v>
      </c>
      <c r="C2898" s="18" t="s">
        <v>97</v>
      </c>
      <c r="D2898" s="18" t="s">
        <v>3412</v>
      </c>
      <c r="E2898" s="18" t="s">
        <v>3450</v>
      </c>
      <c r="F2898" s="101">
        <v>46289.775000000001</v>
      </c>
      <c r="G2898" s="101">
        <v>46292.060416666667</v>
      </c>
      <c r="H2898" s="18" t="s">
        <v>507</v>
      </c>
      <c r="I2898" s="18" t="s">
        <v>508</v>
      </c>
      <c r="J2898" s="18"/>
      <c r="K2898" s="21">
        <f t="shared" si="135"/>
        <v>54.849999999976717</v>
      </c>
      <c r="L2898" s="19">
        <f t="shared" si="136"/>
        <v>67</v>
      </c>
      <c r="M2898" s="18" t="str">
        <f>IF(I2898&lt;&gt;"Sí","",IF(YEAR(F2898)&lt;&gt;2026,"",INDEX({"Enero","Febrero","Marzo","Abril","Mayo","Junio","Julio","Agosto","Septiembre","Octubre","Noviembre","Diciembre"},MONTH(F2898))))</f>
        <v>Septiembre</v>
      </c>
      <c r="N2898" s="18" t="str">
        <f t="shared" si="137"/>
        <v>Septiembre|67</v>
      </c>
    </row>
    <row r="2899" spans="1:14" ht="14.5" x14ac:dyDescent="0.25">
      <c r="A2899" s="19">
        <v>35</v>
      </c>
      <c r="B2899" s="18" t="s">
        <v>42</v>
      </c>
      <c r="C2899" s="18" t="s">
        <v>97</v>
      </c>
      <c r="D2899" s="18" t="s">
        <v>3412</v>
      </c>
      <c r="E2899" s="18" t="s">
        <v>3451</v>
      </c>
      <c r="F2899" s="101">
        <v>46289.776388888888</v>
      </c>
      <c r="G2899" s="101">
        <v>46291.901388888888</v>
      </c>
      <c r="H2899" s="18" t="s">
        <v>507</v>
      </c>
      <c r="I2899" s="18" t="s">
        <v>508</v>
      </c>
      <c r="J2899" s="18"/>
      <c r="K2899" s="21">
        <f t="shared" si="135"/>
        <v>51</v>
      </c>
      <c r="L2899" s="19">
        <f t="shared" si="136"/>
        <v>68</v>
      </c>
      <c r="M2899" s="18" t="str">
        <f>IF(I2899&lt;&gt;"Sí","",IF(YEAR(F2899)&lt;&gt;2026,"",INDEX({"Enero","Febrero","Marzo","Abril","Mayo","Junio","Julio","Agosto","Septiembre","Octubre","Noviembre","Diciembre"},MONTH(F2899))))</f>
        <v>Septiembre</v>
      </c>
      <c r="N2899" s="18" t="str">
        <f t="shared" si="137"/>
        <v>Septiembre|68</v>
      </c>
    </row>
    <row r="2900" spans="1:14" ht="14.5" x14ac:dyDescent="0.25">
      <c r="A2900" s="19">
        <v>35</v>
      </c>
      <c r="B2900" s="18" t="s">
        <v>42</v>
      </c>
      <c r="C2900" s="18" t="s">
        <v>97</v>
      </c>
      <c r="D2900" s="18" t="s">
        <v>3412</v>
      </c>
      <c r="E2900" s="18" t="s">
        <v>3452</v>
      </c>
      <c r="F2900" s="101">
        <v>46289.77847222222</v>
      </c>
      <c r="G2900" s="101">
        <v>46291.901388888888</v>
      </c>
      <c r="H2900" s="18" t="s">
        <v>507</v>
      </c>
      <c r="I2900" s="18" t="s">
        <v>508</v>
      </c>
      <c r="J2900" s="18"/>
      <c r="K2900" s="21">
        <f t="shared" si="135"/>
        <v>50.950000000011642</v>
      </c>
      <c r="L2900" s="19">
        <f t="shared" si="136"/>
        <v>69</v>
      </c>
      <c r="M2900" s="18" t="str">
        <f>IF(I2900&lt;&gt;"Sí","",IF(YEAR(F2900)&lt;&gt;2026,"",INDEX({"Enero","Febrero","Marzo","Abril","Mayo","Junio","Julio","Agosto","Septiembre","Octubre","Noviembre","Diciembre"},MONTH(F2900))))</f>
        <v>Septiembre</v>
      </c>
      <c r="N2900" s="18" t="str">
        <f t="shared" si="137"/>
        <v>Septiembre|69</v>
      </c>
    </row>
    <row r="2901" spans="1:14" ht="14.5" x14ac:dyDescent="0.25">
      <c r="A2901" s="19">
        <v>35</v>
      </c>
      <c r="B2901" s="18" t="s">
        <v>42</v>
      </c>
      <c r="C2901" s="18" t="s">
        <v>97</v>
      </c>
      <c r="D2901" s="18" t="s">
        <v>3412</v>
      </c>
      <c r="E2901" s="18" t="s">
        <v>3453</v>
      </c>
      <c r="F2901" s="101">
        <v>46289.779166666667</v>
      </c>
      <c r="G2901" s="101">
        <v>46291.901388888888</v>
      </c>
      <c r="H2901" s="18" t="s">
        <v>507</v>
      </c>
      <c r="I2901" s="18" t="s">
        <v>508</v>
      </c>
      <c r="J2901" s="18"/>
      <c r="K2901" s="21">
        <f t="shared" si="135"/>
        <v>50.933333333290648</v>
      </c>
      <c r="L2901" s="19">
        <f t="shared" si="136"/>
        <v>70</v>
      </c>
      <c r="M2901" s="18" t="str">
        <f>IF(I2901&lt;&gt;"Sí","",IF(YEAR(F2901)&lt;&gt;2026,"",INDEX({"Enero","Febrero","Marzo","Abril","Mayo","Junio","Julio","Agosto","Septiembre","Octubre","Noviembre","Diciembre"},MONTH(F2901))))</f>
        <v>Septiembre</v>
      </c>
      <c r="N2901" s="18" t="str">
        <f t="shared" si="137"/>
        <v>Septiembre|70</v>
      </c>
    </row>
    <row r="2902" spans="1:14" ht="14.5" x14ac:dyDescent="0.25">
      <c r="A2902" s="19">
        <v>35</v>
      </c>
      <c r="B2902" s="18" t="s">
        <v>42</v>
      </c>
      <c r="C2902" s="18" t="s">
        <v>97</v>
      </c>
      <c r="D2902" s="18" t="s">
        <v>3412</v>
      </c>
      <c r="E2902" s="18" t="s">
        <v>3454</v>
      </c>
      <c r="F2902" s="101">
        <v>46289.781944444447</v>
      </c>
      <c r="G2902" s="101">
        <v>46291.901388888888</v>
      </c>
      <c r="H2902" s="18" t="s">
        <v>507</v>
      </c>
      <c r="I2902" s="18" t="s">
        <v>508</v>
      </c>
      <c r="J2902" s="18"/>
      <c r="K2902" s="21">
        <f t="shared" si="135"/>
        <v>50.866666666581295</v>
      </c>
      <c r="L2902" s="19">
        <f t="shared" si="136"/>
        <v>71</v>
      </c>
      <c r="M2902" s="18" t="str">
        <f>IF(I2902&lt;&gt;"Sí","",IF(YEAR(F2902)&lt;&gt;2026,"",INDEX({"Enero","Febrero","Marzo","Abril","Mayo","Junio","Julio","Agosto","Septiembre","Octubre","Noviembre","Diciembre"},MONTH(F2902))))</f>
        <v>Septiembre</v>
      </c>
      <c r="N2902" s="18" t="str">
        <f t="shared" si="137"/>
        <v>Septiembre|71</v>
      </c>
    </row>
    <row r="2903" spans="1:14" ht="14.5" x14ac:dyDescent="0.25">
      <c r="A2903" s="19">
        <v>35</v>
      </c>
      <c r="B2903" s="18" t="s">
        <v>42</v>
      </c>
      <c r="C2903" s="18" t="s">
        <v>97</v>
      </c>
      <c r="D2903" s="18" t="s">
        <v>3412</v>
      </c>
      <c r="E2903" s="18" t="s">
        <v>3455</v>
      </c>
      <c r="F2903" s="101">
        <v>46289.784722222219</v>
      </c>
      <c r="G2903" s="101">
        <v>46292.559027777781</v>
      </c>
      <c r="H2903" s="18" t="s">
        <v>507</v>
      </c>
      <c r="I2903" s="18" t="s">
        <v>508</v>
      </c>
      <c r="J2903" s="18"/>
      <c r="K2903" s="21">
        <f t="shared" si="135"/>
        <v>66.583333333488554</v>
      </c>
      <c r="L2903" s="19">
        <f t="shared" si="136"/>
        <v>72</v>
      </c>
      <c r="M2903" s="18" t="str">
        <f>IF(I2903&lt;&gt;"Sí","",IF(YEAR(F2903)&lt;&gt;2026,"",INDEX({"Enero","Febrero","Marzo","Abril","Mayo","Junio","Julio","Agosto","Septiembre","Octubre","Noviembre","Diciembre"},MONTH(F2903))))</f>
        <v>Septiembre</v>
      </c>
      <c r="N2903" s="18" t="str">
        <f t="shared" si="137"/>
        <v>Septiembre|72</v>
      </c>
    </row>
    <row r="2904" spans="1:14" ht="14.5" x14ac:dyDescent="0.25">
      <c r="A2904" s="19">
        <v>35</v>
      </c>
      <c r="B2904" s="18" t="s">
        <v>42</v>
      </c>
      <c r="C2904" s="18" t="s">
        <v>97</v>
      </c>
      <c r="D2904" s="18" t="s">
        <v>3412</v>
      </c>
      <c r="E2904" s="18" t="s">
        <v>3456</v>
      </c>
      <c r="F2904" s="101">
        <v>46289.785416666666</v>
      </c>
      <c r="G2904" s="101">
        <v>46291.901388888888</v>
      </c>
      <c r="H2904" s="18" t="s">
        <v>507</v>
      </c>
      <c r="I2904" s="18" t="s">
        <v>508</v>
      </c>
      <c r="J2904" s="18"/>
      <c r="K2904" s="21">
        <f t="shared" si="135"/>
        <v>50.783333333325572</v>
      </c>
      <c r="L2904" s="19">
        <f t="shared" si="136"/>
        <v>73</v>
      </c>
      <c r="M2904" s="18" t="str">
        <f>IF(I2904&lt;&gt;"Sí","",IF(YEAR(F2904)&lt;&gt;2026,"",INDEX({"Enero","Febrero","Marzo","Abril","Mayo","Junio","Julio","Agosto","Septiembre","Octubre","Noviembre","Diciembre"},MONTH(F2904))))</f>
        <v>Septiembre</v>
      </c>
      <c r="N2904" s="18" t="str">
        <f t="shared" si="137"/>
        <v>Septiembre|73</v>
      </c>
    </row>
    <row r="2905" spans="1:14" ht="14.5" x14ac:dyDescent="0.25">
      <c r="A2905" s="19">
        <v>35</v>
      </c>
      <c r="B2905" s="18" t="s">
        <v>42</v>
      </c>
      <c r="C2905" s="18" t="s">
        <v>97</v>
      </c>
      <c r="D2905" s="18" t="s">
        <v>3412</v>
      </c>
      <c r="E2905" s="18" t="s">
        <v>3457</v>
      </c>
      <c r="F2905" s="101">
        <v>46289.786805555559</v>
      </c>
      <c r="G2905" s="101">
        <v>46291.901388888888</v>
      </c>
      <c r="H2905" s="18" t="s">
        <v>507</v>
      </c>
      <c r="I2905" s="18" t="s">
        <v>508</v>
      </c>
      <c r="J2905" s="18"/>
      <c r="K2905" s="21">
        <f t="shared" si="135"/>
        <v>50.749999999883585</v>
      </c>
      <c r="L2905" s="19">
        <f t="shared" si="136"/>
        <v>74</v>
      </c>
      <c r="M2905" s="18" t="str">
        <f>IF(I2905&lt;&gt;"Sí","",IF(YEAR(F2905)&lt;&gt;2026,"",INDEX({"Enero","Febrero","Marzo","Abril","Mayo","Junio","Julio","Agosto","Septiembre","Octubre","Noviembre","Diciembre"},MONTH(F2905))))</f>
        <v>Septiembre</v>
      </c>
      <c r="N2905" s="18" t="str">
        <f t="shared" si="137"/>
        <v>Septiembre|74</v>
      </c>
    </row>
    <row r="2906" spans="1:14" ht="14.5" x14ac:dyDescent="0.25">
      <c r="A2906" s="19">
        <v>35</v>
      </c>
      <c r="B2906" s="18" t="s">
        <v>42</v>
      </c>
      <c r="C2906" s="18" t="s">
        <v>97</v>
      </c>
      <c r="D2906" s="18" t="s">
        <v>3412</v>
      </c>
      <c r="E2906" s="18" t="s">
        <v>3458</v>
      </c>
      <c r="F2906" s="101">
        <v>46289.789583333331</v>
      </c>
      <c r="G2906" s="101">
        <v>46292.447916666664</v>
      </c>
      <c r="H2906" s="18" t="s">
        <v>507</v>
      </c>
      <c r="I2906" s="18" t="s">
        <v>508</v>
      </c>
      <c r="J2906" s="18"/>
      <c r="K2906" s="21">
        <f t="shared" si="135"/>
        <v>63.799999999988358</v>
      </c>
      <c r="L2906" s="19">
        <f t="shared" si="136"/>
        <v>75</v>
      </c>
      <c r="M2906" s="18" t="str">
        <f>IF(I2906&lt;&gt;"Sí","",IF(YEAR(F2906)&lt;&gt;2026,"",INDEX({"Enero","Febrero","Marzo","Abril","Mayo","Junio","Julio","Agosto","Septiembre","Octubre","Noviembre","Diciembre"},MONTH(F2906))))</f>
        <v>Septiembre</v>
      </c>
      <c r="N2906" s="18" t="str">
        <f t="shared" si="137"/>
        <v>Septiembre|75</v>
      </c>
    </row>
    <row r="2907" spans="1:14" ht="14.5" x14ac:dyDescent="0.25">
      <c r="A2907" s="19">
        <v>35</v>
      </c>
      <c r="B2907" s="18" t="s">
        <v>42</v>
      </c>
      <c r="C2907" s="18" t="s">
        <v>97</v>
      </c>
      <c r="D2907" s="18" t="s">
        <v>3412</v>
      </c>
      <c r="E2907" s="18" t="s">
        <v>3459</v>
      </c>
      <c r="F2907" s="101">
        <v>46289.791666666664</v>
      </c>
      <c r="G2907" s="101">
        <v>46292.45416666667</v>
      </c>
      <c r="H2907" s="18" t="s">
        <v>507</v>
      </c>
      <c r="I2907" s="18" t="s">
        <v>508</v>
      </c>
      <c r="J2907" s="18"/>
      <c r="K2907" s="21">
        <f t="shared" si="135"/>
        <v>63.900000000139698</v>
      </c>
      <c r="L2907" s="19">
        <f t="shared" si="136"/>
        <v>76</v>
      </c>
      <c r="M2907" s="18" t="str">
        <f>IF(I2907&lt;&gt;"Sí","",IF(YEAR(F2907)&lt;&gt;2026,"",INDEX({"Enero","Febrero","Marzo","Abril","Mayo","Junio","Julio","Agosto","Septiembre","Octubre","Noviembre","Diciembre"},MONTH(F2907))))</f>
        <v>Septiembre</v>
      </c>
      <c r="N2907" s="18" t="str">
        <f t="shared" si="137"/>
        <v>Septiembre|76</v>
      </c>
    </row>
    <row r="2908" spans="1:14" ht="14.5" x14ac:dyDescent="0.25">
      <c r="A2908" s="19">
        <v>35</v>
      </c>
      <c r="B2908" s="18" t="s">
        <v>42</v>
      </c>
      <c r="C2908" s="18" t="s">
        <v>97</v>
      </c>
      <c r="D2908" s="18" t="s">
        <v>3412</v>
      </c>
      <c r="E2908" s="18" t="s">
        <v>3460</v>
      </c>
      <c r="F2908" s="101">
        <v>46289.793749999997</v>
      </c>
      <c r="G2908" s="101">
        <v>46292.447916666664</v>
      </c>
      <c r="H2908" s="18" t="s">
        <v>507</v>
      </c>
      <c r="I2908" s="18" t="s">
        <v>508</v>
      </c>
      <c r="J2908" s="18"/>
      <c r="K2908" s="21">
        <f t="shared" si="135"/>
        <v>63.700000000011642</v>
      </c>
      <c r="L2908" s="19">
        <f t="shared" si="136"/>
        <v>77</v>
      </c>
      <c r="M2908" s="18" t="str">
        <f>IF(I2908&lt;&gt;"Sí","",IF(YEAR(F2908)&lt;&gt;2026,"",INDEX({"Enero","Febrero","Marzo","Abril","Mayo","Junio","Julio","Agosto","Septiembre","Octubre","Noviembre","Diciembre"},MONTH(F2908))))</f>
        <v>Septiembre</v>
      </c>
      <c r="N2908" s="18" t="str">
        <f t="shared" si="137"/>
        <v>Septiembre|77</v>
      </c>
    </row>
    <row r="2909" spans="1:14" ht="14.5" x14ac:dyDescent="0.25">
      <c r="A2909" s="19">
        <v>35</v>
      </c>
      <c r="B2909" s="18" t="s">
        <v>42</v>
      </c>
      <c r="C2909" s="18" t="s">
        <v>97</v>
      </c>
      <c r="D2909" s="18" t="s">
        <v>3412</v>
      </c>
      <c r="E2909" s="18" t="s">
        <v>3461</v>
      </c>
      <c r="F2909" s="101">
        <v>46289.79583333333</v>
      </c>
      <c r="G2909" s="101">
        <v>46292.447916666664</v>
      </c>
      <c r="H2909" s="18" t="s">
        <v>507</v>
      </c>
      <c r="I2909" s="18" t="s">
        <v>508</v>
      </c>
      <c r="J2909" s="18"/>
      <c r="K2909" s="21">
        <f t="shared" si="135"/>
        <v>63.650000000023283</v>
      </c>
      <c r="L2909" s="19">
        <f t="shared" si="136"/>
        <v>78</v>
      </c>
      <c r="M2909" s="18" t="str">
        <f>IF(I2909&lt;&gt;"Sí","",IF(YEAR(F2909)&lt;&gt;2026,"",INDEX({"Enero","Febrero","Marzo","Abril","Mayo","Junio","Julio","Agosto","Septiembre","Octubre","Noviembre","Diciembre"},MONTH(F2909))))</f>
        <v>Septiembre</v>
      </c>
      <c r="N2909" s="18" t="str">
        <f t="shared" si="137"/>
        <v>Septiembre|78</v>
      </c>
    </row>
    <row r="2910" spans="1:14" ht="14.5" x14ac:dyDescent="0.25">
      <c r="A2910" s="19">
        <v>35</v>
      </c>
      <c r="B2910" s="18" t="s">
        <v>42</v>
      </c>
      <c r="C2910" s="18" t="s">
        <v>97</v>
      </c>
      <c r="D2910" s="18" t="s">
        <v>3412</v>
      </c>
      <c r="E2910" s="18" t="s">
        <v>3462</v>
      </c>
      <c r="F2910" s="101">
        <v>46289.797222222223</v>
      </c>
      <c r="G2910" s="101">
        <v>46292.447916666664</v>
      </c>
      <c r="H2910" s="18" t="s">
        <v>507</v>
      </c>
      <c r="I2910" s="18" t="s">
        <v>508</v>
      </c>
      <c r="J2910" s="18"/>
      <c r="K2910" s="21">
        <f t="shared" si="135"/>
        <v>63.616666666581295</v>
      </c>
      <c r="L2910" s="19">
        <f t="shared" si="136"/>
        <v>79</v>
      </c>
      <c r="M2910" s="18" t="str">
        <f>IF(I2910&lt;&gt;"Sí","",IF(YEAR(F2910)&lt;&gt;2026,"",INDEX({"Enero","Febrero","Marzo","Abril","Mayo","Junio","Julio","Agosto","Septiembre","Octubre","Noviembre","Diciembre"},MONTH(F2910))))</f>
        <v>Septiembre</v>
      </c>
      <c r="N2910" s="18" t="str">
        <f t="shared" si="137"/>
        <v>Septiembre|79</v>
      </c>
    </row>
    <row r="2911" spans="1:14" ht="14.5" x14ac:dyDescent="0.25">
      <c r="A2911" s="19">
        <v>35</v>
      </c>
      <c r="B2911" s="18" t="s">
        <v>42</v>
      </c>
      <c r="C2911" s="18" t="s">
        <v>97</v>
      </c>
      <c r="D2911" s="18" t="s">
        <v>3412</v>
      </c>
      <c r="E2911" s="18" t="s">
        <v>3463</v>
      </c>
      <c r="F2911" s="101">
        <v>46289.79791666667</v>
      </c>
      <c r="G2911" s="101">
        <v>46292.629861111112</v>
      </c>
      <c r="H2911" s="18" t="s">
        <v>507</v>
      </c>
      <c r="I2911" s="18" t="s">
        <v>508</v>
      </c>
      <c r="J2911" s="18"/>
      <c r="K2911" s="21">
        <f t="shared" si="135"/>
        <v>67.96666666661622</v>
      </c>
      <c r="L2911" s="19">
        <f t="shared" si="136"/>
        <v>80</v>
      </c>
      <c r="M2911" s="18" t="str">
        <f>IF(I2911&lt;&gt;"Sí","",IF(YEAR(F2911)&lt;&gt;2026,"",INDEX({"Enero","Febrero","Marzo","Abril","Mayo","Junio","Julio","Agosto","Septiembre","Octubre","Noviembre","Diciembre"},MONTH(F2911))))</f>
        <v>Septiembre</v>
      </c>
      <c r="N2911" s="18" t="str">
        <f t="shared" si="137"/>
        <v>Septiembre|80</v>
      </c>
    </row>
    <row r="2912" spans="1:14" ht="14.5" x14ac:dyDescent="0.25">
      <c r="A2912" s="19">
        <v>35</v>
      </c>
      <c r="B2912" s="18" t="s">
        <v>42</v>
      </c>
      <c r="C2912" s="18" t="s">
        <v>97</v>
      </c>
      <c r="D2912" s="18" t="s">
        <v>3412</v>
      </c>
      <c r="E2912" s="18" t="s">
        <v>3464</v>
      </c>
      <c r="F2912" s="101">
        <v>46289.801388888889</v>
      </c>
      <c r="G2912" s="101">
        <v>46292.436111111114</v>
      </c>
      <c r="H2912" s="18" t="s">
        <v>507</v>
      </c>
      <c r="I2912" s="18" t="s">
        <v>508</v>
      </c>
      <c r="J2912" s="18"/>
      <c r="K2912" s="21">
        <f t="shared" si="135"/>
        <v>63.233333333395422</v>
      </c>
      <c r="L2912" s="19">
        <f t="shared" si="136"/>
        <v>81</v>
      </c>
      <c r="M2912" s="18" t="str">
        <f>IF(I2912&lt;&gt;"Sí","",IF(YEAR(F2912)&lt;&gt;2026,"",INDEX({"Enero","Febrero","Marzo","Abril","Mayo","Junio","Julio","Agosto","Septiembre","Octubre","Noviembre","Diciembre"},MONTH(F2912))))</f>
        <v>Septiembre</v>
      </c>
      <c r="N2912" s="18" t="str">
        <f t="shared" si="137"/>
        <v>Septiembre|81</v>
      </c>
    </row>
    <row r="2913" spans="1:14" ht="14.5" x14ac:dyDescent="0.25">
      <c r="A2913" s="19">
        <v>35</v>
      </c>
      <c r="B2913" s="18" t="s">
        <v>42</v>
      </c>
      <c r="C2913" s="18" t="s">
        <v>97</v>
      </c>
      <c r="D2913" s="18" t="s">
        <v>3412</v>
      </c>
      <c r="E2913" s="18" t="s">
        <v>3465</v>
      </c>
      <c r="F2913" s="101">
        <v>46289.804166666669</v>
      </c>
      <c r="G2913" s="101">
        <v>46292.436111111114</v>
      </c>
      <c r="H2913" s="18" t="s">
        <v>507</v>
      </c>
      <c r="I2913" s="18" t="s">
        <v>508</v>
      </c>
      <c r="J2913" s="18"/>
      <c r="K2913" s="21">
        <f t="shared" si="135"/>
        <v>63.166666666686069</v>
      </c>
      <c r="L2913" s="19">
        <f t="shared" si="136"/>
        <v>82</v>
      </c>
      <c r="M2913" s="18" t="str">
        <f>IF(I2913&lt;&gt;"Sí","",IF(YEAR(F2913)&lt;&gt;2026,"",INDEX({"Enero","Febrero","Marzo","Abril","Mayo","Junio","Julio","Agosto","Septiembre","Octubre","Noviembre","Diciembre"},MONTH(F2913))))</f>
        <v>Septiembre</v>
      </c>
      <c r="N2913" s="18" t="str">
        <f t="shared" si="137"/>
        <v>Septiembre|82</v>
      </c>
    </row>
    <row r="2914" spans="1:14" ht="14.5" x14ac:dyDescent="0.25">
      <c r="A2914" s="19">
        <v>35</v>
      </c>
      <c r="B2914" s="18" t="s">
        <v>42</v>
      </c>
      <c r="C2914" s="18" t="s">
        <v>97</v>
      </c>
      <c r="D2914" s="18" t="s">
        <v>3412</v>
      </c>
      <c r="E2914" s="18" t="s">
        <v>3466</v>
      </c>
      <c r="F2914" s="101">
        <v>46289.804861111108</v>
      </c>
      <c r="G2914" s="101">
        <v>46292.436111111114</v>
      </c>
      <c r="H2914" s="18" t="s">
        <v>507</v>
      </c>
      <c r="I2914" s="18" t="s">
        <v>508</v>
      </c>
      <c r="J2914" s="18"/>
      <c r="K2914" s="21">
        <f t="shared" si="135"/>
        <v>63.150000000139698</v>
      </c>
      <c r="L2914" s="19">
        <f t="shared" si="136"/>
        <v>83</v>
      </c>
      <c r="M2914" s="18" t="str">
        <f>IF(I2914&lt;&gt;"Sí","",IF(YEAR(F2914)&lt;&gt;2026,"",INDEX({"Enero","Febrero","Marzo","Abril","Mayo","Junio","Julio","Agosto","Septiembre","Octubre","Noviembre","Diciembre"},MONTH(F2914))))</f>
        <v>Septiembre</v>
      </c>
      <c r="N2914" s="18" t="str">
        <f t="shared" si="137"/>
        <v>Septiembre|83</v>
      </c>
    </row>
    <row r="2915" spans="1:14" ht="14.5" x14ac:dyDescent="0.25">
      <c r="A2915" s="19">
        <v>35</v>
      </c>
      <c r="B2915" s="18" t="s">
        <v>42</v>
      </c>
      <c r="C2915" s="18" t="s">
        <v>97</v>
      </c>
      <c r="D2915" s="18" t="s">
        <v>3412</v>
      </c>
      <c r="E2915" s="18" t="s">
        <v>3467</v>
      </c>
      <c r="F2915" s="101">
        <v>46289.805555555555</v>
      </c>
      <c r="G2915" s="101">
        <v>46292.436111111114</v>
      </c>
      <c r="H2915" s="18" t="s">
        <v>507</v>
      </c>
      <c r="I2915" s="18" t="s">
        <v>508</v>
      </c>
      <c r="J2915" s="18"/>
      <c r="K2915" s="21">
        <f t="shared" si="135"/>
        <v>63.133333333418705</v>
      </c>
      <c r="L2915" s="19">
        <f t="shared" si="136"/>
        <v>84</v>
      </c>
      <c r="M2915" s="18" t="str">
        <f>IF(I2915&lt;&gt;"Sí","",IF(YEAR(F2915)&lt;&gt;2026,"",INDEX({"Enero","Febrero","Marzo","Abril","Mayo","Junio","Julio","Agosto","Septiembre","Octubre","Noviembre","Diciembre"},MONTH(F2915))))</f>
        <v>Septiembre</v>
      </c>
      <c r="N2915" s="18" t="str">
        <f t="shared" si="137"/>
        <v>Septiembre|84</v>
      </c>
    </row>
    <row r="2916" spans="1:14" ht="14.5" x14ac:dyDescent="0.25">
      <c r="A2916" s="19">
        <v>35</v>
      </c>
      <c r="B2916" s="18" t="s">
        <v>42</v>
      </c>
      <c r="C2916" s="18" t="s">
        <v>97</v>
      </c>
      <c r="D2916" s="18" t="s">
        <v>3412</v>
      </c>
      <c r="E2916" s="18" t="s">
        <v>3468</v>
      </c>
      <c r="F2916" s="101">
        <v>46289.806944444441</v>
      </c>
      <c r="G2916" s="101">
        <v>46292.436111111114</v>
      </c>
      <c r="H2916" s="18" t="s">
        <v>507</v>
      </c>
      <c r="I2916" s="18" t="s">
        <v>508</v>
      </c>
      <c r="J2916" s="18"/>
      <c r="K2916" s="21">
        <f t="shared" si="135"/>
        <v>63.10000000015134</v>
      </c>
      <c r="L2916" s="19">
        <f t="shared" si="136"/>
        <v>85</v>
      </c>
      <c r="M2916" s="18" t="str">
        <f>IF(I2916&lt;&gt;"Sí","",IF(YEAR(F2916)&lt;&gt;2026,"",INDEX({"Enero","Febrero","Marzo","Abril","Mayo","Junio","Julio","Agosto","Septiembre","Octubre","Noviembre","Diciembre"},MONTH(F2916))))</f>
        <v>Septiembre</v>
      </c>
      <c r="N2916" s="18" t="str">
        <f t="shared" si="137"/>
        <v>Septiembre|85</v>
      </c>
    </row>
    <row r="2917" spans="1:14" ht="14.5" x14ac:dyDescent="0.25">
      <c r="A2917" s="19">
        <v>35</v>
      </c>
      <c r="B2917" s="18" t="s">
        <v>42</v>
      </c>
      <c r="C2917" s="18" t="s">
        <v>97</v>
      </c>
      <c r="D2917" s="18" t="s">
        <v>3412</v>
      </c>
      <c r="E2917" s="18" t="s">
        <v>3469</v>
      </c>
      <c r="F2917" s="101">
        <v>46289.809027777781</v>
      </c>
      <c r="G2917" s="101">
        <v>46292.436111111114</v>
      </c>
      <c r="H2917" s="18" t="s">
        <v>507</v>
      </c>
      <c r="I2917" s="18" t="s">
        <v>508</v>
      </c>
      <c r="J2917" s="18"/>
      <c r="K2917" s="21">
        <f t="shared" si="135"/>
        <v>63.049999999988358</v>
      </c>
      <c r="L2917" s="19">
        <f t="shared" si="136"/>
        <v>86</v>
      </c>
      <c r="M2917" s="18" t="str">
        <f>IF(I2917&lt;&gt;"Sí","",IF(YEAR(F2917)&lt;&gt;2026,"",INDEX({"Enero","Febrero","Marzo","Abril","Mayo","Junio","Julio","Agosto","Septiembre","Octubre","Noviembre","Diciembre"},MONTH(F2917))))</f>
        <v>Septiembre</v>
      </c>
      <c r="N2917" s="18" t="str">
        <f t="shared" si="137"/>
        <v>Septiembre|86</v>
      </c>
    </row>
    <row r="2918" spans="1:14" ht="14.5" x14ac:dyDescent="0.25">
      <c r="A2918" s="19">
        <v>35</v>
      </c>
      <c r="B2918" s="18" t="s">
        <v>42</v>
      </c>
      <c r="C2918" s="18" t="s">
        <v>97</v>
      </c>
      <c r="D2918" s="18" t="s">
        <v>3412</v>
      </c>
      <c r="E2918" s="18" t="s">
        <v>3470</v>
      </c>
      <c r="F2918" s="101">
        <v>46289.813194444447</v>
      </c>
      <c r="G2918" s="101">
        <v>46292.436111111114</v>
      </c>
      <c r="H2918" s="18" t="s">
        <v>507</v>
      </c>
      <c r="I2918" s="18" t="s">
        <v>508</v>
      </c>
      <c r="J2918" s="18"/>
      <c r="K2918" s="21">
        <f t="shared" si="135"/>
        <v>62.950000000011642</v>
      </c>
      <c r="L2918" s="19">
        <f t="shared" si="136"/>
        <v>87</v>
      </c>
      <c r="M2918" s="18" t="str">
        <f>IF(I2918&lt;&gt;"Sí","",IF(YEAR(F2918)&lt;&gt;2026,"",INDEX({"Enero","Febrero","Marzo","Abril","Mayo","Junio","Julio","Agosto","Septiembre","Octubre","Noviembre","Diciembre"},MONTH(F2918))))</f>
        <v>Septiembre</v>
      </c>
      <c r="N2918" s="18" t="str">
        <f t="shared" si="137"/>
        <v>Septiembre|87</v>
      </c>
    </row>
    <row r="2919" spans="1:14" ht="14.5" x14ac:dyDescent="0.25">
      <c r="A2919" s="19">
        <v>35</v>
      </c>
      <c r="B2919" s="18" t="s">
        <v>42</v>
      </c>
      <c r="C2919" s="18" t="s">
        <v>97</v>
      </c>
      <c r="D2919" s="18" t="s">
        <v>3412</v>
      </c>
      <c r="E2919" s="18" t="s">
        <v>3471</v>
      </c>
      <c r="F2919" s="101">
        <v>46289.833333333336</v>
      </c>
      <c r="G2919" s="101">
        <v>46292.122916666667</v>
      </c>
      <c r="H2919" s="18" t="s">
        <v>507</v>
      </c>
      <c r="I2919" s="18" t="s">
        <v>508</v>
      </c>
      <c r="J2919" s="18"/>
      <c r="K2919" s="21">
        <f t="shared" si="135"/>
        <v>54.949999999953434</v>
      </c>
      <c r="L2919" s="19">
        <f t="shared" si="136"/>
        <v>88</v>
      </c>
      <c r="M2919" s="18" t="str">
        <f>IF(I2919&lt;&gt;"Sí","",IF(YEAR(F2919)&lt;&gt;2026,"",INDEX({"Enero","Febrero","Marzo","Abril","Mayo","Junio","Julio","Agosto","Septiembre","Octubre","Noviembre","Diciembre"},MONTH(F2919))))</f>
        <v>Septiembre</v>
      </c>
      <c r="N2919" s="18" t="str">
        <f t="shared" si="137"/>
        <v>Septiembre|88</v>
      </c>
    </row>
    <row r="2920" spans="1:14" ht="14.5" x14ac:dyDescent="0.25">
      <c r="A2920" s="19">
        <v>35</v>
      </c>
      <c r="B2920" s="18" t="s">
        <v>42</v>
      </c>
      <c r="C2920" s="18" t="s">
        <v>97</v>
      </c>
      <c r="D2920" s="18" t="s">
        <v>3412</v>
      </c>
      <c r="E2920" s="18" t="s">
        <v>3472</v>
      </c>
      <c r="F2920" s="101">
        <v>46289.836805555555</v>
      </c>
      <c r="G2920" s="101">
        <v>46292.436111111114</v>
      </c>
      <c r="H2920" s="18" t="s">
        <v>507</v>
      </c>
      <c r="I2920" s="18" t="s">
        <v>508</v>
      </c>
      <c r="J2920" s="18"/>
      <c r="K2920" s="21">
        <f t="shared" si="135"/>
        <v>62.383333333418705</v>
      </c>
      <c r="L2920" s="19">
        <f t="shared" si="136"/>
        <v>89</v>
      </c>
      <c r="M2920" s="18" t="str">
        <f>IF(I2920&lt;&gt;"Sí","",IF(YEAR(F2920)&lt;&gt;2026,"",INDEX({"Enero","Febrero","Marzo","Abril","Mayo","Junio","Julio","Agosto","Septiembre","Octubre","Noviembre","Diciembre"},MONTH(F2920))))</f>
        <v>Septiembre</v>
      </c>
      <c r="N2920" s="18" t="str">
        <f t="shared" si="137"/>
        <v>Septiembre|89</v>
      </c>
    </row>
    <row r="2921" spans="1:14" ht="14.5" x14ac:dyDescent="0.25">
      <c r="A2921" s="19">
        <v>35</v>
      </c>
      <c r="B2921" s="18" t="s">
        <v>42</v>
      </c>
      <c r="C2921" s="18" t="s">
        <v>97</v>
      </c>
      <c r="D2921" s="18" t="s">
        <v>3412</v>
      </c>
      <c r="E2921" s="18" t="s">
        <v>3473</v>
      </c>
      <c r="F2921" s="101">
        <v>46289.838194444441</v>
      </c>
      <c r="G2921" s="101">
        <v>46292.436111111114</v>
      </c>
      <c r="H2921" s="18" t="s">
        <v>507</v>
      </c>
      <c r="I2921" s="18" t="s">
        <v>508</v>
      </c>
      <c r="J2921" s="18"/>
      <c r="K2921" s="21">
        <f t="shared" si="135"/>
        <v>62.35000000015134</v>
      </c>
      <c r="L2921" s="19">
        <f t="shared" si="136"/>
        <v>90</v>
      </c>
      <c r="M2921" s="18" t="str">
        <f>IF(I2921&lt;&gt;"Sí","",IF(YEAR(F2921)&lt;&gt;2026,"",INDEX({"Enero","Febrero","Marzo","Abril","Mayo","Junio","Julio","Agosto","Septiembre","Octubre","Noviembre","Diciembre"},MONTH(F2921))))</f>
        <v>Septiembre</v>
      </c>
      <c r="N2921" s="18" t="str">
        <f t="shared" si="137"/>
        <v>Septiembre|90</v>
      </c>
    </row>
    <row r="2922" spans="1:14" ht="14.5" x14ac:dyDescent="0.25">
      <c r="A2922" s="19">
        <v>35</v>
      </c>
      <c r="B2922" s="18" t="s">
        <v>42</v>
      </c>
      <c r="C2922" s="18" t="s">
        <v>97</v>
      </c>
      <c r="D2922" s="18" t="s">
        <v>3412</v>
      </c>
      <c r="E2922" s="18" t="s">
        <v>3474</v>
      </c>
      <c r="F2922" s="101">
        <v>46289.840277777781</v>
      </c>
      <c r="G2922" s="101">
        <v>46292.436111111114</v>
      </c>
      <c r="H2922" s="18" t="s">
        <v>507</v>
      </c>
      <c r="I2922" s="18" t="s">
        <v>508</v>
      </c>
      <c r="J2922" s="18"/>
      <c r="K2922" s="21">
        <f t="shared" si="135"/>
        <v>62.299999999988358</v>
      </c>
      <c r="L2922" s="19">
        <f t="shared" si="136"/>
        <v>91</v>
      </c>
      <c r="M2922" s="18" t="str">
        <f>IF(I2922&lt;&gt;"Sí","",IF(YEAR(F2922)&lt;&gt;2026,"",INDEX({"Enero","Febrero","Marzo","Abril","Mayo","Junio","Julio","Agosto","Septiembre","Octubre","Noviembre","Diciembre"},MONTH(F2922))))</f>
        <v>Septiembre</v>
      </c>
      <c r="N2922" s="18" t="str">
        <f t="shared" si="137"/>
        <v>Septiembre|91</v>
      </c>
    </row>
    <row r="2923" spans="1:14" ht="14.5" x14ac:dyDescent="0.25">
      <c r="A2923" s="19">
        <v>35</v>
      </c>
      <c r="B2923" s="18" t="s">
        <v>42</v>
      </c>
      <c r="C2923" s="18" t="s">
        <v>97</v>
      </c>
      <c r="D2923" s="18" t="s">
        <v>3412</v>
      </c>
      <c r="E2923" s="18" t="s">
        <v>3475</v>
      </c>
      <c r="F2923" s="101">
        <v>46289.84097222222</v>
      </c>
      <c r="G2923" s="101">
        <v>46292.436111111114</v>
      </c>
      <c r="H2923" s="18" t="s">
        <v>507</v>
      </c>
      <c r="I2923" s="18" t="s">
        <v>508</v>
      </c>
      <c r="J2923" s="18"/>
      <c r="K2923" s="21">
        <f t="shared" si="135"/>
        <v>62.283333333441988</v>
      </c>
      <c r="L2923" s="19">
        <f t="shared" si="136"/>
        <v>92</v>
      </c>
      <c r="M2923" s="18" t="str">
        <f>IF(I2923&lt;&gt;"Sí","",IF(YEAR(F2923)&lt;&gt;2026,"",INDEX({"Enero","Febrero","Marzo","Abril","Mayo","Junio","Julio","Agosto","Septiembre","Octubre","Noviembre","Diciembre"},MONTH(F2923))))</f>
        <v>Septiembre</v>
      </c>
      <c r="N2923" s="18" t="str">
        <f t="shared" si="137"/>
        <v>Septiembre|92</v>
      </c>
    </row>
    <row r="2924" spans="1:14" ht="14.5" x14ac:dyDescent="0.25">
      <c r="A2924" s="19">
        <v>35</v>
      </c>
      <c r="B2924" s="18" t="s">
        <v>42</v>
      </c>
      <c r="C2924" s="18" t="s">
        <v>97</v>
      </c>
      <c r="D2924" s="18" t="s">
        <v>3412</v>
      </c>
      <c r="E2924" s="18" t="s">
        <v>3476</v>
      </c>
      <c r="F2924" s="101">
        <v>46289.842361111114</v>
      </c>
      <c r="G2924" s="101">
        <v>46292.436111111114</v>
      </c>
      <c r="H2924" s="18" t="s">
        <v>507</v>
      </c>
      <c r="I2924" s="18" t="s">
        <v>508</v>
      </c>
      <c r="J2924" s="18"/>
      <c r="K2924" s="21">
        <f t="shared" si="135"/>
        <v>62.25</v>
      </c>
      <c r="L2924" s="19">
        <f t="shared" si="136"/>
        <v>93</v>
      </c>
      <c r="M2924" s="18" t="str">
        <f>IF(I2924&lt;&gt;"Sí","",IF(YEAR(F2924)&lt;&gt;2026,"",INDEX({"Enero","Febrero","Marzo","Abril","Mayo","Junio","Julio","Agosto","Septiembre","Octubre","Noviembre","Diciembre"},MONTH(F2924))))</f>
        <v>Septiembre</v>
      </c>
      <c r="N2924" s="18" t="str">
        <f t="shared" si="137"/>
        <v>Septiembre|93</v>
      </c>
    </row>
    <row r="2925" spans="1:14" ht="14.5" x14ac:dyDescent="0.25">
      <c r="A2925" s="19">
        <v>35</v>
      </c>
      <c r="B2925" s="18" t="s">
        <v>42</v>
      </c>
      <c r="C2925" s="18" t="s">
        <v>97</v>
      </c>
      <c r="D2925" s="18" t="s">
        <v>3412</v>
      </c>
      <c r="E2925" s="18" t="s">
        <v>3477</v>
      </c>
      <c r="F2925" s="101">
        <v>46289.84375</v>
      </c>
      <c r="G2925" s="101">
        <v>46292.436111111114</v>
      </c>
      <c r="H2925" s="18" t="s">
        <v>507</v>
      </c>
      <c r="I2925" s="18" t="s">
        <v>508</v>
      </c>
      <c r="J2925" s="18"/>
      <c r="K2925" s="21">
        <f t="shared" si="135"/>
        <v>62.216666666732635</v>
      </c>
      <c r="L2925" s="19">
        <f t="shared" si="136"/>
        <v>94</v>
      </c>
      <c r="M2925" s="18" t="str">
        <f>IF(I2925&lt;&gt;"Sí","",IF(YEAR(F2925)&lt;&gt;2026,"",INDEX({"Enero","Febrero","Marzo","Abril","Mayo","Junio","Julio","Agosto","Septiembre","Octubre","Noviembre","Diciembre"},MONTH(F2925))))</f>
        <v>Septiembre</v>
      </c>
      <c r="N2925" s="18" t="str">
        <f t="shared" si="137"/>
        <v>Septiembre|94</v>
      </c>
    </row>
    <row r="2926" spans="1:14" ht="14.5" x14ac:dyDescent="0.25">
      <c r="A2926" s="19">
        <v>35</v>
      </c>
      <c r="B2926" s="18" t="s">
        <v>42</v>
      </c>
      <c r="C2926" s="18" t="s">
        <v>97</v>
      </c>
      <c r="D2926" s="18" t="s">
        <v>3412</v>
      </c>
      <c r="E2926" s="18" t="s">
        <v>3478</v>
      </c>
      <c r="F2926" s="101">
        <v>46289.844444444447</v>
      </c>
      <c r="G2926" s="101">
        <v>46292.436111111114</v>
      </c>
      <c r="H2926" s="18" t="s">
        <v>507</v>
      </c>
      <c r="I2926" s="18" t="s">
        <v>508</v>
      </c>
      <c r="J2926" s="18"/>
      <c r="K2926" s="21">
        <f t="shared" si="135"/>
        <v>62.200000000011642</v>
      </c>
      <c r="L2926" s="19">
        <f t="shared" si="136"/>
        <v>95</v>
      </c>
      <c r="M2926" s="18" t="str">
        <f>IF(I2926&lt;&gt;"Sí","",IF(YEAR(F2926)&lt;&gt;2026,"",INDEX({"Enero","Febrero","Marzo","Abril","Mayo","Junio","Julio","Agosto","Septiembre","Octubre","Noviembre","Diciembre"},MONTH(F2926))))</f>
        <v>Septiembre</v>
      </c>
      <c r="N2926" s="18" t="str">
        <f t="shared" si="137"/>
        <v>Septiembre|95</v>
      </c>
    </row>
    <row r="2927" spans="1:14" ht="14.5" x14ac:dyDescent="0.25">
      <c r="A2927" s="19">
        <v>35</v>
      </c>
      <c r="B2927" s="18" t="s">
        <v>42</v>
      </c>
      <c r="C2927" s="18" t="s">
        <v>97</v>
      </c>
      <c r="D2927" s="18" t="s">
        <v>3412</v>
      </c>
      <c r="E2927" s="18" t="s">
        <v>3479</v>
      </c>
      <c r="F2927" s="101">
        <v>46289.849305555559</v>
      </c>
      <c r="G2927" s="101">
        <v>46292.436111111114</v>
      </c>
      <c r="H2927" s="18" t="s">
        <v>507</v>
      </c>
      <c r="I2927" s="18" t="s">
        <v>508</v>
      </c>
      <c r="J2927" s="18"/>
      <c r="K2927" s="21">
        <f t="shared" si="135"/>
        <v>62.083333333313931</v>
      </c>
      <c r="L2927" s="19">
        <f t="shared" si="136"/>
        <v>96</v>
      </c>
      <c r="M2927" s="18" t="str">
        <f>IF(I2927&lt;&gt;"Sí","",IF(YEAR(F2927)&lt;&gt;2026,"",INDEX({"Enero","Febrero","Marzo","Abril","Mayo","Junio","Julio","Agosto","Septiembre","Octubre","Noviembre","Diciembre"},MONTH(F2927))))</f>
        <v>Septiembre</v>
      </c>
      <c r="N2927" s="18" t="str">
        <f t="shared" si="137"/>
        <v>Septiembre|96</v>
      </c>
    </row>
    <row r="2928" spans="1:14" ht="14.5" x14ac:dyDescent="0.25">
      <c r="A2928" s="19">
        <v>35</v>
      </c>
      <c r="B2928" s="18" t="s">
        <v>42</v>
      </c>
      <c r="C2928" s="18" t="s">
        <v>97</v>
      </c>
      <c r="D2928" s="18" t="s">
        <v>3412</v>
      </c>
      <c r="E2928" s="18" t="s">
        <v>3480</v>
      </c>
      <c r="F2928" s="101">
        <v>46289.851388888892</v>
      </c>
      <c r="G2928" s="101">
        <v>46292.436111111114</v>
      </c>
      <c r="H2928" s="18" t="s">
        <v>507</v>
      </c>
      <c r="I2928" s="18" t="s">
        <v>508</v>
      </c>
      <c r="J2928" s="18"/>
      <c r="K2928" s="21">
        <f t="shared" si="135"/>
        <v>62.033333333325572</v>
      </c>
      <c r="L2928" s="19">
        <f t="shared" si="136"/>
        <v>97</v>
      </c>
      <c r="M2928" s="18" t="str">
        <f>IF(I2928&lt;&gt;"Sí","",IF(YEAR(F2928)&lt;&gt;2026,"",INDEX({"Enero","Febrero","Marzo","Abril","Mayo","Junio","Julio","Agosto","Septiembre","Octubre","Noviembre","Diciembre"},MONTH(F2928))))</f>
        <v>Septiembre</v>
      </c>
      <c r="N2928" s="18" t="str">
        <f t="shared" si="137"/>
        <v>Septiembre|97</v>
      </c>
    </row>
    <row r="2929" spans="1:14" ht="14.5" x14ac:dyDescent="0.25">
      <c r="A2929" s="19">
        <v>35</v>
      </c>
      <c r="B2929" s="18" t="s">
        <v>42</v>
      </c>
      <c r="C2929" s="18" t="s">
        <v>97</v>
      </c>
      <c r="D2929" s="18" t="s">
        <v>3412</v>
      </c>
      <c r="E2929" s="18" t="s">
        <v>3481</v>
      </c>
      <c r="F2929" s="101">
        <v>46289.852777777778</v>
      </c>
      <c r="G2929" s="101">
        <v>46292.436111111114</v>
      </c>
      <c r="H2929" s="18" t="s">
        <v>507</v>
      </c>
      <c r="I2929" s="18" t="s">
        <v>508</v>
      </c>
      <c r="J2929" s="18"/>
      <c r="K2929" s="21">
        <f t="shared" si="135"/>
        <v>62.000000000058208</v>
      </c>
      <c r="L2929" s="19">
        <f t="shared" si="136"/>
        <v>98</v>
      </c>
      <c r="M2929" s="18" t="str">
        <f>IF(I2929&lt;&gt;"Sí","",IF(YEAR(F2929)&lt;&gt;2026,"",INDEX({"Enero","Febrero","Marzo","Abril","Mayo","Junio","Julio","Agosto","Septiembre","Octubre","Noviembre","Diciembre"},MONTH(F2929))))</f>
        <v>Septiembre</v>
      </c>
      <c r="N2929" s="18" t="str">
        <f t="shared" si="137"/>
        <v>Septiembre|98</v>
      </c>
    </row>
    <row r="2930" spans="1:14" ht="14.5" x14ac:dyDescent="0.25">
      <c r="A2930" s="19">
        <v>35</v>
      </c>
      <c r="B2930" s="18" t="s">
        <v>42</v>
      </c>
      <c r="C2930" s="18" t="s">
        <v>97</v>
      </c>
      <c r="D2930" s="18" t="s">
        <v>3412</v>
      </c>
      <c r="E2930" s="18" t="s">
        <v>3482</v>
      </c>
      <c r="F2930" s="101">
        <v>46289.854861111111</v>
      </c>
      <c r="G2930" s="101">
        <v>46292.436111111114</v>
      </c>
      <c r="H2930" s="18" t="s">
        <v>507</v>
      </c>
      <c r="I2930" s="18" t="s">
        <v>508</v>
      </c>
      <c r="J2930" s="18"/>
      <c r="K2930" s="21">
        <f t="shared" si="135"/>
        <v>61.950000000069849</v>
      </c>
      <c r="L2930" s="19">
        <f t="shared" si="136"/>
        <v>99</v>
      </c>
      <c r="M2930" s="18" t="str">
        <f>IF(I2930&lt;&gt;"Sí","",IF(YEAR(F2930)&lt;&gt;2026,"",INDEX({"Enero","Febrero","Marzo","Abril","Mayo","Junio","Julio","Agosto","Septiembre","Octubre","Noviembre","Diciembre"},MONTH(F2930))))</f>
        <v>Septiembre</v>
      </c>
      <c r="N2930" s="18" t="str">
        <f t="shared" si="137"/>
        <v>Septiembre|99</v>
      </c>
    </row>
    <row r="2931" spans="1:14" ht="14.5" x14ac:dyDescent="0.25">
      <c r="A2931" s="19">
        <v>35</v>
      </c>
      <c r="B2931" s="18" t="s">
        <v>42</v>
      </c>
      <c r="C2931" s="18" t="s">
        <v>97</v>
      </c>
      <c r="D2931" s="18" t="s">
        <v>3412</v>
      </c>
      <c r="E2931" s="18" t="s">
        <v>3483</v>
      </c>
      <c r="F2931" s="101">
        <v>46289.855555555558</v>
      </c>
      <c r="G2931" s="101">
        <v>46292.176388888889</v>
      </c>
      <c r="H2931" s="18" t="s">
        <v>507</v>
      </c>
      <c r="I2931" s="18" t="s">
        <v>508</v>
      </c>
      <c r="J2931" s="18"/>
      <c r="K2931" s="21">
        <f t="shared" si="135"/>
        <v>55.699999999953434</v>
      </c>
      <c r="L2931" s="19">
        <f t="shared" si="136"/>
        <v>100</v>
      </c>
      <c r="M2931" s="18" t="str">
        <f>IF(I2931&lt;&gt;"Sí","",IF(YEAR(F2931)&lt;&gt;2026,"",INDEX({"Enero","Febrero","Marzo","Abril","Mayo","Junio","Julio","Agosto","Septiembre","Octubre","Noviembre","Diciembre"},MONTH(F2931))))</f>
        <v>Septiembre</v>
      </c>
      <c r="N2931" s="18" t="str">
        <f t="shared" si="137"/>
        <v>Septiembre|100</v>
      </c>
    </row>
    <row r="2932" spans="1:14" ht="14.5" x14ac:dyDescent="0.25">
      <c r="A2932" s="19">
        <v>35</v>
      </c>
      <c r="B2932" s="18" t="s">
        <v>42</v>
      </c>
      <c r="C2932" s="18" t="s">
        <v>97</v>
      </c>
      <c r="D2932" s="18" t="s">
        <v>3412</v>
      </c>
      <c r="E2932" s="18" t="s">
        <v>3484</v>
      </c>
      <c r="F2932" s="101">
        <v>46289.856249999997</v>
      </c>
      <c r="G2932" s="101">
        <v>46292.172222222223</v>
      </c>
      <c r="H2932" s="18" t="s">
        <v>507</v>
      </c>
      <c r="I2932" s="18" t="s">
        <v>508</v>
      </c>
      <c r="J2932" s="18"/>
      <c r="K2932" s="21">
        <f t="shared" si="135"/>
        <v>55.583333333430346</v>
      </c>
      <c r="L2932" s="19">
        <f t="shared" si="136"/>
        <v>101</v>
      </c>
      <c r="M2932" s="18" t="str">
        <f>IF(I2932&lt;&gt;"Sí","",IF(YEAR(F2932)&lt;&gt;2026,"",INDEX({"Enero","Febrero","Marzo","Abril","Mayo","Junio","Julio","Agosto","Septiembre","Octubre","Noviembre","Diciembre"},MONTH(F2932))))</f>
        <v>Septiembre</v>
      </c>
      <c r="N2932" s="18" t="str">
        <f t="shared" si="137"/>
        <v>Septiembre|101</v>
      </c>
    </row>
    <row r="2933" spans="1:14" ht="14.5" x14ac:dyDescent="0.25">
      <c r="A2933" s="19">
        <v>35</v>
      </c>
      <c r="B2933" s="18" t="s">
        <v>42</v>
      </c>
      <c r="C2933" s="18" t="s">
        <v>97</v>
      </c>
      <c r="D2933" s="18" t="s">
        <v>3412</v>
      </c>
      <c r="E2933" s="18" t="s">
        <v>3485</v>
      </c>
      <c r="F2933" s="101">
        <v>46289.85833333333</v>
      </c>
      <c r="G2933" s="101">
        <v>46292.172222222223</v>
      </c>
      <c r="H2933" s="18" t="s">
        <v>507</v>
      </c>
      <c r="I2933" s="18" t="s">
        <v>508</v>
      </c>
      <c r="J2933" s="18"/>
      <c r="K2933" s="21">
        <f t="shared" si="135"/>
        <v>55.533333333441988</v>
      </c>
      <c r="L2933" s="19">
        <f t="shared" si="136"/>
        <v>102</v>
      </c>
      <c r="M2933" s="18" t="str">
        <f>IF(I2933&lt;&gt;"Sí","",IF(YEAR(F2933)&lt;&gt;2026,"",INDEX({"Enero","Febrero","Marzo","Abril","Mayo","Junio","Julio","Agosto","Septiembre","Octubre","Noviembre","Diciembre"},MONTH(F2933))))</f>
        <v>Septiembre</v>
      </c>
      <c r="N2933" s="18" t="str">
        <f t="shared" si="137"/>
        <v>Septiembre|102</v>
      </c>
    </row>
    <row r="2934" spans="1:14" ht="14.5" x14ac:dyDescent="0.25">
      <c r="A2934" s="19">
        <v>35</v>
      </c>
      <c r="B2934" s="18" t="s">
        <v>42</v>
      </c>
      <c r="C2934" s="18" t="s">
        <v>97</v>
      </c>
      <c r="D2934" s="18" t="s">
        <v>3412</v>
      </c>
      <c r="E2934" s="18" t="s">
        <v>3486</v>
      </c>
      <c r="F2934" s="101">
        <v>46289.861111111109</v>
      </c>
      <c r="G2934" s="101">
        <v>46292.172222222223</v>
      </c>
      <c r="H2934" s="18" t="s">
        <v>507</v>
      </c>
      <c r="I2934" s="18" t="s">
        <v>508</v>
      </c>
      <c r="J2934" s="18"/>
      <c r="K2934" s="21">
        <f t="shared" si="135"/>
        <v>55.466666666732635</v>
      </c>
      <c r="L2934" s="19">
        <f t="shared" si="136"/>
        <v>103</v>
      </c>
      <c r="M2934" s="18" t="str">
        <f>IF(I2934&lt;&gt;"Sí","",IF(YEAR(F2934)&lt;&gt;2026,"",INDEX({"Enero","Febrero","Marzo","Abril","Mayo","Junio","Julio","Agosto","Septiembre","Octubre","Noviembre","Diciembre"},MONTH(F2934))))</f>
        <v>Septiembre</v>
      </c>
      <c r="N2934" s="18" t="str">
        <f t="shared" si="137"/>
        <v>Septiembre|103</v>
      </c>
    </row>
    <row r="2935" spans="1:14" ht="14.5" x14ac:dyDescent="0.25">
      <c r="A2935" s="19">
        <v>35</v>
      </c>
      <c r="B2935" s="18" t="s">
        <v>42</v>
      </c>
      <c r="C2935" s="18" t="s">
        <v>97</v>
      </c>
      <c r="D2935" s="18" t="s">
        <v>3412</v>
      </c>
      <c r="E2935" s="18" t="s">
        <v>3487</v>
      </c>
      <c r="F2935" s="101">
        <v>46289.863888888889</v>
      </c>
      <c r="G2935" s="101">
        <v>46292.104166666664</v>
      </c>
      <c r="H2935" s="18" t="s">
        <v>507</v>
      </c>
      <c r="I2935" s="18" t="s">
        <v>508</v>
      </c>
      <c r="J2935" s="18"/>
      <c r="K2935" s="21">
        <f t="shared" si="135"/>
        <v>53.766666666604578</v>
      </c>
      <c r="L2935" s="19">
        <f t="shared" si="136"/>
        <v>104</v>
      </c>
      <c r="M2935" s="18" t="str">
        <f>IF(I2935&lt;&gt;"Sí","",IF(YEAR(F2935)&lt;&gt;2026,"",INDEX({"Enero","Febrero","Marzo","Abril","Mayo","Junio","Julio","Agosto","Septiembre","Octubre","Noviembre","Diciembre"},MONTH(F2935))))</f>
        <v>Septiembre</v>
      </c>
      <c r="N2935" s="18" t="str">
        <f t="shared" si="137"/>
        <v>Septiembre|104</v>
      </c>
    </row>
    <row r="2936" spans="1:14" ht="14.5" x14ac:dyDescent="0.25">
      <c r="A2936" s="19">
        <v>35</v>
      </c>
      <c r="B2936" s="18" t="s">
        <v>42</v>
      </c>
      <c r="C2936" s="18" t="s">
        <v>97</v>
      </c>
      <c r="D2936" s="18" t="s">
        <v>3412</v>
      </c>
      <c r="E2936" s="18" t="s">
        <v>3488</v>
      </c>
      <c r="F2936" s="101">
        <v>46289.866666666669</v>
      </c>
      <c r="G2936" s="101">
        <v>46292.104166666664</v>
      </c>
      <c r="H2936" s="18" t="s">
        <v>507</v>
      </c>
      <c r="I2936" s="18" t="s">
        <v>508</v>
      </c>
      <c r="J2936" s="18"/>
      <c r="K2936" s="21">
        <f t="shared" si="135"/>
        <v>53.699999999895226</v>
      </c>
      <c r="L2936" s="19">
        <f t="shared" si="136"/>
        <v>105</v>
      </c>
      <c r="M2936" s="18" t="str">
        <f>IF(I2936&lt;&gt;"Sí","",IF(YEAR(F2936)&lt;&gt;2026,"",INDEX({"Enero","Febrero","Marzo","Abril","Mayo","Junio","Julio","Agosto","Septiembre","Octubre","Noviembre","Diciembre"},MONTH(F2936))))</f>
        <v>Septiembre</v>
      </c>
      <c r="N2936" s="18" t="str">
        <f t="shared" si="137"/>
        <v>Septiembre|105</v>
      </c>
    </row>
    <row r="2937" spans="1:14" ht="14.5" x14ac:dyDescent="0.25">
      <c r="A2937" s="19">
        <v>35</v>
      </c>
      <c r="B2937" s="18" t="s">
        <v>42</v>
      </c>
      <c r="C2937" s="18" t="s">
        <v>97</v>
      </c>
      <c r="D2937" s="18" t="s">
        <v>3412</v>
      </c>
      <c r="E2937" s="18" t="s">
        <v>3489</v>
      </c>
      <c r="F2937" s="101">
        <v>46289.868055555555</v>
      </c>
      <c r="G2937" s="101">
        <v>46292.104166666664</v>
      </c>
      <c r="H2937" s="18" t="s">
        <v>507</v>
      </c>
      <c r="I2937" s="18" t="s">
        <v>508</v>
      </c>
      <c r="J2937" s="18"/>
      <c r="K2937" s="21">
        <f t="shared" si="135"/>
        <v>53.666666666627862</v>
      </c>
      <c r="L2937" s="19">
        <f t="shared" si="136"/>
        <v>106</v>
      </c>
      <c r="M2937" s="18" t="str">
        <f>IF(I2937&lt;&gt;"Sí","",IF(YEAR(F2937)&lt;&gt;2026,"",INDEX({"Enero","Febrero","Marzo","Abril","Mayo","Junio","Julio","Agosto","Septiembre","Octubre","Noviembre","Diciembre"},MONTH(F2937))))</f>
        <v>Septiembre</v>
      </c>
      <c r="N2937" s="18" t="str">
        <f t="shared" si="137"/>
        <v>Septiembre|106</v>
      </c>
    </row>
    <row r="2938" spans="1:14" ht="14.5" x14ac:dyDescent="0.25">
      <c r="A2938" s="19">
        <v>35</v>
      </c>
      <c r="B2938" s="18" t="s">
        <v>42</v>
      </c>
      <c r="C2938" s="18" t="s">
        <v>97</v>
      </c>
      <c r="D2938" s="18" t="s">
        <v>3412</v>
      </c>
      <c r="E2938" s="18" t="s">
        <v>3490</v>
      </c>
      <c r="F2938" s="101">
        <v>46289.869444444441</v>
      </c>
      <c r="G2938" s="101">
        <v>46292.122916666667</v>
      </c>
      <c r="H2938" s="18" t="s">
        <v>507</v>
      </c>
      <c r="I2938" s="18" t="s">
        <v>508</v>
      </c>
      <c r="J2938" s="18"/>
      <c r="K2938" s="21">
        <f t="shared" si="135"/>
        <v>54.083333333430346</v>
      </c>
      <c r="L2938" s="19">
        <f t="shared" si="136"/>
        <v>107</v>
      </c>
      <c r="M2938" s="18" t="str">
        <f>IF(I2938&lt;&gt;"Sí","",IF(YEAR(F2938)&lt;&gt;2026,"",INDEX({"Enero","Febrero","Marzo","Abril","Mayo","Junio","Julio","Agosto","Septiembre","Octubre","Noviembre","Diciembre"},MONTH(F2938))))</f>
        <v>Septiembre</v>
      </c>
      <c r="N2938" s="18" t="str">
        <f t="shared" si="137"/>
        <v>Septiembre|107</v>
      </c>
    </row>
    <row r="2939" spans="1:14" ht="14.5" x14ac:dyDescent="0.25">
      <c r="A2939" s="19">
        <v>35</v>
      </c>
      <c r="B2939" s="18" t="s">
        <v>42</v>
      </c>
      <c r="C2939" s="18" t="s">
        <v>97</v>
      </c>
      <c r="D2939" s="18" t="s">
        <v>3412</v>
      </c>
      <c r="E2939" s="18" t="s">
        <v>3491</v>
      </c>
      <c r="F2939" s="101">
        <v>46289.870833333334</v>
      </c>
      <c r="G2939" s="101">
        <v>46292.122916666667</v>
      </c>
      <c r="H2939" s="18" t="s">
        <v>507</v>
      </c>
      <c r="I2939" s="18" t="s">
        <v>508</v>
      </c>
      <c r="J2939" s="18"/>
      <c r="K2939" s="21">
        <f t="shared" si="135"/>
        <v>54.049999999988358</v>
      </c>
      <c r="L2939" s="19">
        <f t="shared" si="136"/>
        <v>108</v>
      </c>
      <c r="M2939" s="18" t="str">
        <f>IF(I2939&lt;&gt;"Sí","",IF(YEAR(F2939)&lt;&gt;2026,"",INDEX({"Enero","Febrero","Marzo","Abril","Mayo","Junio","Julio","Agosto","Septiembre","Octubre","Noviembre","Diciembre"},MONTH(F2939))))</f>
        <v>Septiembre</v>
      </c>
      <c r="N2939" s="18" t="str">
        <f t="shared" si="137"/>
        <v>Septiembre|108</v>
      </c>
    </row>
    <row r="2940" spans="1:14" ht="14.5" x14ac:dyDescent="0.25">
      <c r="A2940" s="19">
        <v>35</v>
      </c>
      <c r="B2940" s="18" t="s">
        <v>42</v>
      </c>
      <c r="C2940" s="18" t="s">
        <v>97</v>
      </c>
      <c r="D2940" s="18" t="s">
        <v>3412</v>
      </c>
      <c r="E2940" s="18" t="s">
        <v>3492</v>
      </c>
      <c r="F2940" s="101">
        <v>46289.876388888886</v>
      </c>
      <c r="G2940" s="101">
        <v>46292.122916666667</v>
      </c>
      <c r="H2940" s="18" t="s">
        <v>507</v>
      </c>
      <c r="I2940" s="18" t="s">
        <v>508</v>
      </c>
      <c r="J2940" s="18"/>
      <c r="K2940" s="21">
        <f t="shared" si="135"/>
        <v>53.916666666744277</v>
      </c>
      <c r="L2940" s="19">
        <f t="shared" si="136"/>
        <v>109</v>
      </c>
      <c r="M2940" s="18" t="str">
        <f>IF(I2940&lt;&gt;"Sí","",IF(YEAR(F2940)&lt;&gt;2026,"",INDEX({"Enero","Febrero","Marzo","Abril","Mayo","Junio","Julio","Agosto","Septiembre","Octubre","Noviembre","Diciembre"},MONTH(F2940))))</f>
        <v>Septiembre</v>
      </c>
      <c r="N2940" s="18" t="str">
        <f t="shared" si="137"/>
        <v>Septiembre|109</v>
      </c>
    </row>
    <row r="2941" spans="1:14" ht="14.5" x14ac:dyDescent="0.25">
      <c r="A2941" s="19">
        <v>35</v>
      </c>
      <c r="B2941" s="18" t="s">
        <v>42</v>
      </c>
      <c r="C2941" s="18" t="s">
        <v>97</v>
      </c>
      <c r="D2941" s="18" t="s">
        <v>3412</v>
      </c>
      <c r="E2941" s="18" t="s">
        <v>2669</v>
      </c>
      <c r="F2941" s="101">
        <v>46289.878472222219</v>
      </c>
      <c r="G2941" s="101">
        <v>46292.122916666667</v>
      </c>
      <c r="H2941" s="18" t="s">
        <v>507</v>
      </c>
      <c r="I2941" s="18" t="s">
        <v>508</v>
      </c>
      <c r="J2941" s="18"/>
      <c r="K2941" s="21">
        <f t="shared" si="135"/>
        <v>53.866666666755918</v>
      </c>
      <c r="L2941" s="19">
        <f t="shared" si="136"/>
        <v>110</v>
      </c>
      <c r="M2941" s="18" t="str">
        <f>IF(I2941&lt;&gt;"Sí","",IF(YEAR(F2941)&lt;&gt;2026,"",INDEX({"Enero","Febrero","Marzo","Abril","Mayo","Junio","Julio","Agosto","Septiembre","Octubre","Noviembre","Diciembre"},MONTH(F2941))))</f>
        <v>Septiembre</v>
      </c>
      <c r="N2941" s="18" t="str">
        <f t="shared" si="137"/>
        <v>Septiembre|110</v>
      </c>
    </row>
    <row r="2942" spans="1:14" ht="14.5" x14ac:dyDescent="0.25">
      <c r="A2942" s="19">
        <v>35</v>
      </c>
      <c r="B2942" s="18" t="s">
        <v>42</v>
      </c>
      <c r="C2942" s="18" t="s">
        <v>97</v>
      </c>
      <c r="D2942" s="18" t="s">
        <v>3412</v>
      </c>
      <c r="E2942" s="18" t="s">
        <v>3493</v>
      </c>
      <c r="F2942" s="101">
        <v>46289.880555555559</v>
      </c>
      <c r="G2942" s="101">
        <v>46292.104166666664</v>
      </c>
      <c r="H2942" s="18" t="s">
        <v>507</v>
      </c>
      <c r="I2942" s="18" t="s">
        <v>508</v>
      </c>
      <c r="J2942" s="18"/>
      <c r="K2942" s="21">
        <f t="shared" si="135"/>
        <v>53.366666666523088</v>
      </c>
      <c r="L2942" s="19">
        <f t="shared" si="136"/>
        <v>111</v>
      </c>
      <c r="M2942" s="18" t="str">
        <f>IF(I2942&lt;&gt;"Sí","",IF(YEAR(F2942)&lt;&gt;2026,"",INDEX({"Enero","Febrero","Marzo","Abril","Mayo","Junio","Julio","Agosto","Septiembre","Octubre","Noviembre","Diciembre"},MONTH(F2942))))</f>
        <v>Septiembre</v>
      </c>
      <c r="N2942" s="18" t="str">
        <f t="shared" si="137"/>
        <v>Septiembre|111</v>
      </c>
    </row>
    <row r="2943" spans="1:14" ht="14.5" x14ac:dyDescent="0.25">
      <c r="A2943" s="19">
        <v>35</v>
      </c>
      <c r="B2943" s="18" t="s">
        <v>42</v>
      </c>
      <c r="C2943" s="18" t="s">
        <v>97</v>
      </c>
      <c r="D2943" s="18" t="s">
        <v>3412</v>
      </c>
      <c r="E2943" s="18" t="s">
        <v>3494</v>
      </c>
      <c r="F2943" s="101">
        <v>46289.881249999999</v>
      </c>
      <c r="G2943" s="101">
        <v>46292.122916666667</v>
      </c>
      <c r="H2943" s="18" t="s">
        <v>507</v>
      </c>
      <c r="I2943" s="18" t="s">
        <v>508</v>
      </c>
      <c r="J2943" s="18"/>
      <c r="K2943" s="21">
        <f t="shared" si="135"/>
        <v>53.800000000046566</v>
      </c>
      <c r="L2943" s="19">
        <f t="shared" si="136"/>
        <v>112</v>
      </c>
      <c r="M2943" s="18" t="str">
        <f>IF(I2943&lt;&gt;"Sí","",IF(YEAR(F2943)&lt;&gt;2026,"",INDEX({"Enero","Febrero","Marzo","Abril","Mayo","Junio","Julio","Agosto","Septiembre","Octubre","Noviembre","Diciembre"},MONTH(F2943))))</f>
        <v>Septiembre</v>
      </c>
      <c r="N2943" s="18" t="str">
        <f t="shared" si="137"/>
        <v>Septiembre|112</v>
      </c>
    </row>
    <row r="2944" spans="1:14" ht="14.5" x14ac:dyDescent="0.25">
      <c r="A2944" s="19">
        <v>35</v>
      </c>
      <c r="B2944" s="18" t="s">
        <v>42</v>
      </c>
      <c r="C2944" s="18" t="s">
        <v>97</v>
      </c>
      <c r="D2944" s="18" t="s">
        <v>3412</v>
      </c>
      <c r="E2944" s="18" t="s">
        <v>3495</v>
      </c>
      <c r="F2944" s="101">
        <v>46289.882638888892</v>
      </c>
      <c r="G2944" s="101">
        <v>46292.122916666667</v>
      </c>
      <c r="H2944" s="18" t="s">
        <v>507</v>
      </c>
      <c r="I2944" s="18" t="s">
        <v>508</v>
      </c>
      <c r="J2944" s="18"/>
      <c r="K2944" s="21">
        <f t="shared" si="135"/>
        <v>53.766666666604578</v>
      </c>
      <c r="L2944" s="19">
        <f t="shared" si="136"/>
        <v>113</v>
      </c>
      <c r="M2944" s="18" t="str">
        <f>IF(I2944&lt;&gt;"Sí","",IF(YEAR(F2944)&lt;&gt;2026,"",INDEX({"Enero","Febrero","Marzo","Abril","Mayo","Junio","Julio","Agosto","Septiembre","Octubre","Noviembre","Diciembre"},MONTH(F2944))))</f>
        <v>Septiembre</v>
      </c>
      <c r="N2944" s="18" t="str">
        <f t="shared" si="137"/>
        <v>Septiembre|113</v>
      </c>
    </row>
    <row r="2945" spans="1:14" ht="14.5" x14ac:dyDescent="0.25">
      <c r="A2945" s="19">
        <v>35</v>
      </c>
      <c r="B2945" s="18" t="s">
        <v>42</v>
      </c>
      <c r="C2945" s="18" t="s">
        <v>97</v>
      </c>
      <c r="D2945" s="18" t="s">
        <v>3412</v>
      </c>
      <c r="E2945" s="18" t="s">
        <v>3496</v>
      </c>
      <c r="F2945" s="101">
        <v>46289.884722222225</v>
      </c>
      <c r="G2945" s="101">
        <v>46292.104166666664</v>
      </c>
      <c r="H2945" s="18" t="s">
        <v>507</v>
      </c>
      <c r="I2945" s="18" t="s">
        <v>508</v>
      </c>
      <c r="J2945" s="18"/>
      <c r="K2945" s="21">
        <f t="shared" si="135"/>
        <v>53.266666666546371</v>
      </c>
      <c r="L2945" s="19">
        <f t="shared" si="136"/>
        <v>114</v>
      </c>
      <c r="M2945" s="18" t="str">
        <f>IF(I2945&lt;&gt;"Sí","",IF(YEAR(F2945)&lt;&gt;2026,"",INDEX({"Enero","Febrero","Marzo","Abril","Mayo","Junio","Julio","Agosto","Septiembre","Octubre","Noviembre","Diciembre"},MONTH(F2945))))</f>
        <v>Septiembre</v>
      </c>
      <c r="N2945" s="18" t="str">
        <f t="shared" si="137"/>
        <v>Septiembre|114</v>
      </c>
    </row>
    <row r="2946" spans="1:14" ht="14.5" x14ac:dyDescent="0.25">
      <c r="A2946" s="19">
        <v>35</v>
      </c>
      <c r="B2946" s="18" t="s">
        <v>42</v>
      </c>
      <c r="C2946" s="18" t="s">
        <v>97</v>
      </c>
      <c r="D2946" s="18" t="s">
        <v>3412</v>
      </c>
      <c r="E2946" s="18" t="s">
        <v>3497</v>
      </c>
      <c r="F2946" s="101">
        <v>46290.009722222225</v>
      </c>
      <c r="G2946" s="101">
        <v>46292.6875</v>
      </c>
      <c r="H2946" s="18" t="s">
        <v>507</v>
      </c>
      <c r="I2946" s="18" t="s">
        <v>508</v>
      </c>
      <c r="J2946" s="18"/>
      <c r="K2946" s="21">
        <f t="shared" si="135"/>
        <v>64.266666666604578</v>
      </c>
      <c r="L2946" s="19">
        <f t="shared" si="136"/>
        <v>115</v>
      </c>
      <c r="M2946" s="18" t="str">
        <f>IF(I2946&lt;&gt;"Sí","",IF(YEAR(F2946)&lt;&gt;2026,"",INDEX({"Enero","Febrero","Marzo","Abril","Mayo","Junio","Julio","Agosto","Septiembre","Octubre","Noviembre","Diciembre"},MONTH(F2946))))</f>
        <v>Septiembre</v>
      </c>
      <c r="N2946" s="18" t="str">
        <f t="shared" si="137"/>
        <v>Septiembre|115</v>
      </c>
    </row>
    <row r="2947" spans="1:14" ht="14.5" x14ac:dyDescent="0.25">
      <c r="A2947" s="19">
        <v>35</v>
      </c>
      <c r="B2947" s="18" t="s">
        <v>42</v>
      </c>
      <c r="C2947" s="18" t="s">
        <v>97</v>
      </c>
      <c r="D2947" s="18" t="s">
        <v>3412</v>
      </c>
      <c r="E2947" s="18" t="s">
        <v>3498</v>
      </c>
      <c r="F2947" s="101">
        <v>46290.010416666664</v>
      </c>
      <c r="G2947" s="101">
        <v>46292.697916666664</v>
      </c>
      <c r="H2947" s="18" t="s">
        <v>507</v>
      </c>
      <c r="I2947" s="18" t="s">
        <v>508</v>
      </c>
      <c r="J2947" s="18"/>
      <c r="K2947" s="21">
        <f t="shared" si="135"/>
        <v>64.5</v>
      </c>
      <c r="L2947" s="19">
        <f t="shared" si="136"/>
        <v>116</v>
      </c>
      <c r="M2947" s="18" t="str">
        <f>IF(I2947&lt;&gt;"Sí","",IF(YEAR(F2947)&lt;&gt;2026,"",INDEX({"Enero","Febrero","Marzo","Abril","Mayo","Junio","Julio","Agosto","Septiembre","Octubre","Noviembre","Diciembre"},MONTH(F2947))))</f>
        <v>Septiembre</v>
      </c>
      <c r="N2947" s="18" t="str">
        <f t="shared" si="137"/>
        <v>Septiembre|116</v>
      </c>
    </row>
    <row r="2948" spans="1:14" ht="14.5" x14ac:dyDescent="0.25">
      <c r="A2948" s="19">
        <v>35</v>
      </c>
      <c r="B2948" s="18" t="s">
        <v>42</v>
      </c>
      <c r="C2948" s="18" t="s">
        <v>97</v>
      </c>
      <c r="D2948" s="18" t="s">
        <v>3412</v>
      </c>
      <c r="E2948" s="18" t="s">
        <v>3499</v>
      </c>
      <c r="F2948" s="101">
        <v>46290.011805555558</v>
      </c>
      <c r="G2948" s="101">
        <v>46292.6875</v>
      </c>
      <c r="H2948" s="18" t="s">
        <v>507</v>
      </c>
      <c r="I2948" s="18" t="s">
        <v>508</v>
      </c>
      <c r="J2948" s="18"/>
      <c r="K2948" s="21">
        <f t="shared" si="135"/>
        <v>64.21666666661622</v>
      </c>
      <c r="L2948" s="19">
        <f t="shared" si="136"/>
        <v>117</v>
      </c>
      <c r="M2948" s="18" t="str">
        <f>IF(I2948&lt;&gt;"Sí","",IF(YEAR(F2948)&lt;&gt;2026,"",INDEX({"Enero","Febrero","Marzo","Abril","Mayo","Junio","Julio","Agosto","Septiembre","Octubre","Noviembre","Diciembre"},MONTH(F2948))))</f>
        <v>Septiembre</v>
      </c>
      <c r="N2948" s="18" t="str">
        <f t="shared" si="137"/>
        <v>Septiembre|117</v>
      </c>
    </row>
    <row r="2949" spans="1:14" ht="14.5" x14ac:dyDescent="0.25">
      <c r="A2949" s="19">
        <v>35</v>
      </c>
      <c r="B2949" s="18" t="s">
        <v>42</v>
      </c>
      <c r="C2949" s="18" t="s">
        <v>97</v>
      </c>
      <c r="D2949" s="18" t="s">
        <v>3412</v>
      </c>
      <c r="E2949" s="18" t="s">
        <v>3500</v>
      </c>
      <c r="F2949" s="101">
        <v>46290.013194444444</v>
      </c>
      <c r="G2949" s="101">
        <v>46292.772916666669</v>
      </c>
      <c r="H2949" s="18" t="s">
        <v>507</v>
      </c>
      <c r="I2949" s="18" t="s">
        <v>508</v>
      </c>
      <c r="J2949" s="18"/>
      <c r="K2949" s="21">
        <f t="shared" si="135"/>
        <v>66.233333333395422</v>
      </c>
      <c r="L2949" s="19">
        <f t="shared" si="136"/>
        <v>118</v>
      </c>
      <c r="M2949" s="18" t="str">
        <f>IF(I2949&lt;&gt;"Sí","",IF(YEAR(F2949)&lt;&gt;2026,"",INDEX({"Enero","Febrero","Marzo","Abril","Mayo","Junio","Julio","Agosto","Septiembre","Octubre","Noviembre","Diciembre"},MONTH(F2949))))</f>
        <v>Septiembre</v>
      </c>
      <c r="N2949" s="18" t="str">
        <f t="shared" si="137"/>
        <v>Septiembre|118</v>
      </c>
    </row>
    <row r="2950" spans="1:14" ht="14.5" x14ac:dyDescent="0.25">
      <c r="A2950" s="19">
        <v>35</v>
      </c>
      <c r="B2950" s="18" t="s">
        <v>42</v>
      </c>
      <c r="C2950" s="18" t="s">
        <v>97</v>
      </c>
      <c r="D2950" s="18" t="s">
        <v>3412</v>
      </c>
      <c r="E2950" s="18" t="s">
        <v>3501</v>
      </c>
      <c r="F2950" s="101">
        <v>46290.01458333333</v>
      </c>
      <c r="G2950" s="101">
        <v>46292.6875</v>
      </c>
      <c r="H2950" s="18" t="s">
        <v>507</v>
      </c>
      <c r="I2950" s="18" t="s">
        <v>508</v>
      </c>
      <c r="J2950" s="18"/>
      <c r="K2950" s="21">
        <f t="shared" si="135"/>
        <v>64.150000000081491</v>
      </c>
      <c r="L2950" s="19">
        <f t="shared" si="136"/>
        <v>119</v>
      </c>
      <c r="M2950" s="18" t="str">
        <f>IF(I2950&lt;&gt;"Sí","",IF(YEAR(F2950)&lt;&gt;2026,"",INDEX({"Enero","Febrero","Marzo","Abril","Mayo","Junio","Julio","Agosto","Septiembre","Octubre","Noviembre","Diciembre"},MONTH(F2950))))</f>
        <v>Septiembre</v>
      </c>
      <c r="N2950" s="18" t="str">
        <f t="shared" si="137"/>
        <v>Septiembre|119</v>
      </c>
    </row>
    <row r="2951" spans="1:14" ht="14.5" x14ac:dyDescent="0.25">
      <c r="A2951" s="19">
        <v>35</v>
      </c>
      <c r="B2951" s="18" t="s">
        <v>42</v>
      </c>
      <c r="C2951" s="18" t="s">
        <v>97</v>
      </c>
      <c r="D2951" s="18" t="s">
        <v>3412</v>
      </c>
      <c r="E2951" s="18" t="s">
        <v>3502</v>
      </c>
      <c r="F2951" s="101">
        <v>46290.015277777777</v>
      </c>
      <c r="G2951" s="101">
        <v>46292.6875</v>
      </c>
      <c r="H2951" s="18" t="s">
        <v>507</v>
      </c>
      <c r="I2951" s="18" t="s">
        <v>508</v>
      </c>
      <c r="J2951" s="18"/>
      <c r="K2951" s="21">
        <f t="shared" ref="K2951:K3014" si="138">IF(I2951="Sí",(G2951-F2951)*24,"")</f>
        <v>64.133333333360497</v>
      </c>
      <c r="L2951" s="19">
        <f t="shared" ref="L2951:L3014" si="139">IF(I2951="Sí",COUNTIFS($F$7:$F$4000,"&lt;="&amp;F2951,$G$7:$G$4000,"&gt;"&amp;F2951,$I$7:$I$4000,"Sí"),"")</f>
        <v>120</v>
      </c>
      <c r="M2951" s="18" t="str">
        <f>IF(I2951&lt;&gt;"Sí","",IF(YEAR(F2951)&lt;&gt;2026,"",INDEX({"Enero","Febrero","Marzo","Abril","Mayo","Junio","Julio","Agosto","Septiembre","Octubre","Noviembre","Diciembre"},MONTH(F2951))))</f>
        <v>Septiembre</v>
      </c>
      <c r="N2951" s="18" t="str">
        <f t="shared" ref="N2951:N3014" si="140">IF(M2951="","",M2951&amp;"|"&amp;L2951)</f>
        <v>Septiembre|120</v>
      </c>
    </row>
    <row r="2952" spans="1:14" ht="14.5" x14ac:dyDescent="0.25">
      <c r="A2952" s="19">
        <v>35</v>
      </c>
      <c r="B2952" s="18" t="s">
        <v>42</v>
      </c>
      <c r="C2952" s="18" t="s">
        <v>97</v>
      </c>
      <c r="D2952" s="18" t="s">
        <v>3412</v>
      </c>
      <c r="E2952" s="18" t="s">
        <v>3503</v>
      </c>
      <c r="F2952" s="101">
        <v>46290.015972222223</v>
      </c>
      <c r="G2952" s="101">
        <v>46292.621527777781</v>
      </c>
      <c r="H2952" s="18" t="s">
        <v>507</v>
      </c>
      <c r="I2952" s="18" t="s">
        <v>508</v>
      </c>
      <c r="J2952" s="18"/>
      <c r="K2952" s="21">
        <f t="shared" si="138"/>
        <v>62.53333333338378</v>
      </c>
      <c r="L2952" s="19">
        <f t="shared" si="139"/>
        <v>121</v>
      </c>
      <c r="M2952" s="18" t="str">
        <f>IF(I2952&lt;&gt;"Sí","",IF(YEAR(F2952)&lt;&gt;2026,"",INDEX({"Enero","Febrero","Marzo","Abril","Mayo","Junio","Julio","Agosto","Septiembre","Octubre","Noviembre","Diciembre"},MONTH(F2952))))</f>
        <v>Septiembre</v>
      </c>
      <c r="N2952" s="18" t="str">
        <f t="shared" si="140"/>
        <v>Septiembre|121</v>
      </c>
    </row>
    <row r="2953" spans="1:14" ht="14.5" x14ac:dyDescent="0.25">
      <c r="A2953" s="19">
        <v>35</v>
      </c>
      <c r="B2953" s="18" t="s">
        <v>42</v>
      </c>
      <c r="C2953" s="18" t="s">
        <v>97</v>
      </c>
      <c r="D2953" s="18" t="s">
        <v>3412</v>
      </c>
      <c r="E2953" s="18" t="s">
        <v>2965</v>
      </c>
      <c r="F2953" s="101">
        <v>46290.020833333336</v>
      </c>
      <c r="G2953" s="101">
        <v>46292.621527777781</v>
      </c>
      <c r="H2953" s="18" t="s">
        <v>507</v>
      </c>
      <c r="I2953" s="18" t="s">
        <v>508</v>
      </c>
      <c r="J2953" s="18"/>
      <c r="K2953" s="21">
        <f t="shared" si="138"/>
        <v>62.416666666686069</v>
      </c>
      <c r="L2953" s="19">
        <f t="shared" si="139"/>
        <v>122</v>
      </c>
      <c r="M2953" s="18" t="str">
        <f>IF(I2953&lt;&gt;"Sí","",IF(YEAR(F2953)&lt;&gt;2026,"",INDEX({"Enero","Febrero","Marzo","Abril","Mayo","Junio","Julio","Agosto","Septiembre","Octubre","Noviembre","Diciembre"},MONTH(F2953))))</f>
        <v>Septiembre</v>
      </c>
      <c r="N2953" s="18" t="str">
        <f t="shared" si="140"/>
        <v>Septiembre|122</v>
      </c>
    </row>
    <row r="2954" spans="1:14" ht="14.5" x14ac:dyDescent="0.25">
      <c r="A2954" s="19">
        <v>35</v>
      </c>
      <c r="B2954" s="18" t="s">
        <v>42</v>
      </c>
      <c r="C2954" s="18" t="s">
        <v>97</v>
      </c>
      <c r="D2954" s="18" t="s">
        <v>3412</v>
      </c>
      <c r="E2954" s="18" t="s">
        <v>3504</v>
      </c>
      <c r="F2954" s="101">
        <v>46290.024305555555</v>
      </c>
      <c r="G2954" s="101">
        <v>46292.613888888889</v>
      </c>
      <c r="H2954" s="18" t="s">
        <v>507</v>
      </c>
      <c r="I2954" s="18" t="s">
        <v>508</v>
      </c>
      <c r="J2954" s="18"/>
      <c r="K2954" s="21">
        <f t="shared" si="138"/>
        <v>62.150000000023283</v>
      </c>
      <c r="L2954" s="19">
        <f t="shared" si="139"/>
        <v>123</v>
      </c>
      <c r="M2954" s="18" t="str">
        <f>IF(I2954&lt;&gt;"Sí","",IF(YEAR(F2954)&lt;&gt;2026,"",INDEX({"Enero","Febrero","Marzo","Abril","Mayo","Junio","Julio","Agosto","Septiembre","Octubre","Noviembre","Diciembre"},MONTH(F2954))))</f>
        <v>Septiembre</v>
      </c>
      <c r="N2954" s="18" t="str">
        <f t="shared" si="140"/>
        <v>Septiembre|123</v>
      </c>
    </row>
    <row r="2955" spans="1:14" ht="14.5" x14ac:dyDescent="0.25">
      <c r="A2955" s="19">
        <v>35</v>
      </c>
      <c r="B2955" s="18" t="s">
        <v>42</v>
      </c>
      <c r="C2955" s="18" t="s">
        <v>97</v>
      </c>
      <c r="D2955" s="18" t="s">
        <v>3412</v>
      </c>
      <c r="E2955" s="18" t="s">
        <v>3505</v>
      </c>
      <c r="F2955" s="101">
        <v>46290.027083333334</v>
      </c>
      <c r="G2955" s="101">
        <v>46292.789583333331</v>
      </c>
      <c r="H2955" s="18" t="s">
        <v>507</v>
      </c>
      <c r="I2955" s="18" t="s">
        <v>508</v>
      </c>
      <c r="J2955" s="18"/>
      <c r="K2955" s="21">
        <f t="shared" si="138"/>
        <v>66.299999999930151</v>
      </c>
      <c r="L2955" s="19">
        <f t="shared" si="139"/>
        <v>124</v>
      </c>
      <c r="M2955" s="18" t="str">
        <f>IF(I2955&lt;&gt;"Sí","",IF(YEAR(F2955)&lt;&gt;2026,"",INDEX({"Enero","Febrero","Marzo","Abril","Mayo","Junio","Julio","Agosto","Septiembre","Octubre","Noviembre","Diciembre"},MONTH(F2955))))</f>
        <v>Septiembre</v>
      </c>
      <c r="N2955" s="18" t="str">
        <f t="shared" si="140"/>
        <v>Septiembre|124</v>
      </c>
    </row>
    <row r="2956" spans="1:14" ht="14.5" x14ac:dyDescent="0.25">
      <c r="A2956" s="19">
        <v>35</v>
      </c>
      <c r="B2956" s="18" t="s">
        <v>42</v>
      </c>
      <c r="C2956" s="18" t="s">
        <v>97</v>
      </c>
      <c r="D2956" s="18" t="s">
        <v>3412</v>
      </c>
      <c r="E2956" s="18" t="s">
        <v>3506</v>
      </c>
      <c r="F2956" s="101">
        <v>46290.029166666667</v>
      </c>
      <c r="G2956" s="101">
        <v>46292.611805555556</v>
      </c>
      <c r="H2956" s="18" t="s">
        <v>507</v>
      </c>
      <c r="I2956" s="18" t="s">
        <v>508</v>
      </c>
      <c r="J2956" s="18"/>
      <c r="K2956" s="21">
        <f t="shared" si="138"/>
        <v>61.983333333337214</v>
      </c>
      <c r="L2956" s="19">
        <f t="shared" si="139"/>
        <v>125</v>
      </c>
      <c r="M2956" s="18" t="str">
        <f>IF(I2956&lt;&gt;"Sí","",IF(YEAR(F2956)&lt;&gt;2026,"",INDEX({"Enero","Febrero","Marzo","Abril","Mayo","Junio","Julio","Agosto","Septiembre","Octubre","Noviembre","Diciembre"},MONTH(F2956))))</f>
        <v>Septiembre</v>
      </c>
      <c r="N2956" s="18" t="str">
        <f t="shared" si="140"/>
        <v>Septiembre|125</v>
      </c>
    </row>
    <row r="2957" spans="1:14" ht="14.5" x14ac:dyDescent="0.25">
      <c r="A2957" s="19">
        <v>35</v>
      </c>
      <c r="B2957" s="18" t="s">
        <v>42</v>
      </c>
      <c r="C2957" s="18" t="s">
        <v>97</v>
      </c>
      <c r="D2957" s="18" t="s">
        <v>3412</v>
      </c>
      <c r="E2957" s="18" t="s">
        <v>3507</v>
      </c>
      <c r="F2957" s="101">
        <v>46290.030555555553</v>
      </c>
      <c r="G2957" s="101">
        <v>46292.504166666666</v>
      </c>
      <c r="H2957" s="18" t="s">
        <v>507</v>
      </c>
      <c r="I2957" s="18" t="s">
        <v>508</v>
      </c>
      <c r="J2957" s="18"/>
      <c r="K2957" s="21">
        <f t="shared" si="138"/>
        <v>59.366666666697711</v>
      </c>
      <c r="L2957" s="19">
        <f t="shared" si="139"/>
        <v>126</v>
      </c>
      <c r="M2957" s="18" t="str">
        <f>IF(I2957&lt;&gt;"Sí","",IF(YEAR(F2957)&lt;&gt;2026,"",INDEX({"Enero","Febrero","Marzo","Abril","Mayo","Junio","Julio","Agosto","Septiembre","Octubre","Noviembre","Diciembre"},MONTH(F2957))))</f>
        <v>Septiembre</v>
      </c>
      <c r="N2957" s="18" t="str">
        <f t="shared" si="140"/>
        <v>Septiembre|126</v>
      </c>
    </row>
    <row r="2958" spans="1:14" ht="14.5" x14ac:dyDescent="0.25">
      <c r="A2958" s="19">
        <v>35</v>
      </c>
      <c r="B2958" s="18" t="s">
        <v>42</v>
      </c>
      <c r="C2958" s="18" t="s">
        <v>97</v>
      </c>
      <c r="D2958" s="18" t="s">
        <v>3412</v>
      </c>
      <c r="E2958" s="18" t="s">
        <v>3508</v>
      </c>
      <c r="F2958" s="101">
        <v>46290.03125</v>
      </c>
      <c r="G2958" s="101">
        <v>46292.789583333331</v>
      </c>
      <c r="H2958" s="18" t="s">
        <v>507</v>
      </c>
      <c r="I2958" s="18" t="s">
        <v>508</v>
      </c>
      <c r="J2958" s="18"/>
      <c r="K2958" s="21">
        <f t="shared" si="138"/>
        <v>66.199999999953434</v>
      </c>
      <c r="L2958" s="19">
        <f t="shared" si="139"/>
        <v>127</v>
      </c>
      <c r="M2958" s="18" t="str">
        <f>IF(I2958&lt;&gt;"Sí","",IF(YEAR(F2958)&lt;&gt;2026,"",INDEX({"Enero","Febrero","Marzo","Abril","Mayo","Junio","Julio","Agosto","Septiembre","Octubre","Noviembre","Diciembre"},MONTH(F2958))))</f>
        <v>Septiembre</v>
      </c>
      <c r="N2958" s="18" t="str">
        <f t="shared" si="140"/>
        <v>Septiembre|127</v>
      </c>
    </row>
    <row r="2959" spans="1:14" ht="14.5" x14ac:dyDescent="0.25">
      <c r="A2959" s="19">
        <v>35</v>
      </c>
      <c r="B2959" s="18" t="s">
        <v>42</v>
      </c>
      <c r="C2959" s="18" t="s">
        <v>97</v>
      </c>
      <c r="D2959" s="18" t="s">
        <v>3412</v>
      </c>
      <c r="E2959" s="18" t="s">
        <v>3509</v>
      </c>
      <c r="F2959" s="101">
        <v>46290.033333333333</v>
      </c>
      <c r="G2959" s="101">
        <v>46292.789583333331</v>
      </c>
      <c r="H2959" s="18" t="s">
        <v>507</v>
      </c>
      <c r="I2959" s="18" t="s">
        <v>508</v>
      </c>
      <c r="J2959" s="18"/>
      <c r="K2959" s="21">
        <f t="shared" si="138"/>
        <v>66.149999999965075</v>
      </c>
      <c r="L2959" s="19">
        <f t="shared" si="139"/>
        <v>128</v>
      </c>
      <c r="M2959" s="18" t="str">
        <f>IF(I2959&lt;&gt;"Sí","",IF(YEAR(F2959)&lt;&gt;2026,"",INDEX({"Enero","Febrero","Marzo","Abril","Mayo","Junio","Julio","Agosto","Septiembre","Octubre","Noviembre","Diciembre"},MONTH(F2959))))</f>
        <v>Septiembre</v>
      </c>
      <c r="N2959" s="18" t="str">
        <f t="shared" si="140"/>
        <v>Septiembre|128</v>
      </c>
    </row>
    <row r="2960" spans="1:14" ht="14.5" x14ac:dyDescent="0.25">
      <c r="A2960" s="19">
        <v>35</v>
      </c>
      <c r="B2960" s="18" t="s">
        <v>42</v>
      </c>
      <c r="C2960" s="18" t="s">
        <v>97</v>
      </c>
      <c r="D2960" s="18" t="s">
        <v>3412</v>
      </c>
      <c r="E2960" s="18" t="s">
        <v>3510</v>
      </c>
      <c r="F2960" s="101">
        <v>46290.03402777778</v>
      </c>
      <c r="G2960" s="101">
        <v>46292.504166666666</v>
      </c>
      <c r="H2960" s="18" t="s">
        <v>507</v>
      </c>
      <c r="I2960" s="18" t="s">
        <v>508</v>
      </c>
      <c r="J2960" s="18"/>
      <c r="K2960" s="21">
        <f t="shared" si="138"/>
        <v>59.283333333267365</v>
      </c>
      <c r="L2960" s="19">
        <f t="shared" si="139"/>
        <v>129</v>
      </c>
      <c r="M2960" s="18" t="str">
        <f>IF(I2960&lt;&gt;"Sí","",IF(YEAR(F2960)&lt;&gt;2026,"",INDEX({"Enero","Febrero","Marzo","Abril","Mayo","Junio","Julio","Agosto","Septiembre","Octubre","Noviembre","Diciembre"},MONTH(F2960))))</f>
        <v>Septiembre</v>
      </c>
      <c r="N2960" s="18" t="str">
        <f t="shared" si="140"/>
        <v>Septiembre|129</v>
      </c>
    </row>
    <row r="2961" spans="1:14" ht="14.5" x14ac:dyDescent="0.25">
      <c r="A2961" s="19">
        <v>35</v>
      </c>
      <c r="B2961" s="18" t="s">
        <v>42</v>
      </c>
      <c r="C2961" s="18" t="s">
        <v>97</v>
      </c>
      <c r="D2961" s="18" t="s">
        <v>3412</v>
      </c>
      <c r="E2961" s="18" t="s">
        <v>3511</v>
      </c>
      <c r="F2961" s="101">
        <v>46290.038194444445</v>
      </c>
      <c r="G2961" s="101">
        <v>46292.504166666666</v>
      </c>
      <c r="H2961" s="18" t="s">
        <v>507</v>
      </c>
      <c r="I2961" s="18" t="s">
        <v>508</v>
      </c>
      <c r="J2961" s="18"/>
      <c r="K2961" s="21">
        <f t="shared" si="138"/>
        <v>59.183333333290648</v>
      </c>
      <c r="L2961" s="19">
        <f t="shared" si="139"/>
        <v>130</v>
      </c>
      <c r="M2961" s="18" t="str">
        <f>IF(I2961&lt;&gt;"Sí","",IF(YEAR(F2961)&lt;&gt;2026,"",INDEX({"Enero","Febrero","Marzo","Abril","Mayo","Junio","Julio","Agosto","Septiembre","Octubre","Noviembre","Diciembre"},MONTH(F2961))))</f>
        <v>Septiembre</v>
      </c>
      <c r="N2961" s="18" t="str">
        <f t="shared" si="140"/>
        <v>Septiembre|130</v>
      </c>
    </row>
    <row r="2962" spans="1:14" ht="14.5" x14ac:dyDescent="0.25">
      <c r="A2962" s="19">
        <v>35</v>
      </c>
      <c r="B2962" s="18" t="s">
        <v>42</v>
      </c>
      <c r="C2962" s="18" t="s">
        <v>97</v>
      </c>
      <c r="D2962" s="18" t="s">
        <v>3412</v>
      </c>
      <c r="E2962" s="18" t="s">
        <v>3512</v>
      </c>
      <c r="F2962" s="101">
        <v>46290.039583333331</v>
      </c>
      <c r="G2962" s="101">
        <v>46292.504166666666</v>
      </c>
      <c r="H2962" s="18" t="s">
        <v>507</v>
      </c>
      <c r="I2962" s="18" t="s">
        <v>508</v>
      </c>
      <c r="J2962" s="18"/>
      <c r="K2962" s="21">
        <f t="shared" si="138"/>
        <v>59.150000000023283</v>
      </c>
      <c r="L2962" s="19">
        <f t="shared" si="139"/>
        <v>131</v>
      </c>
      <c r="M2962" s="18" t="str">
        <f>IF(I2962&lt;&gt;"Sí","",IF(YEAR(F2962)&lt;&gt;2026,"",INDEX({"Enero","Febrero","Marzo","Abril","Mayo","Junio","Julio","Agosto","Septiembre","Octubre","Noviembre","Diciembre"},MONTH(F2962))))</f>
        <v>Septiembre</v>
      </c>
      <c r="N2962" s="18" t="str">
        <f t="shared" si="140"/>
        <v>Septiembre|131</v>
      </c>
    </row>
    <row r="2963" spans="1:14" ht="14.5" x14ac:dyDescent="0.25">
      <c r="A2963" s="19">
        <v>35</v>
      </c>
      <c r="B2963" s="18" t="s">
        <v>42</v>
      </c>
      <c r="C2963" s="18" t="s">
        <v>97</v>
      </c>
      <c r="D2963" s="18" t="s">
        <v>3412</v>
      </c>
      <c r="E2963" s="18" t="s">
        <v>3513</v>
      </c>
      <c r="F2963" s="101">
        <v>46290.040277777778</v>
      </c>
      <c r="G2963" s="101">
        <v>46292.504166666666</v>
      </c>
      <c r="H2963" s="18" t="s">
        <v>507</v>
      </c>
      <c r="I2963" s="18" t="s">
        <v>508</v>
      </c>
      <c r="J2963" s="18"/>
      <c r="K2963" s="21">
        <f t="shared" si="138"/>
        <v>59.133333333302289</v>
      </c>
      <c r="L2963" s="19">
        <f t="shared" si="139"/>
        <v>132</v>
      </c>
      <c r="M2963" s="18" t="str">
        <f>IF(I2963&lt;&gt;"Sí","",IF(YEAR(F2963)&lt;&gt;2026,"",INDEX({"Enero","Febrero","Marzo","Abril","Mayo","Junio","Julio","Agosto","Septiembre","Octubre","Noviembre","Diciembre"},MONTH(F2963))))</f>
        <v>Septiembre</v>
      </c>
      <c r="N2963" s="18" t="str">
        <f t="shared" si="140"/>
        <v>Septiembre|132</v>
      </c>
    </row>
    <row r="2964" spans="1:14" ht="14.5" x14ac:dyDescent="0.25">
      <c r="A2964" s="19">
        <v>35</v>
      </c>
      <c r="B2964" s="18" t="s">
        <v>42</v>
      </c>
      <c r="C2964" s="18" t="s">
        <v>97</v>
      </c>
      <c r="D2964" s="18" t="s">
        <v>3412</v>
      </c>
      <c r="E2964" s="18" t="s">
        <v>3514</v>
      </c>
      <c r="F2964" s="101">
        <v>46290.041666666664</v>
      </c>
      <c r="G2964" s="101">
        <v>46292.504166666666</v>
      </c>
      <c r="H2964" s="18" t="s">
        <v>507</v>
      </c>
      <c r="I2964" s="18" t="s">
        <v>508</v>
      </c>
      <c r="J2964" s="18"/>
      <c r="K2964" s="21">
        <f t="shared" si="138"/>
        <v>59.100000000034925</v>
      </c>
      <c r="L2964" s="19">
        <f t="shared" si="139"/>
        <v>133</v>
      </c>
      <c r="M2964" s="18" t="str">
        <f>IF(I2964&lt;&gt;"Sí","",IF(YEAR(F2964)&lt;&gt;2026,"",INDEX({"Enero","Febrero","Marzo","Abril","Mayo","Junio","Julio","Agosto","Septiembre","Octubre","Noviembre","Diciembre"},MONTH(F2964))))</f>
        <v>Septiembre</v>
      </c>
      <c r="N2964" s="18" t="str">
        <f t="shared" si="140"/>
        <v>Septiembre|133</v>
      </c>
    </row>
    <row r="2965" spans="1:14" ht="14.5" x14ac:dyDescent="0.25">
      <c r="A2965" s="19">
        <v>35</v>
      </c>
      <c r="B2965" s="18" t="s">
        <v>42</v>
      </c>
      <c r="C2965" s="18" t="s">
        <v>97</v>
      </c>
      <c r="D2965" s="18" t="s">
        <v>3412</v>
      </c>
      <c r="E2965" s="18" t="s">
        <v>3515</v>
      </c>
      <c r="F2965" s="101">
        <v>46290.042361111111</v>
      </c>
      <c r="G2965" s="101">
        <v>46292.504166666666</v>
      </c>
      <c r="H2965" s="18" t="s">
        <v>507</v>
      </c>
      <c r="I2965" s="18" t="s">
        <v>508</v>
      </c>
      <c r="J2965" s="18"/>
      <c r="K2965" s="21">
        <f t="shared" si="138"/>
        <v>59.083333333313931</v>
      </c>
      <c r="L2965" s="19">
        <f t="shared" si="139"/>
        <v>134</v>
      </c>
      <c r="M2965" s="18" t="str">
        <f>IF(I2965&lt;&gt;"Sí","",IF(YEAR(F2965)&lt;&gt;2026,"",INDEX({"Enero","Febrero","Marzo","Abril","Mayo","Junio","Julio","Agosto","Septiembre","Octubre","Noviembre","Diciembre"},MONTH(F2965))))</f>
        <v>Septiembre</v>
      </c>
      <c r="N2965" s="18" t="str">
        <f t="shared" si="140"/>
        <v>Septiembre|134</v>
      </c>
    </row>
    <row r="2966" spans="1:14" ht="14.5" x14ac:dyDescent="0.25">
      <c r="A2966" s="19">
        <v>35</v>
      </c>
      <c r="B2966" s="18" t="s">
        <v>42</v>
      </c>
      <c r="C2966" s="18" t="s">
        <v>97</v>
      </c>
      <c r="D2966" s="18" t="s">
        <v>3412</v>
      </c>
      <c r="E2966" s="18" t="s">
        <v>3516</v>
      </c>
      <c r="F2966" s="101">
        <v>46290.044444444444</v>
      </c>
      <c r="G2966" s="101">
        <v>46292.789583333331</v>
      </c>
      <c r="H2966" s="18" t="s">
        <v>507</v>
      </c>
      <c r="I2966" s="18" t="s">
        <v>508</v>
      </c>
      <c r="J2966" s="18"/>
      <c r="K2966" s="21">
        <f t="shared" si="138"/>
        <v>65.883333333302289</v>
      </c>
      <c r="L2966" s="19">
        <f t="shared" si="139"/>
        <v>135</v>
      </c>
      <c r="M2966" s="18" t="str">
        <f>IF(I2966&lt;&gt;"Sí","",IF(YEAR(F2966)&lt;&gt;2026,"",INDEX({"Enero","Febrero","Marzo","Abril","Mayo","Junio","Julio","Agosto","Septiembre","Octubre","Noviembre","Diciembre"},MONTH(F2966))))</f>
        <v>Septiembre</v>
      </c>
      <c r="N2966" s="18" t="str">
        <f t="shared" si="140"/>
        <v>Septiembre|135</v>
      </c>
    </row>
    <row r="2967" spans="1:14" ht="14.5" x14ac:dyDescent="0.25">
      <c r="A2967" s="19">
        <v>35</v>
      </c>
      <c r="B2967" s="18" t="s">
        <v>42</v>
      </c>
      <c r="C2967" s="18" t="s">
        <v>97</v>
      </c>
      <c r="D2967" s="18" t="s">
        <v>3412</v>
      </c>
      <c r="E2967" s="18" t="s">
        <v>3517</v>
      </c>
      <c r="F2967" s="101">
        <v>46290.046527777777</v>
      </c>
      <c r="G2967" s="101">
        <v>46292.772916666669</v>
      </c>
      <c r="H2967" s="18" t="s">
        <v>507</v>
      </c>
      <c r="I2967" s="18" t="s">
        <v>508</v>
      </c>
      <c r="J2967" s="18"/>
      <c r="K2967" s="21">
        <f t="shared" si="138"/>
        <v>65.433333333407063</v>
      </c>
      <c r="L2967" s="19">
        <f t="shared" si="139"/>
        <v>136</v>
      </c>
      <c r="M2967" s="18" t="str">
        <f>IF(I2967&lt;&gt;"Sí","",IF(YEAR(F2967)&lt;&gt;2026,"",INDEX({"Enero","Febrero","Marzo","Abril","Mayo","Junio","Julio","Agosto","Septiembre","Octubre","Noviembre","Diciembre"},MONTH(F2967))))</f>
        <v>Septiembre</v>
      </c>
      <c r="N2967" s="18" t="str">
        <f t="shared" si="140"/>
        <v>Septiembre|136</v>
      </c>
    </row>
    <row r="2968" spans="1:14" ht="14.5" x14ac:dyDescent="0.25">
      <c r="A2968" s="19">
        <v>35</v>
      </c>
      <c r="B2968" s="18" t="s">
        <v>42</v>
      </c>
      <c r="C2968" s="18" t="s">
        <v>97</v>
      </c>
      <c r="D2968" s="18" t="s">
        <v>3412</v>
      </c>
      <c r="E2968" s="18" t="s">
        <v>3518</v>
      </c>
      <c r="F2968" s="101">
        <v>46290.05</v>
      </c>
      <c r="G2968" s="101">
        <v>46292.782638888886</v>
      </c>
      <c r="H2968" s="18" t="s">
        <v>507</v>
      </c>
      <c r="I2968" s="18" t="s">
        <v>508</v>
      </c>
      <c r="J2968" s="18"/>
      <c r="K2968" s="21">
        <f t="shared" si="138"/>
        <v>65.583333333197515</v>
      </c>
      <c r="L2968" s="19">
        <f t="shared" si="139"/>
        <v>137</v>
      </c>
      <c r="M2968" s="18" t="str">
        <f>IF(I2968&lt;&gt;"Sí","",IF(YEAR(F2968)&lt;&gt;2026,"",INDEX({"Enero","Febrero","Marzo","Abril","Mayo","Junio","Julio","Agosto","Septiembre","Octubre","Noviembre","Diciembre"},MONTH(F2968))))</f>
        <v>Septiembre</v>
      </c>
      <c r="N2968" s="18" t="str">
        <f t="shared" si="140"/>
        <v>Septiembre|137</v>
      </c>
    </row>
    <row r="2969" spans="1:14" ht="14.5" x14ac:dyDescent="0.25">
      <c r="A2969" s="19">
        <v>35</v>
      </c>
      <c r="B2969" s="18" t="s">
        <v>42</v>
      </c>
      <c r="C2969" s="18" t="s">
        <v>97</v>
      </c>
      <c r="D2969" s="18" t="s">
        <v>3412</v>
      </c>
      <c r="E2969" s="18" t="s">
        <v>3519</v>
      </c>
      <c r="F2969" s="101">
        <v>46290.052083333336</v>
      </c>
      <c r="G2969" s="101">
        <v>46292.782638888886</v>
      </c>
      <c r="H2969" s="18" t="s">
        <v>507</v>
      </c>
      <c r="I2969" s="18" t="s">
        <v>508</v>
      </c>
      <c r="J2969" s="18"/>
      <c r="K2969" s="21">
        <f t="shared" si="138"/>
        <v>65.533333333209157</v>
      </c>
      <c r="L2969" s="19">
        <f t="shared" si="139"/>
        <v>138</v>
      </c>
      <c r="M2969" s="18" t="str">
        <f>IF(I2969&lt;&gt;"Sí","",IF(YEAR(F2969)&lt;&gt;2026,"",INDEX({"Enero","Febrero","Marzo","Abril","Mayo","Junio","Julio","Agosto","Septiembre","Octubre","Noviembre","Diciembre"},MONTH(F2969))))</f>
        <v>Septiembre</v>
      </c>
      <c r="N2969" s="18" t="str">
        <f t="shared" si="140"/>
        <v>Septiembre|138</v>
      </c>
    </row>
    <row r="2970" spans="1:14" ht="14.5" x14ac:dyDescent="0.25">
      <c r="A2970" s="19">
        <v>35</v>
      </c>
      <c r="B2970" s="18" t="s">
        <v>42</v>
      </c>
      <c r="C2970" s="18" t="s">
        <v>97</v>
      </c>
      <c r="D2970" s="18" t="s">
        <v>3412</v>
      </c>
      <c r="E2970" s="18" t="s">
        <v>3520</v>
      </c>
      <c r="F2970" s="101">
        <v>46290.053472222222</v>
      </c>
      <c r="G2970" s="101">
        <v>46292.782638888886</v>
      </c>
      <c r="H2970" s="18" t="s">
        <v>507</v>
      </c>
      <c r="I2970" s="18" t="s">
        <v>508</v>
      </c>
      <c r="J2970" s="18"/>
      <c r="K2970" s="21">
        <f t="shared" si="138"/>
        <v>65.499999999941792</v>
      </c>
      <c r="L2970" s="19">
        <f t="shared" si="139"/>
        <v>139</v>
      </c>
      <c r="M2970" s="18" t="str">
        <f>IF(I2970&lt;&gt;"Sí","",IF(YEAR(F2970)&lt;&gt;2026,"",INDEX({"Enero","Febrero","Marzo","Abril","Mayo","Junio","Julio","Agosto","Septiembre","Octubre","Noviembre","Diciembre"},MONTH(F2970))))</f>
        <v>Septiembre</v>
      </c>
      <c r="N2970" s="18" t="str">
        <f t="shared" si="140"/>
        <v>Septiembre|139</v>
      </c>
    </row>
    <row r="2971" spans="1:14" ht="14.5" x14ac:dyDescent="0.25">
      <c r="A2971" s="19">
        <v>35</v>
      </c>
      <c r="B2971" s="18" t="s">
        <v>42</v>
      </c>
      <c r="C2971" s="18" t="s">
        <v>97</v>
      </c>
      <c r="D2971" s="18" t="s">
        <v>3412</v>
      </c>
      <c r="E2971" s="18" t="s">
        <v>3521</v>
      </c>
      <c r="F2971" s="101">
        <v>46290.054166666669</v>
      </c>
      <c r="G2971" s="101">
        <v>46292.782638888886</v>
      </c>
      <c r="H2971" s="18" t="s">
        <v>507</v>
      </c>
      <c r="I2971" s="18" t="s">
        <v>508</v>
      </c>
      <c r="J2971" s="18"/>
      <c r="K2971" s="21">
        <f t="shared" si="138"/>
        <v>65.483333333220799</v>
      </c>
      <c r="L2971" s="19">
        <f t="shared" si="139"/>
        <v>140</v>
      </c>
      <c r="M2971" s="18" t="str">
        <f>IF(I2971&lt;&gt;"Sí","",IF(YEAR(F2971)&lt;&gt;2026,"",INDEX({"Enero","Febrero","Marzo","Abril","Mayo","Junio","Julio","Agosto","Septiembre","Octubre","Noviembre","Diciembre"},MONTH(F2971))))</f>
        <v>Septiembre</v>
      </c>
      <c r="N2971" s="18" t="str">
        <f t="shared" si="140"/>
        <v>Septiembre|140</v>
      </c>
    </row>
    <row r="2972" spans="1:14" ht="14.5" x14ac:dyDescent="0.25">
      <c r="A2972" s="19">
        <v>35</v>
      </c>
      <c r="B2972" s="18" t="s">
        <v>42</v>
      </c>
      <c r="C2972" s="18" t="s">
        <v>97</v>
      </c>
      <c r="D2972" s="18" t="s">
        <v>3412</v>
      </c>
      <c r="E2972" s="18" t="s">
        <v>3522</v>
      </c>
      <c r="F2972" s="101">
        <v>46290.055555555555</v>
      </c>
      <c r="G2972" s="101">
        <v>46292.782638888886</v>
      </c>
      <c r="H2972" s="18" t="s">
        <v>507</v>
      </c>
      <c r="I2972" s="18" t="s">
        <v>508</v>
      </c>
      <c r="J2972" s="18"/>
      <c r="K2972" s="21">
        <f t="shared" si="138"/>
        <v>65.449999999953434</v>
      </c>
      <c r="L2972" s="19">
        <f t="shared" si="139"/>
        <v>141</v>
      </c>
      <c r="M2972" s="18" t="str">
        <f>IF(I2972&lt;&gt;"Sí","",IF(YEAR(F2972)&lt;&gt;2026,"",INDEX({"Enero","Febrero","Marzo","Abril","Mayo","Junio","Julio","Agosto","Septiembre","Octubre","Noviembre","Diciembre"},MONTH(F2972))))</f>
        <v>Septiembre</v>
      </c>
      <c r="N2972" s="18" t="str">
        <f t="shared" si="140"/>
        <v>Septiembre|141</v>
      </c>
    </row>
    <row r="2973" spans="1:14" ht="14.5" x14ac:dyDescent="0.25">
      <c r="A2973" s="19">
        <v>35</v>
      </c>
      <c r="B2973" s="18" t="s">
        <v>42</v>
      </c>
      <c r="C2973" s="18" t="s">
        <v>97</v>
      </c>
      <c r="D2973" s="18" t="s">
        <v>3412</v>
      </c>
      <c r="E2973" s="18" t="s">
        <v>3523</v>
      </c>
      <c r="F2973" s="101">
        <v>46290.057638888888</v>
      </c>
      <c r="G2973" s="101">
        <v>46292.782638888886</v>
      </c>
      <c r="H2973" s="18" t="s">
        <v>507</v>
      </c>
      <c r="I2973" s="18" t="s">
        <v>508</v>
      </c>
      <c r="J2973" s="18"/>
      <c r="K2973" s="21">
        <f t="shared" si="138"/>
        <v>65.399999999965075</v>
      </c>
      <c r="L2973" s="19">
        <f t="shared" si="139"/>
        <v>142</v>
      </c>
      <c r="M2973" s="18" t="str">
        <f>IF(I2973&lt;&gt;"Sí","",IF(YEAR(F2973)&lt;&gt;2026,"",INDEX({"Enero","Febrero","Marzo","Abril","Mayo","Junio","Julio","Agosto","Septiembre","Octubre","Noviembre","Diciembre"},MONTH(F2973))))</f>
        <v>Septiembre</v>
      </c>
      <c r="N2973" s="18" t="str">
        <f t="shared" si="140"/>
        <v>Septiembre|142</v>
      </c>
    </row>
    <row r="2974" spans="1:14" ht="14.5" x14ac:dyDescent="0.25">
      <c r="A2974" s="19">
        <v>35</v>
      </c>
      <c r="B2974" s="18" t="s">
        <v>42</v>
      </c>
      <c r="C2974" s="18" t="s">
        <v>97</v>
      </c>
      <c r="D2974" s="18" t="s">
        <v>3412</v>
      </c>
      <c r="E2974" s="18" t="s">
        <v>3524</v>
      </c>
      <c r="F2974" s="101">
        <v>46290.065972222219</v>
      </c>
      <c r="G2974" s="101">
        <v>46292.782638888886</v>
      </c>
      <c r="H2974" s="18" t="s">
        <v>507</v>
      </c>
      <c r="I2974" s="18" t="s">
        <v>508</v>
      </c>
      <c r="J2974" s="18"/>
      <c r="K2974" s="21">
        <f t="shared" si="138"/>
        <v>65.200000000011642</v>
      </c>
      <c r="L2974" s="19">
        <f t="shared" si="139"/>
        <v>143</v>
      </c>
      <c r="M2974" s="18" t="str">
        <f>IF(I2974&lt;&gt;"Sí","",IF(YEAR(F2974)&lt;&gt;2026,"",INDEX({"Enero","Febrero","Marzo","Abril","Mayo","Junio","Julio","Agosto","Septiembre","Octubre","Noviembre","Diciembre"},MONTH(F2974))))</f>
        <v>Septiembre</v>
      </c>
      <c r="N2974" s="18" t="str">
        <f t="shared" si="140"/>
        <v>Septiembre|143</v>
      </c>
    </row>
    <row r="2975" spans="1:14" ht="14.5" x14ac:dyDescent="0.25">
      <c r="A2975" s="19">
        <v>35</v>
      </c>
      <c r="B2975" s="18" t="s">
        <v>42</v>
      </c>
      <c r="C2975" s="18" t="s">
        <v>97</v>
      </c>
      <c r="D2975" s="18" t="s">
        <v>3412</v>
      </c>
      <c r="E2975" s="18" t="s">
        <v>3525</v>
      </c>
      <c r="F2975" s="101">
        <v>46290.067361111112</v>
      </c>
      <c r="G2975" s="101">
        <v>46292.782638888886</v>
      </c>
      <c r="H2975" s="18" t="s">
        <v>507</v>
      </c>
      <c r="I2975" s="18" t="s">
        <v>508</v>
      </c>
      <c r="J2975" s="18"/>
      <c r="K2975" s="21">
        <f t="shared" si="138"/>
        <v>65.166666666569654</v>
      </c>
      <c r="L2975" s="19">
        <f t="shared" si="139"/>
        <v>144</v>
      </c>
      <c r="M2975" s="18" t="str">
        <f>IF(I2975&lt;&gt;"Sí","",IF(YEAR(F2975)&lt;&gt;2026,"",INDEX({"Enero","Febrero","Marzo","Abril","Mayo","Junio","Julio","Agosto","Septiembre","Octubre","Noviembre","Diciembre"},MONTH(F2975))))</f>
        <v>Septiembre</v>
      </c>
      <c r="N2975" s="18" t="str">
        <f t="shared" si="140"/>
        <v>Septiembre|144</v>
      </c>
    </row>
    <row r="2976" spans="1:14" ht="14.5" x14ac:dyDescent="0.25">
      <c r="A2976" s="19">
        <v>35</v>
      </c>
      <c r="B2976" s="18" t="s">
        <v>42</v>
      </c>
      <c r="C2976" s="18" t="s">
        <v>97</v>
      </c>
      <c r="D2976" s="18" t="s">
        <v>3412</v>
      </c>
      <c r="E2976" s="18" t="s">
        <v>3526</v>
      </c>
      <c r="F2976" s="101">
        <v>46290.069444444445</v>
      </c>
      <c r="G2976" s="101">
        <v>46292.240972222222</v>
      </c>
      <c r="H2976" s="18" t="s">
        <v>507</v>
      </c>
      <c r="I2976" s="18" t="s">
        <v>508</v>
      </c>
      <c r="J2976" s="18"/>
      <c r="K2976" s="21">
        <f t="shared" si="138"/>
        <v>52.116666666639503</v>
      </c>
      <c r="L2976" s="19">
        <f t="shared" si="139"/>
        <v>145</v>
      </c>
      <c r="M2976" s="18" t="str">
        <f>IF(I2976&lt;&gt;"Sí","",IF(YEAR(F2976)&lt;&gt;2026,"",INDEX({"Enero","Febrero","Marzo","Abril","Mayo","Junio","Julio","Agosto","Septiembre","Octubre","Noviembre","Diciembre"},MONTH(F2976))))</f>
        <v>Septiembre</v>
      </c>
      <c r="N2976" s="18" t="str">
        <f t="shared" si="140"/>
        <v>Septiembre|145</v>
      </c>
    </row>
    <row r="2977" spans="1:14" ht="14.5" x14ac:dyDescent="0.25">
      <c r="A2977" s="19">
        <v>35</v>
      </c>
      <c r="B2977" s="18" t="s">
        <v>42</v>
      </c>
      <c r="C2977" s="18" t="s">
        <v>97</v>
      </c>
      <c r="D2977" s="18" t="s">
        <v>3412</v>
      </c>
      <c r="E2977" s="18" t="s">
        <v>3527</v>
      </c>
      <c r="F2977" s="101">
        <v>46290.070138888892</v>
      </c>
      <c r="G2977" s="101">
        <v>46292.782638888886</v>
      </c>
      <c r="H2977" s="18" t="s">
        <v>507</v>
      </c>
      <c r="I2977" s="18" t="s">
        <v>508</v>
      </c>
      <c r="J2977" s="18"/>
      <c r="K2977" s="21">
        <f t="shared" si="138"/>
        <v>65.099999999860302</v>
      </c>
      <c r="L2977" s="19">
        <f t="shared" si="139"/>
        <v>146</v>
      </c>
      <c r="M2977" s="18" t="str">
        <f>IF(I2977&lt;&gt;"Sí","",IF(YEAR(F2977)&lt;&gt;2026,"",INDEX({"Enero","Febrero","Marzo","Abril","Mayo","Junio","Julio","Agosto","Septiembre","Octubre","Noviembre","Diciembre"},MONTH(F2977))))</f>
        <v>Septiembre</v>
      </c>
      <c r="N2977" s="18" t="str">
        <f t="shared" si="140"/>
        <v>Septiembre|146</v>
      </c>
    </row>
    <row r="2978" spans="1:14" ht="14.5" x14ac:dyDescent="0.25">
      <c r="A2978" s="19">
        <v>35</v>
      </c>
      <c r="B2978" s="18" t="s">
        <v>42</v>
      </c>
      <c r="C2978" s="18" t="s">
        <v>97</v>
      </c>
      <c r="D2978" s="18" t="s">
        <v>3412</v>
      </c>
      <c r="E2978" s="18" t="s">
        <v>3528</v>
      </c>
      <c r="F2978" s="101">
        <v>46290.072222222225</v>
      </c>
      <c r="G2978" s="101">
        <v>46292.782638888886</v>
      </c>
      <c r="H2978" s="18" t="s">
        <v>507</v>
      </c>
      <c r="I2978" s="18" t="s">
        <v>508</v>
      </c>
      <c r="J2978" s="18"/>
      <c r="K2978" s="21">
        <f t="shared" si="138"/>
        <v>65.049999999871943</v>
      </c>
      <c r="L2978" s="19">
        <f t="shared" si="139"/>
        <v>147</v>
      </c>
      <c r="M2978" s="18" t="str">
        <f>IF(I2978&lt;&gt;"Sí","",IF(YEAR(F2978)&lt;&gt;2026,"",INDEX({"Enero","Febrero","Marzo","Abril","Mayo","Junio","Julio","Agosto","Septiembre","Octubre","Noviembre","Diciembre"},MONTH(F2978))))</f>
        <v>Septiembre</v>
      </c>
      <c r="N2978" s="18" t="str">
        <f t="shared" si="140"/>
        <v>Septiembre|147</v>
      </c>
    </row>
    <row r="2979" spans="1:14" ht="14.5" x14ac:dyDescent="0.25">
      <c r="A2979" s="19">
        <v>35</v>
      </c>
      <c r="B2979" s="18" t="s">
        <v>42</v>
      </c>
      <c r="C2979" s="18" t="s">
        <v>97</v>
      </c>
      <c r="D2979" s="18" t="s">
        <v>3412</v>
      </c>
      <c r="E2979" s="18" t="s">
        <v>3529</v>
      </c>
      <c r="F2979" s="101">
        <v>46290.074305555558</v>
      </c>
      <c r="G2979" s="101">
        <v>46292.65</v>
      </c>
      <c r="H2979" s="18" t="s">
        <v>507</v>
      </c>
      <c r="I2979" s="18" t="s">
        <v>508</v>
      </c>
      <c r="J2979" s="18"/>
      <c r="K2979" s="21">
        <f t="shared" si="138"/>
        <v>61.816666666651145</v>
      </c>
      <c r="L2979" s="19">
        <f t="shared" si="139"/>
        <v>148</v>
      </c>
      <c r="M2979" s="18" t="str">
        <f>IF(I2979&lt;&gt;"Sí","",IF(YEAR(F2979)&lt;&gt;2026,"",INDEX({"Enero","Febrero","Marzo","Abril","Mayo","Junio","Julio","Agosto","Septiembre","Octubre","Noviembre","Diciembre"},MONTH(F2979))))</f>
        <v>Septiembre</v>
      </c>
      <c r="N2979" s="18" t="str">
        <f t="shared" si="140"/>
        <v>Septiembre|148</v>
      </c>
    </row>
    <row r="2980" spans="1:14" ht="14.5" x14ac:dyDescent="0.25">
      <c r="A2980" s="19">
        <v>35</v>
      </c>
      <c r="B2980" s="18" t="s">
        <v>42</v>
      </c>
      <c r="C2980" s="18" t="s">
        <v>97</v>
      </c>
      <c r="D2980" s="18" t="s">
        <v>3412</v>
      </c>
      <c r="E2980" s="18" t="s">
        <v>3530</v>
      </c>
      <c r="F2980" s="101">
        <v>46290.076388888891</v>
      </c>
      <c r="G2980" s="101">
        <v>46292.580555555556</v>
      </c>
      <c r="H2980" s="18" t="s">
        <v>507</v>
      </c>
      <c r="I2980" s="18" t="s">
        <v>508</v>
      </c>
      <c r="J2980" s="18"/>
      <c r="K2980" s="21">
        <f t="shared" si="138"/>
        <v>60.099999999976717</v>
      </c>
      <c r="L2980" s="19">
        <f t="shared" si="139"/>
        <v>149</v>
      </c>
      <c r="M2980" s="18" t="str">
        <f>IF(I2980&lt;&gt;"Sí","",IF(YEAR(F2980)&lt;&gt;2026,"",INDEX({"Enero","Febrero","Marzo","Abril","Mayo","Junio","Julio","Agosto","Septiembre","Octubre","Noviembre","Diciembre"},MONTH(F2980))))</f>
        <v>Septiembre</v>
      </c>
      <c r="N2980" s="18" t="str">
        <f t="shared" si="140"/>
        <v>Septiembre|149</v>
      </c>
    </row>
    <row r="2981" spans="1:14" ht="14.5" x14ac:dyDescent="0.25">
      <c r="A2981" s="19">
        <v>35</v>
      </c>
      <c r="B2981" s="18" t="s">
        <v>42</v>
      </c>
      <c r="C2981" s="18" t="s">
        <v>97</v>
      </c>
      <c r="D2981" s="18" t="s">
        <v>3412</v>
      </c>
      <c r="E2981" s="18" t="s">
        <v>3531</v>
      </c>
      <c r="F2981" s="101">
        <v>46290.078472222223</v>
      </c>
      <c r="G2981" s="101">
        <v>46292.65</v>
      </c>
      <c r="H2981" s="18" t="s">
        <v>507</v>
      </c>
      <c r="I2981" s="18" t="s">
        <v>508</v>
      </c>
      <c r="J2981" s="18"/>
      <c r="K2981" s="21">
        <f t="shared" si="138"/>
        <v>61.716666666674428</v>
      </c>
      <c r="L2981" s="19">
        <f t="shared" si="139"/>
        <v>150</v>
      </c>
      <c r="M2981" s="18" t="str">
        <f>IF(I2981&lt;&gt;"Sí","",IF(YEAR(F2981)&lt;&gt;2026,"",INDEX({"Enero","Febrero","Marzo","Abril","Mayo","Junio","Julio","Agosto","Septiembre","Octubre","Noviembre","Diciembre"},MONTH(F2981))))</f>
        <v>Septiembre</v>
      </c>
      <c r="N2981" s="18" t="str">
        <f t="shared" si="140"/>
        <v>Septiembre|150</v>
      </c>
    </row>
    <row r="2982" spans="1:14" ht="14.5" x14ac:dyDescent="0.25">
      <c r="A2982" s="19">
        <v>35</v>
      </c>
      <c r="B2982" s="18" t="s">
        <v>42</v>
      </c>
      <c r="C2982" s="18" t="s">
        <v>97</v>
      </c>
      <c r="D2982" s="18" t="s">
        <v>3412</v>
      </c>
      <c r="E2982" s="18" t="s">
        <v>3532</v>
      </c>
      <c r="F2982" s="101">
        <v>46290.079861111109</v>
      </c>
      <c r="G2982" s="101">
        <v>46292.65</v>
      </c>
      <c r="H2982" s="18" t="s">
        <v>507</v>
      </c>
      <c r="I2982" s="18" t="s">
        <v>508</v>
      </c>
      <c r="J2982" s="18"/>
      <c r="K2982" s="21">
        <f t="shared" si="138"/>
        <v>61.683333333407063</v>
      </c>
      <c r="L2982" s="19">
        <f t="shared" si="139"/>
        <v>151</v>
      </c>
      <c r="M2982" s="18" t="str">
        <f>IF(I2982&lt;&gt;"Sí","",IF(YEAR(F2982)&lt;&gt;2026,"",INDEX({"Enero","Febrero","Marzo","Abril","Mayo","Junio","Julio","Agosto","Septiembre","Octubre","Noviembre","Diciembre"},MONTH(F2982))))</f>
        <v>Septiembre</v>
      </c>
      <c r="N2982" s="18" t="str">
        <f t="shared" si="140"/>
        <v>Septiembre|151</v>
      </c>
    </row>
    <row r="2983" spans="1:14" ht="14.5" x14ac:dyDescent="0.25">
      <c r="A2983" s="19">
        <v>35</v>
      </c>
      <c r="B2983" s="18" t="s">
        <v>42</v>
      </c>
      <c r="C2983" s="18" t="s">
        <v>97</v>
      </c>
      <c r="D2983" s="18" t="s">
        <v>3412</v>
      </c>
      <c r="E2983" s="18" t="s">
        <v>3533</v>
      </c>
      <c r="F2983" s="101">
        <v>46290.081250000003</v>
      </c>
      <c r="G2983" s="101">
        <v>46292.65</v>
      </c>
      <c r="H2983" s="18" t="s">
        <v>507</v>
      </c>
      <c r="I2983" s="18" t="s">
        <v>508</v>
      </c>
      <c r="J2983" s="18"/>
      <c r="K2983" s="21">
        <f t="shared" si="138"/>
        <v>61.649999999965075</v>
      </c>
      <c r="L2983" s="19">
        <f t="shared" si="139"/>
        <v>152</v>
      </c>
      <c r="M2983" s="18" t="str">
        <f>IF(I2983&lt;&gt;"Sí","",IF(YEAR(F2983)&lt;&gt;2026,"",INDEX({"Enero","Febrero","Marzo","Abril","Mayo","Junio","Julio","Agosto","Septiembre","Octubre","Noviembre","Diciembre"},MONTH(F2983))))</f>
        <v>Septiembre</v>
      </c>
      <c r="N2983" s="18" t="str">
        <f t="shared" si="140"/>
        <v>Septiembre|152</v>
      </c>
    </row>
    <row r="2984" spans="1:14" ht="14.5" x14ac:dyDescent="0.25">
      <c r="A2984" s="19">
        <v>35</v>
      </c>
      <c r="B2984" s="18" t="s">
        <v>42</v>
      </c>
      <c r="C2984" s="18" t="s">
        <v>97</v>
      </c>
      <c r="D2984" s="18" t="s">
        <v>3412</v>
      </c>
      <c r="E2984" s="18" t="s">
        <v>3534</v>
      </c>
      <c r="F2984" s="101">
        <v>46290.082638888889</v>
      </c>
      <c r="G2984" s="101">
        <v>46292.614583333336</v>
      </c>
      <c r="H2984" s="18" t="s">
        <v>507</v>
      </c>
      <c r="I2984" s="18" t="s">
        <v>508</v>
      </c>
      <c r="J2984" s="18"/>
      <c r="K2984" s="21">
        <f t="shared" si="138"/>
        <v>60.766666666720994</v>
      </c>
      <c r="L2984" s="19">
        <f t="shared" si="139"/>
        <v>153</v>
      </c>
      <c r="M2984" s="18" t="str">
        <f>IF(I2984&lt;&gt;"Sí","",IF(YEAR(F2984)&lt;&gt;2026,"",INDEX({"Enero","Febrero","Marzo","Abril","Mayo","Junio","Julio","Agosto","Septiembre","Octubre","Noviembre","Diciembre"},MONTH(F2984))))</f>
        <v>Septiembre</v>
      </c>
      <c r="N2984" s="18" t="str">
        <f t="shared" si="140"/>
        <v>Septiembre|153</v>
      </c>
    </row>
    <row r="2985" spans="1:14" ht="14.5" x14ac:dyDescent="0.25">
      <c r="A2985" s="19">
        <v>35</v>
      </c>
      <c r="B2985" s="18" t="s">
        <v>42</v>
      </c>
      <c r="C2985" s="18" t="s">
        <v>97</v>
      </c>
      <c r="D2985" s="18" t="s">
        <v>3412</v>
      </c>
      <c r="E2985" s="18" t="s">
        <v>3535</v>
      </c>
      <c r="F2985" s="101">
        <v>46290.083333333336</v>
      </c>
      <c r="G2985" s="101">
        <v>46292.614583333336</v>
      </c>
      <c r="H2985" s="18" t="s">
        <v>507</v>
      </c>
      <c r="I2985" s="18" t="s">
        <v>508</v>
      </c>
      <c r="J2985" s="18"/>
      <c r="K2985" s="21">
        <f t="shared" si="138"/>
        <v>60.75</v>
      </c>
      <c r="L2985" s="19">
        <f t="shared" si="139"/>
        <v>154</v>
      </c>
      <c r="M2985" s="18" t="str">
        <f>IF(I2985&lt;&gt;"Sí","",IF(YEAR(F2985)&lt;&gt;2026,"",INDEX({"Enero","Febrero","Marzo","Abril","Mayo","Junio","Julio","Agosto","Septiembre","Octubre","Noviembre","Diciembre"},MONTH(F2985))))</f>
        <v>Septiembre</v>
      </c>
      <c r="N2985" s="18" t="str">
        <f t="shared" si="140"/>
        <v>Septiembre|154</v>
      </c>
    </row>
    <row r="2986" spans="1:14" ht="14.5" x14ac:dyDescent="0.25">
      <c r="A2986" s="19">
        <v>35</v>
      </c>
      <c r="B2986" s="18" t="s">
        <v>42</v>
      </c>
      <c r="C2986" s="18" t="s">
        <v>97</v>
      </c>
      <c r="D2986" s="18" t="s">
        <v>3412</v>
      </c>
      <c r="E2986" s="18" t="s">
        <v>3536</v>
      </c>
      <c r="F2986" s="101">
        <v>46290.084027777775</v>
      </c>
      <c r="G2986" s="101">
        <v>46292.614583333336</v>
      </c>
      <c r="H2986" s="18" t="s">
        <v>507</v>
      </c>
      <c r="I2986" s="18" t="s">
        <v>508</v>
      </c>
      <c r="J2986" s="18"/>
      <c r="K2986" s="21">
        <f t="shared" si="138"/>
        <v>60.733333333453629</v>
      </c>
      <c r="L2986" s="19">
        <f t="shared" si="139"/>
        <v>155</v>
      </c>
      <c r="M2986" s="18" t="str">
        <f>IF(I2986&lt;&gt;"Sí","",IF(YEAR(F2986)&lt;&gt;2026,"",INDEX({"Enero","Febrero","Marzo","Abril","Mayo","Junio","Julio","Agosto","Septiembre","Octubre","Noviembre","Diciembre"},MONTH(F2986))))</f>
        <v>Septiembre</v>
      </c>
      <c r="N2986" s="18" t="str">
        <f t="shared" si="140"/>
        <v>Septiembre|155</v>
      </c>
    </row>
    <row r="2987" spans="1:14" ht="14.5" x14ac:dyDescent="0.25">
      <c r="A2987" s="19">
        <v>35</v>
      </c>
      <c r="B2987" s="18" t="s">
        <v>42</v>
      </c>
      <c r="C2987" s="18" t="s">
        <v>97</v>
      </c>
      <c r="D2987" s="18" t="s">
        <v>3412</v>
      </c>
      <c r="E2987" s="18" t="s">
        <v>3537</v>
      </c>
      <c r="F2987" s="101">
        <v>46290.085416666669</v>
      </c>
      <c r="G2987" s="101">
        <v>46292.614583333336</v>
      </c>
      <c r="H2987" s="18" t="s">
        <v>507</v>
      </c>
      <c r="I2987" s="18" t="s">
        <v>508</v>
      </c>
      <c r="J2987" s="18"/>
      <c r="K2987" s="21">
        <f t="shared" si="138"/>
        <v>60.700000000011642</v>
      </c>
      <c r="L2987" s="19">
        <f t="shared" si="139"/>
        <v>156</v>
      </c>
      <c r="M2987" s="18" t="str">
        <f>IF(I2987&lt;&gt;"Sí","",IF(YEAR(F2987)&lt;&gt;2026,"",INDEX({"Enero","Febrero","Marzo","Abril","Mayo","Junio","Julio","Agosto","Septiembre","Octubre","Noviembre","Diciembre"},MONTH(F2987))))</f>
        <v>Septiembre</v>
      </c>
      <c r="N2987" s="18" t="str">
        <f t="shared" si="140"/>
        <v>Septiembre|156</v>
      </c>
    </row>
    <row r="2988" spans="1:14" ht="14.5" x14ac:dyDescent="0.25">
      <c r="A2988" s="19">
        <v>35</v>
      </c>
      <c r="B2988" s="18" t="s">
        <v>42</v>
      </c>
      <c r="C2988" s="18" t="s">
        <v>97</v>
      </c>
      <c r="D2988" s="18" t="s">
        <v>3412</v>
      </c>
      <c r="E2988" s="18" t="s">
        <v>3538</v>
      </c>
      <c r="F2988" s="101">
        <v>46290.086111111108</v>
      </c>
      <c r="G2988" s="101">
        <v>46292.606249999997</v>
      </c>
      <c r="H2988" s="18" t="s">
        <v>507</v>
      </c>
      <c r="I2988" s="18" t="s">
        <v>508</v>
      </c>
      <c r="J2988" s="18"/>
      <c r="K2988" s="21">
        <f t="shared" si="138"/>
        <v>60.483333333337214</v>
      </c>
      <c r="L2988" s="19">
        <f t="shared" si="139"/>
        <v>157</v>
      </c>
      <c r="M2988" s="18" t="str">
        <f>IF(I2988&lt;&gt;"Sí","",IF(YEAR(F2988)&lt;&gt;2026,"",INDEX({"Enero","Febrero","Marzo","Abril","Mayo","Junio","Julio","Agosto","Septiembre","Octubre","Noviembre","Diciembre"},MONTH(F2988))))</f>
        <v>Septiembre</v>
      </c>
      <c r="N2988" s="18" t="str">
        <f t="shared" si="140"/>
        <v>Septiembre|157</v>
      </c>
    </row>
    <row r="2989" spans="1:14" ht="14.5" x14ac:dyDescent="0.25">
      <c r="A2989" s="19">
        <v>35</v>
      </c>
      <c r="B2989" s="18" t="s">
        <v>42</v>
      </c>
      <c r="C2989" s="18" t="s">
        <v>97</v>
      </c>
      <c r="D2989" s="18" t="s">
        <v>3412</v>
      </c>
      <c r="E2989" s="18" t="s">
        <v>3539</v>
      </c>
      <c r="F2989" s="101">
        <v>46290.086805555555</v>
      </c>
      <c r="G2989" s="101">
        <v>46292.603472222225</v>
      </c>
      <c r="H2989" s="18" t="s">
        <v>507</v>
      </c>
      <c r="I2989" s="18" t="s">
        <v>508</v>
      </c>
      <c r="J2989" s="18"/>
      <c r="K2989" s="21">
        <f t="shared" si="138"/>
        <v>60.400000000081491</v>
      </c>
      <c r="L2989" s="19">
        <f t="shared" si="139"/>
        <v>158</v>
      </c>
      <c r="M2989" s="18" t="str">
        <f>IF(I2989&lt;&gt;"Sí","",IF(YEAR(F2989)&lt;&gt;2026,"",INDEX({"Enero","Febrero","Marzo","Abril","Mayo","Junio","Julio","Agosto","Septiembre","Octubre","Noviembre","Diciembre"},MONTH(F2989))))</f>
        <v>Septiembre</v>
      </c>
      <c r="N2989" s="18" t="str">
        <f t="shared" si="140"/>
        <v>Septiembre|158</v>
      </c>
    </row>
    <row r="2990" spans="1:14" ht="14.5" x14ac:dyDescent="0.25">
      <c r="A2990" s="19">
        <v>35</v>
      </c>
      <c r="B2990" s="18" t="s">
        <v>42</v>
      </c>
      <c r="C2990" s="18" t="s">
        <v>97</v>
      </c>
      <c r="D2990" s="18" t="s">
        <v>3412</v>
      </c>
      <c r="E2990" s="18" t="s">
        <v>3540</v>
      </c>
      <c r="F2990" s="101">
        <v>46290.097222222219</v>
      </c>
      <c r="G2990" s="101">
        <v>46292.603472222225</v>
      </c>
      <c r="H2990" s="18" t="s">
        <v>507</v>
      </c>
      <c r="I2990" s="18" t="s">
        <v>508</v>
      </c>
      <c r="J2990" s="18"/>
      <c r="K2990" s="21">
        <f t="shared" si="138"/>
        <v>60.150000000139698</v>
      </c>
      <c r="L2990" s="19">
        <f t="shared" si="139"/>
        <v>159</v>
      </c>
      <c r="M2990" s="18" t="str">
        <f>IF(I2990&lt;&gt;"Sí","",IF(YEAR(F2990)&lt;&gt;2026,"",INDEX({"Enero","Febrero","Marzo","Abril","Mayo","Junio","Julio","Agosto","Septiembre","Octubre","Noviembre","Diciembre"},MONTH(F2990))))</f>
        <v>Septiembre</v>
      </c>
      <c r="N2990" s="18" t="str">
        <f t="shared" si="140"/>
        <v>Septiembre|159</v>
      </c>
    </row>
    <row r="2991" spans="1:14" ht="14.5" x14ac:dyDescent="0.25">
      <c r="A2991" s="19">
        <v>35</v>
      </c>
      <c r="B2991" s="18" t="s">
        <v>42</v>
      </c>
      <c r="C2991" s="18" t="s">
        <v>97</v>
      </c>
      <c r="D2991" s="18" t="s">
        <v>3412</v>
      </c>
      <c r="E2991" s="18" t="s">
        <v>3541</v>
      </c>
      <c r="F2991" s="101">
        <v>46290.097916666666</v>
      </c>
      <c r="G2991" s="101">
        <v>46292.470833333333</v>
      </c>
      <c r="H2991" s="18" t="s">
        <v>507</v>
      </c>
      <c r="I2991" s="18" t="s">
        <v>508</v>
      </c>
      <c r="J2991" s="18"/>
      <c r="K2991" s="21">
        <f t="shared" si="138"/>
        <v>56.950000000011642</v>
      </c>
      <c r="L2991" s="19">
        <f t="shared" si="139"/>
        <v>160</v>
      </c>
      <c r="M2991" s="18" t="str">
        <f>IF(I2991&lt;&gt;"Sí","",IF(YEAR(F2991)&lt;&gt;2026,"",INDEX({"Enero","Febrero","Marzo","Abril","Mayo","Junio","Julio","Agosto","Septiembre","Octubre","Noviembre","Diciembre"},MONTH(F2991))))</f>
        <v>Septiembre</v>
      </c>
      <c r="N2991" s="18" t="str">
        <f t="shared" si="140"/>
        <v>Septiembre|160</v>
      </c>
    </row>
    <row r="2992" spans="1:14" ht="14.5" x14ac:dyDescent="0.25">
      <c r="A2992" s="19">
        <v>35</v>
      </c>
      <c r="B2992" s="18" t="s">
        <v>42</v>
      </c>
      <c r="C2992" s="18" t="s">
        <v>97</v>
      </c>
      <c r="D2992" s="18" t="s">
        <v>3412</v>
      </c>
      <c r="E2992" s="18" t="s">
        <v>3542</v>
      </c>
      <c r="F2992" s="101">
        <v>46290.099305555559</v>
      </c>
      <c r="G2992" s="101">
        <v>46292.603472222225</v>
      </c>
      <c r="H2992" s="18" t="s">
        <v>507</v>
      </c>
      <c r="I2992" s="18" t="s">
        <v>508</v>
      </c>
      <c r="J2992" s="18"/>
      <c r="K2992" s="21">
        <f t="shared" si="138"/>
        <v>60.099999999976717</v>
      </c>
      <c r="L2992" s="19">
        <f t="shared" si="139"/>
        <v>161</v>
      </c>
      <c r="M2992" s="18" t="str">
        <f>IF(I2992&lt;&gt;"Sí","",IF(YEAR(F2992)&lt;&gt;2026,"",INDEX({"Enero","Febrero","Marzo","Abril","Mayo","Junio","Julio","Agosto","Septiembre","Octubre","Noviembre","Diciembre"},MONTH(F2992))))</f>
        <v>Septiembre</v>
      </c>
      <c r="N2992" s="18" t="str">
        <f t="shared" si="140"/>
        <v>Septiembre|161</v>
      </c>
    </row>
    <row r="2993" spans="1:14" ht="14.5" x14ac:dyDescent="0.25">
      <c r="A2993" s="19">
        <v>35</v>
      </c>
      <c r="B2993" s="18" t="s">
        <v>42</v>
      </c>
      <c r="C2993" s="18" t="s">
        <v>97</v>
      </c>
      <c r="D2993" s="18" t="s">
        <v>3412</v>
      </c>
      <c r="E2993" s="18" t="s">
        <v>3543</v>
      </c>
      <c r="F2993" s="101">
        <v>46290.102083333331</v>
      </c>
      <c r="G2993" s="101">
        <v>46292.470833333333</v>
      </c>
      <c r="H2993" s="18" t="s">
        <v>507</v>
      </c>
      <c r="I2993" s="18" t="s">
        <v>508</v>
      </c>
      <c r="J2993" s="18"/>
      <c r="K2993" s="21">
        <f t="shared" si="138"/>
        <v>56.850000000034925</v>
      </c>
      <c r="L2993" s="19">
        <f t="shared" si="139"/>
        <v>162</v>
      </c>
      <c r="M2993" s="18" t="str">
        <f>IF(I2993&lt;&gt;"Sí","",IF(YEAR(F2993)&lt;&gt;2026,"",INDEX({"Enero","Febrero","Marzo","Abril","Mayo","Junio","Julio","Agosto","Septiembre","Octubre","Noviembre","Diciembre"},MONTH(F2993))))</f>
        <v>Septiembre</v>
      </c>
      <c r="N2993" s="18" t="str">
        <f t="shared" si="140"/>
        <v>Septiembre|162</v>
      </c>
    </row>
    <row r="2994" spans="1:14" ht="14.5" x14ac:dyDescent="0.25">
      <c r="A2994" s="19">
        <v>35</v>
      </c>
      <c r="B2994" s="18" t="s">
        <v>42</v>
      </c>
      <c r="C2994" s="18" t="s">
        <v>97</v>
      </c>
      <c r="D2994" s="18" t="s">
        <v>3412</v>
      </c>
      <c r="E2994" s="18" t="s">
        <v>3544</v>
      </c>
      <c r="F2994" s="101">
        <v>46290.103472222225</v>
      </c>
      <c r="G2994" s="101">
        <v>46292.470833333333</v>
      </c>
      <c r="H2994" s="18" t="s">
        <v>507</v>
      </c>
      <c r="I2994" s="18" t="s">
        <v>508</v>
      </c>
      <c r="J2994" s="18"/>
      <c r="K2994" s="21">
        <f t="shared" si="138"/>
        <v>56.816666666592937</v>
      </c>
      <c r="L2994" s="19">
        <f t="shared" si="139"/>
        <v>163</v>
      </c>
      <c r="M2994" s="18" t="str">
        <f>IF(I2994&lt;&gt;"Sí","",IF(YEAR(F2994)&lt;&gt;2026,"",INDEX({"Enero","Febrero","Marzo","Abril","Mayo","Junio","Julio","Agosto","Septiembre","Octubre","Noviembre","Diciembre"},MONTH(F2994))))</f>
        <v>Septiembre</v>
      </c>
      <c r="N2994" s="18" t="str">
        <f t="shared" si="140"/>
        <v>Septiembre|163</v>
      </c>
    </row>
    <row r="2995" spans="1:14" ht="14.5" x14ac:dyDescent="0.25">
      <c r="A2995" s="19">
        <v>35</v>
      </c>
      <c r="B2995" s="18" t="s">
        <v>42</v>
      </c>
      <c r="C2995" s="18" t="s">
        <v>97</v>
      </c>
      <c r="D2995" s="18" t="s">
        <v>3412</v>
      </c>
      <c r="E2995" s="18" t="s">
        <v>3545</v>
      </c>
      <c r="F2995" s="101">
        <v>46290.107638888891</v>
      </c>
      <c r="G2995" s="101">
        <v>46292.470833333333</v>
      </c>
      <c r="H2995" s="18" t="s">
        <v>507</v>
      </c>
      <c r="I2995" s="18" t="s">
        <v>508</v>
      </c>
      <c r="J2995" s="18"/>
      <c r="K2995" s="21">
        <f t="shared" si="138"/>
        <v>56.71666666661622</v>
      </c>
      <c r="L2995" s="19">
        <f t="shared" si="139"/>
        <v>164</v>
      </c>
      <c r="M2995" s="18" t="str">
        <f>IF(I2995&lt;&gt;"Sí","",IF(YEAR(F2995)&lt;&gt;2026,"",INDEX({"Enero","Febrero","Marzo","Abril","Mayo","Junio","Julio","Agosto","Septiembre","Octubre","Noviembre","Diciembre"},MONTH(F2995))))</f>
        <v>Septiembre</v>
      </c>
      <c r="N2995" s="18" t="str">
        <f t="shared" si="140"/>
        <v>Septiembre|164</v>
      </c>
    </row>
    <row r="2996" spans="1:14" ht="14.5" x14ac:dyDescent="0.25">
      <c r="A2996" s="19">
        <v>35</v>
      </c>
      <c r="B2996" s="18" t="s">
        <v>42</v>
      </c>
      <c r="C2996" s="18" t="s">
        <v>97</v>
      </c>
      <c r="D2996" s="18" t="s">
        <v>3412</v>
      </c>
      <c r="E2996" s="18" t="s">
        <v>3546</v>
      </c>
      <c r="F2996" s="101">
        <v>46290.109027777777</v>
      </c>
      <c r="G2996" s="101">
        <v>46292.470833333333</v>
      </c>
      <c r="H2996" s="18" t="s">
        <v>507</v>
      </c>
      <c r="I2996" s="18" t="s">
        <v>508</v>
      </c>
      <c r="J2996" s="18"/>
      <c r="K2996" s="21">
        <f t="shared" si="138"/>
        <v>56.683333333348855</v>
      </c>
      <c r="L2996" s="19">
        <f t="shared" si="139"/>
        <v>165</v>
      </c>
      <c r="M2996" s="18" t="str">
        <f>IF(I2996&lt;&gt;"Sí","",IF(YEAR(F2996)&lt;&gt;2026,"",INDEX({"Enero","Febrero","Marzo","Abril","Mayo","Junio","Julio","Agosto","Septiembre","Octubre","Noviembre","Diciembre"},MONTH(F2996))))</f>
        <v>Septiembre</v>
      </c>
      <c r="N2996" s="18" t="str">
        <f t="shared" si="140"/>
        <v>Septiembre|165</v>
      </c>
    </row>
    <row r="2997" spans="1:14" ht="14.5" x14ac:dyDescent="0.25">
      <c r="A2997" s="19">
        <v>35</v>
      </c>
      <c r="B2997" s="18" t="s">
        <v>42</v>
      </c>
      <c r="C2997" s="18" t="s">
        <v>97</v>
      </c>
      <c r="D2997" s="18" t="s">
        <v>3412</v>
      </c>
      <c r="E2997" s="18" t="s">
        <v>3547</v>
      </c>
      <c r="F2997" s="101">
        <v>46290.111111111109</v>
      </c>
      <c r="G2997" s="101">
        <v>46292.470833333333</v>
      </c>
      <c r="H2997" s="18" t="s">
        <v>507</v>
      </c>
      <c r="I2997" s="18" t="s">
        <v>508</v>
      </c>
      <c r="J2997" s="18"/>
      <c r="K2997" s="21">
        <f t="shared" si="138"/>
        <v>56.633333333360497</v>
      </c>
      <c r="L2997" s="19">
        <f t="shared" si="139"/>
        <v>166</v>
      </c>
      <c r="M2997" s="18" t="str">
        <f>IF(I2997&lt;&gt;"Sí","",IF(YEAR(F2997)&lt;&gt;2026,"",INDEX({"Enero","Febrero","Marzo","Abril","Mayo","Junio","Julio","Agosto","Septiembre","Octubre","Noviembre","Diciembre"},MONTH(F2997))))</f>
        <v>Septiembre</v>
      </c>
      <c r="N2997" s="18" t="str">
        <f t="shared" si="140"/>
        <v>Septiembre|166</v>
      </c>
    </row>
    <row r="2998" spans="1:14" ht="14.5" x14ac:dyDescent="0.25">
      <c r="A2998" s="19">
        <v>35</v>
      </c>
      <c r="B2998" s="18" t="s">
        <v>42</v>
      </c>
      <c r="C2998" s="18" t="s">
        <v>97</v>
      </c>
      <c r="D2998" s="18" t="s">
        <v>3412</v>
      </c>
      <c r="E2998" s="18" t="s">
        <v>3548</v>
      </c>
      <c r="F2998" s="101">
        <v>46290.112500000003</v>
      </c>
      <c r="G2998" s="101">
        <v>46292.470833333333</v>
      </c>
      <c r="H2998" s="18" t="s">
        <v>507</v>
      </c>
      <c r="I2998" s="18" t="s">
        <v>508</v>
      </c>
      <c r="J2998" s="18"/>
      <c r="K2998" s="21">
        <f t="shared" si="138"/>
        <v>56.599999999918509</v>
      </c>
      <c r="L2998" s="19">
        <f t="shared" si="139"/>
        <v>167</v>
      </c>
      <c r="M2998" s="18" t="str">
        <f>IF(I2998&lt;&gt;"Sí","",IF(YEAR(F2998)&lt;&gt;2026,"",INDEX({"Enero","Febrero","Marzo","Abril","Mayo","Junio","Julio","Agosto","Septiembre","Octubre","Noviembre","Diciembre"},MONTH(F2998))))</f>
        <v>Septiembre</v>
      </c>
      <c r="N2998" s="18" t="str">
        <f t="shared" si="140"/>
        <v>Septiembre|167</v>
      </c>
    </row>
    <row r="2999" spans="1:14" ht="14.5" x14ac:dyDescent="0.25">
      <c r="A2999" s="19">
        <v>35</v>
      </c>
      <c r="B2999" s="18" t="s">
        <v>42</v>
      </c>
      <c r="C2999" s="18" t="s">
        <v>97</v>
      </c>
      <c r="D2999" s="18" t="s">
        <v>3412</v>
      </c>
      <c r="E2999" s="18" t="s">
        <v>3549</v>
      </c>
      <c r="F2999" s="101">
        <v>46290.115972222222</v>
      </c>
      <c r="G2999" s="101">
        <v>46292.580555555556</v>
      </c>
      <c r="H2999" s="18" t="s">
        <v>507</v>
      </c>
      <c r="I2999" s="18" t="s">
        <v>508</v>
      </c>
      <c r="J2999" s="18"/>
      <c r="K2999" s="21">
        <f t="shared" si="138"/>
        <v>59.150000000023283</v>
      </c>
      <c r="L2999" s="19">
        <f t="shared" si="139"/>
        <v>168</v>
      </c>
      <c r="M2999" s="18" t="str">
        <f>IF(I2999&lt;&gt;"Sí","",IF(YEAR(F2999)&lt;&gt;2026,"",INDEX({"Enero","Febrero","Marzo","Abril","Mayo","Junio","Julio","Agosto","Septiembre","Octubre","Noviembre","Diciembre"},MONTH(F2999))))</f>
        <v>Septiembre</v>
      </c>
      <c r="N2999" s="18" t="str">
        <f t="shared" si="140"/>
        <v>Septiembre|168</v>
      </c>
    </row>
    <row r="3000" spans="1:14" ht="14.5" x14ac:dyDescent="0.25">
      <c r="A3000" s="19">
        <v>35</v>
      </c>
      <c r="B3000" s="18" t="s">
        <v>42</v>
      </c>
      <c r="C3000" s="18" t="s">
        <v>97</v>
      </c>
      <c r="D3000" s="18" t="s">
        <v>3412</v>
      </c>
      <c r="E3000" s="18" t="s">
        <v>3550</v>
      </c>
      <c r="F3000" s="101">
        <v>46290.117361111108</v>
      </c>
      <c r="G3000" s="101">
        <v>46292.470833333333</v>
      </c>
      <c r="H3000" s="18" t="s">
        <v>507</v>
      </c>
      <c r="I3000" s="18" t="s">
        <v>508</v>
      </c>
      <c r="J3000" s="18"/>
      <c r="K3000" s="21">
        <f t="shared" si="138"/>
        <v>56.483333333395422</v>
      </c>
      <c r="L3000" s="19">
        <f t="shared" si="139"/>
        <v>169</v>
      </c>
      <c r="M3000" s="18" t="str">
        <f>IF(I3000&lt;&gt;"Sí","",IF(YEAR(F3000)&lt;&gt;2026,"",INDEX({"Enero","Febrero","Marzo","Abril","Mayo","Junio","Julio","Agosto","Septiembre","Octubre","Noviembre","Diciembre"},MONTH(F3000))))</f>
        <v>Septiembre</v>
      </c>
      <c r="N3000" s="18" t="str">
        <f t="shared" si="140"/>
        <v>Septiembre|169</v>
      </c>
    </row>
    <row r="3001" spans="1:14" ht="14.5" x14ac:dyDescent="0.25">
      <c r="A3001" s="19">
        <v>35</v>
      </c>
      <c r="B3001" s="18" t="s">
        <v>42</v>
      </c>
      <c r="C3001" s="18" t="s">
        <v>97</v>
      </c>
      <c r="D3001" s="18" t="s">
        <v>3412</v>
      </c>
      <c r="E3001" s="18" t="s">
        <v>3551</v>
      </c>
      <c r="F3001" s="101">
        <v>46290.118055555555</v>
      </c>
      <c r="G3001" s="101">
        <v>46292.470833333333</v>
      </c>
      <c r="H3001" s="18" t="s">
        <v>507</v>
      </c>
      <c r="I3001" s="18" t="s">
        <v>508</v>
      </c>
      <c r="J3001" s="18"/>
      <c r="K3001" s="21">
        <f t="shared" si="138"/>
        <v>56.466666666674428</v>
      </c>
      <c r="L3001" s="19">
        <f t="shared" si="139"/>
        <v>170</v>
      </c>
      <c r="M3001" s="18" t="str">
        <f>IF(I3001&lt;&gt;"Sí","",IF(YEAR(F3001)&lt;&gt;2026,"",INDEX({"Enero","Febrero","Marzo","Abril","Mayo","Junio","Julio","Agosto","Septiembre","Octubre","Noviembre","Diciembre"},MONTH(F3001))))</f>
        <v>Septiembre</v>
      </c>
      <c r="N3001" s="18" t="str">
        <f t="shared" si="140"/>
        <v>Septiembre|170</v>
      </c>
    </row>
    <row r="3002" spans="1:14" ht="14.5" x14ac:dyDescent="0.25">
      <c r="A3002" s="19">
        <v>35</v>
      </c>
      <c r="B3002" s="18" t="s">
        <v>42</v>
      </c>
      <c r="C3002" s="18" t="s">
        <v>97</v>
      </c>
      <c r="D3002" s="18" t="s">
        <v>3412</v>
      </c>
      <c r="E3002" s="18" t="s">
        <v>3552</v>
      </c>
      <c r="F3002" s="101">
        <v>46290.119444444441</v>
      </c>
      <c r="G3002" s="101">
        <v>46292.470833333333</v>
      </c>
      <c r="H3002" s="18" t="s">
        <v>507</v>
      </c>
      <c r="I3002" s="18" t="s">
        <v>508</v>
      </c>
      <c r="J3002" s="18"/>
      <c r="K3002" s="21">
        <f t="shared" si="138"/>
        <v>56.433333333407063</v>
      </c>
      <c r="L3002" s="19">
        <f t="shared" si="139"/>
        <v>171</v>
      </c>
      <c r="M3002" s="18" t="str">
        <f>IF(I3002&lt;&gt;"Sí","",IF(YEAR(F3002)&lt;&gt;2026,"",INDEX({"Enero","Febrero","Marzo","Abril","Mayo","Junio","Julio","Agosto","Septiembre","Octubre","Noviembre","Diciembre"},MONTH(F3002))))</f>
        <v>Septiembre</v>
      </c>
      <c r="N3002" s="18" t="str">
        <f t="shared" si="140"/>
        <v>Septiembre|171</v>
      </c>
    </row>
    <row r="3003" spans="1:14" ht="14.5" x14ac:dyDescent="0.25">
      <c r="A3003" s="19">
        <v>35</v>
      </c>
      <c r="B3003" s="18" t="s">
        <v>42</v>
      </c>
      <c r="C3003" s="18" t="s">
        <v>97</v>
      </c>
      <c r="D3003" s="18" t="s">
        <v>3412</v>
      </c>
      <c r="E3003" s="18" t="s">
        <v>3553</v>
      </c>
      <c r="F3003" s="101">
        <v>46290.122916666667</v>
      </c>
      <c r="G3003" s="101">
        <v>46292.470833333333</v>
      </c>
      <c r="H3003" s="18" t="s">
        <v>507</v>
      </c>
      <c r="I3003" s="18" t="s">
        <v>508</v>
      </c>
      <c r="J3003" s="18"/>
      <c r="K3003" s="21">
        <f t="shared" si="138"/>
        <v>56.349999999976717</v>
      </c>
      <c r="L3003" s="19">
        <f t="shared" si="139"/>
        <v>172</v>
      </c>
      <c r="M3003" s="18" t="str">
        <f>IF(I3003&lt;&gt;"Sí","",IF(YEAR(F3003)&lt;&gt;2026,"",INDEX({"Enero","Febrero","Marzo","Abril","Mayo","Junio","Julio","Agosto","Septiembre","Octubre","Noviembre","Diciembre"},MONTH(F3003))))</f>
        <v>Septiembre</v>
      </c>
      <c r="N3003" s="18" t="str">
        <f t="shared" si="140"/>
        <v>Septiembre|172</v>
      </c>
    </row>
    <row r="3004" spans="1:14" ht="14.5" x14ac:dyDescent="0.25">
      <c r="A3004" s="19">
        <v>35</v>
      </c>
      <c r="B3004" s="18" t="s">
        <v>42</v>
      </c>
      <c r="C3004" s="18" t="s">
        <v>97</v>
      </c>
      <c r="D3004" s="18" t="s">
        <v>3412</v>
      </c>
      <c r="E3004" s="18" t="s">
        <v>3554</v>
      </c>
      <c r="F3004" s="101">
        <v>46290.125</v>
      </c>
      <c r="G3004" s="101">
        <v>46292.470833333333</v>
      </c>
      <c r="H3004" s="18" t="s">
        <v>507</v>
      </c>
      <c r="I3004" s="18" t="s">
        <v>508</v>
      </c>
      <c r="J3004" s="18"/>
      <c r="K3004" s="21">
        <f t="shared" si="138"/>
        <v>56.299999999988358</v>
      </c>
      <c r="L3004" s="19">
        <f t="shared" si="139"/>
        <v>173</v>
      </c>
      <c r="M3004" s="18" t="str">
        <f>IF(I3004&lt;&gt;"Sí","",IF(YEAR(F3004)&lt;&gt;2026,"",INDEX({"Enero","Febrero","Marzo","Abril","Mayo","Junio","Julio","Agosto","Septiembre","Octubre","Noviembre","Diciembre"},MONTH(F3004))))</f>
        <v>Septiembre</v>
      </c>
      <c r="N3004" s="18" t="str">
        <f t="shared" si="140"/>
        <v>Septiembre|173</v>
      </c>
    </row>
    <row r="3005" spans="1:14" ht="14.5" x14ac:dyDescent="0.25">
      <c r="A3005" s="19">
        <v>35</v>
      </c>
      <c r="B3005" s="18" t="s">
        <v>42</v>
      </c>
      <c r="C3005" s="18" t="s">
        <v>97</v>
      </c>
      <c r="D3005" s="18" t="s">
        <v>3412</v>
      </c>
      <c r="E3005" s="18" t="s">
        <v>3555</v>
      </c>
      <c r="F3005" s="101">
        <v>46290.126388888886</v>
      </c>
      <c r="G3005" s="101">
        <v>46292.470833333333</v>
      </c>
      <c r="H3005" s="18" t="s">
        <v>507</v>
      </c>
      <c r="I3005" s="18" t="s">
        <v>508</v>
      </c>
      <c r="J3005" s="18"/>
      <c r="K3005" s="21">
        <f t="shared" si="138"/>
        <v>56.266666666720994</v>
      </c>
      <c r="L3005" s="19">
        <f t="shared" si="139"/>
        <v>174</v>
      </c>
      <c r="M3005" s="18" t="str">
        <f>IF(I3005&lt;&gt;"Sí","",IF(YEAR(F3005)&lt;&gt;2026,"",INDEX({"Enero","Febrero","Marzo","Abril","Mayo","Junio","Julio","Agosto","Septiembre","Octubre","Noviembre","Diciembre"},MONTH(F3005))))</f>
        <v>Septiembre</v>
      </c>
      <c r="N3005" s="18" t="str">
        <f t="shared" si="140"/>
        <v>Septiembre|174</v>
      </c>
    </row>
    <row r="3006" spans="1:14" ht="14.5" x14ac:dyDescent="0.25">
      <c r="A3006" s="19">
        <v>35</v>
      </c>
      <c r="B3006" s="18" t="s">
        <v>42</v>
      </c>
      <c r="C3006" s="18" t="s">
        <v>97</v>
      </c>
      <c r="D3006" s="18" t="s">
        <v>3412</v>
      </c>
      <c r="E3006" s="18" t="s">
        <v>3556</v>
      </c>
      <c r="F3006" s="101">
        <v>46290.152083333334</v>
      </c>
      <c r="G3006" s="101">
        <v>46292.470833333333</v>
      </c>
      <c r="H3006" s="18" t="s">
        <v>507</v>
      </c>
      <c r="I3006" s="18" t="s">
        <v>508</v>
      </c>
      <c r="J3006" s="18"/>
      <c r="K3006" s="21">
        <f t="shared" si="138"/>
        <v>55.649999999965075</v>
      </c>
      <c r="L3006" s="19">
        <f t="shared" si="139"/>
        <v>175</v>
      </c>
      <c r="M3006" s="18" t="str">
        <f>IF(I3006&lt;&gt;"Sí","",IF(YEAR(F3006)&lt;&gt;2026,"",INDEX({"Enero","Febrero","Marzo","Abril","Mayo","Junio","Julio","Agosto","Septiembre","Octubre","Noviembre","Diciembre"},MONTH(F3006))))</f>
        <v>Septiembre</v>
      </c>
      <c r="N3006" s="18" t="str">
        <f t="shared" si="140"/>
        <v>Septiembre|175</v>
      </c>
    </row>
    <row r="3007" spans="1:14" ht="14.5" x14ac:dyDescent="0.25">
      <c r="A3007" s="19">
        <v>35</v>
      </c>
      <c r="B3007" s="18" t="s">
        <v>42</v>
      </c>
      <c r="C3007" s="18" t="s">
        <v>97</v>
      </c>
      <c r="D3007" s="18" t="s">
        <v>3412</v>
      </c>
      <c r="E3007" s="18" t="s">
        <v>3557</v>
      </c>
      <c r="F3007" s="101">
        <v>46290.152777777781</v>
      </c>
      <c r="G3007" s="101">
        <v>46292.470833333333</v>
      </c>
      <c r="H3007" s="18" t="s">
        <v>507</v>
      </c>
      <c r="I3007" s="18" t="s">
        <v>508</v>
      </c>
      <c r="J3007" s="18"/>
      <c r="K3007" s="21">
        <f t="shared" si="138"/>
        <v>55.633333333244082</v>
      </c>
      <c r="L3007" s="19">
        <f t="shared" si="139"/>
        <v>176</v>
      </c>
      <c r="M3007" s="18" t="str">
        <f>IF(I3007&lt;&gt;"Sí","",IF(YEAR(F3007)&lt;&gt;2026,"",INDEX({"Enero","Febrero","Marzo","Abril","Mayo","Junio","Julio","Agosto","Septiembre","Octubre","Noviembre","Diciembre"},MONTH(F3007))))</f>
        <v>Septiembre</v>
      </c>
      <c r="N3007" s="18" t="str">
        <f t="shared" si="140"/>
        <v>Septiembre|176</v>
      </c>
    </row>
    <row r="3008" spans="1:14" ht="14.5" x14ac:dyDescent="0.25">
      <c r="A3008" s="19">
        <v>35</v>
      </c>
      <c r="B3008" s="18" t="s">
        <v>42</v>
      </c>
      <c r="C3008" s="18" t="s">
        <v>97</v>
      </c>
      <c r="D3008" s="18" t="s">
        <v>3412</v>
      </c>
      <c r="E3008" s="18" t="s">
        <v>3558</v>
      </c>
      <c r="F3008" s="101">
        <v>46290.154166666667</v>
      </c>
      <c r="G3008" s="101">
        <v>46292.470833333333</v>
      </c>
      <c r="H3008" s="18" t="s">
        <v>507</v>
      </c>
      <c r="I3008" s="18" t="s">
        <v>508</v>
      </c>
      <c r="J3008" s="18"/>
      <c r="K3008" s="21">
        <f t="shared" si="138"/>
        <v>55.599999999976717</v>
      </c>
      <c r="L3008" s="19">
        <f t="shared" si="139"/>
        <v>177</v>
      </c>
      <c r="M3008" s="18" t="str">
        <f>IF(I3008&lt;&gt;"Sí","",IF(YEAR(F3008)&lt;&gt;2026,"",INDEX({"Enero","Febrero","Marzo","Abril","Mayo","Junio","Julio","Agosto","Septiembre","Octubre","Noviembre","Diciembre"},MONTH(F3008))))</f>
        <v>Septiembre</v>
      </c>
      <c r="N3008" s="18" t="str">
        <f t="shared" si="140"/>
        <v>Septiembre|177</v>
      </c>
    </row>
    <row r="3009" spans="1:14" ht="14.5" x14ac:dyDescent="0.25">
      <c r="A3009" s="19">
        <v>35</v>
      </c>
      <c r="B3009" s="18" t="s">
        <v>42</v>
      </c>
      <c r="C3009" s="18" t="s">
        <v>97</v>
      </c>
      <c r="D3009" s="18" t="s">
        <v>3412</v>
      </c>
      <c r="E3009" s="18" t="s">
        <v>3559</v>
      </c>
      <c r="F3009" s="101">
        <v>46290.15625</v>
      </c>
      <c r="G3009" s="101">
        <v>46292.413194444445</v>
      </c>
      <c r="H3009" s="18" t="s">
        <v>507</v>
      </c>
      <c r="I3009" s="18" t="s">
        <v>508</v>
      </c>
      <c r="J3009" s="18"/>
      <c r="K3009" s="21">
        <f t="shared" si="138"/>
        <v>54.166666666686069</v>
      </c>
      <c r="L3009" s="19">
        <f t="shared" si="139"/>
        <v>178</v>
      </c>
      <c r="M3009" s="18" t="str">
        <f>IF(I3009&lt;&gt;"Sí","",IF(YEAR(F3009)&lt;&gt;2026,"",INDEX({"Enero","Febrero","Marzo","Abril","Mayo","Junio","Julio","Agosto","Septiembre","Octubre","Noviembre","Diciembre"},MONTH(F3009))))</f>
        <v>Septiembre</v>
      </c>
      <c r="N3009" s="18" t="str">
        <f t="shared" si="140"/>
        <v>Septiembre|178</v>
      </c>
    </row>
    <row r="3010" spans="1:14" ht="14.5" x14ac:dyDescent="0.25">
      <c r="A3010" s="19">
        <v>35</v>
      </c>
      <c r="B3010" s="18" t="s">
        <v>42</v>
      </c>
      <c r="C3010" s="18" t="s">
        <v>97</v>
      </c>
      <c r="D3010" s="18" t="s">
        <v>3412</v>
      </c>
      <c r="E3010" s="18" t="s">
        <v>3560</v>
      </c>
      <c r="F3010" s="101">
        <v>46290.158333333333</v>
      </c>
      <c r="G3010" s="101">
        <v>46292.413194444445</v>
      </c>
      <c r="H3010" s="18" t="s">
        <v>507</v>
      </c>
      <c r="I3010" s="18" t="s">
        <v>508</v>
      </c>
      <c r="J3010" s="18"/>
      <c r="K3010" s="21">
        <f t="shared" si="138"/>
        <v>54.116666666697711</v>
      </c>
      <c r="L3010" s="19">
        <f t="shared" si="139"/>
        <v>179</v>
      </c>
      <c r="M3010" s="18" t="str">
        <f>IF(I3010&lt;&gt;"Sí","",IF(YEAR(F3010)&lt;&gt;2026,"",INDEX({"Enero","Febrero","Marzo","Abril","Mayo","Junio","Julio","Agosto","Septiembre","Octubre","Noviembre","Diciembre"},MONTH(F3010))))</f>
        <v>Septiembre</v>
      </c>
      <c r="N3010" s="18" t="str">
        <f t="shared" si="140"/>
        <v>Septiembre|179</v>
      </c>
    </row>
    <row r="3011" spans="1:14" ht="14.5" x14ac:dyDescent="0.25">
      <c r="A3011" s="19">
        <v>35</v>
      </c>
      <c r="B3011" s="18" t="s">
        <v>42</v>
      </c>
      <c r="C3011" s="18" t="s">
        <v>97</v>
      </c>
      <c r="D3011" s="18" t="s">
        <v>3412</v>
      </c>
      <c r="E3011" s="18" t="s">
        <v>3561</v>
      </c>
      <c r="F3011" s="101">
        <v>46290.163194444445</v>
      </c>
      <c r="G3011" s="101">
        <v>46292.099305555559</v>
      </c>
      <c r="H3011" s="18" t="s">
        <v>507</v>
      </c>
      <c r="I3011" s="18" t="s">
        <v>508</v>
      </c>
      <c r="J3011" s="18"/>
      <c r="K3011" s="21">
        <f t="shared" si="138"/>
        <v>46.466666666732635</v>
      </c>
      <c r="L3011" s="19">
        <f t="shared" si="139"/>
        <v>180</v>
      </c>
      <c r="M3011" s="18" t="str">
        <f>IF(I3011&lt;&gt;"Sí","",IF(YEAR(F3011)&lt;&gt;2026,"",INDEX({"Enero","Febrero","Marzo","Abril","Mayo","Junio","Julio","Agosto","Septiembre","Octubre","Noviembre","Diciembre"},MONTH(F3011))))</f>
        <v>Septiembre</v>
      </c>
      <c r="N3011" s="18" t="str">
        <f t="shared" si="140"/>
        <v>Septiembre|180</v>
      </c>
    </row>
    <row r="3012" spans="1:14" ht="14.5" x14ac:dyDescent="0.25">
      <c r="A3012" s="19">
        <v>35</v>
      </c>
      <c r="B3012" s="18" t="s">
        <v>42</v>
      </c>
      <c r="C3012" s="18" t="s">
        <v>97</v>
      </c>
      <c r="D3012" s="18" t="s">
        <v>3412</v>
      </c>
      <c r="E3012" s="18" t="s">
        <v>3562</v>
      </c>
      <c r="F3012" s="101">
        <v>46290.168055555558</v>
      </c>
      <c r="G3012" s="101">
        <v>46292.099305555559</v>
      </c>
      <c r="H3012" s="18" t="s">
        <v>507</v>
      </c>
      <c r="I3012" s="18" t="s">
        <v>508</v>
      </c>
      <c r="J3012" s="18"/>
      <c r="K3012" s="21">
        <f t="shared" si="138"/>
        <v>46.350000000034925</v>
      </c>
      <c r="L3012" s="19">
        <f t="shared" si="139"/>
        <v>181</v>
      </c>
      <c r="M3012" s="18" t="str">
        <f>IF(I3012&lt;&gt;"Sí","",IF(YEAR(F3012)&lt;&gt;2026,"",INDEX({"Enero","Febrero","Marzo","Abril","Mayo","Junio","Julio","Agosto","Septiembre","Octubre","Noviembre","Diciembre"},MONTH(F3012))))</f>
        <v>Septiembre</v>
      </c>
      <c r="N3012" s="18" t="str">
        <f t="shared" si="140"/>
        <v>Septiembre|181</v>
      </c>
    </row>
    <row r="3013" spans="1:14" ht="14.5" x14ac:dyDescent="0.25">
      <c r="A3013" s="19">
        <v>35</v>
      </c>
      <c r="B3013" s="18" t="s">
        <v>42</v>
      </c>
      <c r="C3013" s="18" t="s">
        <v>97</v>
      </c>
      <c r="D3013" s="18" t="s">
        <v>3412</v>
      </c>
      <c r="E3013" s="18" t="s">
        <v>3563</v>
      </c>
      <c r="F3013" s="101">
        <v>46290.178472222222</v>
      </c>
      <c r="G3013" s="101">
        <v>46292.099305555559</v>
      </c>
      <c r="H3013" s="18" t="s">
        <v>507</v>
      </c>
      <c r="I3013" s="18" t="s">
        <v>508</v>
      </c>
      <c r="J3013" s="18"/>
      <c r="K3013" s="21">
        <f t="shared" si="138"/>
        <v>46.100000000093132</v>
      </c>
      <c r="L3013" s="19">
        <f t="shared" si="139"/>
        <v>182</v>
      </c>
      <c r="M3013" s="18" t="str">
        <f>IF(I3013&lt;&gt;"Sí","",IF(YEAR(F3013)&lt;&gt;2026,"",INDEX({"Enero","Febrero","Marzo","Abril","Mayo","Junio","Julio","Agosto","Septiembre","Octubre","Noviembre","Diciembre"},MONTH(F3013))))</f>
        <v>Septiembre</v>
      </c>
      <c r="N3013" s="18" t="str">
        <f t="shared" si="140"/>
        <v>Septiembre|182</v>
      </c>
    </row>
    <row r="3014" spans="1:14" ht="14.5" x14ac:dyDescent="0.25">
      <c r="A3014" s="19">
        <v>35</v>
      </c>
      <c r="B3014" s="18" t="s">
        <v>42</v>
      </c>
      <c r="C3014" s="18" t="s">
        <v>97</v>
      </c>
      <c r="D3014" s="18" t="s">
        <v>3412</v>
      </c>
      <c r="E3014" s="18" t="s">
        <v>3564</v>
      </c>
      <c r="F3014" s="101">
        <v>46290.179861111108</v>
      </c>
      <c r="G3014" s="101">
        <v>46292.099305555559</v>
      </c>
      <c r="H3014" s="18" t="s">
        <v>507</v>
      </c>
      <c r="I3014" s="18" t="s">
        <v>508</v>
      </c>
      <c r="J3014" s="18"/>
      <c r="K3014" s="21">
        <f t="shared" si="138"/>
        <v>46.066666666825768</v>
      </c>
      <c r="L3014" s="19">
        <f t="shared" si="139"/>
        <v>183</v>
      </c>
      <c r="M3014" s="18" t="str">
        <f>IF(I3014&lt;&gt;"Sí","",IF(YEAR(F3014)&lt;&gt;2026,"",INDEX({"Enero","Febrero","Marzo","Abril","Mayo","Junio","Julio","Agosto","Septiembre","Octubre","Noviembre","Diciembre"},MONTH(F3014))))</f>
        <v>Septiembre</v>
      </c>
      <c r="N3014" s="18" t="str">
        <f t="shared" si="140"/>
        <v>Septiembre|183</v>
      </c>
    </row>
    <row r="3015" spans="1:14" ht="14.5" x14ac:dyDescent="0.25">
      <c r="A3015" s="19">
        <v>35</v>
      </c>
      <c r="B3015" s="18" t="s">
        <v>42</v>
      </c>
      <c r="C3015" s="18" t="s">
        <v>97</v>
      </c>
      <c r="D3015" s="18" t="s">
        <v>3412</v>
      </c>
      <c r="E3015" s="18" t="s">
        <v>3565</v>
      </c>
      <c r="F3015" s="101">
        <v>46290.181250000001</v>
      </c>
      <c r="G3015" s="101">
        <v>46292.099305555559</v>
      </c>
      <c r="H3015" s="18" t="s">
        <v>507</v>
      </c>
      <c r="I3015" s="18" t="s">
        <v>508</v>
      </c>
      <c r="J3015" s="18"/>
      <c r="K3015" s="21">
        <f t="shared" ref="K3015:K3078" si="141">IF(I3015="Sí",(G3015-F3015)*24,"")</f>
        <v>46.03333333338378</v>
      </c>
      <c r="L3015" s="19">
        <f t="shared" ref="L3015:L3078" si="142">IF(I3015="Sí",COUNTIFS($F$7:$F$4000,"&lt;="&amp;F3015,$G$7:$G$4000,"&gt;"&amp;F3015,$I$7:$I$4000,"Sí"),"")</f>
        <v>184</v>
      </c>
      <c r="M3015" s="18" t="str">
        <f>IF(I3015&lt;&gt;"Sí","",IF(YEAR(F3015)&lt;&gt;2026,"",INDEX({"Enero","Febrero","Marzo","Abril","Mayo","Junio","Julio","Agosto","Septiembre","Octubre","Noviembre","Diciembre"},MONTH(F3015))))</f>
        <v>Septiembre</v>
      </c>
      <c r="N3015" s="18" t="str">
        <f t="shared" ref="N3015:N3078" si="143">IF(M3015="","",M3015&amp;"|"&amp;L3015)</f>
        <v>Septiembre|184</v>
      </c>
    </row>
    <row r="3016" spans="1:14" ht="14.5" x14ac:dyDescent="0.25">
      <c r="A3016" s="19">
        <v>35</v>
      </c>
      <c r="B3016" s="18" t="s">
        <v>42</v>
      </c>
      <c r="C3016" s="18" t="s">
        <v>97</v>
      </c>
      <c r="D3016" s="18" t="s">
        <v>3412</v>
      </c>
      <c r="E3016" s="18" t="s">
        <v>3566</v>
      </c>
      <c r="F3016" s="101">
        <v>46290.181944444441</v>
      </c>
      <c r="G3016" s="101">
        <v>46292.099305555559</v>
      </c>
      <c r="H3016" s="18" t="s">
        <v>507</v>
      </c>
      <c r="I3016" s="18" t="s">
        <v>508</v>
      </c>
      <c r="J3016" s="18"/>
      <c r="K3016" s="21">
        <f t="shared" si="141"/>
        <v>46.016666666837409</v>
      </c>
      <c r="L3016" s="19">
        <f t="shared" si="142"/>
        <v>185</v>
      </c>
      <c r="M3016" s="18" t="str">
        <f>IF(I3016&lt;&gt;"Sí","",IF(YEAR(F3016)&lt;&gt;2026,"",INDEX({"Enero","Febrero","Marzo","Abril","Mayo","Junio","Julio","Agosto","Septiembre","Octubre","Noviembre","Diciembre"},MONTH(F3016))))</f>
        <v>Septiembre</v>
      </c>
      <c r="N3016" s="18" t="str">
        <f t="shared" si="143"/>
        <v>Septiembre|185</v>
      </c>
    </row>
    <row r="3017" spans="1:14" ht="14.5" x14ac:dyDescent="0.25">
      <c r="A3017" s="19">
        <v>35</v>
      </c>
      <c r="B3017" s="18" t="s">
        <v>42</v>
      </c>
      <c r="C3017" s="18" t="s">
        <v>97</v>
      </c>
      <c r="D3017" s="18" t="s">
        <v>3412</v>
      </c>
      <c r="E3017" s="18" t="s">
        <v>3567</v>
      </c>
      <c r="F3017" s="101">
        <v>46290.195138888892</v>
      </c>
      <c r="G3017" s="101">
        <v>46292.099305555559</v>
      </c>
      <c r="H3017" s="18" t="s">
        <v>507</v>
      </c>
      <c r="I3017" s="18" t="s">
        <v>508</v>
      </c>
      <c r="J3017" s="18"/>
      <c r="K3017" s="21">
        <f t="shared" si="141"/>
        <v>45.700000000011642</v>
      </c>
      <c r="L3017" s="19">
        <f t="shared" si="142"/>
        <v>186</v>
      </c>
      <c r="M3017" s="18" t="str">
        <f>IF(I3017&lt;&gt;"Sí","",IF(YEAR(F3017)&lt;&gt;2026,"",INDEX({"Enero","Febrero","Marzo","Abril","Mayo","Junio","Julio","Agosto","Septiembre","Octubre","Noviembre","Diciembre"},MONTH(F3017))))</f>
        <v>Septiembre</v>
      </c>
      <c r="N3017" s="18" t="str">
        <f t="shared" si="143"/>
        <v>Septiembre|186</v>
      </c>
    </row>
    <row r="3018" spans="1:14" ht="14.5" x14ac:dyDescent="0.25">
      <c r="A3018" s="19">
        <v>35</v>
      </c>
      <c r="B3018" s="18" t="s">
        <v>42</v>
      </c>
      <c r="C3018" s="18" t="s">
        <v>97</v>
      </c>
      <c r="D3018" s="18" t="s">
        <v>3412</v>
      </c>
      <c r="E3018" s="18" t="s">
        <v>3568</v>
      </c>
      <c r="F3018" s="101">
        <v>46290.195833333331</v>
      </c>
      <c r="G3018" s="101">
        <v>46292.099305555559</v>
      </c>
      <c r="H3018" s="18" t="s">
        <v>507</v>
      </c>
      <c r="I3018" s="18" t="s">
        <v>508</v>
      </c>
      <c r="J3018" s="18"/>
      <c r="K3018" s="21">
        <f t="shared" si="141"/>
        <v>45.683333333465271</v>
      </c>
      <c r="L3018" s="19">
        <f t="shared" si="142"/>
        <v>187</v>
      </c>
      <c r="M3018" s="18" t="str">
        <f>IF(I3018&lt;&gt;"Sí","",IF(YEAR(F3018)&lt;&gt;2026,"",INDEX({"Enero","Febrero","Marzo","Abril","Mayo","Junio","Julio","Agosto","Septiembre","Octubre","Noviembre","Diciembre"},MONTH(F3018))))</f>
        <v>Septiembre</v>
      </c>
      <c r="N3018" s="18" t="str">
        <f t="shared" si="143"/>
        <v>Septiembre|187</v>
      </c>
    </row>
    <row r="3019" spans="1:14" ht="14.5" x14ac:dyDescent="0.25">
      <c r="A3019" s="19">
        <v>35</v>
      </c>
      <c r="B3019" s="18" t="s">
        <v>42</v>
      </c>
      <c r="C3019" s="18" t="s">
        <v>97</v>
      </c>
      <c r="D3019" s="18" t="s">
        <v>3412</v>
      </c>
      <c r="E3019" s="18" t="s">
        <v>3569</v>
      </c>
      <c r="F3019" s="101">
        <v>46290.198611111111</v>
      </c>
      <c r="G3019" s="101">
        <v>46292.099305555559</v>
      </c>
      <c r="H3019" s="18" t="s">
        <v>507</v>
      </c>
      <c r="I3019" s="18" t="s">
        <v>508</v>
      </c>
      <c r="J3019" s="18"/>
      <c r="K3019" s="21">
        <f t="shared" si="141"/>
        <v>45.616666666755918</v>
      </c>
      <c r="L3019" s="19">
        <f t="shared" si="142"/>
        <v>188</v>
      </c>
      <c r="M3019" s="18" t="str">
        <f>IF(I3019&lt;&gt;"Sí","",IF(YEAR(F3019)&lt;&gt;2026,"",INDEX({"Enero","Febrero","Marzo","Abril","Mayo","Junio","Julio","Agosto","Septiembre","Octubre","Noviembre","Diciembre"},MONTH(F3019))))</f>
        <v>Septiembre</v>
      </c>
      <c r="N3019" s="18" t="str">
        <f t="shared" si="143"/>
        <v>Septiembre|188</v>
      </c>
    </row>
    <row r="3020" spans="1:14" ht="14.5" x14ac:dyDescent="0.25">
      <c r="A3020" s="19">
        <v>35</v>
      </c>
      <c r="B3020" s="18" t="s">
        <v>42</v>
      </c>
      <c r="C3020" s="18" t="s">
        <v>97</v>
      </c>
      <c r="D3020" s="18" t="s">
        <v>3412</v>
      </c>
      <c r="E3020" s="18" t="s">
        <v>3570</v>
      </c>
      <c r="F3020" s="101">
        <v>46290.199305555558</v>
      </c>
      <c r="G3020" s="101">
        <v>46292.099305555559</v>
      </c>
      <c r="H3020" s="18" t="s">
        <v>507</v>
      </c>
      <c r="I3020" s="18" t="s">
        <v>508</v>
      </c>
      <c r="J3020" s="18"/>
      <c r="K3020" s="21">
        <f t="shared" si="141"/>
        <v>45.600000000034925</v>
      </c>
      <c r="L3020" s="19">
        <f t="shared" si="142"/>
        <v>189</v>
      </c>
      <c r="M3020" s="18" t="str">
        <f>IF(I3020&lt;&gt;"Sí","",IF(YEAR(F3020)&lt;&gt;2026,"",INDEX({"Enero","Febrero","Marzo","Abril","Mayo","Junio","Julio","Agosto","Septiembre","Octubre","Noviembre","Diciembre"},MONTH(F3020))))</f>
        <v>Septiembre</v>
      </c>
      <c r="N3020" s="18" t="str">
        <f t="shared" si="143"/>
        <v>Septiembre|189</v>
      </c>
    </row>
    <row r="3021" spans="1:14" ht="14.5" x14ac:dyDescent="0.25">
      <c r="A3021" s="19">
        <v>35</v>
      </c>
      <c r="B3021" s="18" t="s">
        <v>42</v>
      </c>
      <c r="C3021" s="18" t="s">
        <v>97</v>
      </c>
      <c r="D3021" s="18" t="s">
        <v>3412</v>
      </c>
      <c r="E3021" s="18" t="s">
        <v>3571</v>
      </c>
      <c r="F3021" s="101">
        <v>46290.201388888891</v>
      </c>
      <c r="G3021" s="101">
        <v>46292.099305555559</v>
      </c>
      <c r="H3021" s="18" t="s">
        <v>507</v>
      </c>
      <c r="I3021" s="18" t="s">
        <v>508</v>
      </c>
      <c r="J3021" s="18"/>
      <c r="K3021" s="21">
        <f t="shared" si="141"/>
        <v>45.550000000046566</v>
      </c>
      <c r="L3021" s="19">
        <f t="shared" si="142"/>
        <v>190</v>
      </c>
      <c r="M3021" s="18" t="str">
        <f>IF(I3021&lt;&gt;"Sí","",IF(YEAR(F3021)&lt;&gt;2026,"",INDEX({"Enero","Febrero","Marzo","Abril","Mayo","Junio","Julio","Agosto","Septiembre","Octubre","Noviembre","Diciembre"},MONTH(F3021))))</f>
        <v>Septiembre</v>
      </c>
      <c r="N3021" s="18" t="str">
        <f t="shared" si="143"/>
        <v>Septiembre|190</v>
      </c>
    </row>
    <row r="3022" spans="1:14" ht="14.5" x14ac:dyDescent="0.25">
      <c r="A3022" s="19">
        <v>35</v>
      </c>
      <c r="B3022" s="18" t="s">
        <v>42</v>
      </c>
      <c r="C3022" s="18" t="s">
        <v>97</v>
      </c>
      <c r="D3022" s="18" t="s">
        <v>3412</v>
      </c>
      <c r="E3022" s="18" t="s">
        <v>3572</v>
      </c>
      <c r="F3022" s="101">
        <v>46290.202777777777</v>
      </c>
      <c r="G3022" s="101">
        <v>46292.099305555559</v>
      </c>
      <c r="H3022" s="18" t="s">
        <v>507</v>
      </c>
      <c r="I3022" s="18" t="s">
        <v>508</v>
      </c>
      <c r="J3022" s="18"/>
      <c r="K3022" s="21">
        <f t="shared" si="141"/>
        <v>45.516666666779201</v>
      </c>
      <c r="L3022" s="19">
        <f t="shared" si="142"/>
        <v>191</v>
      </c>
      <c r="M3022" s="18" t="str">
        <f>IF(I3022&lt;&gt;"Sí","",IF(YEAR(F3022)&lt;&gt;2026,"",INDEX({"Enero","Febrero","Marzo","Abril","Mayo","Junio","Julio","Agosto","Septiembre","Octubre","Noviembre","Diciembre"},MONTH(F3022))))</f>
        <v>Septiembre</v>
      </c>
      <c r="N3022" s="18" t="str">
        <f t="shared" si="143"/>
        <v>Septiembre|191</v>
      </c>
    </row>
    <row r="3023" spans="1:14" ht="14.5" x14ac:dyDescent="0.25">
      <c r="A3023" s="19">
        <v>35</v>
      </c>
      <c r="B3023" s="18" t="s">
        <v>42</v>
      </c>
      <c r="C3023" s="18" t="s">
        <v>97</v>
      </c>
      <c r="D3023" s="18" t="s">
        <v>3412</v>
      </c>
      <c r="E3023" s="18" t="s">
        <v>3573</v>
      </c>
      <c r="F3023" s="101">
        <v>46290.205555555556</v>
      </c>
      <c r="G3023" s="101">
        <v>46292.099305555559</v>
      </c>
      <c r="H3023" s="18" t="s">
        <v>507</v>
      </c>
      <c r="I3023" s="18" t="s">
        <v>508</v>
      </c>
      <c r="J3023" s="18"/>
      <c r="K3023" s="21">
        <f t="shared" si="141"/>
        <v>45.450000000069849</v>
      </c>
      <c r="L3023" s="19">
        <f t="shared" si="142"/>
        <v>192</v>
      </c>
      <c r="M3023" s="18" t="str">
        <f>IF(I3023&lt;&gt;"Sí","",IF(YEAR(F3023)&lt;&gt;2026,"",INDEX({"Enero","Febrero","Marzo","Abril","Mayo","Junio","Julio","Agosto","Septiembre","Octubre","Noviembre","Diciembre"},MONTH(F3023))))</f>
        <v>Septiembre</v>
      </c>
      <c r="N3023" s="18" t="str">
        <f t="shared" si="143"/>
        <v>Septiembre|192</v>
      </c>
    </row>
    <row r="3024" spans="1:14" ht="14.5" x14ac:dyDescent="0.25">
      <c r="A3024" s="19">
        <v>35</v>
      </c>
      <c r="B3024" s="18" t="s">
        <v>42</v>
      </c>
      <c r="C3024" s="18" t="s">
        <v>97</v>
      </c>
      <c r="D3024" s="18" t="s">
        <v>3412</v>
      </c>
      <c r="E3024" s="18" t="s">
        <v>3574</v>
      </c>
      <c r="F3024" s="101">
        <v>46290.209027777775</v>
      </c>
      <c r="G3024" s="101">
        <v>46292.580555555556</v>
      </c>
      <c r="H3024" s="18" t="s">
        <v>507</v>
      </c>
      <c r="I3024" s="18" t="s">
        <v>508</v>
      </c>
      <c r="J3024" s="18"/>
      <c r="K3024" s="21">
        <f t="shared" si="141"/>
        <v>56.916666666744277</v>
      </c>
      <c r="L3024" s="19">
        <f t="shared" si="142"/>
        <v>193</v>
      </c>
      <c r="M3024" s="18" t="str">
        <f>IF(I3024&lt;&gt;"Sí","",IF(YEAR(F3024)&lt;&gt;2026,"",INDEX({"Enero","Febrero","Marzo","Abril","Mayo","Junio","Julio","Agosto","Septiembre","Octubre","Noviembre","Diciembre"},MONTH(F3024))))</f>
        <v>Septiembre</v>
      </c>
      <c r="N3024" s="18" t="str">
        <f t="shared" si="143"/>
        <v>Septiembre|193</v>
      </c>
    </row>
    <row r="3025" spans="1:14" ht="14.5" x14ac:dyDescent="0.25">
      <c r="A3025" s="19">
        <v>35</v>
      </c>
      <c r="B3025" s="18" t="s">
        <v>42</v>
      </c>
      <c r="C3025" s="18" t="s">
        <v>97</v>
      </c>
      <c r="D3025" s="18" t="s">
        <v>3412</v>
      </c>
      <c r="E3025" s="18" t="s">
        <v>3575</v>
      </c>
      <c r="F3025" s="101">
        <v>46290.211111111108</v>
      </c>
      <c r="G3025" s="101">
        <v>46292.580555555556</v>
      </c>
      <c r="H3025" s="18" t="s">
        <v>507</v>
      </c>
      <c r="I3025" s="18" t="s">
        <v>508</v>
      </c>
      <c r="J3025" s="18"/>
      <c r="K3025" s="21">
        <f t="shared" si="141"/>
        <v>56.866666666755918</v>
      </c>
      <c r="L3025" s="19">
        <f t="shared" si="142"/>
        <v>194</v>
      </c>
      <c r="M3025" s="18" t="str">
        <f>IF(I3025&lt;&gt;"Sí","",IF(YEAR(F3025)&lt;&gt;2026,"",INDEX({"Enero","Febrero","Marzo","Abril","Mayo","Junio","Julio","Agosto","Septiembre","Octubre","Noviembre","Diciembre"},MONTH(F3025))))</f>
        <v>Septiembre</v>
      </c>
      <c r="N3025" s="18" t="str">
        <f t="shared" si="143"/>
        <v>Septiembre|194</v>
      </c>
    </row>
    <row r="3026" spans="1:14" ht="14.5" x14ac:dyDescent="0.25">
      <c r="A3026" s="19">
        <v>35</v>
      </c>
      <c r="B3026" s="18" t="s">
        <v>42</v>
      </c>
      <c r="C3026" s="18" t="s">
        <v>97</v>
      </c>
      <c r="D3026" s="18" t="s">
        <v>3412</v>
      </c>
      <c r="E3026" s="18" t="s">
        <v>3576</v>
      </c>
      <c r="F3026" s="101">
        <v>46290.385416666664</v>
      </c>
      <c r="G3026" s="101">
        <v>46292.413194444445</v>
      </c>
      <c r="H3026" s="18" t="s">
        <v>507</v>
      </c>
      <c r="I3026" s="18" t="s">
        <v>508</v>
      </c>
      <c r="J3026" s="18"/>
      <c r="K3026" s="21">
        <f t="shared" si="141"/>
        <v>48.666666666744277</v>
      </c>
      <c r="L3026" s="19">
        <f t="shared" si="142"/>
        <v>195</v>
      </c>
      <c r="M3026" s="18" t="str">
        <f>IF(I3026&lt;&gt;"Sí","",IF(YEAR(F3026)&lt;&gt;2026,"",INDEX({"Enero","Febrero","Marzo","Abril","Mayo","Junio","Julio","Agosto","Septiembre","Octubre","Noviembre","Diciembre"},MONTH(F3026))))</f>
        <v>Septiembre</v>
      </c>
      <c r="N3026" s="18" t="str">
        <f t="shared" si="143"/>
        <v>Septiembre|195</v>
      </c>
    </row>
    <row r="3027" spans="1:14" ht="14.5" x14ac:dyDescent="0.25">
      <c r="A3027" s="19">
        <v>35</v>
      </c>
      <c r="B3027" s="18" t="s">
        <v>42</v>
      </c>
      <c r="C3027" s="18" t="s">
        <v>97</v>
      </c>
      <c r="D3027" s="18" t="s">
        <v>3412</v>
      </c>
      <c r="E3027" s="18" t="s">
        <v>3577</v>
      </c>
      <c r="F3027" s="101">
        <v>46290.387499999997</v>
      </c>
      <c r="G3027" s="101">
        <v>46292.413194444445</v>
      </c>
      <c r="H3027" s="18" t="s">
        <v>507</v>
      </c>
      <c r="I3027" s="18" t="s">
        <v>508</v>
      </c>
      <c r="J3027" s="18"/>
      <c r="K3027" s="21">
        <f t="shared" si="141"/>
        <v>48.616666666755918</v>
      </c>
      <c r="L3027" s="19">
        <f t="shared" si="142"/>
        <v>196</v>
      </c>
      <c r="M3027" s="18" t="str">
        <f>IF(I3027&lt;&gt;"Sí","",IF(YEAR(F3027)&lt;&gt;2026,"",INDEX({"Enero","Febrero","Marzo","Abril","Mayo","Junio","Julio","Agosto","Septiembre","Octubre","Noviembre","Diciembre"},MONTH(F3027))))</f>
        <v>Septiembre</v>
      </c>
      <c r="N3027" s="18" t="str">
        <f t="shared" si="143"/>
        <v>Septiembre|196</v>
      </c>
    </row>
    <row r="3028" spans="1:14" ht="14.5" x14ac:dyDescent="0.25">
      <c r="A3028" s="19">
        <v>35</v>
      </c>
      <c r="B3028" s="18" t="s">
        <v>42</v>
      </c>
      <c r="C3028" s="18" t="s">
        <v>97</v>
      </c>
      <c r="D3028" s="18" t="s">
        <v>3412</v>
      </c>
      <c r="E3028" s="18" t="s">
        <v>3578</v>
      </c>
      <c r="F3028" s="101">
        <v>46290.38958333333</v>
      </c>
      <c r="G3028" s="101">
        <v>46292.413194444445</v>
      </c>
      <c r="H3028" s="18" t="s">
        <v>507</v>
      </c>
      <c r="I3028" s="18" t="s">
        <v>508</v>
      </c>
      <c r="J3028" s="18"/>
      <c r="K3028" s="21">
        <f t="shared" si="141"/>
        <v>48.56666666676756</v>
      </c>
      <c r="L3028" s="19">
        <f t="shared" si="142"/>
        <v>197</v>
      </c>
      <c r="M3028" s="18" t="str">
        <f>IF(I3028&lt;&gt;"Sí","",IF(YEAR(F3028)&lt;&gt;2026,"",INDEX({"Enero","Febrero","Marzo","Abril","Mayo","Junio","Julio","Agosto","Septiembre","Octubre","Noviembre","Diciembre"},MONTH(F3028))))</f>
        <v>Septiembre</v>
      </c>
      <c r="N3028" s="18" t="str">
        <f t="shared" si="143"/>
        <v>Septiembre|197</v>
      </c>
    </row>
    <row r="3029" spans="1:14" ht="14.5" x14ac:dyDescent="0.25">
      <c r="A3029" s="19">
        <v>35</v>
      </c>
      <c r="B3029" s="18" t="s">
        <v>42</v>
      </c>
      <c r="C3029" s="18" t="s">
        <v>97</v>
      </c>
      <c r="D3029" s="18" t="s">
        <v>3412</v>
      </c>
      <c r="E3029" s="18" t="s">
        <v>3579</v>
      </c>
      <c r="F3029" s="101">
        <v>46290.39166666667</v>
      </c>
      <c r="G3029" s="101">
        <v>46292.413194444445</v>
      </c>
      <c r="H3029" s="18" t="s">
        <v>507</v>
      </c>
      <c r="I3029" s="18" t="s">
        <v>508</v>
      </c>
      <c r="J3029" s="18"/>
      <c r="K3029" s="21">
        <f t="shared" si="141"/>
        <v>48.516666666604578</v>
      </c>
      <c r="L3029" s="19">
        <f t="shared" si="142"/>
        <v>198</v>
      </c>
      <c r="M3029" s="18" t="str">
        <f>IF(I3029&lt;&gt;"Sí","",IF(YEAR(F3029)&lt;&gt;2026,"",INDEX({"Enero","Febrero","Marzo","Abril","Mayo","Junio","Julio","Agosto","Septiembre","Octubre","Noviembre","Diciembre"},MONTH(F3029))))</f>
        <v>Septiembre</v>
      </c>
      <c r="N3029" s="18" t="str">
        <f t="shared" si="143"/>
        <v>Septiembre|198</v>
      </c>
    </row>
    <row r="3030" spans="1:14" ht="14.5" x14ac:dyDescent="0.25">
      <c r="A3030" s="19">
        <v>35</v>
      </c>
      <c r="B3030" s="18" t="s">
        <v>42</v>
      </c>
      <c r="C3030" s="18" t="s">
        <v>97</v>
      </c>
      <c r="D3030" s="18" t="s">
        <v>3412</v>
      </c>
      <c r="E3030" s="18" t="s">
        <v>3580</v>
      </c>
      <c r="F3030" s="101">
        <v>46290.393750000003</v>
      </c>
      <c r="G3030" s="101">
        <v>46292.413194444445</v>
      </c>
      <c r="H3030" s="18" t="s">
        <v>507</v>
      </c>
      <c r="I3030" s="18" t="s">
        <v>508</v>
      </c>
      <c r="J3030" s="18"/>
      <c r="K3030" s="21">
        <f t="shared" si="141"/>
        <v>48.46666666661622</v>
      </c>
      <c r="L3030" s="19">
        <f t="shared" si="142"/>
        <v>199</v>
      </c>
      <c r="M3030" s="18" t="str">
        <f>IF(I3030&lt;&gt;"Sí","",IF(YEAR(F3030)&lt;&gt;2026,"",INDEX({"Enero","Febrero","Marzo","Abril","Mayo","Junio","Julio","Agosto","Septiembre","Octubre","Noviembre","Diciembre"},MONTH(F3030))))</f>
        <v>Septiembre</v>
      </c>
      <c r="N3030" s="18" t="str">
        <f t="shared" si="143"/>
        <v>Septiembre|199</v>
      </c>
    </row>
    <row r="3031" spans="1:14" ht="14.5" x14ac:dyDescent="0.25">
      <c r="A3031" s="19">
        <v>35</v>
      </c>
      <c r="B3031" s="18" t="s">
        <v>42</v>
      </c>
      <c r="C3031" s="18" t="s">
        <v>97</v>
      </c>
      <c r="D3031" s="18" t="s">
        <v>3412</v>
      </c>
      <c r="E3031" s="18" t="s">
        <v>3581</v>
      </c>
      <c r="F3031" s="101">
        <v>46290.395833333336</v>
      </c>
      <c r="G3031" s="101">
        <v>46292.413194444445</v>
      </c>
      <c r="H3031" s="18" t="s">
        <v>507</v>
      </c>
      <c r="I3031" s="18" t="s">
        <v>508</v>
      </c>
      <c r="J3031" s="18"/>
      <c r="K3031" s="21">
        <f t="shared" si="141"/>
        <v>48.416666666627862</v>
      </c>
      <c r="L3031" s="19">
        <f t="shared" si="142"/>
        <v>200</v>
      </c>
      <c r="M3031" s="18" t="str">
        <f>IF(I3031&lt;&gt;"Sí","",IF(YEAR(F3031)&lt;&gt;2026,"",INDEX({"Enero","Febrero","Marzo","Abril","Mayo","Junio","Julio","Agosto","Septiembre","Octubre","Noviembre","Diciembre"},MONTH(F3031))))</f>
        <v>Septiembre</v>
      </c>
      <c r="N3031" s="18" t="str">
        <f t="shared" si="143"/>
        <v>Septiembre|200</v>
      </c>
    </row>
    <row r="3032" spans="1:14" ht="14.5" x14ac:dyDescent="0.25">
      <c r="A3032" s="19">
        <v>35</v>
      </c>
      <c r="B3032" s="18" t="s">
        <v>42</v>
      </c>
      <c r="C3032" s="18" t="s">
        <v>97</v>
      </c>
      <c r="D3032" s="18" t="s">
        <v>3412</v>
      </c>
      <c r="E3032" s="18" t="s">
        <v>3582</v>
      </c>
      <c r="F3032" s="101">
        <v>46290.397916666669</v>
      </c>
      <c r="G3032" s="101">
        <v>46292.413194444445</v>
      </c>
      <c r="H3032" s="18" t="s">
        <v>507</v>
      </c>
      <c r="I3032" s="18" t="s">
        <v>508</v>
      </c>
      <c r="J3032" s="18"/>
      <c r="K3032" s="21">
        <f t="shared" si="141"/>
        <v>48.366666666639503</v>
      </c>
      <c r="L3032" s="19">
        <f t="shared" si="142"/>
        <v>201</v>
      </c>
      <c r="M3032" s="18" t="str">
        <f>IF(I3032&lt;&gt;"Sí","",IF(YEAR(F3032)&lt;&gt;2026,"",INDEX({"Enero","Febrero","Marzo","Abril","Mayo","Junio","Julio","Agosto","Septiembre","Octubre","Noviembre","Diciembre"},MONTH(F3032))))</f>
        <v>Septiembre</v>
      </c>
      <c r="N3032" s="18" t="str">
        <f t="shared" si="143"/>
        <v>Septiembre|201</v>
      </c>
    </row>
    <row r="3033" spans="1:14" ht="14.5" x14ac:dyDescent="0.25">
      <c r="A3033" s="19">
        <v>35</v>
      </c>
      <c r="B3033" s="18" t="s">
        <v>42</v>
      </c>
      <c r="C3033" s="18" t="s">
        <v>97</v>
      </c>
      <c r="D3033" s="18" t="s">
        <v>3412</v>
      </c>
      <c r="E3033" s="18" t="s">
        <v>3583</v>
      </c>
      <c r="F3033" s="101">
        <v>46290.400000000001</v>
      </c>
      <c r="G3033" s="101">
        <v>46292.413194444445</v>
      </c>
      <c r="H3033" s="18" t="s">
        <v>507</v>
      </c>
      <c r="I3033" s="18" t="s">
        <v>508</v>
      </c>
      <c r="J3033" s="18"/>
      <c r="K3033" s="21">
        <f t="shared" si="141"/>
        <v>48.316666666651145</v>
      </c>
      <c r="L3033" s="19">
        <f t="shared" si="142"/>
        <v>202</v>
      </c>
      <c r="M3033" s="18" t="str">
        <f>IF(I3033&lt;&gt;"Sí","",IF(YEAR(F3033)&lt;&gt;2026,"",INDEX({"Enero","Febrero","Marzo","Abril","Mayo","Junio","Julio","Agosto","Septiembre","Octubre","Noviembre","Diciembre"},MONTH(F3033))))</f>
        <v>Septiembre</v>
      </c>
      <c r="N3033" s="18" t="str">
        <f t="shared" si="143"/>
        <v>Septiembre|202</v>
      </c>
    </row>
    <row r="3034" spans="1:14" ht="14.5" x14ac:dyDescent="0.25">
      <c r="A3034" s="19">
        <v>35</v>
      </c>
      <c r="B3034" s="18" t="s">
        <v>42</v>
      </c>
      <c r="C3034" s="18" t="s">
        <v>97</v>
      </c>
      <c r="D3034" s="18" t="s">
        <v>3412</v>
      </c>
      <c r="E3034" s="18" t="s">
        <v>3584</v>
      </c>
      <c r="F3034" s="101">
        <v>46290.402083333334</v>
      </c>
      <c r="G3034" s="101">
        <v>46292.382638888892</v>
      </c>
      <c r="H3034" s="18" t="s">
        <v>507</v>
      </c>
      <c r="I3034" s="18" t="s">
        <v>508</v>
      </c>
      <c r="J3034" s="18"/>
      <c r="K3034" s="21">
        <f t="shared" si="141"/>
        <v>47.53333333338378</v>
      </c>
      <c r="L3034" s="19">
        <f t="shared" si="142"/>
        <v>203</v>
      </c>
      <c r="M3034" s="18" t="str">
        <f>IF(I3034&lt;&gt;"Sí","",IF(YEAR(F3034)&lt;&gt;2026,"",INDEX({"Enero","Febrero","Marzo","Abril","Mayo","Junio","Julio","Agosto","Septiembre","Octubre","Noviembre","Diciembre"},MONTH(F3034))))</f>
        <v>Septiembre</v>
      </c>
      <c r="N3034" s="18" t="str">
        <f t="shared" si="143"/>
        <v>Septiembre|203</v>
      </c>
    </row>
    <row r="3035" spans="1:14" ht="14.5" x14ac:dyDescent="0.25">
      <c r="A3035" s="19">
        <v>35</v>
      </c>
      <c r="B3035" s="18" t="s">
        <v>42</v>
      </c>
      <c r="C3035" s="18" t="s">
        <v>97</v>
      </c>
      <c r="D3035" s="18" t="s">
        <v>3412</v>
      </c>
      <c r="E3035" s="18" t="s">
        <v>3585</v>
      </c>
      <c r="F3035" s="101">
        <v>46290.402777777781</v>
      </c>
      <c r="G3035" s="101">
        <v>46292.385416666664</v>
      </c>
      <c r="H3035" s="18" t="s">
        <v>507</v>
      </c>
      <c r="I3035" s="18" t="s">
        <v>508</v>
      </c>
      <c r="J3035" s="18"/>
      <c r="K3035" s="21">
        <f t="shared" si="141"/>
        <v>47.583333333197515</v>
      </c>
      <c r="L3035" s="19">
        <f t="shared" si="142"/>
        <v>204</v>
      </c>
      <c r="M3035" s="18" t="str">
        <f>IF(I3035&lt;&gt;"Sí","",IF(YEAR(F3035)&lt;&gt;2026,"",INDEX({"Enero","Febrero","Marzo","Abril","Mayo","Junio","Julio","Agosto","Septiembre","Octubre","Noviembre","Diciembre"},MONTH(F3035))))</f>
        <v>Septiembre</v>
      </c>
      <c r="N3035" s="18" t="str">
        <f t="shared" si="143"/>
        <v>Septiembre|204</v>
      </c>
    </row>
    <row r="3036" spans="1:14" ht="14.5" x14ac:dyDescent="0.25">
      <c r="A3036" s="19">
        <v>35</v>
      </c>
      <c r="B3036" s="18" t="s">
        <v>42</v>
      </c>
      <c r="C3036" s="18" t="s">
        <v>97</v>
      </c>
      <c r="D3036" s="18" t="s">
        <v>3412</v>
      </c>
      <c r="E3036" s="18" t="s">
        <v>3586</v>
      </c>
      <c r="F3036" s="101">
        <v>46290.404166666667</v>
      </c>
      <c r="G3036" s="101">
        <v>46292.381944444445</v>
      </c>
      <c r="H3036" s="18" t="s">
        <v>507</v>
      </c>
      <c r="I3036" s="18" t="s">
        <v>508</v>
      </c>
      <c r="J3036" s="18"/>
      <c r="K3036" s="21">
        <f t="shared" si="141"/>
        <v>47.466666666674428</v>
      </c>
      <c r="L3036" s="19">
        <f t="shared" si="142"/>
        <v>205</v>
      </c>
      <c r="M3036" s="18" t="str">
        <f>IF(I3036&lt;&gt;"Sí","",IF(YEAR(F3036)&lt;&gt;2026,"",INDEX({"Enero","Febrero","Marzo","Abril","Mayo","Junio","Julio","Agosto","Septiembre","Octubre","Noviembre","Diciembre"},MONTH(F3036))))</f>
        <v>Septiembre</v>
      </c>
      <c r="N3036" s="18" t="str">
        <f t="shared" si="143"/>
        <v>Septiembre|205</v>
      </c>
    </row>
    <row r="3037" spans="1:14" ht="14.5" x14ac:dyDescent="0.25">
      <c r="A3037" s="19">
        <v>35</v>
      </c>
      <c r="B3037" s="18" t="s">
        <v>42</v>
      </c>
      <c r="C3037" s="18" t="s">
        <v>97</v>
      </c>
      <c r="D3037" s="18" t="s">
        <v>3412</v>
      </c>
      <c r="E3037" s="18" t="s">
        <v>3587</v>
      </c>
      <c r="F3037" s="101">
        <v>46290.408333333333</v>
      </c>
      <c r="G3037" s="101">
        <v>46292.381944444445</v>
      </c>
      <c r="H3037" s="18" t="s">
        <v>507</v>
      </c>
      <c r="I3037" s="18" t="s">
        <v>508</v>
      </c>
      <c r="J3037" s="18"/>
      <c r="K3037" s="21">
        <f t="shared" si="141"/>
        <v>47.366666666697711</v>
      </c>
      <c r="L3037" s="19">
        <f t="shared" si="142"/>
        <v>206</v>
      </c>
      <c r="M3037" s="18" t="str">
        <f>IF(I3037&lt;&gt;"Sí","",IF(YEAR(F3037)&lt;&gt;2026,"",INDEX({"Enero","Febrero","Marzo","Abril","Mayo","Junio","Julio","Agosto","Septiembre","Octubre","Noviembre","Diciembre"},MONTH(F3037))))</f>
        <v>Septiembre</v>
      </c>
      <c r="N3037" s="18" t="str">
        <f t="shared" si="143"/>
        <v>Septiembre|206</v>
      </c>
    </row>
    <row r="3038" spans="1:14" ht="14.5" x14ac:dyDescent="0.25">
      <c r="A3038" s="19">
        <v>35</v>
      </c>
      <c r="B3038" s="18" t="s">
        <v>42</v>
      </c>
      <c r="C3038" s="18" t="s">
        <v>97</v>
      </c>
      <c r="D3038" s="18" t="s">
        <v>3412</v>
      </c>
      <c r="E3038" s="18" t="s">
        <v>3588</v>
      </c>
      <c r="F3038" s="101">
        <v>46290.411111111112</v>
      </c>
      <c r="G3038" s="101">
        <v>46292.381944444445</v>
      </c>
      <c r="H3038" s="18" t="s">
        <v>507</v>
      </c>
      <c r="I3038" s="18" t="s">
        <v>508</v>
      </c>
      <c r="J3038" s="18"/>
      <c r="K3038" s="21">
        <f t="shared" si="141"/>
        <v>47.299999999988358</v>
      </c>
      <c r="L3038" s="19">
        <f t="shared" si="142"/>
        <v>207</v>
      </c>
      <c r="M3038" s="18" t="str">
        <f>IF(I3038&lt;&gt;"Sí","",IF(YEAR(F3038)&lt;&gt;2026,"",INDEX({"Enero","Febrero","Marzo","Abril","Mayo","Junio","Julio","Agosto","Septiembre","Octubre","Noviembre","Diciembre"},MONTH(F3038))))</f>
        <v>Septiembre</v>
      </c>
      <c r="N3038" s="18" t="str">
        <f t="shared" si="143"/>
        <v>Septiembre|207</v>
      </c>
    </row>
    <row r="3039" spans="1:14" ht="14.5" x14ac:dyDescent="0.25">
      <c r="A3039" s="19">
        <v>35</v>
      </c>
      <c r="B3039" s="18" t="s">
        <v>42</v>
      </c>
      <c r="C3039" s="18" t="s">
        <v>97</v>
      </c>
      <c r="D3039" s="18" t="s">
        <v>3412</v>
      </c>
      <c r="E3039" s="18" t="s">
        <v>3589</v>
      </c>
      <c r="F3039" s="101">
        <v>46290.413888888892</v>
      </c>
      <c r="G3039" s="101">
        <v>46292.374305555553</v>
      </c>
      <c r="H3039" s="18" t="s">
        <v>507</v>
      </c>
      <c r="I3039" s="18" t="s">
        <v>508</v>
      </c>
      <c r="J3039" s="18"/>
      <c r="K3039" s="21">
        <f t="shared" si="141"/>
        <v>47.049999999871943</v>
      </c>
      <c r="L3039" s="19">
        <f t="shared" si="142"/>
        <v>208</v>
      </c>
      <c r="M3039" s="18" t="str">
        <f>IF(I3039&lt;&gt;"Sí","",IF(YEAR(F3039)&lt;&gt;2026,"",INDEX({"Enero","Febrero","Marzo","Abril","Mayo","Junio","Julio","Agosto","Septiembre","Octubre","Noviembre","Diciembre"},MONTH(F3039))))</f>
        <v>Septiembre</v>
      </c>
      <c r="N3039" s="18" t="str">
        <f t="shared" si="143"/>
        <v>Septiembre|208</v>
      </c>
    </row>
    <row r="3040" spans="1:14" ht="14.5" x14ac:dyDescent="0.25">
      <c r="A3040" s="19">
        <v>35</v>
      </c>
      <c r="B3040" s="18" t="s">
        <v>42</v>
      </c>
      <c r="C3040" s="18" t="s">
        <v>97</v>
      </c>
      <c r="D3040" s="18" t="s">
        <v>3412</v>
      </c>
      <c r="E3040" s="18" t="s">
        <v>3590</v>
      </c>
      <c r="F3040" s="101">
        <v>46290.416666666664</v>
      </c>
      <c r="G3040" s="101">
        <v>46292.901388888888</v>
      </c>
      <c r="H3040" s="18" t="s">
        <v>507</v>
      </c>
      <c r="I3040" s="18" t="s">
        <v>508</v>
      </c>
      <c r="J3040" s="18"/>
      <c r="K3040" s="21">
        <f t="shared" si="141"/>
        <v>59.633333333360497</v>
      </c>
      <c r="L3040" s="19">
        <f t="shared" si="142"/>
        <v>209</v>
      </c>
      <c r="M3040" s="18" t="str">
        <f>IF(I3040&lt;&gt;"Sí","",IF(YEAR(F3040)&lt;&gt;2026,"",INDEX({"Enero","Febrero","Marzo","Abril","Mayo","Junio","Julio","Agosto","Septiembre","Octubre","Noviembre","Diciembre"},MONTH(F3040))))</f>
        <v>Septiembre</v>
      </c>
      <c r="N3040" s="18" t="str">
        <f t="shared" si="143"/>
        <v>Septiembre|209</v>
      </c>
    </row>
    <row r="3041" spans="1:14" ht="14.5" x14ac:dyDescent="0.25">
      <c r="A3041" s="19">
        <v>35</v>
      </c>
      <c r="B3041" s="18" t="s">
        <v>42</v>
      </c>
      <c r="C3041" s="18" t="s">
        <v>97</v>
      </c>
      <c r="D3041" s="18" t="s">
        <v>3412</v>
      </c>
      <c r="E3041" s="18" t="s">
        <v>3591</v>
      </c>
      <c r="F3041" s="101">
        <v>46290.423611111109</v>
      </c>
      <c r="G3041" s="101">
        <v>46292.901388888888</v>
      </c>
      <c r="H3041" s="18" t="s">
        <v>507</v>
      </c>
      <c r="I3041" s="18" t="s">
        <v>508</v>
      </c>
      <c r="J3041" s="18"/>
      <c r="K3041" s="21">
        <f t="shared" si="141"/>
        <v>59.466666666674428</v>
      </c>
      <c r="L3041" s="19">
        <f t="shared" si="142"/>
        <v>210</v>
      </c>
      <c r="M3041" s="18" t="str">
        <f>IF(I3041&lt;&gt;"Sí","",IF(YEAR(F3041)&lt;&gt;2026,"",INDEX({"Enero","Febrero","Marzo","Abril","Mayo","Junio","Julio","Agosto","Septiembre","Octubre","Noviembre","Diciembre"},MONTH(F3041))))</f>
        <v>Septiembre</v>
      </c>
      <c r="N3041" s="18" t="str">
        <f t="shared" si="143"/>
        <v>Septiembre|210</v>
      </c>
    </row>
    <row r="3042" spans="1:14" ht="14.5" x14ac:dyDescent="0.25">
      <c r="A3042" s="19">
        <v>35</v>
      </c>
      <c r="B3042" s="18" t="s">
        <v>42</v>
      </c>
      <c r="C3042" s="18" t="s">
        <v>97</v>
      </c>
      <c r="D3042" s="18" t="s">
        <v>3412</v>
      </c>
      <c r="E3042" s="18" t="s">
        <v>3592</v>
      </c>
      <c r="F3042" s="101">
        <v>46290.425000000003</v>
      </c>
      <c r="G3042" s="101">
        <v>46292.075694444444</v>
      </c>
      <c r="H3042" s="18" t="s">
        <v>507</v>
      </c>
      <c r="I3042" s="18" t="s">
        <v>508</v>
      </c>
      <c r="J3042" s="18"/>
      <c r="K3042" s="21">
        <f t="shared" si="141"/>
        <v>39.616666666581295</v>
      </c>
      <c r="L3042" s="19">
        <f t="shared" si="142"/>
        <v>211</v>
      </c>
      <c r="M3042" s="18" t="str">
        <f>IF(I3042&lt;&gt;"Sí","",IF(YEAR(F3042)&lt;&gt;2026,"",INDEX({"Enero","Febrero","Marzo","Abril","Mayo","Junio","Julio","Agosto","Septiembre","Octubre","Noviembre","Diciembre"},MONTH(F3042))))</f>
        <v>Septiembre</v>
      </c>
      <c r="N3042" s="18" t="str">
        <f t="shared" si="143"/>
        <v>Septiembre|211</v>
      </c>
    </row>
    <row r="3043" spans="1:14" ht="14.5" x14ac:dyDescent="0.25">
      <c r="A3043" s="19">
        <v>35</v>
      </c>
      <c r="B3043" s="18" t="s">
        <v>42</v>
      </c>
      <c r="C3043" s="18" t="s">
        <v>97</v>
      </c>
      <c r="D3043" s="18" t="s">
        <v>3412</v>
      </c>
      <c r="E3043" s="18" t="s">
        <v>3593</v>
      </c>
      <c r="F3043" s="101">
        <v>46290.426388888889</v>
      </c>
      <c r="G3043" s="101">
        <v>46292.901388888888</v>
      </c>
      <c r="H3043" s="18" t="s">
        <v>507</v>
      </c>
      <c r="I3043" s="18" t="s">
        <v>508</v>
      </c>
      <c r="J3043" s="18"/>
      <c r="K3043" s="21">
        <f t="shared" si="141"/>
        <v>59.399999999965075</v>
      </c>
      <c r="L3043" s="19">
        <f t="shared" si="142"/>
        <v>212</v>
      </c>
      <c r="M3043" s="18" t="str">
        <f>IF(I3043&lt;&gt;"Sí","",IF(YEAR(F3043)&lt;&gt;2026,"",INDEX({"Enero","Febrero","Marzo","Abril","Mayo","Junio","Julio","Agosto","Septiembre","Octubre","Noviembre","Diciembre"},MONTH(F3043))))</f>
        <v>Septiembre</v>
      </c>
      <c r="N3043" s="18" t="str">
        <f t="shared" si="143"/>
        <v>Septiembre|212</v>
      </c>
    </row>
    <row r="3044" spans="1:14" ht="14.5" x14ac:dyDescent="0.25">
      <c r="A3044" s="19">
        <v>35</v>
      </c>
      <c r="B3044" s="18" t="s">
        <v>42</v>
      </c>
      <c r="C3044" s="18" t="s">
        <v>97</v>
      </c>
      <c r="D3044" s="18" t="s">
        <v>3412</v>
      </c>
      <c r="E3044" s="18" t="s">
        <v>3594</v>
      </c>
      <c r="F3044" s="101">
        <v>46290.428472222222</v>
      </c>
      <c r="G3044" s="101">
        <v>46292.901388888888</v>
      </c>
      <c r="H3044" s="18" t="s">
        <v>507</v>
      </c>
      <c r="I3044" s="18" t="s">
        <v>508</v>
      </c>
      <c r="J3044" s="18"/>
      <c r="K3044" s="21">
        <f t="shared" si="141"/>
        <v>59.349999999976717</v>
      </c>
      <c r="L3044" s="19">
        <f t="shared" si="142"/>
        <v>213</v>
      </c>
      <c r="M3044" s="18" t="str">
        <f>IF(I3044&lt;&gt;"Sí","",IF(YEAR(F3044)&lt;&gt;2026,"",INDEX({"Enero","Febrero","Marzo","Abril","Mayo","Junio","Julio","Agosto","Septiembre","Octubre","Noviembre","Diciembre"},MONTH(F3044))))</f>
        <v>Septiembre</v>
      </c>
      <c r="N3044" s="18" t="str">
        <f t="shared" si="143"/>
        <v>Septiembre|213</v>
      </c>
    </row>
    <row r="3045" spans="1:14" ht="14.5" x14ac:dyDescent="0.25">
      <c r="A3045" s="19">
        <v>35</v>
      </c>
      <c r="B3045" s="18" t="s">
        <v>42</v>
      </c>
      <c r="C3045" s="18" t="s">
        <v>97</v>
      </c>
      <c r="D3045" s="18" t="s">
        <v>3412</v>
      </c>
      <c r="E3045" s="18" t="s">
        <v>3595</v>
      </c>
      <c r="F3045" s="101">
        <v>46290.429166666669</v>
      </c>
      <c r="G3045" s="101">
        <v>46292.847222222219</v>
      </c>
      <c r="H3045" s="18" t="s">
        <v>507</v>
      </c>
      <c r="I3045" s="18" t="s">
        <v>508</v>
      </c>
      <c r="J3045" s="18"/>
      <c r="K3045" s="21">
        <f t="shared" si="141"/>
        <v>58.033333333209157</v>
      </c>
      <c r="L3045" s="19">
        <f t="shared" si="142"/>
        <v>214</v>
      </c>
      <c r="M3045" s="18" t="str">
        <f>IF(I3045&lt;&gt;"Sí","",IF(YEAR(F3045)&lt;&gt;2026,"",INDEX({"Enero","Febrero","Marzo","Abril","Mayo","Junio","Julio","Agosto","Septiembre","Octubre","Noviembre","Diciembre"},MONTH(F3045))))</f>
        <v>Septiembre</v>
      </c>
      <c r="N3045" s="18" t="str">
        <f t="shared" si="143"/>
        <v>Septiembre|214</v>
      </c>
    </row>
    <row r="3046" spans="1:14" ht="14.5" x14ac:dyDescent="0.25">
      <c r="A3046" s="19">
        <v>35</v>
      </c>
      <c r="B3046" s="18" t="s">
        <v>42</v>
      </c>
      <c r="C3046" s="18" t="s">
        <v>97</v>
      </c>
      <c r="D3046" s="18" t="s">
        <v>3412</v>
      </c>
      <c r="E3046" s="18" t="s">
        <v>2673</v>
      </c>
      <c r="F3046" s="101">
        <v>46290.430555555555</v>
      </c>
      <c r="G3046" s="101">
        <v>46292.069444444445</v>
      </c>
      <c r="H3046" s="18" t="s">
        <v>507</v>
      </c>
      <c r="I3046" s="18" t="s">
        <v>508</v>
      </c>
      <c r="J3046" s="18"/>
      <c r="K3046" s="21">
        <f t="shared" si="141"/>
        <v>39.333333333372138</v>
      </c>
      <c r="L3046" s="19">
        <f t="shared" si="142"/>
        <v>215</v>
      </c>
      <c r="M3046" s="18" t="str">
        <f>IF(I3046&lt;&gt;"Sí","",IF(YEAR(F3046)&lt;&gt;2026,"",INDEX({"Enero","Febrero","Marzo","Abril","Mayo","Junio","Julio","Agosto","Septiembre","Octubre","Noviembre","Diciembre"},MONTH(F3046))))</f>
        <v>Septiembre</v>
      </c>
      <c r="N3046" s="18" t="str">
        <f t="shared" si="143"/>
        <v>Septiembre|215</v>
      </c>
    </row>
    <row r="3047" spans="1:14" ht="14.5" x14ac:dyDescent="0.25">
      <c r="A3047" s="19">
        <v>35</v>
      </c>
      <c r="B3047" s="18" t="s">
        <v>42</v>
      </c>
      <c r="C3047" s="18" t="s">
        <v>97</v>
      </c>
      <c r="D3047" s="18" t="s">
        <v>3412</v>
      </c>
      <c r="E3047" s="18" t="s">
        <v>3596</v>
      </c>
      <c r="F3047" s="101">
        <v>46290.431944444441</v>
      </c>
      <c r="G3047" s="101">
        <v>46292.84375</v>
      </c>
      <c r="H3047" s="18" t="s">
        <v>507</v>
      </c>
      <c r="I3047" s="18" t="s">
        <v>508</v>
      </c>
      <c r="J3047" s="18"/>
      <c r="K3047" s="21">
        <f t="shared" si="141"/>
        <v>57.883333333418705</v>
      </c>
      <c r="L3047" s="19">
        <f t="shared" si="142"/>
        <v>216</v>
      </c>
      <c r="M3047" s="18" t="str">
        <f>IF(I3047&lt;&gt;"Sí","",IF(YEAR(F3047)&lt;&gt;2026,"",INDEX({"Enero","Febrero","Marzo","Abril","Mayo","Junio","Julio","Agosto","Septiembre","Octubre","Noviembre","Diciembre"},MONTH(F3047))))</f>
        <v>Septiembre</v>
      </c>
      <c r="N3047" s="18" t="str">
        <f t="shared" si="143"/>
        <v>Septiembre|216</v>
      </c>
    </row>
    <row r="3048" spans="1:14" ht="14.5" x14ac:dyDescent="0.25">
      <c r="A3048" s="19">
        <v>35</v>
      </c>
      <c r="B3048" s="18" t="s">
        <v>42</v>
      </c>
      <c r="C3048" s="18" t="s">
        <v>97</v>
      </c>
      <c r="D3048" s="18" t="s">
        <v>3412</v>
      </c>
      <c r="E3048" s="18" t="s">
        <v>3597</v>
      </c>
      <c r="F3048" s="101">
        <v>46290.4375</v>
      </c>
      <c r="G3048" s="101">
        <v>46292.074305555558</v>
      </c>
      <c r="H3048" s="18" t="s">
        <v>507</v>
      </c>
      <c r="I3048" s="18" t="s">
        <v>508</v>
      </c>
      <c r="J3048" s="18"/>
      <c r="K3048" s="21">
        <f t="shared" si="141"/>
        <v>39.28333333338378</v>
      </c>
      <c r="L3048" s="19">
        <f t="shared" si="142"/>
        <v>217</v>
      </c>
      <c r="M3048" s="18" t="str">
        <f>IF(I3048&lt;&gt;"Sí","",IF(YEAR(F3048)&lt;&gt;2026,"",INDEX({"Enero","Febrero","Marzo","Abril","Mayo","Junio","Julio","Agosto","Septiembre","Octubre","Noviembre","Diciembre"},MONTH(F3048))))</f>
        <v>Septiembre</v>
      </c>
      <c r="N3048" s="18" t="str">
        <f t="shared" si="143"/>
        <v>Septiembre|217</v>
      </c>
    </row>
    <row r="3049" spans="1:14" ht="14.5" x14ac:dyDescent="0.25">
      <c r="A3049" s="19">
        <v>35</v>
      </c>
      <c r="B3049" s="18" t="s">
        <v>42</v>
      </c>
      <c r="C3049" s="18" t="s">
        <v>97</v>
      </c>
      <c r="D3049" s="18" t="s">
        <v>3412</v>
      </c>
      <c r="E3049" s="18" t="s">
        <v>3598</v>
      </c>
      <c r="F3049" s="101">
        <v>46290.439583333333</v>
      </c>
      <c r="G3049" s="101">
        <v>46292.073611111111</v>
      </c>
      <c r="H3049" s="18" t="s">
        <v>507</v>
      </c>
      <c r="I3049" s="18" t="s">
        <v>508</v>
      </c>
      <c r="J3049" s="18"/>
      <c r="K3049" s="21">
        <f t="shared" si="141"/>
        <v>39.216666666674428</v>
      </c>
      <c r="L3049" s="19">
        <f t="shared" si="142"/>
        <v>218</v>
      </c>
      <c r="M3049" s="18" t="str">
        <f>IF(I3049&lt;&gt;"Sí","",IF(YEAR(F3049)&lt;&gt;2026,"",INDEX({"Enero","Febrero","Marzo","Abril","Mayo","Junio","Julio","Agosto","Septiembre","Octubre","Noviembre","Diciembre"},MONTH(F3049))))</f>
        <v>Septiembre</v>
      </c>
      <c r="N3049" s="18" t="str">
        <f t="shared" si="143"/>
        <v>Septiembre|218</v>
      </c>
    </row>
    <row r="3050" spans="1:14" ht="14.5" x14ac:dyDescent="0.25">
      <c r="A3050" s="19">
        <v>35</v>
      </c>
      <c r="B3050" s="18" t="s">
        <v>42</v>
      </c>
      <c r="C3050" s="18" t="s">
        <v>97</v>
      </c>
      <c r="D3050" s="18" t="s">
        <v>3412</v>
      </c>
      <c r="E3050" s="18" t="s">
        <v>3599</v>
      </c>
      <c r="F3050" s="101">
        <v>46290.440972222219</v>
      </c>
      <c r="G3050" s="101">
        <v>46292.070833333331</v>
      </c>
      <c r="H3050" s="18" t="s">
        <v>507</v>
      </c>
      <c r="I3050" s="18" t="s">
        <v>508</v>
      </c>
      <c r="J3050" s="18"/>
      <c r="K3050" s="21">
        <f t="shared" si="141"/>
        <v>39.116666666697711</v>
      </c>
      <c r="L3050" s="19">
        <f t="shared" si="142"/>
        <v>219</v>
      </c>
      <c r="M3050" s="18" t="str">
        <f>IF(I3050&lt;&gt;"Sí","",IF(YEAR(F3050)&lt;&gt;2026,"",INDEX({"Enero","Febrero","Marzo","Abril","Mayo","Junio","Julio","Agosto","Septiembre","Octubre","Noviembre","Diciembre"},MONTH(F3050))))</f>
        <v>Septiembre</v>
      </c>
      <c r="N3050" s="18" t="str">
        <f t="shared" si="143"/>
        <v>Septiembre|219</v>
      </c>
    </row>
    <row r="3051" spans="1:14" ht="14.5" x14ac:dyDescent="0.25">
      <c r="A3051" s="19">
        <v>35</v>
      </c>
      <c r="B3051" s="18" t="s">
        <v>42</v>
      </c>
      <c r="C3051" s="18" t="s">
        <v>97</v>
      </c>
      <c r="D3051" s="18" t="s">
        <v>3412</v>
      </c>
      <c r="E3051" s="18" t="s">
        <v>3600</v>
      </c>
      <c r="F3051" s="101">
        <v>46290.442361111112</v>
      </c>
      <c r="G3051" s="101">
        <v>46292.240972222222</v>
      </c>
      <c r="H3051" s="18" t="s">
        <v>507</v>
      </c>
      <c r="I3051" s="18" t="s">
        <v>508</v>
      </c>
      <c r="J3051" s="18"/>
      <c r="K3051" s="21">
        <f t="shared" si="141"/>
        <v>43.166666666627862</v>
      </c>
      <c r="L3051" s="19">
        <f t="shared" si="142"/>
        <v>220</v>
      </c>
      <c r="M3051" s="18" t="str">
        <f>IF(I3051&lt;&gt;"Sí","",IF(YEAR(F3051)&lt;&gt;2026,"",INDEX({"Enero","Febrero","Marzo","Abril","Mayo","Junio","Julio","Agosto","Septiembre","Octubre","Noviembre","Diciembre"},MONTH(F3051))))</f>
        <v>Septiembre</v>
      </c>
      <c r="N3051" s="18" t="str">
        <f t="shared" si="143"/>
        <v>Septiembre|220</v>
      </c>
    </row>
    <row r="3052" spans="1:14" ht="14.5" x14ac:dyDescent="0.25">
      <c r="A3052" s="19">
        <v>35</v>
      </c>
      <c r="B3052" s="18" t="s">
        <v>42</v>
      </c>
      <c r="C3052" s="18" t="s">
        <v>97</v>
      </c>
      <c r="D3052" s="18" t="s">
        <v>3412</v>
      </c>
      <c r="E3052" s="18" t="s">
        <v>3601</v>
      </c>
      <c r="F3052" s="101">
        <v>46290.444444444445</v>
      </c>
      <c r="G3052" s="101">
        <v>46292.805555555555</v>
      </c>
      <c r="H3052" s="18" t="s">
        <v>507</v>
      </c>
      <c r="I3052" s="18" t="s">
        <v>508</v>
      </c>
      <c r="J3052" s="18"/>
      <c r="K3052" s="21">
        <f t="shared" si="141"/>
        <v>56.666666666627862</v>
      </c>
      <c r="L3052" s="19">
        <f t="shared" si="142"/>
        <v>221</v>
      </c>
      <c r="M3052" s="18" t="str">
        <f>IF(I3052&lt;&gt;"Sí","",IF(YEAR(F3052)&lt;&gt;2026,"",INDEX({"Enero","Febrero","Marzo","Abril","Mayo","Junio","Julio","Agosto","Septiembre","Octubre","Noviembre","Diciembre"},MONTH(F3052))))</f>
        <v>Septiembre</v>
      </c>
      <c r="N3052" s="18" t="str">
        <f t="shared" si="143"/>
        <v>Septiembre|221</v>
      </c>
    </row>
    <row r="3053" spans="1:14" ht="14.5" x14ac:dyDescent="0.25">
      <c r="A3053" s="19">
        <v>35</v>
      </c>
      <c r="B3053" s="18" t="s">
        <v>42</v>
      </c>
      <c r="C3053" s="18" t="s">
        <v>97</v>
      </c>
      <c r="D3053" s="18" t="s">
        <v>3412</v>
      </c>
      <c r="E3053" s="18" t="s">
        <v>3602</v>
      </c>
      <c r="F3053" s="101">
        <v>46290.447916666664</v>
      </c>
      <c r="G3053" s="101">
        <v>46292.805555555555</v>
      </c>
      <c r="H3053" s="18" t="s">
        <v>507</v>
      </c>
      <c r="I3053" s="18" t="s">
        <v>508</v>
      </c>
      <c r="J3053" s="18"/>
      <c r="K3053" s="21">
        <f t="shared" si="141"/>
        <v>56.583333333372138</v>
      </c>
      <c r="L3053" s="19">
        <f t="shared" si="142"/>
        <v>222</v>
      </c>
      <c r="M3053" s="18" t="str">
        <f>IF(I3053&lt;&gt;"Sí","",IF(YEAR(F3053)&lt;&gt;2026,"",INDEX({"Enero","Febrero","Marzo","Abril","Mayo","Junio","Julio","Agosto","Septiembre","Octubre","Noviembre","Diciembre"},MONTH(F3053))))</f>
        <v>Septiembre</v>
      </c>
      <c r="N3053" s="18" t="str">
        <f t="shared" si="143"/>
        <v>Septiembre|222</v>
      </c>
    </row>
    <row r="3054" spans="1:14" ht="14.5" x14ac:dyDescent="0.25">
      <c r="A3054" s="19">
        <v>35</v>
      </c>
      <c r="B3054" s="18" t="s">
        <v>42</v>
      </c>
      <c r="C3054" s="18" t="s">
        <v>97</v>
      </c>
      <c r="D3054" s="18" t="s">
        <v>3412</v>
      </c>
      <c r="E3054" s="18" t="s">
        <v>3603</v>
      </c>
      <c r="F3054" s="101">
        <v>46290.448611111111</v>
      </c>
      <c r="G3054" s="101">
        <v>46292.805555555555</v>
      </c>
      <c r="H3054" s="18" t="s">
        <v>507</v>
      </c>
      <c r="I3054" s="18" t="s">
        <v>508</v>
      </c>
      <c r="J3054" s="18"/>
      <c r="K3054" s="21">
        <f t="shared" si="141"/>
        <v>56.566666666651145</v>
      </c>
      <c r="L3054" s="19">
        <f t="shared" si="142"/>
        <v>223</v>
      </c>
      <c r="M3054" s="18" t="str">
        <f>IF(I3054&lt;&gt;"Sí","",IF(YEAR(F3054)&lt;&gt;2026,"",INDEX({"Enero","Febrero","Marzo","Abril","Mayo","Junio","Julio","Agosto","Septiembre","Octubre","Noviembre","Diciembre"},MONTH(F3054))))</f>
        <v>Septiembre</v>
      </c>
      <c r="N3054" s="18" t="str">
        <f t="shared" si="143"/>
        <v>Septiembre|223</v>
      </c>
    </row>
    <row r="3055" spans="1:14" ht="14.5" x14ac:dyDescent="0.25">
      <c r="A3055" s="19">
        <v>35</v>
      </c>
      <c r="B3055" s="18" t="s">
        <v>42</v>
      </c>
      <c r="C3055" s="18" t="s">
        <v>97</v>
      </c>
      <c r="D3055" s="18" t="s">
        <v>3412</v>
      </c>
      <c r="E3055" s="18" t="s">
        <v>3604</v>
      </c>
      <c r="F3055" s="101">
        <v>46290.453472222223</v>
      </c>
      <c r="G3055" s="101">
        <v>46292.068055555559</v>
      </c>
      <c r="H3055" s="18" t="s">
        <v>507</v>
      </c>
      <c r="I3055" s="18" t="s">
        <v>508</v>
      </c>
      <c r="J3055" s="18"/>
      <c r="K3055" s="21">
        <f t="shared" si="141"/>
        <v>38.750000000058208</v>
      </c>
      <c r="L3055" s="19">
        <f t="shared" si="142"/>
        <v>224</v>
      </c>
      <c r="M3055" s="18" t="str">
        <f>IF(I3055&lt;&gt;"Sí","",IF(YEAR(F3055)&lt;&gt;2026,"",INDEX({"Enero","Febrero","Marzo","Abril","Mayo","Junio","Julio","Agosto","Septiembre","Octubre","Noviembre","Diciembre"},MONTH(F3055))))</f>
        <v>Septiembre</v>
      </c>
      <c r="N3055" s="18" t="str">
        <f t="shared" si="143"/>
        <v>Septiembre|224</v>
      </c>
    </row>
    <row r="3056" spans="1:14" ht="14.5" x14ac:dyDescent="0.25">
      <c r="A3056" s="19">
        <v>35</v>
      </c>
      <c r="B3056" s="18" t="s">
        <v>42</v>
      </c>
      <c r="C3056" s="18" t="s">
        <v>97</v>
      </c>
      <c r="D3056" s="18" t="s">
        <v>3412</v>
      </c>
      <c r="E3056" s="18" t="s">
        <v>3605</v>
      </c>
      <c r="F3056" s="101">
        <v>46290.45416666667</v>
      </c>
      <c r="G3056" s="101">
        <v>46291.803472222222</v>
      </c>
      <c r="H3056" s="18" t="s">
        <v>507</v>
      </c>
      <c r="I3056" s="18" t="s">
        <v>508</v>
      </c>
      <c r="J3056" s="18"/>
      <c r="K3056" s="21">
        <f t="shared" si="141"/>
        <v>32.383333333244082</v>
      </c>
      <c r="L3056" s="19">
        <f t="shared" si="142"/>
        <v>225</v>
      </c>
      <c r="M3056" s="18" t="str">
        <f>IF(I3056&lt;&gt;"Sí","",IF(YEAR(F3056)&lt;&gt;2026,"",INDEX({"Enero","Febrero","Marzo","Abril","Mayo","Junio","Julio","Agosto","Septiembre","Octubre","Noviembre","Diciembre"},MONTH(F3056))))</f>
        <v>Septiembre</v>
      </c>
      <c r="N3056" s="18" t="str">
        <f t="shared" si="143"/>
        <v>Septiembre|225</v>
      </c>
    </row>
    <row r="3057" spans="1:14" ht="14.5" x14ac:dyDescent="0.25">
      <c r="A3057" s="19">
        <v>35</v>
      </c>
      <c r="B3057" s="18" t="s">
        <v>42</v>
      </c>
      <c r="C3057" s="18" t="s">
        <v>97</v>
      </c>
      <c r="D3057" s="18" t="s">
        <v>3412</v>
      </c>
      <c r="E3057" s="18" t="s">
        <v>3606</v>
      </c>
      <c r="F3057" s="101">
        <v>46290.455555555556</v>
      </c>
      <c r="G3057" s="101">
        <v>46292.066666666666</v>
      </c>
      <c r="H3057" s="18" t="s">
        <v>507</v>
      </c>
      <c r="I3057" s="18" t="s">
        <v>508</v>
      </c>
      <c r="J3057" s="18"/>
      <c r="K3057" s="21">
        <f t="shared" si="141"/>
        <v>38.666666666627862</v>
      </c>
      <c r="L3057" s="19">
        <f t="shared" si="142"/>
        <v>226</v>
      </c>
      <c r="M3057" s="18" t="str">
        <f>IF(I3057&lt;&gt;"Sí","",IF(YEAR(F3057)&lt;&gt;2026,"",INDEX({"Enero","Febrero","Marzo","Abril","Mayo","Junio","Julio","Agosto","Septiembre","Octubre","Noviembre","Diciembre"},MONTH(F3057))))</f>
        <v>Septiembre</v>
      </c>
      <c r="N3057" s="18" t="str">
        <f t="shared" si="143"/>
        <v>Septiembre|226</v>
      </c>
    </row>
    <row r="3058" spans="1:14" ht="14.5" x14ac:dyDescent="0.25">
      <c r="A3058" s="19">
        <v>35</v>
      </c>
      <c r="B3058" s="18" t="s">
        <v>42</v>
      </c>
      <c r="C3058" s="18" t="s">
        <v>97</v>
      </c>
      <c r="D3058" s="18" t="s">
        <v>3412</v>
      </c>
      <c r="E3058" s="18" t="s">
        <v>3607</v>
      </c>
      <c r="F3058" s="101">
        <v>46290.456250000003</v>
      </c>
      <c r="G3058" s="101">
        <v>46292.804861111108</v>
      </c>
      <c r="H3058" s="18" t="s">
        <v>507</v>
      </c>
      <c r="I3058" s="18" t="s">
        <v>508</v>
      </c>
      <c r="J3058" s="18"/>
      <c r="K3058" s="21">
        <f t="shared" si="141"/>
        <v>56.366666666523088</v>
      </c>
      <c r="L3058" s="19">
        <f t="shared" si="142"/>
        <v>227</v>
      </c>
      <c r="M3058" s="18" t="str">
        <f>IF(I3058&lt;&gt;"Sí","",IF(YEAR(F3058)&lt;&gt;2026,"",INDEX({"Enero","Febrero","Marzo","Abril","Mayo","Junio","Julio","Agosto","Septiembre","Octubre","Noviembre","Diciembre"},MONTH(F3058))))</f>
        <v>Septiembre</v>
      </c>
      <c r="N3058" s="18" t="str">
        <f t="shared" si="143"/>
        <v>Septiembre|227</v>
      </c>
    </row>
    <row r="3059" spans="1:14" ht="14.5" x14ac:dyDescent="0.25">
      <c r="A3059" s="19">
        <v>35</v>
      </c>
      <c r="B3059" s="18" t="s">
        <v>42</v>
      </c>
      <c r="C3059" s="18" t="s">
        <v>97</v>
      </c>
      <c r="D3059" s="18" t="s">
        <v>3412</v>
      </c>
      <c r="E3059" s="18" t="s">
        <v>3608</v>
      </c>
      <c r="F3059" s="101">
        <v>46290.458333333336</v>
      </c>
      <c r="G3059" s="101">
        <v>46292.804861111108</v>
      </c>
      <c r="H3059" s="18" t="s">
        <v>507</v>
      </c>
      <c r="I3059" s="18" t="s">
        <v>508</v>
      </c>
      <c r="J3059" s="18"/>
      <c r="K3059" s="21">
        <f t="shared" si="141"/>
        <v>56.316666666534729</v>
      </c>
      <c r="L3059" s="19">
        <f t="shared" si="142"/>
        <v>228</v>
      </c>
      <c r="M3059" s="18" t="str">
        <f>IF(I3059&lt;&gt;"Sí","",IF(YEAR(F3059)&lt;&gt;2026,"",INDEX({"Enero","Febrero","Marzo","Abril","Mayo","Junio","Julio","Agosto","Septiembre","Octubre","Noviembre","Diciembre"},MONTH(F3059))))</f>
        <v>Septiembre</v>
      </c>
      <c r="N3059" s="18" t="str">
        <f t="shared" si="143"/>
        <v>Septiembre|228</v>
      </c>
    </row>
    <row r="3060" spans="1:14" ht="14.5" x14ac:dyDescent="0.25">
      <c r="A3060" s="19">
        <v>35</v>
      </c>
      <c r="B3060" s="18" t="s">
        <v>42</v>
      </c>
      <c r="C3060" s="18" t="s">
        <v>97</v>
      </c>
      <c r="D3060" s="18" t="s">
        <v>3412</v>
      </c>
      <c r="E3060" s="18" t="s">
        <v>3609</v>
      </c>
      <c r="F3060" s="101">
        <v>46290.461111111108</v>
      </c>
      <c r="G3060" s="101">
        <v>46292.804861111108</v>
      </c>
      <c r="H3060" s="18" t="s">
        <v>507</v>
      </c>
      <c r="I3060" s="18" t="s">
        <v>508</v>
      </c>
      <c r="J3060" s="18"/>
      <c r="K3060" s="21">
        <f t="shared" si="141"/>
        <v>56.25</v>
      </c>
      <c r="L3060" s="19">
        <f t="shared" si="142"/>
        <v>229</v>
      </c>
      <c r="M3060" s="18" t="str">
        <f>IF(I3060&lt;&gt;"Sí","",IF(YEAR(F3060)&lt;&gt;2026,"",INDEX({"Enero","Febrero","Marzo","Abril","Mayo","Junio","Julio","Agosto","Septiembre","Octubre","Noviembre","Diciembre"},MONTH(F3060))))</f>
        <v>Septiembre</v>
      </c>
      <c r="N3060" s="18" t="str">
        <f t="shared" si="143"/>
        <v>Septiembre|229</v>
      </c>
    </row>
    <row r="3061" spans="1:14" ht="14.5" x14ac:dyDescent="0.25">
      <c r="A3061" s="19">
        <v>35</v>
      </c>
      <c r="B3061" s="18" t="s">
        <v>42</v>
      </c>
      <c r="C3061" s="18" t="s">
        <v>97</v>
      </c>
      <c r="D3061" s="18" t="s">
        <v>3412</v>
      </c>
      <c r="E3061" s="18" t="s">
        <v>3610</v>
      </c>
      <c r="F3061" s="101">
        <v>46290.462500000001</v>
      </c>
      <c r="G3061" s="101">
        <v>46292.06527777778</v>
      </c>
      <c r="H3061" s="18" t="s">
        <v>507</v>
      </c>
      <c r="I3061" s="18" t="s">
        <v>508</v>
      </c>
      <c r="J3061" s="18"/>
      <c r="K3061" s="21">
        <f t="shared" si="141"/>
        <v>38.466666666674428</v>
      </c>
      <c r="L3061" s="19">
        <f t="shared" si="142"/>
        <v>230</v>
      </c>
      <c r="M3061" s="18" t="str">
        <f>IF(I3061&lt;&gt;"Sí","",IF(YEAR(F3061)&lt;&gt;2026,"",INDEX({"Enero","Febrero","Marzo","Abril","Mayo","Junio","Julio","Agosto","Septiembre","Octubre","Noviembre","Diciembre"},MONTH(F3061))))</f>
        <v>Septiembre</v>
      </c>
      <c r="N3061" s="18" t="str">
        <f t="shared" si="143"/>
        <v>Septiembre|230</v>
      </c>
    </row>
    <row r="3062" spans="1:14" ht="14.5" x14ac:dyDescent="0.25">
      <c r="A3062" s="19">
        <v>35</v>
      </c>
      <c r="B3062" s="18" t="s">
        <v>42</v>
      </c>
      <c r="C3062" s="18" t="s">
        <v>97</v>
      </c>
      <c r="D3062" s="18" t="s">
        <v>3412</v>
      </c>
      <c r="E3062" s="18" t="s">
        <v>3611</v>
      </c>
      <c r="F3062" s="101">
        <v>46290.46875</v>
      </c>
      <c r="G3062" s="101">
        <v>46292.804861111108</v>
      </c>
      <c r="H3062" s="18" t="s">
        <v>507</v>
      </c>
      <c r="I3062" s="18" t="s">
        <v>508</v>
      </c>
      <c r="J3062" s="18"/>
      <c r="K3062" s="21">
        <f t="shared" si="141"/>
        <v>56.066666666592937</v>
      </c>
      <c r="L3062" s="19">
        <f t="shared" si="142"/>
        <v>231</v>
      </c>
      <c r="M3062" s="18" t="str">
        <f>IF(I3062&lt;&gt;"Sí","",IF(YEAR(F3062)&lt;&gt;2026,"",INDEX({"Enero","Febrero","Marzo","Abril","Mayo","Junio","Julio","Agosto","Septiembre","Octubre","Noviembre","Diciembre"},MONTH(F3062))))</f>
        <v>Septiembre</v>
      </c>
      <c r="N3062" s="18" t="str">
        <f t="shared" si="143"/>
        <v>Septiembre|231</v>
      </c>
    </row>
    <row r="3063" spans="1:14" ht="14.5" x14ac:dyDescent="0.25">
      <c r="A3063" s="19">
        <v>35</v>
      </c>
      <c r="B3063" s="18" t="s">
        <v>42</v>
      </c>
      <c r="C3063" s="18" t="s">
        <v>97</v>
      </c>
      <c r="D3063" s="18" t="s">
        <v>3412</v>
      </c>
      <c r="E3063" s="18" t="s">
        <v>3612</v>
      </c>
      <c r="F3063" s="101">
        <v>46290.470138888886</v>
      </c>
      <c r="G3063" s="101">
        <v>46292.804861111108</v>
      </c>
      <c r="H3063" s="18" t="s">
        <v>507</v>
      </c>
      <c r="I3063" s="18" t="s">
        <v>508</v>
      </c>
      <c r="J3063" s="18"/>
      <c r="K3063" s="21">
        <f t="shared" si="141"/>
        <v>56.033333333325572</v>
      </c>
      <c r="L3063" s="19">
        <f t="shared" si="142"/>
        <v>232</v>
      </c>
      <c r="M3063" s="18" t="str">
        <f>IF(I3063&lt;&gt;"Sí","",IF(YEAR(F3063)&lt;&gt;2026,"",INDEX({"Enero","Febrero","Marzo","Abril","Mayo","Junio","Julio","Agosto","Septiembre","Octubre","Noviembre","Diciembre"},MONTH(F3063))))</f>
        <v>Septiembre</v>
      </c>
      <c r="N3063" s="18" t="str">
        <f t="shared" si="143"/>
        <v>Septiembre|232</v>
      </c>
    </row>
    <row r="3064" spans="1:14" ht="14.5" x14ac:dyDescent="0.25">
      <c r="A3064" s="19">
        <v>35</v>
      </c>
      <c r="B3064" s="18" t="s">
        <v>42</v>
      </c>
      <c r="C3064" s="18" t="s">
        <v>97</v>
      </c>
      <c r="D3064" s="18" t="s">
        <v>3412</v>
      </c>
      <c r="E3064" s="18" t="s">
        <v>3613</v>
      </c>
      <c r="F3064" s="101">
        <v>46290.470833333333</v>
      </c>
      <c r="G3064" s="101">
        <v>46292.784722222219</v>
      </c>
      <c r="H3064" s="18" t="s">
        <v>507</v>
      </c>
      <c r="I3064" s="18" t="s">
        <v>508</v>
      </c>
      <c r="J3064" s="18"/>
      <c r="K3064" s="21">
        <f t="shared" si="141"/>
        <v>55.533333333267365</v>
      </c>
      <c r="L3064" s="19">
        <f t="shared" si="142"/>
        <v>233</v>
      </c>
      <c r="M3064" s="18" t="str">
        <f>IF(I3064&lt;&gt;"Sí","",IF(YEAR(F3064)&lt;&gt;2026,"",INDEX({"Enero","Febrero","Marzo","Abril","Mayo","Junio","Julio","Agosto","Septiembre","Octubre","Noviembre","Diciembre"},MONTH(F3064))))</f>
        <v>Septiembre</v>
      </c>
      <c r="N3064" s="18" t="str">
        <f t="shared" si="143"/>
        <v>Septiembre|233</v>
      </c>
    </row>
    <row r="3065" spans="1:14" ht="14.5" x14ac:dyDescent="0.25">
      <c r="A3065" s="19">
        <v>35</v>
      </c>
      <c r="B3065" s="18" t="s">
        <v>42</v>
      </c>
      <c r="C3065" s="18" t="s">
        <v>97</v>
      </c>
      <c r="D3065" s="18" t="s">
        <v>3412</v>
      </c>
      <c r="E3065" s="18" t="s">
        <v>3614</v>
      </c>
      <c r="F3065" s="101">
        <v>46290.475694444445</v>
      </c>
      <c r="G3065" s="101">
        <v>46292.784722222219</v>
      </c>
      <c r="H3065" s="18" t="s">
        <v>507</v>
      </c>
      <c r="I3065" s="18" t="s">
        <v>508</v>
      </c>
      <c r="J3065" s="18"/>
      <c r="K3065" s="21">
        <f t="shared" si="141"/>
        <v>55.416666666569654</v>
      </c>
      <c r="L3065" s="19">
        <f t="shared" si="142"/>
        <v>234</v>
      </c>
      <c r="M3065" s="18" t="str">
        <f>IF(I3065&lt;&gt;"Sí","",IF(YEAR(F3065)&lt;&gt;2026,"",INDEX({"Enero","Febrero","Marzo","Abril","Mayo","Junio","Julio","Agosto","Septiembre","Octubre","Noviembre","Diciembre"},MONTH(F3065))))</f>
        <v>Septiembre</v>
      </c>
      <c r="N3065" s="18" t="str">
        <f t="shared" si="143"/>
        <v>Septiembre|234</v>
      </c>
    </row>
    <row r="3066" spans="1:14" ht="14.5" x14ac:dyDescent="0.25">
      <c r="A3066" s="19">
        <v>35</v>
      </c>
      <c r="B3066" s="18" t="s">
        <v>42</v>
      </c>
      <c r="C3066" s="18" t="s">
        <v>97</v>
      </c>
      <c r="D3066" s="18" t="s">
        <v>3412</v>
      </c>
      <c r="E3066" s="18" t="s">
        <v>3615</v>
      </c>
      <c r="F3066" s="101">
        <v>46290.477083333331</v>
      </c>
      <c r="G3066" s="101">
        <v>46292.784722222219</v>
      </c>
      <c r="H3066" s="18" t="s">
        <v>507</v>
      </c>
      <c r="I3066" s="18" t="s">
        <v>508</v>
      </c>
      <c r="J3066" s="18"/>
      <c r="K3066" s="21">
        <f t="shared" si="141"/>
        <v>55.383333333302289</v>
      </c>
      <c r="L3066" s="19">
        <f t="shared" si="142"/>
        <v>235</v>
      </c>
      <c r="M3066" s="18" t="str">
        <f>IF(I3066&lt;&gt;"Sí","",IF(YEAR(F3066)&lt;&gt;2026,"",INDEX({"Enero","Febrero","Marzo","Abril","Mayo","Junio","Julio","Agosto","Septiembre","Octubre","Noviembre","Diciembre"},MONTH(F3066))))</f>
        <v>Septiembre</v>
      </c>
      <c r="N3066" s="18" t="str">
        <f t="shared" si="143"/>
        <v>Septiembre|235</v>
      </c>
    </row>
    <row r="3067" spans="1:14" ht="14.5" x14ac:dyDescent="0.25">
      <c r="A3067" s="19">
        <v>35</v>
      </c>
      <c r="B3067" s="18" t="s">
        <v>42</v>
      </c>
      <c r="C3067" s="18" t="s">
        <v>97</v>
      </c>
      <c r="D3067" s="18" t="s">
        <v>3412</v>
      </c>
      <c r="E3067" s="18" t="s">
        <v>3616</v>
      </c>
      <c r="F3067" s="101">
        <v>46290.479166666664</v>
      </c>
      <c r="G3067" s="101">
        <v>46292.775694444441</v>
      </c>
      <c r="H3067" s="18" t="s">
        <v>507</v>
      </c>
      <c r="I3067" s="18" t="s">
        <v>508</v>
      </c>
      <c r="J3067" s="18"/>
      <c r="K3067" s="21">
        <f t="shared" si="141"/>
        <v>55.116666666639503</v>
      </c>
      <c r="L3067" s="19">
        <f t="shared" si="142"/>
        <v>236</v>
      </c>
      <c r="M3067" s="18" t="str">
        <f>IF(I3067&lt;&gt;"Sí","",IF(YEAR(F3067)&lt;&gt;2026,"",INDEX({"Enero","Febrero","Marzo","Abril","Mayo","Junio","Julio","Agosto","Septiembre","Octubre","Noviembre","Diciembre"},MONTH(F3067))))</f>
        <v>Septiembre</v>
      </c>
      <c r="N3067" s="18" t="str">
        <f t="shared" si="143"/>
        <v>Septiembre|236</v>
      </c>
    </row>
    <row r="3068" spans="1:14" ht="14.5" x14ac:dyDescent="0.25">
      <c r="A3068" s="19">
        <v>35</v>
      </c>
      <c r="B3068" s="18" t="s">
        <v>42</v>
      </c>
      <c r="C3068" s="18" t="s">
        <v>97</v>
      </c>
      <c r="D3068" s="18" t="s">
        <v>3412</v>
      </c>
      <c r="E3068" s="18" t="s">
        <v>3617</v>
      </c>
      <c r="F3068" s="101">
        <v>46290.480555555558</v>
      </c>
      <c r="G3068" s="101">
        <v>46292.775694444441</v>
      </c>
      <c r="H3068" s="18" t="s">
        <v>507</v>
      </c>
      <c r="I3068" s="18" t="s">
        <v>508</v>
      </c>
      <c r="J3068" s="18"/>
      <c r="K3068" s="21">
        <f t="shared" si="141"/>
        <v>55.083333333197515</v>
      </c>
      <c r="L3068" s="19">
        <f t="shared" si="142"/>
        <v>237</v>
      </c>
      <c r="M3068" s="18" t="str">
        <f>IF(I3068&lt;&gt;"Sí","",IF(YEAR(F3068)&lt;&gt;2026,"",INDEX({"Enero","Febrero","Marzo","Abril","Mayo","Junio","Julio","Agosto","Septiembre","Octubre","Noviembre","Diciembre"},MONTH(F3068))))</f>
        <v>Septiembre</v>
      </c>
      <c r="N3068" s="18" t="str">
        <f t="shared" si="143"/>
        <v>Septiembre|237</v>
      </c>
    </row>
    <row r="3069" spans="1:14" ht="14.5" x14ac:dyDescent="0.25">
      <c r="A3069" s="19">
        <v>35</v>
      </c>
      <c r="B3069" s="18" t="s">
        <v>42</v>
      </c>
      <c r="C3069" s="18" t="s">
        <v>97</v>
      </c>
      <c r="D3069" s="18" t="s">
        <v>3412</v>
      </c>
      <c r="E3069" s="18" t="s">
        <v>3618</v>
      </c>
      <c r="F3069" s="101">
        <v>46290.482638888891</v>
      </c>
      <c r="G3069" s="101">
        <v>46292.775694444441</v>
      </c>
      <c r="H3069" s="18" t="s">
        <v>507</v>
      </c>
      <c r="I3069" s="18" t="s">
        <v>508</v>
      </c>
      <c r="J3069" s="18"/>
      <c r="K3069" s="21">
        <f t="shared" si="141"/>
        <v>55.033333333209157</v>
      </c>
      <c r="L3069" s="19">
        <f t="shared" si="142"/>
        <v>238</v>
      </c>
      <c r="M3069" s="18" t="str">
        <f>IF(I3069&lt;&gt;"Sí","",IF(YEAR(F3069)&lt;&gt;2026,"",INDEX({"Enero","Febrero","Marzo","Abril","Mayo","Junio","Julio","Agosto","Septiembre","Octubre","Noviembre","Diciembre"},MONTH(F3069))))</f>
        <v>Septiembre</v>
      </c>
      <c r="N3069" s="18" t="str">
        <f t="shared" si="143"/>
        <v>Septiembre|238</v>
      </c>
    </row>
    <row r="3070" spans="1:14" ht="14.5" x14ac:dyDescent="0.25">
      <c r="A3070" s="19">
        <v>35</v>
      </c>
      <c r="B3070" s="18" t="s">
        <v>42</v>
      </c>
      <c r="C3070" s="18" t="s">
        <v>97</v>
      </c>
      <c r="D3070" s="18" t="s">
        <v>3412</v>
      </c>
      <c r="E3070" s="18" t="s">
        <v>3619</v>
      </c>
      <c r="F3070" s="101">
        <v>46290.487500000003</v>
      </c>
      <c r="G3070" s="101">
        <v>46292.775694444441</v>
      </c>
      <c r="H3070" s="18" t="s">
        <v>507</v>
      </c>
      <c r="I3070" s="18" t="s">
        <v>508</v>
      </c>
      <c r="J3070" s="18"/>
      <c r="K3070" s="21">
        <f t="shared" si="141"/>
        <v>54.916666666511446</v>
      </c>
      <c r="L3070" s="19">
        <f t="shared" si="142"/>
        <v>239</v>
      </c>
      <c r="M3070" s="18" t="str">
        <f>IF(I3070&lt;&gt;"Sí","",IF(YEAR(F3070)&lt;&gt;2026,"",INDEX({"Enero","Febrero","Marzo","Abril","Mayo","Junio","Julio","Agosto","Septiembre","Octubre","Noviembre","Diciembre"},MONTH(F3070))))</f>
        <v>Septiembre</v>
      </c>
      <c r="N3070" s="18" t="str">
        <f t="shared" si="143"/>
        <v>Septiembre|239</v>
      </c>
    </row>
    <row r="3071" spans="1:14" ht="14.5" x14ac:dyDescent="0.25">
      <c r="A3071" s="19">
        <v>35</v>
      </c>
      <c r="B3071" s="18" t="s">
        <v>42</v>
      </c>
      <c r="C3071" s="18" t="s">
        <v>97</v>
      </c>
      <c r="D3071" s="18" t="s">
        <v>3412</v>
      </c>
      <c r="E3071" s="18" t="s">
        <v>3620</v>
      </c>
      <c r="F3071" s="101">
        <v>46290.490277777775</v>
      </c>
      <c r="G3071" s="101">
        <v>46292.775694444441</v>
      </c>
      <c r="H3071" s="18" t="s">
        <v>507</v>
      </c>
      <c r="I3071" s="18" t="s">
        <v>508</v>
      </c>
      <c r="J3071" s="18"/>
      <c r="K3071" s="21">
        <f t="shared" si="141"/>
        <v>54.849999999976717</v>
      </c>
      <c r="L3071" s="19">
        <f t="shared" si="142"/>
        <v>240</v>
      </c>
      <c r="M3071" s="18" t="str">
        <f>IF(I3071&lt;&gt;"Sí","",IF(YEAR(F3071)&lt;&gt;2026,"",INDEX({"Enero","Febrero","Marzo","Abril","Mayo","Junio","Julio","Agosto","Septiembre","Octubre","Noviembre","Diciembre"},MONTH(F3071))))</f>
        <v>Septiembre</v>
      </c>
      <c r="N3071" s="18" t="str">
        <f t="shared" si="143"/>
        <v>Septiembre|240</v>
      </c>
    </row>
    <row r="3072" spans="1:14" ht="14.5" x14ac:dyDescent="0.25">
      <c r="A3072" s="19">
        <v>35</v>
      </c>
      <c r="B3072" s="18" t="s">
        <v>42</v>
      </c>
      <c r="C3072" s="18" t="s">
        <v>97</v>
      </c>
      <c r="D3072" s="18" t="s">
        <v>3412</v>
      </c>
      <c r="E3072" s="18" t="s">
        <v>3621</v>
      </c>
      <c r="F3072" s="101">
        <v>46290.490972222222</v>
      </c>
      <c r="G3072" s="101">
        <v>46292.775694444441</v>
      </c>
      <c r="H3072" s="18" t="s">
        <v>507</v>
      </c>
      <c r="I3072" s="18" t="s">
        <v>508</v>
      </c>
      <c r="J3072" s="18"/>
      <c r="K3072" s="21">
        <f t="shared" si="141"/>
        <v>54.833333333255723</v>
      </c>
      <c r="L3072" s="19">
        <f t="shared" si="142"/>
        <v>241</v>
      </c>
      <c r="M3072" s="18" t="str">
        <f>IF(I3072&lt;&gt;"Sí","",IF(YEAR(F3072)&lt;&gt;2026,"",INDEX({"Enero","Febrero","Marzo","Abril","Mayo","Junio","Julio","Agosto","Septiembre","Octubre","Noviembre","Diciembre"},MONTH(F3072))))</f>
        <v>Septiembre</v>
      </c>
      <c r="N3072" s="18" t="str">
        <f t="shared" si="143"/>
        <v>Septiembre|241</v>
      </c>
    </row>
    <row r="3073" spans="1:14" ht="14.5" x14ac:dyDescent="0.25">
      <c r="A3073" s="19">
        <v>35</v>
      </c>
      <c r="B3073" s="18" t="s">
        <v>42</v>
      </c>
      <c r="C3073" s="18" t="s">
        <v>97</v>
      </c>
      <c r="D3073" s="18" t="s">
        <v>3412</v>
      </c>
      <c r="E3073" s="18" t="s">
        <v>3622</v>
      </c>
      <c r="F3073" s="101">
        <v>46290.493055555555</v>
      </c>
      <c r="G3073" s="101">
        <v>46292.75</v>
      </c>
      <c r="H3073" s="18" t="s">
        <v>507</v>
      </c>
      <c r="I3073" s="18" t="s">
        <v>508</v>
      </c>
      <c r="J3073" s="18"/>
      <c r="K3073" s="21">
        <f t="shared" si="141"/>
        <v>54.166666666686069</v>
      </c>
      <c r="L3073" s="19">
        <f t="shared" si="142"/>
        <v>242</v>
      </c>
      <c r="M3073" s="18" t="str">
        <f>IF(I3073&lt;&gt;"Sí","",IF(YEAR(F3073)&lt;&gt;2026,"",INDEX({"Enero","Febrero","Marzo","Abril","Mayo","Junio","Julio","Agosto","Septiembre","Octubre","Noviembre","Diciembre"},MONTH(F3073))))</f>
        <v>Septiembre</v>
      </c>
      <c r="N3073" s="18" t="str">
        <f t="shared" si="143"/>
        <v>Septiembre|242</v>
      </c>
    </row>
    <row r="3074" spans="1:14" ht="14.5" x14ac:dyDescent="0.25">
      <c r="A3074" s="19">
        <v>35</v>
      </c>
      <c r="B3074" s="18" t="s">
        <v>42</v>
      </c>
      <c r="C3074" s="18" t="s">
        <v>97</v>
      </c>
      <c r="D3074" s="18" t="s">
        <v>3412</v>
      </c>
      <c r="E3074" s="18" t="s">
        <v>3623</v>
      </c>
      <c r="F3074" s="101">
        <v>46290.493750000001</v>
      </c>
      <c r="G3074" s="101">
        <v>46292.75</v>
      </c>
      <c r="H3074" s="18" t="s">
        <v>507</v>
      </c>
      <c r="I3074" s="18" t="s">
        <v>508</v>
      </c>
      <c r="J3074" s="18"/>
      <c r="K3074" s="21">
        <f t="shared" si="141"/>
        <v>54.149999999965075</v>
      </c>
      <c r="L3074" s="19">
        <f t="shared" si="142"/>
        <v>243</v>
      </c>
      <c r="M3074" s="18" t="str">
        <f>IF(I3074&lt;&gt;"Sí","",IF(YEAR(F3074)&lt;&gt;2026,"",INDEX({"Enero","Febrero","Marzo","Abril","Mayo","Junio","Julio","Agosto","Septiembre","Octubre","Noviembre","Diciembre"},MONTH(F3074))))</f>
        <v>Septiembre</v>
      </c>
      <c r="N3074" s="18" t="str">
        <f t="shared" si="143"/>
        <v>Septiembre|243</v>
      </c>
    </row>
    <row r="3075" spans="1:14" ht="14.5" x14ac:dyDescent="0.25">
      <c r="A3075" s="19">
        <v>35</v>
      </c>
      <c r="B3075" s="18" t="s">
        <v>42</v>
      </c>
      <c r="C3075" s="18" t="s">
        <v>97</v>
      </c>
      <c r="D3075" s="18" t="s">
        <v>3412</v>
      </c>
      <c r="E3075" s="18" t="s">
        <v>3624</v>
      </c>
      <c r="F3075" s="101">
        <v>46290.494444444441</v>
      </c>
      <c r="G3075" s="101">
        <v>46292.75</v>
      </c>
      <c r="H3075" s="18" t="s">
        <v>507</v>
      </c>
      <c r="I3075" s="18" t="s">
        <v>508</v>
      </c>
      <c r="J3075" s="18"/>
      <c r="K3075" s="21">
        <f t="shared" si="141"/>
        <v>54.133333333418705</v>
      </c>
      <c r="L3075" s="19">
        <f t="shared" si="142"/>
        <v>244</v>
      </c>
      <c r="M3075" s="18" t="str">
        <f>IF(I3075&lt;&gt;"Sí","",IF(YEAR(F3075)&lt;&gt;2026,"",INDEX({"Enero","Febrero","Marzo","Abril","Mayo","Junio","Julio","Agosto","Septiembre","Octubre","Noviembre","Diciembre"},MONTH(F3075))))</f>
        <v>Septiembre</v>
      </c>
      <c r="N3075" s="18" t="str">
        <f t="shared" si="143"/>
        <v>Septiembre|244</v>
      </c>
    </row>
    <row r="3076" spans="1:14" ht="14.5" x14ac:dyDescent="0.25">
      <c r="A3076" s="19">
        <v>35</v>
      </c>
      <c r="B3076" s="18" t="s">
        <v>42</v>
      </c>
      <c r="C3076" s="18" t="s">
        <v>97</v>
      </c>
      <c r="D3076" s="18" t="s">
        <v>3412</v>
      </c>
      <c r="E3076" s="18" t="s">
        <v>3625</v>
      </c>
      <c r="F3076" s="101">
        <v>46290.495138888888</v>
      </c>
      <c r="G3076" s="101">
        <v>46292.75</v>
      </c>
      <c r="H3076" s="18" t="s">
        <v>507</v>
      </c>
      <c r="I3076" s="18" t="s">
        <v>508</v>
      </c>
      <c r="J3076" s="18"/>
      <c r="K3076" s="21">
        <f t="shared" si="141"/>
        <v>54.116666666697711</v>
      </c>
      <c r="L3076" s="19">
        <f t="shared" si="142"/>
        <v>245</v>
      </c>
      <c r="M3076" s="18" t="str">
        <f>IF(I3076&lt;&gt;"Sí","",IF(YEAR(F3076)&lt;&gt;2026,"",INDEX({"Enero","Febrero","Marzo","Abril","Mayo","Junio","Julio","Agosto","Septiembre","Octubre","Noviembre","Diciembre"},MONTH(F3076))))</f>
        <v>Septiembre</v>
      </c>
      <c r="N3076" s="18" t="str">
        <f t="shared" si="143"/>
        <v>Septiembre|245</v>
      </c>
    </row>
    <row r="3077" spans="1:14" ht="14.5" x14ac:dyDescent="0.25">
      <c r="A3077" s="19">
        <v>35</v>
      </c>
      <c r="B3077" s="18" t="s">
        <v>42</v>
      </c>
      <c r="C3077" s="18" t="s">
        <v>97</v>
      </c>
      <c r="D3077" s="18" t="s">
        <v>3412</v>
      </c>
      <c r="E3077" s="18" t="s">
        <v>3626</v>
      </c>
      <c r="F3077" s="101">
        <v>46290.524305555555</v>
      </c>
      <c r="G3077" s="101">
        <v>46292.75</v>
      </c>
      <c r="H3077" s="18" t="s">
        <v>507</v>
      </c>
      <c r="I3077" s="18" t="s">
        <v>508</v>
      </c>
      <c r="J3077" s="18"/>
      <c r="K3077" s="21">
        <f t="shared" si="141"/>
        <v>53.416666666686069</v>
      </c>
      <c r="L3077" s="19">
        <f t="shared" si="142"/>
        <v>246</v>
      </c>
      <c r="M3077" s="18" t="str">
        <f>IF(I3077&lt;&gt;"Sí","",IF(YEAR(F3077)&lt;&gt;2026,"",INDEX({"Enero","Febrero","Marzo","Abril","Mayo","Junio","Julio","Agosto","Septiembre","Octubre","Noviembre","Diciembre"},MONTH(F3077))))</f>
        <v>Septiembre</v>
      </c>
      <c r="N3077" s="18" t="str">
        <f t="shared" si="143"/>
        <v>Septiembre|246</v>
      </c>
    </row>
    <row r="3078" spans="1:14" ht="14.5" x14ac:dyDescent="0.25">
      <c r="A3078" s="19">
        <v>35</v>
      </c>
      <c r="B3078" s="18" t="s">
        <v>42</v>
      </c>
      <c r="C3078" s="18" t="s">
        <v>97</v>
      </c>
      <c r="D3078" s="18" t="s">
        <v>3412</v>
      </c>
      <c r="E3078" s="18" t="s">
        <v>3627</v>
      </c>
      <c r="F3078" s="101">
        <v>46290.529166666667</v>
      </c>
      <c r="G3078" s="101">
        <v>46291.580555555556</v>
      </c>
      <c r="H3078" s="18" t="s">
        <v>507</v>
      </c>
      <c r="I3078" s="18" t="s">
        <v>508</v>
      </c>
      <c r="J3078" s="18"/>
      <c r="K3078" s="21">
        <f t="shared" si="141"/>
        <v>25.233333333337214</v>
      </c>
      <c r="L3078" s="19">
        <f t="shared" si="142"/>
        <v>247</v>
      </c>
      <c r="M3078" s="18" t="str">
        <f>IF(I3078&lt;&gt;"Sí","",IF(YEAR(F3078)&lt;&gt;2026,"",INDEX({"Enero","Febrero","Marzo","Abril","Mayo","Junio","Julio","Agosto","Septiembre","Octubre","Noviembre","Diciembre"},MONTH(F3078))))</f>
        <v>Septiembre</v>
      </c>
      <c r="N3078" s="18" t="str">
        <f t="shared" si="143"/>
        <v>Septiembre|247</v>
      </c>
    </row>
    <row r="3079" spans="1:14" ht="14.5" x14ac:dyDescent="0.25">
      <c r="A3079" s="19">
        <v>35</v>
      </c>
      <c r="B3079" s="18" t="s">
        <v>42</v>
      </c>
      <c r="C3079" s="18" t="s">
        <v>97</v>
      </c>
      <c r="D3079" s="18" t="s">
        <v>3412</v>
      </c>
      <c r="E3079" s="18" t="s">
        <v>3628</v>
      </c>
      <c r="F3079" s="101">
        <v>46290.530555555553</v>
      </c>
      <c r="G3079" s="101">
        <v>46291.580555555556</v>
      </c>
      <c r="H3079" s="18" t="s">
        <v>507</v>
      </c>
      <c r="I3079" s="18" t="s">
        <v>508</v>
      </c>
      <c r="J3079" s="18"/>
      <c r="K3079" s="21">
        <f t="shared" ref="K3079:K3142" si="144">IF(I3079="Sí",(G3079-F3079)*24,"")</f>
        <v>25.200000000069849</v>
      </c>
      <c r="L3079" s="19">
        <f t="shared" ref="L3079:L3142" si="145">IF(I3079="Sí",COUNTIFS($F$7:$F$4000,"&lt;="&amp;F3079,$G$7:$G$4000,"&gt;"&amp;F3079,$I$7:$I$4000,"Sí"),"")</f>
        <v>248</v>
      </c>
      <c r="M3079" s="18" t="str">
        <f>IF(I3079&lt;&gt;"Sí","",IF(YEAR(F3079)&lt;&gt;2026,"",INDEX({"Enero","Febrero","Marzo","Abril","Mayo","Junio","Julio","Agosto","Septiembre","Octubre","Noviembre","Diciembre"},MONTH(F3079))))</f>
        <v>Septiembre</v>
      </c>
      <c r="N3079" s="18" t="str">
        <f t="shared" ref="N3079:N3142" si="146">IF(M3079="","",M3079&amp;"|"&amp;L3079)</f>
        <v>Septiembre|248</v>
      </c>
    </row>
    <row r="3080" spans="1:14" ht="14.5" x14ac:dyDescent="0.25">
      <c r="A3080" s="19">
        <v>35</v>
      </c>
      <c r="B3080" s="18" t="s">
        <v>42</v>
      </c>
      <c r="C3080" s="18" t="s">
        <v>97</v>
      </c>
      <c r="D3080" s="18" t="s">
        <v>3412</v>
      </c>
      <c r="E3080" s="18" t="s">
        <v>3629</v>
      </c>
      <c r="F3080" s="101">
        <v>46290.53125</v>
      </c>
      <c r="G3080" s="101">
        <v>46292.75</v>
      </c>
      <c r="H3080" s="18" t="s">
        <v>507</v>
      </c>
      <c r="I3080" s="18" t="s">
        <v>508</v>
      </c>
      <c r="J3080" s="18"/>
      <c r="K3080" s="21">
        <f t="shared" si="144"/>
        <v>53.25</v>
      </c>
      <c r="L3080" s="19">
        <f t="shared" si="145"/>
        <v>249</v>
      </c>
      <c r="M3080" s="18" t="str">
        <f>IF(I3080&lt;&gt;"Sí","",IF(YEAR(F3080)&lt;&gt;2026,"",INDEX({"Enero","Febrero","Marzo","Abril","Mayo","Junio","Julio","Agosto","Septiembre","Octubre","Noviembre","Diciembre"},MONTH(F3080))))</f>
        <v>Septiembre</v>
      </c>
      <c r="N3080" s="18" t="str">
        <f t="shared" si="146"/>
        <v>Septiembre|249</v>
      </c>
    </row>
    <row r="3081" spans="1:14" ht="14.5" x14ac:dyDescent="0.25">
      <c r="A3081" s="19">
        <v>35</v>
      </c>
      <c r="B3081" s="18" t="s">
        <v>42</v>
      </c>
      <c r="C3081" s="18" t="s">
        <v>97</v>
      </c>
      <c r="D3081" s="18" t="s">
        <v>3412</v>
      </c>
      <c r="E3081" s="18" t="s">
        <v>3630</v>
      </c>
      <c r="F3081" s="101">
        <v>46290.532638888886</v>
      </c>
      <c r="G3081" s="101">
        <v>46291.579861111109</v>
      </c>
      <c r="H3081" s="18" t="s">
        <v>507</v>
      </c>
      <c r="I3081" s="18" t="s">
        <v>508</v>
      </c>
      <c r="J3081" s="18"/>
      <c r="K3081" s="21">
        <f t="shared" si="144"/>
        <v>25.133333333360497</v>
      </c>
      <c r="L3081" s="19">
        <f t="shared" si="145"/>
        <v>250</v>
      </c>
      <c r="M3081" s="18" t="str">
        <f>IF(I3081&lt;&gt;"Sí","",IF(YEAR(F3081)&lt;&gt;2026,"",INDEX({"Enero","Febrero","Marzo","Abril","Mayo","Junio","Julio","Agosto","Septiembre","Octubre","Noviembre","Diciembre"},MONTH(F3081))))</f>
        <v>Septiembre</v>
      </c>
      <c r="N3081" s="18" t="str">
        <f t="shared" si="146"/>
        <v>Septiembre|250</v>
      </c>
    </row>
    <row r="3082" spans="1:14" ht="14.5" x14ac:dyDescent="0.25">
      <c r="A3082" s="19">
        <v>35</v>
      </c>
      <c r="B3082" s="18" t="s">
        <v>42</v>
      </c>
      <c r="C3082" s="18" t="s">
        <v>97</v>
      </c>
      <c r="D3082" s="18" t="s">
        <v>3412</v>
      </c>
      <c r="E3082" s="18" t="s">
        <v>3631</v>
      </c>
      <c r="F3082" s="101">
        <v>46290.53402777778</v>
      </c>
      <c r="G3082" s="101">
        <v>46291.579861111109</v>
      </c>
      <c r="H3082" s="18" t="s">
        <v>507</v>
      </c>
      <c r="I3082" s="18" t="s">
        <v>508</v>
      </c>
      <c r="J3082" s="18"/>
      <c r="K3082" s="21">
        <f t="shared" si="144"/>
        <v>25.099999999918509</v>
      </c>
      <c r="L3082" s="19">
        <f t="shared" si="145"/>
        <v>251</v>
      </c>
      <c r="M3082" s="18" t="str">
        <f>IF(I3082&lt;&gt;"Sí","",IF(YEAR(F3082)&lt;&gt;2026,"",INDEX({"Enero","Febrero","Marzo","Abril","Mayo","Junio","Julio","Agosto","Septiembre","Octubre","Noviembre","Diciembre"},MONTH(F3082))))</f>
        <v>Septiembre</v>
      </c>
      <c r="N3082" s="18" t="str">
        <f t="shared" si="146"/>
        <v>Septiembre|251</v>
      </c>
    </row>
    <row r="3083" spans="1:14" ht="14.5" x14ac:dyDescent="0.25">
      <c r="A3083" s="19">
        <v>35</v>
      </c>
      <c r="B3083" s="18" t="s">
        <v>42</v>
      </c>
      <c r="C3083" s="18" t="s">
        <v>97</v>
      </c>
      <c r="D3083" s="18" t="s">
        <v>3412</v>
      </c>
      <c r="E3083" s="18" t="s">
        <v>3632</v>
      </c>
      <c r="F3083" s="101">
        <v>46290.534722222219</v>
      </c>
      <c r="G3083" s="101">
        <v>46291.579861111109</v>
      </c>
      <c r="H3083" s="18" t="s">
        <v>507</v>
      </c>
      <c r="I3083" s="18" t="s">
        <v>508</v>
      </c>
      <c r="J3083" s="18"/>
      <c r="K3083" s="21">
        <f t="shared" si="144"/>
        <v>25.083333333372138</v>
      </c>
      <c r="L3083" s="19">
        <f t="shared" si="145"/>
        <v>252</v>
      </c>
      <c r="M3083" s="18" t="str">
        <f>IF(I3083&lt;&gt;"Sí","",IF(YEAR(F3083)&lt;&gt;2026,"",INDEX({"Enero","Febrero","Marzo","Abril","Mayo","Junio","Julio","Agosto","Septiembre","Octubre","Noviembre","Diciembre"},MONTH(F3083))))</f>
        <v>Septiembre</v>
      </c>
      <c r="N3083" s="18" t="str">
        <f t="shared" si="146"/>
        <v>Septiembre|252</v>
      </c>
    </row>
    <row r="3084" spans="1:14" ht="14.5" x14ac:dyDescent="0.25">
      <c r="A3084" s="19">
        <v>35</v>
      </c>
      <c r="B3084" s="18" t="s">
        <v>42</v>
      </c>
      <c r="C3084" s="18" t="s">
        <v>97</v>
      </c>
      <c r="D3084" s="18" t="s">
        <v>3412</v>
      </c>
      <c r="E3084" s="18" t="s">
        <v>3633</v>
      </c>
      <c r="F3084" s="101">
        <v>46290.542361111111</v>
      </c>
      <c r="G3084" s="101">
        <v>46291.579861111109</v>
      </c>
      <c r="H3084" s="18" t="s">
        <v>507</v>
      </c>
      <c r="I3084" s="18" t="s">
        <v>508</v>
      </c>
      <c r="J3084" s="18"/>
      <c r="K3084" s="21">
        <f t="shared" si="144"/>
        <v>24.899999999965075</v>
      </c>
      <c r="L3084" s="19">
        <f t="shared" si="145"/>
        <v>253</v>
      </c>
      <c r="M3084" s="18" t="str">
        <f>IF(I3084&lt;&gt;"Sí","",IF(YEAR(F3084)&lt;&gt;2026,"",INDEX({"Enero","Febrero","Marzo","Abril","Mayo","Junio","Julio","Agosto","Septiembre","Octubre","Noviembre","Diciembre"},MONTH(F3084))))</f>
        <v>Septiembre</v>
      </c>
      <c r="N3084" s="18" t="str">
        <f t="shared" si="146"/>
        <v>Septiembre|253</v>
      </c>
    </row>
    <row r="3085" spans="1:14" ht="14.5" x14ac:dyDescent="0.25">
      <c r="A3085" s="19">
        <v>35</v>
      </c>
      <c r="B3085" s="18" t="s">
        <v>42</v>
      </c>
      <c r="C3085" s="18" t="s">
        <v>97</v>
      </c>
      <c r="D3085" s="18" t="s">
        <v>3412</v>
      </c>
      <c r="E3085" s="18" t="s">
        <v>3634</v>
      </c>
      <c r="F3085" s="101">
        <v>46290.543055555558</v>
      </c>
      <c r="G3085" s="101">
        <v>46291.579861111109</v>
      </c>
      <c r="H3085" s="18" t="s">
        <v>507</v>
      </c>
      <c r="I3085" s="18" t="s">
        <v>508</v>
      </c>
      <c r="J3085" s="18"/>
      <c r="K3085" s="21">
        <f t="shared" si="144"/>
        <v>24.883333333244082</v>
      </c>
      <c r="L3085" s="19">
        <f t="shared" si="145"/>
        <v>254</v>
      </c>
      <c r="M3085" s="18" t="str">
        <f>IF(I3085&lt;&gt;"Sí","",IF(YEAR(F3085)&lt;&gt;2026,"",INDEX({"Enero","Febrero","Marzo","Abril","Mayo","Junio","Julio","Agosto","Septiembre","Octubre","Noviembre","Diciembre"},MONTH(F3085))))</f>
        <v>Septiembre</v>
      </c>
      <c r="N3085" s="18" t="str">
        <f t="shared" si="146"/>
        <v>Septiembre|254</v>
      </c>
    </row>
    <row r="3086" spans="1:14" ht="14.5" x14ac:dyDescent="0.25">
      <c r="A3086" s="19">
        <v>35</v>
      </c>
      <c r="B3086" s="18" t="s">
        <v>42</v>
      </c>
      <c r="C3086" s="18" t="s">
        <v>97</v>
      </c>
      <c r="D3086" s="18" t="s">
        <v>3412</v>
      </c>
      <c r="E3086" s="18" t="s">
        <v>3635</v>
      </c>
      <c r="F3086" s="101">
        <v>46290.545138888891</v>
      </c>
      <c r="G3086" s="101">
        <v>46292.559027777781</v>
      </c>
      <c r="H3086" s="18" t="s">
        <v>507</v>
      </c>
      <c r="I3086" s="18" t="s">
        <v>508</v>
      </c>
      <c r="J3086" s="18"/>
      <c r="K3086" s="21">
        <f t="shared" si="144"/>
        <v>48.333333333372138</v>
      </c>
      <c r="L3086" s="19">
        <f t="shared" si="145"/>
        <v>255</v>
      </c>
      <c r="M3086" s="18" t="str">
        <f>IF(I3086&lt;&gt;"Sí","",IF(YEAR(F3086)&lt;&gt;2026,"",INDEX({"Enero","Febrero","Marzo","Abril","Mayo","Junio","Julio","Agosto","Septiembre","Octubre","Noviembre","Diciembre"},MONTH(F3086))))</f>
        <v>Septiembre</v>
      </c>
      <c r="N3086" s="18" t="str">
        <f t="shared" si="146"/>
        <v>Septiembre|255</v>
      </c>
    </row>
    <row r="3087" spans="1:14" ht="14.5" x14ac:dyDescent="0.25">
      <c r="A3087" s="19">
        <v>35</v>
      </c>
      <c r="B3087" s="18" t="s">
        <v>42</v>
      </c>
      <c r="C3087" s="18" t="s">
        <v>97</v>
      </c>
      <c r="D3087" s="18" t="s">
        <v>3412</v>
      </c>
      <c r="E3087" s="18" t="s">
        <v>3636</v>
      </c>
      <c r="F3087" s="101">
        <v>46290.552083333336</v>
      </c>
      <c r="G3087" s="101">
        <v>46292.559027777781</v>
      </c>
      <c r="H3087" s="18" t="s">
        <v>507</v>
      </c>
      <c r="I3087" s="18" t="s">
        <v>508</v>
      </c>
      <c r="J3087" s="18"/>
      <c r="K3087" s="21">
        <f t="shared" si="144"/>
        <v>48.166666666686069</v>
      </c>
      <c r="L3087" s="19">
        <f t="shared" si="145"/>
        <v>256</v>
      </c>
      <c r="M3087" s="18" t="str">
        <f>IF(I3087&lt;&gt;"Sí","",IF(YEAR(F3087)&lt;&gt;2026,"",INDEX({"Enero","Febrero","Marzo","Abril","Mayo","Junio","Julio","Agosto","Septiembre","Octubre","Noviembre","Diciembre"},MONTH(F3087))))</f>
        <v>Septiembre</v>
      </c>
      <c r="N3087" s="18" t="str">
        <f t="shared" si="146"/>
        <v>Septiembre|256</v>
      </c>
    </row>
    <row r="3088" spans="1:14" ht="14.5" x14ac:dyDescent="0.25">
      <c r="A3088" s="19">
        <v>35</v>
      </c>
      <c r="B3088" s="18" t="s">
        <v>42</v>
      </c>
      <c r="C3088" s="18" t="s">
        <v>97</v>
      </c>
      <c r="D3088" s="18" t="s">
        <v>3412</v>
      </c>
      <c r="E3088" s="18" t="s">
        <v>3637</v>
      </c>
      <c r="F3088" s="101">
        <v>46290.553472222222</v>
      </c>
      <c r="G3088" s="101">
        <v>46292.559027777781</v>
      </c>
      <c r="H3088" s="18" t="s">
        <v>507</v>
      </c>
      <c r="I3088" s="18" t="s">
        <v>508</v>
      </c>
      <c r="J3088" s="18"/>
      <c r="K3088" s="21">
        <f t="shared" si="144"/>
        <v>48.133333333418705</v>
      </c>
      <c r="L3088" s="19">
        <f t="shared" si="145"/>
        <v>257</v>
      </c>
      <c r="M3088" s="18" t="str">
        <f>IF(I3088&lt;&gt;"Sí","",IF(YEAR(F3088)&lt;&gt;2026,"",INDEX({"Enero","Febrero","Marzo","Abril","Mayo","Junio","Julio","Agosto","Septiembre","Octubre","Noviembre","Diciembre"},MONTH(F3088))))</f>
        <v>Septiembre</v>
      </c>
      <c r="N3088" s="18" t="str">
        <f t="shared" si="146"/>
        <v>Septiembre|257</v>
      </c>
    </row>
    <row r="3089" spans="1:14" ht="14.5" x14ac:dyDescent="0.25">
      <c r="A3089" s="19">
        <v>35</v>
      </c>
      <c r="B3089" s="18" t="s">
        <v>42</v>
      </c>
      <c r="C3089" s="18" t="s">
        <v>97</v>
      </c>
      <c r="D3089" s="18" t="s">
        <v>3412</v>
      </c>
      <c r="E3089" s="18" t="s">
        <v>3638</v>
      </c>
      <c r="F3089" s="101">
        <v>46290.555555555555</v>
      </c>
      <c r="G3089" s="101">
        <v>46292.559027777781</v>
      </c>
      <c r="H3089" s="18" t="s">
        <v>507</v>
      </c>
      <c r="I3089" s="18" t="s">
        <v>508</v>
      </c>
      <c r="J3089" s="18"/>
      <c r="K3089" s="21">
        <f t="shared" si="144"/>
        <v>48.083333333430346</v>
      </c>
      <c r="L3089" s="19">
        <f t="shared" si="145"/>
        <v>258</v>
      </c>
      <c r="M3089" s="18" t="str">
        <f>IF(I3089&lt;&gt;"Sí","",IF(YEAR(F3089)&lt;&gt;2026,"",INDEX({"Enero","Febrero","Marzo","Abril","Mayo","Junio","Julio","Agosto","Septiembre","Octubre","Noviembre","Diciembre"},MONTH(F3089))))</f>
        <v>Septiembre</v>
      </c>
      <c r="N3089" s="18" t="str">
        <f t="shared" si="146"/>
        <v>Septiembre|258</v>
      </c>
    </row>
    <row r="3090" spans="1:14" ht="14.5" x14ac:dyDescent="0.25">
      <c r="A3090" s="19">
        <v>35</v>
      </c>
      <c r="B3090" s="18" t="s">
        <v>42</v>
      </c>
      <c r="C3090" s="18" t="s">
        <v>97</v>
      </c>
      <c r="D3090" s="18" t="s">
        <v>3412</v>
      </c>
      <c r="E3090" s="18" t="s">
        <v>3639</v>
      </c>
      <c r="F3090" s="101">
        <v>46290.556944444441</v>
      </c>
      <c r="G3090" s="101">
        <v>46292.559027777781</v>
      </c>
      <c r="H3090" s="18" t="s">
        <v>507</v>
      </c>
      <c r="I3090" s="18" t="s">
        <v>508</v>
      </c>
      <c r="J3090" s="18"/>
      <c r="K3090" s="21">
        <f t="shared" si="144"/>
        <v>48.050000000162981</v>
      </c>
      <c r="L3090" s="19">
        <f t="shared" si="145"/>
        <v>259</v>
      </c>
      <c r="M3090" s="18" t="str">
        <f>IF(I3090&lt;&gt;"Sí","",IF(YEAR(F3090)&lt;&gt;2026,"",INDEX({"Enero","Febrero","Marzo","Abril","Mayo","Junio","Julio","Agosto","Septiembre","Octubre","Noviembre","Diciembre"},MONTH(F3090))))</f>
        <v>Septiembre</v>
      </c>
      <c r="N3090" s="18" t="str">
        <f t="shared" si="146"/>
        <v>Septiembre|259</v>
      </c>
    </row>
    <row r="3091" spans="1:14" ht="14.5" x14ac:dyDescent="0.25">
      <c r="A3091" s="19">
        <v>35</v>
      </c>
      <c r="B3091" s="18" t="s">
        <v>42</v>
      </c>
      <c r="C3091" s="18" t="s">
        <v>97</v>
      </c>
      <c r="D3091" s="18" t="s">
        <v>3412</v>
      </c>
      <c r="E3091" s="18" t="s">
        <v>3640</v>
      </c>
      <c r="F3091" s="101">
        <v>46290.559027777781</v>
      </c>
      <c r="G3091" s="101">
        <v>46291.720138888886</v>
      </c>
      <c r="H3091" s="18" t="s">
        <v>507</v>
      </c>
      <c r="I3091" s="18" t="s">
        <v>508</v>
      </c>
      <c r="J3091" s="18"/>
      <c r="K3091" s="21">
        <f t="shared" si="144"/>
        <v>27.866666666523088</v>
      </c>
      <c r="L3091" s="19">
        <f t="shared" si="145"/>
        <v>260</v>
      </c>
      <c r="M3091" s="18" t="str">
        <f>IF(I3091&lt;&gt;"Sí","",IF(YEAR(F3091)&lt;&gt;2026,"",INDEX({"Enero","Febrero","Marzo","Abril","Mayo","Junio","Julio","Agosto","Septiembre","Octubre","Noviembre","Diciembre"},MONTH(F3091))))</f>
        <v>Septiembre</v>
      </c>
      <c r="N3091" s="18" t="str">
        <f t="shared" si="146"/>
        <v>Septiembre|260</v>
      </c>
    </row>
    <row r="3092" spans="1:14" ht="14.5" x14ac:dyDescent="0.25">
      <c r="A3092" s="19">
        <v>35</v>
      </c>
      <c r="B3092" s="18" t="s">
        <v>42</v>
      </c>
      <c r="C3092" s="18" t="s">
        <v>2635</v>
      </c>
      <c r="D3092" s="18" t="s">
        <v>3641</v>
      </c>
      <c r="E3092" s="18" t="s">
        <v>3642</v>
      </c>
      <c r="F3092" s="101">
        <v>46290.563194444447</v>
      </c>
      <c r="G3092" s="101">
        <v>46294.574305555558</v>
      </c>
      <c r="H3092" s="18" t="s">
        <v>507</v>
      </c>
      <c r="I3092" s="18" t="s">
        <v>508</v>
      </c>
      <c r="J3092" s="18"/>
      <c r="K3092" s="21">
        <f t="shared" si="144"/>
        <v>96.266666666662786</v>
      </c>
      <c r="L3092" s="19">
        <f t="shared" si="145"/>
        <v>261</v>
      </c>
      <c r="M3092" s="18" t="str">
        <f>IF(I3092&lt;&gt;"Sí","",IF(YEAR(F3092)&lt;&gt;2026,"",INDEX({"Enero","Febrero","Marzo","Abril","Mayo","Junio","Julio","Agosto","Septiembre","Octubre","Noviembre","Diciembre"},MONTH(F3092))))</f>
        <v>Septiembre</v>
      </c>
      <c r="N3092" s="18" t="str">
        <f t="shared" si="146"/>
        <v>Septiembre|261</v>
      </c>
    </row>
    <row r="3093" spans="1:14" ht="14.5" x14ac:dyDescent="0.25">
      <c r="A3093" s="19">
        <v>35</v>
      </c>
      <c r="B3093" s="18" t="s">
        <v>42</v>
      </c>
      <c r="C3093" s="18" t="s">
        <v>97</v>
      </c>
      <c r="D3093" s="18" t="s">
        <v>3412</v>
      </c>
      <c r="E3093" s="18" t="s">
        <v>3643</v>
      </c>
      <c r="F3093" s="101">
        <v>46290.572916666664</v>
      </c>
      <c r="G3093" s="101">
        <v>46291.720138888886</v>
      </c>
      <c r="H3093" s="18" t="s">
        <v>507</v>
      </c>
      <c r="I3093" s="18" t="s">
        <v>508</v>
      </c>
      <c r="J3093" s="18"/>
      <c r="K3093" s="21">
        <f t="shared" si="144"/>
        <v>27.533333333325572</v>
      </c>
      <c r="L3093" s="19">
        <f t="shared" si="145"/>
        <v>262</v>
      </c>
      <c r="M3093" s="18" t="str">
        <f>IF(I3093&lt;&gt;"Sí","",IF(YEAR(F3093)&lt;&gt;2026,"",INDEX({"Enero","Febrero","Marzo","Abril","Mayo","Junio","Julio","Agosto","Septiembre","Octubre","Noviembre","Diciembre"},MONTH(F3093))))</f>
        <v>Septiembre</v>
      </c>
      <c r="N3093" s="18" t="str">
        <f t="shared" si="146"/>
        <v>Septiembre|262</v>
      </c>
    </row>
    <row r="3094" spans="1:14" ht="14.5" x14ac:dyDescent="0.25">
      <c r="A3094" s="19">
        <v>35</v>
      </c>
      <c r="B3094" s="18" t="s">
        <v>42</v>
      </c>
      <c r="C3094" s="18" t="s">
        <v>97</v>
      </c>
      <c r="D3094" s="18" t="s">
        <v>3412</v>
      </c>
      <c r="E3094" s="18" t="s">
        <v>3644</v>
      </c>
      <c r="F3094" s="101">
        <v>46290.574305555558</v>
      </c>
      <c r="G3094" s="101">
        <v>46291.720138888886</v>
      </c>
      <c r="H3094" s="18" t="s">
        <v>507</v>
      </c>
      <c r="I3094" s="18" t="s">
        <v>508</v>
      </c>
      <c r="J3094" s="18"/>
      <c r="K3094" s="21">
        <f t="shared" si="144"/>
        <v>27.499999999883585</v>
      </c>
      <c r="L3094" s="19">
        <f t="shared" si="145"/>
        <v>263</v>
      </c>
      <c r="M3094" s="18" t="str">
        <f>IF(I3094&lt;&gt;"Sí","",IF(YEAR(F3094)&lt;&gt;2026,"",INDEX({"Enero","Febrero","Marzo","Abril","Mayo","Junio","Julio","Agosto","Septiembre","Octubre","Noviembre","Diciembre"},MONTH(F3094))))</f>
        <v>Septiembre</v>
      </c>
      <c r="N3094" s="18" t="str">
        <f t="shared" si="146"/>
        <v>Septiembre|263</v>
      </c>
    </row>
    <row r="3095" spans="1:14" ht="14.5" x14ac:dyDescent="0.25">
      <c r="A3095" s="19">
        <v>35</v>
      </c>
      <c r="B3095" s="18" t="s">
        <v>42</v>
      </c>
      <c r="C3095" s="18" t="s">
        <v>97</v>
      </c>
      <c r="D3095" s="18" t="s">
        <v>3412</v>
      </c>
      <c r="E3095" s="18" t="s">
        <v>3645</v>
      </c>
      <c r="F3095" s="101">
        <v>46290.576388888891</v>
      </c>
      <c r="G3095" s="101">
        <v>46291.720138888886</v>
      </c>
      <c r="H3095" s="18" t="s">
        <v>507</v>
      </c>
      <c r="I3095" s="18" t="s">
        <v>508</v>
      </c>
      <c r="J3095" s="18"/>
      <c r="K3095" s="21">
        <f t="shared" si="144"/>
        <v>27.449999999895226</v>
      </c>
      <c r="L3095" s="19">
        <f t="shared" si="145"/>
        <v>264</v>
      </c>
      <c r="M3095" s="18" t="str">
        <f>IF(I3095&lt;&gt;"Sí","",IF(YEAR(F3095)&lt;&gt;2026,"",INDEX({"Enero","Febrero","Marzo","Abril","Mayo","Junio","Julio","Agosto","Septiembre","Octubre","Noviembre","Diciembre"},MONTH(F3095))))</f>
        <v>Septiembre</v>
      </c>
      <c r="N3095" s="18" t="str">
        <f t="shared" si="146"/>
        <v>Septiembre|264</v>
      </c>
    </row>
    <row r="3096" spans="1:14" ht="14.5" x14ac:dyDescent="0.25">
      <c r="A3096" s="19">
        <v>35</v>
      </c>
      <c r="B3096" s="18" t="s">
        <v>42</v>
      </c>
      <c r="C3096" s="18" t="s">
        <v>97</v>
      </c>
      <c r="D3096" s="18" t="s">
        <v>3412</v>
      </c>
      <c r="E3096" s="18" t="s">
        <v>3646</v>
      </c>
      <c r="F3096" s="101">
        <v>46290.57708333333</v>
      </c>
      <c r="G3096" s="101">
        <v>46291.720138888886</v>
      </c>
      <c r="H3096" s="18" t="s">
        <v>507</v>
      </c>
      <c r="I3096" s="18" t="s">
        <v>508</v>
      </c>
      <c r="J3096" s="18"/>
      <c r="K3096" s="21">
        <f t="shared" si="144"/>
        <v>27.433333333348855</v>
      </c>
      <c r="L3096" s="19">
        <f t="shared" si="145"/>
        <v>265</v>
      </c>
      <c r="M3096" s="18" t="str">
        <f>IF(I3096&lt;&gt;"Sí","",IF(YEAR(F3096)&lt;&gt;2026,"",INDEX({"Enero","Febrero","Marzo","Abril","Mayo","Junio","Julio","Agosto","Septiembre","Octubre","Noviembre","Diciembre"},MONTH(F3096))))</f>
        <v>Septiembre</v>
      </c>
      <c r="N3096" s="18" t="str">
        <f t="shared" si="146"/>
        <v>Septiembre|265</v>
      </c>
    </row>
    <row r="3097" spans="1:14" ht="14.5" x14ac:dyDescent="0.25">
      <c r="A3097" s="19">
        <v>35</v>
      </c>
      <c r="B3097" s="18" t="s">
        <v>42</v>
      </c>
      <c r="C3097" s="18" t="s">
        <v>97</v>
      </c>
      <c r="D3097" s="18" t="s">
        <v>3412</v>
      </c>
      <c r="E3097" s="18" t="s">
        <v>3647</v>
      </c>
      <c r="F3097" s="101">
        <v>46290.577777777777</v>
      </c>
      <c r="G3097" s="101">
        <v>46291.720138888886</v>
      </c>
      <c r="H3097" s="18" t="s">
        <v>507</v>
      </c>
      <c r="I3097" s="18" t="s">
        <v>508</v>
      </c>
      <c r="J3097" s="18"/>
      <c r="K3097" s="21">
        <f t="shared" si="144"/>
        <v>27.416666666627862</v>
      </c>
      <c r="L3097" s="19">
        <f t="shared" si="145"/>
        <v>266</v>
      </c>
      <c r="M3097" s="18" t="str">
        <f>IF(I3097&lt;&gt;"Sí","",IF(YEAR(F3097)&lt;&gt;2026,"",INDEX({"Enero","Febrero","Marzo","Abril","Mayo","Junio","Julio","Agosto","Septiembre","Octubre","Noviembre","Diciembre"},MONTH(F3097))))</f>
        <v>Septiembre</v>
      </c>
      <c r="N3097" s="18" t="str">
        <f t="shared" si="146"/>
        <v>Septiembre|266</v>
      </c>
    </row>
    <row r="3098" spans="1:14" ht="14.5" x14ac:dyDescent="0.25">
      <c r="A3098" s="19">
        <v>35</v>
      </c>
      <c r="B3098" s="18" t="s">
        <v>42</v>
      </c>
      <c r="C3098" s="18" t="s">
        <v>97</v>
      </c>
      <c r="D3098" s="18" t="s">
        <v>3412</v>
      </c>
      <c r="E3098" s="18" t="s">
        <v>3648</v>
      </c>
      <c r="F3098" s="101">
        <v>46290.57916666667</v>
      </c>
      <c r="G3098" s="101">
        <v>46291.720138888886</v>
      </c>
      <c r="H3098" s="18" t="s">
        <v>507</v>
      </c>
      <c r="I3098" s="18" t="s">
        <v>508</v>
      </c>
      <c r="J3098" s="18"/>
      <c r="K3098" s="21">
        <f t="shared" si="144"/>
        <v>27.383333333185874</v>
      </c>
      <c r="L3098" s="19">
        <f t="shared" si="145"/>
        <v>267</v>
      </c>
      <c r="M3098" s="18" t="str">
        <f>IF(I3098&lt;&gt;"Sí","",IF(YEAR(F3098)&lt;&gt;2026,"",INDEX({"Enero","Febrero","Marzo","Abril","Mayo","Junio","Julio","Agosto","Septiembre","Octubre","Noviembre","Diciembre"},MONTH(F3098))))</f>
        <v>Septiembre</v>
      </c>
      <c r="N3098" s="18" t="str">
        <f t="shared" si="146"/>
        <v>Septiembre|267</v>
      </c>
    </row>
    <row r="3099" spans="1:14" ht="14.5" x14ac:dyDescent="0.25">
      <c r="A3099" s="19">
        <v>35</v>
      </c>
      <c r="B3099" s="18" t="s">
        <v>42</v>
      </c>
      <c r="C3099" s="18" t="s">
        <v>97</v>
      </c>
      <c r="D3099" s="18" t="s">
        <v>3412</v>
      </c>
      <c r="E3099" s="18" t="s">
        <v>3649</v>
      </c>
      <c r="F3099" s="101">
        <v>46290.579861111109</v>
      </c>
      <c r="G3099" s="101">
        <v>46291.720138888886</v>
      </c>
      <c r="H3099" s="18" t="s">
        <v>507</v>
      </c>
      <c r="I3099" s="18" t="s">
        <v>508</v>
      </c>
      <c r="J3099" s="18"/>
      <c r="K3099" s="21">
        <f t="shared" si="144"/>
        <v>27.366666666639503</v>
      </c>
      <c r="L3099" s="19">
        <f t="shared" si="145"/>
        <v>268</v>
      </c>
      <c r="M3099" s="18" t="str">
        <f>IF(I3099&lt;&gt;"Sí","",IF(YEAR(F3099)&lt;&gt;2026,"",INDEX({"Enero","Febrero","Marzo","Abril","Mayo","Junio","Julio","Agosto","Septiembre","Octubre","Noviembre","Diciembre"},MONTH(F3099))))</f>
        <v>Septiembre</v>
      </c>
      <c r="N3099" s="18" t="str">
        <f t="shared" si="146"/>
        <v>Septiembre|268</v>
      </c>
    </row>
    <row r="3100" spans="1:14" ht="14.5" x14ac:dyDescent="0.25">
      <c r="A3100" s="19">
        <v>35</v>
      </c>
      <c r="B3100" s="18" t="s">
        <v>42</v>
      </c>
      <c r="C3100" s="18" t="s">
        <v>97</v>
      </c>
      <c r="D3100" s="18" t="s">
        <v>3412</v>
      </c>
      <c r="E3100" s="18" t="s">
        <v>2675</v>
      </c>
      <c r="F3100" s="101">
        <v>46290.580555555556</v>
      </c>
      <c r="G3100" s="101">
        <v>46291.720138888886</v>
      </c>
      <c r="H3100" s="18" t="s">
        <v>507</v>
      </c>
      <c r="I3100" s="18" t="s">
        <v>508</v>
      </c>
      <c r="J3100" s="18"/>
      <c r="K3100" s="21">
        <f t="shared" si="144"/>
        <v>27.349999999918509</v>
      </c>
      <c r="L3100" s="19">
        <f t="shared" si="145"/>
        <v>269</v>
      </c>
      <c r="M3100" s="18" t="str">
        <f>IF(I3100&lt;&gt;"Sí","",IF(YEAR(F3100)&lt;&gt;2026,"",INDEX({"Enero","Febrero","Marzo","Abril","Mayo","Junio","Julio","Agosto","Septiembre","Octubre","Noviembre","Diciembre"},MONTH(F3100))))</f>
        <v>Septiembre</v>
      </c>
      <c r="N3100" s="18" t="str">
        <f t="shared" si="146"/>
        <v>Septiembre|269</v>
      </c>
    </row>
    <row r="3101" spans="1:14" ht="14.5" x14ac:dyDescent="0.25">
      <c r="A3101" s="19">
        <v>35</v>
      </c>
      <c r="B3101" s="18" t="s">
        <v>42</v>
      </c>
      <c r="C3101" s="18" t="s">
        <v>97</v>
      </c>
      <c r="D3101" s="18" t="s">
        <v>3412</v>
      </c>
      <c r="E3101" s="18" t="s">
        <v>3650</v>
      </c>
      <c r="F3101" s="101">
        <v>46290.581250000003</v>
      </c>
      <c r="G3101" s="101">
        <v>46291.720138888886</v>
      </c>
      <c r="H3101" s="18" t="s">
        <v>507</v>
      </c>
      <c r="I3101" s="18" t="s">
        <v>508</v>
      </c>
      <c r="J3101" s="18"/>
      <c r="K3101" s="21">
        <f t="shared" si="144"/>
        <v>27.333333333197515</v>
      </c>
      <c r="L3101" s="19">
        <f t="shared" si="145"/>
        <v>270</v>
      </c>
      <c r="M3101" s="18" t="str">
        <f>IF(I3101&lt;&gt;"Sí","",IF(YEAR(F3101)&lt;&gt;2026,"",INDEX({"Enero","Febrero","Marzo","Abril","Mayo","Junio","Julio","Agosto","Septiembre","Octubre","Noviembre","Diciembre"},MONTH(F3101))))</f>
        <v>Septiembre</v>
      </c>
      <c r="N3101" s="18" t="str">
        <f t="shared" si="146"/>
        <v>Septiembre|270</v>
      </c>
    </row>
    <row r="3102" spans="1:14" ht="14.5" x14ac:dyDescent="0.25">
      <c r="A3102" s="19">
        <v>35</v>
      </c>
      <c r="B3102" s="18" t="s">
        <v>42</v>
      </c>
      <c r="C3102" s="18" t="s">
        <v>97</v>
      </c>
      <c r="D3102" s="18" t="s">
        <v>3412</v>
      </c>
      <c r="E3102" s="18" t="s">
        <v>3651</v>
      </c>
      <c r="F3102" s="101">
        <v>46290.583333333336</v>
      </c>
      <c r="G3102" s="101">
        <v>46291.720138888886</v>
      </c>
      <c r="H3102" s="18" t="s">
        <v>507</v>
      </c>
      <c r="I3102" s="18" t="s">
        <v>508</v>
      </c>
      <c r="J3102" s="18"/>
      <c r="K3102" s="21">
        <f t="shared" si="144"/>
        <v>27.283333333209157</v>
      </c>
      <c r="L3102" s="19">
        <f t="shared" si="145"/>
        <v>271</v>
      </c>
      <c r="M3102" s="18" t="str">
        <f>IF(I3102&lt;&gt;"Sí","",IF(YEAR(F3102)&lt;&gt;2026,"",INDEX({"Enero","Febrero","Marzo","Abril","Mayo","Junio","Julio","Agosto","Septiembre","Octubre","Noviembre","Diciembre"},MONTH(F3102))))</f>
        <v>Septiembre</v>
      </c>
      <c r="N3102" s="18" t="str">
        <f t="shared" si="146"/>
        <v>Septiembre|271</v>
      </c>
    </row>
    <row r="3103" spans="1:14" ht="14.5" x14ac:dyDescent="0.25">
      <c r="A3103" s="19">
        <v>35</v>
      </c>
      <c r="B3103" s="18" t="s">
        <v>42</v>
      </c>
      <c r="C3103" s="18" t="s">
        <v>97</v>
      </c>
      <c r="D3103" s="18" t="s">
        <v>3412</v>
      </c>
      <c r="E3103" s="18" t="s">
        <v>3652</v>
      </c>
      <c r="F3103" s="101">
        <v>46290.584027777775</v>
      </c>
      <c r="G3103" s="101">
        <v>46291.720138888886</v>
      </c>
      <c r="H3103" s="18" t="s">
        <v>507</v>
      </c>
      <c r="I3103" s="18" t="s">
        <v>508</v>
      </c>
      <c r="J3103" s="18"/>
      <c r="K3103" s="21">
        <f t="shared" si="144"/>
        <v>27.266666666662786</v>
      </c>
      <c r="L3103" s="19">
        <f t="shared" si="145"/>
        <v>272</v>
      </c>
      <c r="M3103" s="18" t="str">
        <f>IF(I3103&lt;&gt;"Sí","",IF(YEAR(F3103)&lt;&gt;2026,"",INDEX({"Enero","Febrero","Marzo","Abril","Mayo","Junio","Julio","Agosto","Septiembre","Octubre","Noviembre","Diciembre"},MONTH(F3103))))</f>
        <v>Septiembre</v>
      </c>
      <c r="N3103" s="18" t="str">
        <f t="shared" si="146"/>
        <v>Septiembre|272</v>
      </c>
    </row>
    <row r="3104" spans="1:14" ht="14.5" x14ac:dyDescent="0.25">
      <c r="A3104" s="19">
        <v>35</v>
      </c>
      <c r="B3104" s="18" t="s">
        <v>42</v>
      </c>
      <c r="C3104" s="18" t="s">
        <v>97</v>
      </c>
      <c r="D3104" s="18" t="s">
        <v>3412</v>
      </c>
      <c r="E3104" s="18" t="s">
        <v>3653</v>
      </c>
      <c r="F3104" s="101">
        <v>46290.584722222222</v>
      </c>
      <c r="G3104" s="101">
        <v>46291.720138888886</v>
      </c>
      <c r="H3104" s="18" t="s">
        <v>507</v>
      </c>
      <c r="I3104" s="18" t="s">
        <v>508</v>
      </c>
      <c r="J3104" s="18"/>
      <c r="K3104" s="21">
        <f t="shared" si="144"/>
        <v>27.249999999941792</v>
      </c>
      <c r="L3104" s="19">
        <f t="shared" si="145"/>
        <v>273</v>
      </c>
      <c r="M3104" s="18" t="str">
        <f>IF(I3104&lt;&gt;"Sí","",IF(YEAR(F3104)&lt;&gt;2026,"",INDEX({"Enero","Febrero","Marzo","Abril","Mayo","Junio","Julio","Agosto","Septiembre","Octubre","Noviembre","Diciembre"},MONTH(F3104))))</f>
        <v>Septiembre</v>
      </c>
      <c r="N3104" s="18" t="str">
        <f t="shared" si="146"/>
        <v>Septiembre|273</v>
      </c>
    </row>
    <row r="3105" spans="1:14" ht="14.5" x14ac:dyDescent="0.25">
      <c r="A3105" s="19">
        <v>35</v>
      </c>
      <c r="B3105" s="18" t="s">
        <v>42</v>
      </c>
      <c r="C3105" s="18" t="s">
        <v>97</v>
      </c>
      <c r="D3105" s="18" t="s">
        <v>3412</v>
      </c>
      <c r="E3105" s="18" t="s">
        <v>3654</v>
      </c>
      <c r="F3105" s="101">
        <v>46290.585416666669</v>
      </c>
      <c r="G3105" s="101">
        <v>46291.720138888886</v>
      </c>
      <c r="H3105" s="18" t="s">
        <v>507</v>
      </c>
      <c r="I3105" s="18" t="s">
        <v>508</v>
      </c>
      <c r="J3105" s="18"/>
      <c r="K3105" s="21">
        <f t="shared" si="144"/>
        <v>27.233333333220799</v>
      </c>
      <c r="L3105" s="19">
        <f t="shared" si="145"/>
        <v>274</v>
      </c>
      <c r="M3105" s="18" t="str">
        <f>IF(I3105&lt;&gt;"Sí","",IF(YEAR(F3105)&lt;&gt;2026,"",INDEX({"Enero","Febrero","Marzo","Abril","Mayo","Junio","Julio","Agosto","Septiembre","Octubre","Noviembre","Diciembre"},MONTH(F3105))))</f>
        <v>Septiembre</v>
      </c>
      <c r="N3105" s="18" t="str">
        <f t="shared" si="146"/>
        <v>Septiembre|274</v>
      </c>
    </row>
    <row r="3106" spans="1:14" ht="14.5" x14ac:dyDescent="0.25">
      <c r="A3106" s="19">
        <v>35</v>
      </c>
      <c r="B3106" s="18" t="s">
        <v>42</v>
      </c>
      <c r="C3106" s="18" t="s">
        <v>97</v>
      </c>
      <c r="D3106" s="18" t="s">
        <v>3412</v>
      </c>
      <c r="E3106" s="18" t="s">
        <v>3655</v>
      </c>
      <c r="F3106" s="101">
        <v>46290.586111111108</v>
      </c>
      <c r="G3106" s="101">
        <v>46291.720138888886</v>
      </c>
      <c r="H3106" s="18" t="s">
        <v>507</v>
      </c>
      <c r="I3106" s="18" t="s">
        <v>508</v>
      </c>
      <c r="J3106" s="18"/>
      <c r="K3106" s="21">
        <f t="shared" si="144"/>
        <v>27.216666666674428</v>
      </c>
      <c r="L3106" s="19">
        <f t="shared" si="145"/>
        <v>275</v>
      </c>
      <c r="M3106" s="18" t="str">
        <f>IF(I3106&lt;&gt;"Sí","",IF(YEAR(F3106)&lt;&gt;2026,"",INDEX({"Enero","Febrero","Marzo","Abril","Mayo","Junio","Julio","Agosto","Septiembre","Octubre","Noviembre","Diciembre"},MONTH(F3106))))</f>
        <v>Septiembre</v>
      </c>
      <c r="N3106" s="18" t="str">
        <f t="shared" si="146"/>
        <v>Septiembre|275</v>
      </c>
    </row>
    <row r="3107" spans="1:14" ht="14.5" x14ac:dyDescent="0.25">
      <c r="A3107" s="19">
        <v>35</v>
      </c>
      <c r="B3107" s="18" t="s">
        <v>42</v>
      </c>
      <c r="C3107" s="18" t="s">
        <v>97</v>
      </c>
      <c r="D3107" s="18" t="s">
        <v>3412</v>
      </c>
      <c r="E3107" s="18" t="s">
        <v>3656</v>
      </c>
      <c r="F3107" s="101">
        <v>46290.587500000001</v>
      </c>
      <c r="G3107" s="101">
        <v>46291.720138888886</v>
      </c>
      <c r="H3107" s="18" t="s">
        <v>507</v>
      </c>
      <c r="I3107" s="18" t="s">
        <v>508</v>
      </c>
      <c r="J3107" s="18"/>
      <c r="K3107" s="21">
        <f t="shared" si="144"/>
        <v>27.18333333323244</v>
      </c>
      <c r="L3107" s="19">
        <f t="shared" si="145"/>
        <v>276</v>
      </c>
      <c r="M3107" s="18" t="str">
        <f>IF(I3107&lt;&gt;"Sí","",IF(YEAR(F3107)&lt;&gt;2026,"",INDEX({"Enero","Febrero","Marzo","Abril","Mayo","Junio","Julio","Agosto","Septiembre","Octubre","Noviembre","Diciembre"},MONTH(F3107))))</f>
        <v>Septiembre</v>
      </c>
      <c r="N3107" s="18" t="str">
        <f t="shared" si="146"/>
        <v>Septiembre|276</v>
      </c>
    </row>
    <row r="3108" spans="1:14" ht="14.5" x14ac:dyDescent="0.25">
      <c r="A3108" s="19">
        <v>35</v>
      </c>
      <c r="B3108" s="18" t="s">
        <v>42</v>
      </c>
      <c r="C3108" s="18" t="s">
        <v>97</v>
      </c>
      <c r="D3108" s="18" t="s">
        <v>3412</v>
      </c>
      <c r="E3108" s="18" t="s">
        <v>3657</v>
      </c>
      <c r="F3108" s="101">
        <v>46290.588194444441</v>
      </c>
      <c r="G3108" s="101">
        <v>46291.720138888886</v>
      </c>
      <c r="H3108" s="18" t="s">
        <v>507</v>
      </c>
      <c r="I3108" s="18" t="s">
        <v>508</v>
      </c>
      <c r="J3108" s="18"/>
      <c r="K3108" s="21">
        <f t="shared" si="144"/>
        <v>27.166666666686069</v>
      </c>
      <c r="L3108" s="19">
        <f t="shared" si="145"/>
        <v>277</v>
      </c>
      <c r="M3108" s="18" t="str">
        <f>IF(I3108&lt;&gt;"Sí","",IF(YEAR(F3108)&lt;&gt;2026,"",INDEX({"Enero","Febrero","Marzo","Abril","Mayo","Junio","Julio","Agosto","Septiembre","Octubre","Noviembre","Diciembre"},MONTH(F3108))))</f>
        <v>Septiembre</v>
      </c>
      <c r="N3108" s="18" t="str">
        <f t="shared" si="146"/>
        <v>Septiembre|277</v>
      </c>
    </row>
    <row r="3109" spans="1:14" ht="14.5" x14ac:dyDescent="0.25">
      <c r="A3109" s="19">
        <v>35</v>
      </c>
      <c r="B3109" s="18" t="s">
        <v>42</v>
      </c>
      <c r="C3109" s="18" t="s">
        <v>97</v>
      </c>
      <c r="D3109" s="18" t="s">
        <v>3412</v>
      </c>
      <c r="E3109" s="18" t="s">
        <v>3658</v>
      </c>
      <c r="F3109" s="101">
        <v>46290.588888888888</v>
      </c>
      <c r="G3109" s="101">
        <v>46291.720138888886</v>
      </c>
      <c r="H3109" s="18" t="s">
        <v>507</v>
      </c>
      <c r="I3109" s="18" t="s">
        <v>508</v>
      </c>
      <c r="J3109" s="18"/>
      <c r="K3109" s="21">
        <f t="shared" si="144"/>
        <v>27.149999999965075</v>
      </c>
      <c r="L3109" s="19">
        <f t="shared" si="145"/>
        <v>278</v>
      </c>
      <c r="M3109" s="18" t="str">
        <f>IF(I3109&lt;&gt;"Sí","",IF(YEAR(F3109)&lt;&gt;2026,"",INDEX({"Enero","Febrero","Marzo","Abril","Mayo","Junio","Julio","Agosto","Septiembre","Octubre","Noviembre","Diciembre"},MONTH(F3109))))</f>
        <v>Septiembre</v>
      </c>
      <c r="N3109" s="18" t="str">
        <f t="shared" si="146"/>
        <v>Septiembre|278</v>
      </c>
    </row>
    <row r="3110" spans="1:14" ht="14.5" x14ac:dyDescent="0.25">
      <c r="A3110" s="19">
        <v>35</v>
      </c>
      <c r="B3110" s="18" t="s">
        <v>42</v>
      </c>
      <c r="C3110" s="18" t="s">
        <v>97</v>
      </c>
      <c r="D3110" s="18" t="s">
        <v>3412</v>
      </c>
      <c r="E3110" s="18" t="s">
        <v>3659</v>
      </c>
      <c r="F3110" s="101">
        <v>46290.590277777781</v>
      </c>
      <c r="G3110" s="101">
        <v>46291.720138888886</v>
      </c>
      <c r="H3110" s="18" t="s">
        <v>507</v>
      </c>
      <c r="I3110" s="18" t="s">
        <v>508</v>
      </c>
      <c r="J3110" s="18"/>
      <c r="K3110" s="21">
        <f t="shared" si="144"/>
        <v>27.116666666523088</v>
      </c>
      <c r="L3110" s="19">
        <f t="shared" si="145"/>
        <v>280</v>
      </c>
      <c r="M3110" s="18" t="str">
        <f>IF(I3110&lt;&gt;"Sí","",IF(YEAR(F3110)&lt;&gt;2026,"",INDEX({"Enero","Febrero","Marzo","Abril","Mayo","Junio","Julio","Agosto","Septiembre","Octubre","Noviembre","Diciembre"},MONTH(F3110))))</f>
        <v>Septiembre</v>
      </c>
      <c r="N3110" s="18" t="str">
        <f t="shared" si="146"/>
        <v>Septiembre|280</v>
      </c>
    </row>
    <row r="3111" spans="1:14" ht="14.5" x14ac:dyDescent="0.25">
      <c r="A3111" s="19">
        <v>35</v>
      </c>
      <c r="B3111" s="18" t="s">
        <v>42</v>
      </c>
      <c r="C3111" s="18" t="s">
        <v>97</v>
      </c>
      <c r="D3111" s="18" t="s">
        <v>3412</v>
      </c>
      <c r="E3111" s="18" t="s">
        <v>3660</v>
      </c>
      <c r="F3111" s="101">
        <v>46290.590277777781</v>
      </c>
      <c r="G3111" s="101">
        <v>46291.720138888886</v>
      </c>
      <c r="H3111" s="18" t="s">
        <v>507</v>
      </c>
      <c r="I3111" s="18" t="s">
        <v>508</v>
      </c>
      <c r="J3111" s="18"/>
      <c r="K3111" s="21">
        <f t="shared" si="144"/>
        <v>27.116666666523088</v>
      </c>
      <c r="L3111" s="19">
        <f t="shared" si="145"/>
        <v>280</v>
      </c>
      <c r="M3111" s="18" t="str">
        <f>IF(I3111&lt;&gt;"Sí","",IF(YEAR(F3111)&lt;&gt;2026,"",INDEX({"Enero","Febrero","Marzo","Abril","Mayo","Junio","Julio","Agosto","Septiembre","Octubre","Noviembre","Diciembre"},MONTH(F3111))))</f>
        <v>Septiembre</v>
      </c>
      <c r="N3111" s="18" t="str">
        <f t="shared" si="146"/>
        <v>Septiembre|280</v>
      </c>
    </row>
    <row r="3112" spans="1:14" ht="14.5" x14ac:dyDescent="0.25">
      <c r="A3112" s="19">
        <v>35</v>
      </c>
      <c r="B3112" s="18" t="s">
        <v>42</v>
      </c>
      <c r="C3112" s="18" t="s">
        <v>97</v>
      </c>
      <c r="D3112" s="18" t="s">
        <v>3412</v>
      </c>
      <c r="E3112" s="18" t="s">
        <v>3661</v>
      </c>
      <c r="F3112" s="101">
        <v>46290.59097222222</v>
      </c>
      <c r="G3112" s="101">
        <v>46291.62222222222</v>
      </c>
      <c r="H3112" s="18" t="s">
        <v>507</v>
      </c>
      <c r="I3112" s="18" t="s">
        <v>508</v>
      </c>
      <c r="J3112" s="18"/>
      <c r="K3112" s="21">
        <f t="shared" si="144"/>
        <v>24.75</v>
      </c>
      <c r="L3112" s="19">
        <f t="shared" si="145"/>
        <v>282</v>
      </c>
      <c r="M3112" s="18" t="str">
        <f>IF(I3112&lt;&gt;"Sí","",IF(YEAR(F3112)&lt;&gt;2026,"",INDEX({"Enero","Febrero","Marzo","Abril","Mayo","Junio","Julio","Agosto","Septiembre","Octubre","Noviembre","Diciembre"},MONTH(F3112))))</f>
        <v>Septiembre</v>
      </c>
      <c r="N3112" s="18" t="str">
        <f t="shared" si="146"/>
        <v>Septiembre|282</v>
      </c>
    </row>
    <row r="3113" spans="1:14" ht="14.5" x14ac:dyDescent="0.25">
      <c r="A3113" s="19">
        <v>35</v>
      </c>
      <c r="B3113" s="18" t="s">
        <v>42</v>
      </c>
      <c r="C3113" s="18" t="s">
        <v>97</v>
      </c>
      <c r="D3113" s="18" t="s">
        <v>3412</v>
      </c>
      <c r="E3113" s="18" t="s">
        <v>3662</v>
      </c>
      <c r="F3113" s="101">
        <v>46290.59097222222</v>
      </c>
      <c r="G3113" s="101">
        <v>46291.62222222222</v>
      </c>
      <c r="H3113" s="18" t="s">
        <v>507</v>
      </c>
      <c r="I3113" s="18" t="s">
        <v>508</v>
      </c>
      <c r="J3113" s="18"/>
      <c r="K3113" s="21">
        <f t="shared" si="144"/>
        <v>24.75</v>
      </c>
      <c r="L3113" s="19">
        <f t="shared" si="145"/>
        <v>282</v>
      </c>
      <c r="M3113" s="18" t="str">
        <f>IF(I3113&lt;&gt;"Sí","",IF(YEAR(F3113)&lt;&gt;2026,"",INDEX({"Enero","Febrero","Marzo","Abril","Mayo","Junio","Julio","Agosto","Septiembre","Octubre","Noviembre","Diciembre"},MONTH(F3113))))</f>
        <v>Septiembre</v>
      </c>
      <c r="N3113" s="18" t="str">
        <f t="shared" si="146"/>
        <v>Septiembre|282</v>
      </c>
    </row>
    <row r="3114" spans="1:14" ht="14.5" x14ac:dyDescent="0.25">
      <c r="A3114" s="19">
        <v>35</v>
      </c>
      <c r="B3114" s="18" t="s">
        <v>42</v>
      </c>
      <c r="C3114" s="18" t="s">
        <v>97</v>
      </c>
      <c r="D3114" s="18" t="s">
        <v>3412</v>
      </c>
      <c r="E3114" s="18" t="s">
        <v>3663</v>
      </c>
      <c r="F3114" s="101">
        <v>46290.591666666667</v>
      </c>
      <c r="G3114" s="101">
        <v>46291.62222222222</v>
      </c>
      <c r="H3114" s="18" t="s">
        <v>507</v>
      </c>
      <c r="I3114" s="18" t="s">
        <v>508</v>
      </c>
      <c r="J3114" s="18"/>
      <c r="K3114" s="21">
        <f t="shared" si="144"/>
        <v>24.733333333279006</v>
      </c>
      <c r="L3114" s="19">
        <f t="shared" si="145"/>
        <v>284</v>
      </c>
      <c r="M3114" s="18" t="str">
        <f>IF(I3114&lt;&gt;"Sí","",IF(YEAR(F3114)&lt;&gt;2026,"",INDEX({"Enero","Febrero","Marzo","Abril","Mayo","Junio","Julio","Agosto","Septiembre","Octubre","Noviembre","Diciembre"},MONTH(F3114))))</f>
        <v>Septiembre</v>
      </c>
      <c r="N3114" s="18" t="str">
        <f t="shared" si="146"/>
        <v>Septiembre|284</v>
      </c>
    </row>
    <row r="3115" spans="1:14" ht="14.5" x14ac:dyDescent="0.25">
      <c r="A3115" s="19">
        <v>35</v>
      </c>
      <c r="B3115" s="18" t="s">
        <v>42</v>
      </c>
      <c r="C3115" s="18" t="s">
        <v>97</v>
      </c>
      <c r="D3115" s="18" t="s">
        <v>3412</v>
      </c>
      <c r="E3115" s="18" t="s">
        <v>3664</v>
      </c>
      <c r="F3115" s="101">
        <v>46290.591666666667</v>
      </c>
      <c r="G3115" s="101">
        <v>46291.62222222222</v>
      </c>
      <c r="H3115" s="18" t="s">
        <v>507</v>
      </c>
      <c r="I3115" s="18" t="s">
        <v>508</v>
      </c>
      <c r="J3115" s="18"/>
      <c r="K3115" s="21">
        <f t="shared" si="144"/>
        <v>24.733333333279006</v>
      </c>
      <c r="L3115" s="19">
        <f t="shared" si="145"/>
        <v>284</v>
      </c>
      <c r="M3115" s="18" t="str">
        <f>IF(I3115&lt;&gt;"Sí","",IF(YEAR(F3115)&lt;&gt;2026,"",INDEX({"Enero","Febrero","Marzo","Abril","Mayo","Junio","Julio","Agosto","Septiembre","Octubre","Noviembre","Diciembre"},MONTH(F3115))))</f>
        <v>Septiembre</v>
      </c>
      <c r="N3115" s="18" t="str">
        <f t="shared" si="146"/>
        <v>Septiembre|284</v>
      </c>
    </row>
    <row r="3116" spans="1:14" ht="14.5" x14ac:dyDescent="0.25">
      <c r="A3116" s="19">
        <v>35</v>
      </c>
      <c r="B3116" s="18" t="s">
        <v>42</v>
      </c>
      <c r="C3116" s="18" t="s">
        <v>97</v>
      </c>
      <c r="D3116" s="18" t="s">
        <v>3412</v>
      </c>
      <c r="E3116" s="18" t="s">
        <v>3665</v>
      </c>
      <c r="F3116" s="101">
        <v>46290.592361111114</v>
      </c>
      <c r="G3116" s="101">
        <v>46291.612500000003</v>
      </c>
      <c r="H3116" s="18" t="s">
        <v>507</v>
      </c>
      <c r="I3116" s="18" t="s">
        <v>508</v>
      </c>
      <c r="J3116" s="18"/>
      <c r="K3116" s="21">
        <f t="shared" si="144"/>
        <v>24.483333333337214</v>
      </c>
      <c r="L3116" s="19">
        <f t="shared" si="145"/>
        <v>286</v>
      </c>
      <c r="M3116" s="18" t="str">
        <f>IF(I3116&lt;&gt;"Sí","",IF(YEAR(F3116)&lt;&gt;2026,"",INDEX({"Enero","Febrero","Marzo","Abril","Mayo","Junio","Julio","Agosto","Septiembre","Octubre","Noviembre","Diciembre"},MONTH(F3116))))</f>
        <v>Septiembre</v>
      </c>
      <c r="N3116" s="18" t="str">
        <f t="shared" si="146"/>
        <v>Septiembre|286</v>
      </c>
    </row>
    <row r="3117" spans="1:14" ht="14.5" x14ac:dyDescent="0.25">
      <c r="A3117" s="19">
        <v>35</v>
      </c>
      <c r="B3117" s="18" t="s">
        <v>42</v>
      </c>
      <c r="C3117" s="18" t="s">
        <v>97</v>
      </c>
      <c r="D3117" s="18" t="s">
        <v>3412</v>
      </c>
      <c r="E3117" s="18" t="s">
        <v>3666</v>
      </c>
      <c r="F3117" s="101">
        <v>46290.592361111114</v>
      </c>
      <c r="G3117" s="101">
        <v>46291.62222222222</v>
      </c>
      <c r="H3117" s="18" t="s">
        <v>507</v>
      </c>
      <c r="I3117" s="18" t="s">
        <v>508</v>
      </c>
      <c r="J3117" s="18"/>
      <c r="K3117" s="21">
        <f t="shared" si="144"/>
        <v>24.716666666558012</v>
      </c>
      <c r="L3117" s="19">
        <f t="shared" si="145"/>
        <v>286</v>
      </c>
      <c r="M3117" s="18" t="str">
        <f>IF(I3117&lt;&gt;"Sí","",IF(YEAR(F3117)&lt;&gt;2026,"",INDEX({"Enero","Febrero","Marzo","Abril","Mayo","Junio","Julio","Agosto","Septiembre","Octubre","Noviembre","Diciembre"},MONTH(F3117))))</f>
        <v>Septiembre</v>
      </c>
      <c r="N3117" s="18" t="str">
        <f t="shared" si="146"/>
        <v>Septiembre|286</v>
      </c>
    </row>
    <row r="3118" spans="1:14" ht="14.5" x14ac:dyDescent="0.25">
      <c r="A3118" s="19">
        <v>35</v>
      </c>
      <c r="B3118" s="18" t="s">
        <v>42</v>
      </c>
      <c r="C3118" s="18" t="s">
        <v>97</v>
      </c>
      <c r="D3118" s="18" t="s">
        <v>3412</v>
      </c>
      <c r="E3118" s="18" t="s">
        <v>3667</v>
      </c>
      <c r="F3118" s="101">
        <v>46290.593055555553</v>
      </c>
      <c r="G3118" s="101">
        <v>46291.612500000003</v>
      </c>
      <c r="H3118" s="18" t="s">
        <v>507</v>
      </c>
      <c r="I3118" s="18" t="s">
        <v>508</v>
      </c>
      <c r="J3118" s="18"/>
      <c r="K3118" s="21">
        <f t="shared" si="144"/>
        <v>24.466666666790843</v>
      </c>
      <c r="L3118" s="19">
        <f t="shared" si="145"/>
        <v>288</v>
      </c>
      <c r="M3118" s="18" t="str">
        <f>IF(I3118&lt;&gt;"Sí","",IF(YEAR(F3118)&lt;&gt;2026,"",INDEX({"Enero","Febrero","Marzo","Abril","Mayo","Junio","Julio","Agosto","Septiembre","Octubre","Noviembre","Diciembre"},MONTH(F3118))))</f>
        <v>Septiembre</v>
      </c>
      <c r="N3118" s="18" t="str">
        <f t="shared" si="146"/>
        <v>Septiembre|288</v>
      </c>
    </row>
    <row r="3119" spans="1:14" ht="14.5" x14ac:dyDescent="0.25">
      <c r="A3119" s="19">
        <v>35</v>
      </c>
      <c r="B3119" s="18" t="s">
        <v>42</v>
      </c>
      <c r="C3119" s="18" t="s">
        <v>97</v>
      </c>
      <c r="D3119" s="18" t="s">
        <v>3412</v>
      </c>
      <c r="E3119" s="18" t="s">
        <v>3668</v>
      </c>
      <c r="F3119" s="101">
        <v>46290.593055555553</v>
      </c>
      <c r="G3119" s="101">
        <v>46291.612500000003</v>
      </c>
      <c r="H3119" s="18" t="s">
        <v>507</v>
      </c>
      <c r="I3119" s="18" t="s">
        <v>508</v>
      </c>
      <c r="J3119" s="18"/>
      <c r="K3119" s="21">
        <f t="shared" si="144"/>
        <v>24.466666666790843</v>
      </c>
      <c r="L3119" s="19">
        <f t="shared" si="145"/>
        <v>288</v>
      </c>
      <c r="M3119" s="18" t="str">
        <f>IF(I3119&lt;&gt;"Sí","",IF(YEAR(F3119)&lt;&gt;2026,"",INDEX({"Enero","Febrero","Marzo","Abril","Mayo","Junio","Julio","Agosto","Septiembre","Octubre","Noviembre","Diciembre"},MONTH(F3119))))</f>
        <v>Septiembre</v>
      </c>
      <c r="N3119" s="18" t="str">
        <f t="shared" si="146"/>
        <v>Septiembre|288</v>
      </c>
    </row>
    <row r="3120" spans="1:14" ht="14.5" x14ac:dyDescent="0.25">
      <c r="A3120" s="19">
        <v>35</v>
      </c>
      <c r="B3120" s="18" t="s">
        <v>42</v>
      </c>
      <c r="C3120" s="18" t="s">
        <v>97</v>
      </c>
      <c r="D3120" s="18" t="s">
        <v>3412</v>
      </c>
      <c r="E3120" s="18" t="s">
        <v>3669</v>
      </c>
      <c r="F3120" s="101">
        <v>46290.59375</v>
      </c>
      <c r="G3120" s="101">
        <v>46291.612500000003</v>
      </c>
      <c r="H3120" s="18" t="s">
        <v>507</v>
      </c>
      <c r="I3120" s="18" t="s">
        <v>508</v>
      </c>
      <c r="J3120" s="18"/>
      <c r="K3120" s="21">
        <f t="shared" si="144"/>
        <v>24.450000000069849</v>
      </c>
      <c r="L3120" s="19">
        <f t="shared" si="145"/>
        <v>289</v>
      </c>
      <c r="M3120" s="18" t="str">
        <f>IF(I3120&lt;&gt;"Sí","",IF(YEAR(F3120)&lt;&gt;2026,"",INDEX({"Enero","Febrero","Marzo","Abril","Mayo","Junio","Julio","Agosto","Septiembre","Octubre","Noviembre","Diciembre"},MONTH(F3120))))</f>
        <v>Septiembre</v>
      </c>
      <c r="N3120" s="18" t="str">
        <f t="shared" si="146"/>
        <v>Septiembre|289</v>
      </c>
    </row>
    <row r="3121" spans="1:14" ht="14.5" x14ac:dyDescent="0.25">
      <c r="A3121" s="19">
        <v>35</v>
      </c>
      <c r="B3121" s="18" t="s">
        <v>42</v>
      </c>
      <c r="C3121" s="18" t="s">
        <v>97</v>
      </c>
      <c r="D3121" s="18" t="s">
        <v>3412</v>
      </c>
      <c r="E3121" s="18" t="s">
        <v>3670</v>
      </c>
      <c r="F3121" s="101">
        <v>46290.597222222219</v>
      </c>
      <c r="G3121" s="101">
        <v>46291.612500000003</v>
      </c>
      <c r="H3121" s="18" t="s">
        <v>507</v>
      </c>
      <c r="I3121" s="18" t="s">
        <v>508</v>
      </c>
      <c r="J3121" s="18"/>
      <c r="K3121" s="21">
        <f t="shared" si="144"/>
        <v>24.366666666814126</v>
      </c>
      <c r="L3121" s="19">
        <f t="shared" si="145"/>
        <v>290</v>
      </c>
      <c r="M3121" s="18" t="str">
        <f>IF(I3121&lt;&gt;"Sí","",IF(YEAR(F3121)&lt;&gt;2026,"",INDEX({"Enero","Febrero","Marzo","Abril","Mayo","Junio","Julio","Agosto","Septiembre","Octubre","Noviembre","Diciembre"},MONTH(F3121))))</f>
        <v>Septiembre</v>
      </c>
      <c r="N3121" s="18" t="str">
        <f t="shared" si="146"/>
        <v>Septiembre|290</v>
      </c>
    </row>
    <row r="3122" spans="1:14" ht="14.5" x14ac:dyDescent="0.25">
      <c r="A3122" s="19">
        <v>35</v>
      </c>
      <c r="B3122" s="18" t="s">
        <v>42</v>
      </c>
      <c r="C3122" s="18" t="s">
        <v>97</v>
      </c>
      <c r="D3122" s="18" t="s">
        <v>3412</v>
      </c>
      <c r="E3122" s="18" t="s">
        <v>3671</v>
      </c>
      <c r="F3122" s="101">
        <v>46290.597916666666</v>
      </c>
      <c r="G3122" s="101">
        <v>46291.612500000003</v>
      </c>
      <c r="H3122" s="18" t="s">
        <v>507</v>
      </c>
      <c r="I3122" s="18" t="s">
        <v>508</v>
      </c>
      <c r="J3122" s="18"/>
      <c r="K3122" s="21">
        <f t="shared" si="144"/>
        <v>24.350000000093132</v>
      </c>
      <c r="L3122" s="19">
        <f t="shared" si="145"/>
        <v>291</v>
      </c>
      <c r="M3122" s="18" t="str">
        <f>IF(I3122&lt;&gt;"Sí","",IF(YEAR(F3122)&lt;&gt;2026,"",INDEX({"Enero","Febrero","Marzo","Abril","Mayo","Junio","Julio","Agosto","Septiembre","Octubre","Noviembre","Diciembre"},MONTH(F3122))))</f>
        <v>Septiembre</v>
      </c>
      <c r="N3122" s="18" t="str">
        <f t="shared" si="146"/>
        <v>Septiembre|291</v>
      </c>
    </row>
    <row r="3123" spans="1:14" ht="14.5" x14ac:dyDescent="0.25">
      <c r="A3123" s="19">
        <v>35</v>
      </c>
      <c r="B3123" s="18" t="s">
        <v>42</v>
      </c>
      <c r="C3123" s="18" t="s">
        <v>97</v>
      </c>
      <c r="D3123" s="18" t="s">
        <v>3412</v>
      </c>
      <c r="E3123" s="18" t="s">
        <v>3672</v>
      </c>
      <c r="F3123" s="101">
        <v>46290.598611111112</v>
      </c>
      <c r="G3123" s="101">
        <v>46291.597916666666</v>
      </c>
      <c r="H3123" s="18" t="s">
        <v>507</v>
      </c>
      <c r="I3123" s="18" t="s">
        <v>508</v>
      </c>
      <c r="J3123" s="18"/>
      <c r="K3123" s="21">
        <f t="shared" si="144"/>
        <v>23.983333333279006</v>
      </c>
      <c r="L3123" s="19">
        <f t="shared" si="145"/>
        <v>292</v>
      </c>
      <c r="M3123" s="18" t="str">
        <f>IF(I3123&lt;&gt;"Sí","",IF(YEAR(F3123)&lt;&gt;2026,"",INDEX({"Enero","Febrero","Marzo","Abril","Mayo","Junio","Julio","Agosto","Septiembre","Octubre","Noviembre","Diciembre"},MONTH(F3123))))</f>
        <v>Septiembre</v>
      </c>
      <c r="N3123" s="18" t="str">
        <f t="shared" si="146"/>
        <v>Septiembre|292</v>
      </c>
    </row>
    <row r="3124" spans="1:14" ht="14.5" x14ac:dyDescent="0.25">
      <c r="A3124" s="19">
        <v>35</v>
      </c>
      <c r="B3124" s="18" t="s">
        <v>42</v>
      </c>
      <c r="C3124" s="18" t="s">
        <v>97</v>
      </c>
      <c r="D3124" s="18" t="s">
        <v>3412</v>
      </c>
      <c r="E3124" s="18" t="s">
        <v>3673</v>
      </c>
      <c r="F3124" s="101">
        <v>46290.599305555559</v>
      </c>
      <c r="G3124" s="101">
        <v>46291.597916666666</v>
      </c>
      <c r="H3124" s="18" t="s">
        <v>507</v>
      </c>
      <c r="I3124" s="18" t="s">
        <v>508</v>
      </c>
      <c r="J3124" s="18"/>
      <c r="K3124" s="21">
        <f t="shared" si="144"/>
        <v>23.966666666558012</v>
      </c>
      <c r="L3124" s="19">
        <f t="shared" si="145"/>
        <v>293</v>
      </c>
      <c r="M3124" s="18" t="str">
        <f>IF(I3124&lt;&gt;"Sí","",IF(YEAR(F3124)&lt;&gt;2026,"",INDEX({"Enero","Febrero","Marzo","Abril","Mayo","Junio","Julio","Agosto","Septiembre","Octubre","Noviembre","Diciembre"},MONTH(F3124))))</f>
        <v>Septiembre</v>
      </c>
      <c r="N3124" s="18" t="str">
        <f t="shared" si="146"/>
        <v>Septiembre|293</v>
      </c>
    </row>
    <row r="3125" spans="1:14" ht="14.5" x14ac:dyDescent="0.25">
      <c r="A3125" s="19">
        <v>35</v>
      </c>
      <c r="B3125" s="18" t="s">
        <v>42</v>
      </c>
      <c r="C3125" s="18" t="s">
        <v>97</v>
      </c>
      <c r="D3125" s="18" t="s">
        <v>3412</v>
      </c>
      <c r="E3125" s="18" t="s">
        <v>3674</v>
      </c>
      <c r="F3125" s="101">
        <v>46290.6</v>
      </c>
      <c r="G3125" s="101">
        <v>46291.597916666666</v>
      </c>
      <c r="H3125" s="18" t="s">
        <v>507</v>
      </c>
      <c r="I3125" s="18" t="s">
        <v>508</v>
      </c>
      <c r="J3125" s="18"/>
      <c r="K3125" s="21">
        <f t="shared" si="144"/>
        <v>23.950000000011642</v>
      </c>
      <c r="L3125" s="19">
        <f t="shared" si="145"/>
        <v>294</v>
      </c>
      <c r="M3125" s="18" t="str">
        <f>IF(I3125&lt;&gt;"Sí","",IF(YEAR(F3125)&lt;&gt;2026,"",INDEX({"Enero","Febrero","Marzo","Abril","Mayo","Junio","Julio","Agosto","Septiembre","Octubre","Noviembre","Diciembre"},MONTH(F3125))))</f>
        <v>Septiembre</v>
      </c>
      <c r="N3125" s="18" t="str">
        <f t="shared" si="146"/>
        <v>Septiembre|294</v>
      </c>
    </row>
    <row r="3126" spans="1:14" ht="14.5" x14ac:dyDescent="0.25">
      <c r="A3126" s="19">
        <v>35</v>
      </c>
      <c r="B3126" s="18" t="s">
        <v>42</v>
      </c>
      <c r="C3126" s="18" t="s">
        <v>97</v>
      </c>
      <c r="D3126" s="18" t="s">
        <v>3412</v>
      </c>
      <c r="E3126" s="18" t="s">
        <v>3675</v>
      </c>
      <c r="F3126" s="101">
        <v>46290.600694444445</v>
      </c>
      <c r="G3126" s="101">
        <v>46291.597916666666</v>
      </c>
      <c r="H3126" s="18" t="s">
        <v>507</v>
      </c>
      <c r="I3126" s="18" t="s">
        <v>508</v>
      </c>
      <c r="J3126" s="18"/>
      <c r="K3126" s="21">
        <f t="shared" si="144"/>
        <v>23.933333333290648</v>
      </c>
      <c r="L3126" s="19">
        <f t="shared" si="145"/>
        <v>295</v>
      </c>
      <c r="M3126" s="18" t="str">
        <f>IF(I3126&lt;&gt;"Sí","",IF(YEAR(F3126)&lt;&gt;2026,"",INDEX({"Enero","Febrero","Marzo","Abril","Mayo","Junio","Julio","Agosto","Septiembre","Octubre","Noviembre","Diciembre"},MONTH(F3126))))</f>
        <v>Septiembre</v>
      </c>
      <c r="N3126" s="18" t="str">
        <f t="shared" si="146"/>
        <v>Septiembre|295</v>
      </c>
    </row>
    <row r="3127" spans="1:14" ht="14.5" x14ac:dyDescent="0.25">
      <c r="A3127" s="19">
        <v>35</v>
      </c>
      <c r="B3127" s="18" t="s">
        <v>42</v>
      </c>
      <c r="C3127" s="18" t="s">
        <v>97</v>
      </c>
      <c r="D3127" s="18" t="s">
        <v>3412</v>
      </c>
      <c r="E3127" s="18" t="s">
        <v>3676</v>
      </c>
      <c r="F3127" s="101">
        <v>46290.601388888892</v>
      </c>
      <c r="G3127" s="101">
        <v>46291.597916666666</v>
      </c>
      <c r="H3127" s="18" t="s">
        <v>507</v>
      </c>
      <c r="I3127" s="18" t="s">
        <v>508</v>
      </c>
      <c r="J3127" s="18"/>
      <c r="K3127" s="21">
        <f t="shared" si="144"/>
        <v>23.916666666569654</v>
      </c>
      <c r="L3127" s="19">
        <f t="shared" si="145"/>
        <v>296</v>
      </c>
      <c r="M3127" s="18" t="str">
        <f>IF(I3127&lt;&gt;"Sí","",IF(YEAR(F3127)&lt;&gt;2026,"",INDEX({"Enero","Febrero","Marzo","Abril","Mayo","Junio","Julio","Agosto","Septiembre","Octubre","Noviembre","Diciembre"},MONTH(F3127))))</f>
        <v>Septiembre</v>
      </c>
      <c r="N3127" s="18" t="str">
        <f t="shared" si="146"/>
        <v>Septiembre|296</v>
      </c>
    </row>
    <row r="3128" spans="1:14" ht="14.5" x14ac:dyDescent="0.25">
      <c r="A3128" s="19">
        <v>35</v>
      </c>
      <c r="B3128" s="18" t="s">
        <v>42</v>
      </c>
      <c r="C3128" s="18" t="s">
        <v>97</v>
      </c>
      <c r="D3128" s="18" t="s">
        <v>3412</v>
      </c>
      <c r="E3128" s="18" t="s">
        <v>3677</v>
      </c>
      <c r="F3128" s="101">
        <v>46290.602083333331</v>
      </c>
      <c r="G3128" s="101">
        <v>46291.597916666666</v>
      </c>
      <c r="H3128" s="18" t="s">
        <v>507</v>
      </c>
      <c r="I3128" s="18" t="s">
        <v>508</v>
      </c>
      <c r="J3128" s="18"/>
      <c r="K3128" s="21">
        <f t="shared" si="144"/>
        <v>23.900000000023283</v>
      </c>
      <c r="L3128" s="19">
        <f t="shared" si="145"/>
        <v>297</v>
      </c>
      <c r="M3128" s="18" t="str">
        <f>IF(I3128&lt;&gt;"Sí","",IF(YEAR(F3128)&lt;&gt;2026,"",INDEX({"Enero","Febrero","Marzo","Abril","Mayo","Junio","Julio","Agosto","Septiembre","Octubre","Noviembre","Diciembre"},MONTH(F3128))))</f>
        <v>Septiembre</v>
      </c>
      <c r="N3128" s="18" t="str">
        <f t="shared" si="146"/>
        <v>Septiembre|297</v>
      </c>
    </row>
    <row r="3129" spans="1:14" ht="14.5" x14ac:dyDescent="0.25">
      <c r="A3129" s="19">
        <v>35</v>
      </c>
      <c r="B3129" s="18" t="s">
        <v>42</v>
      </c>
      <c r="C3129" s="18" t="s">
        <v>97</v>
      </c>
      <c r="D3129" s="18" t="s">
        <v>3412</v>
      </c>
      <c r="E3129" s="18" t="s">
        <v>3678</v>
      </c>
      <c r="F3129" s="101">
        <v>46290.604166666664</v>
      </c>
      <c r="G3129" s="101">
        <v>46292.559027777781</v>
      </c>
      <c r="H3129" s="18" t="s">
        <v>507</v>
      </c>
      <c r="I3129" s="18" t="s">
        <v>508</v>
      </c>
      <c r="J3129" s="18"/>
      <c r="K3129" s="21">
        <f t="shared" si="144"/>
        <v>46.916666666802485</v>
      </c>
      <c r="L3129" s="19">
        <f t="shared" si="145"/>
        <v>298</v>
      </c>
      <c r="M3129" s="18" t="str">
        <f>IF(I3129&lt;&gt;"Sí","",IF(YEAR(F3129)&lt;&gt;2026,"",INDEX({"Enero","Febrero","Marzo","Abril","Mayo","Junio","Julio","Agosto","Septiembre","Octubre","Noviembre","Diciembre"},MONTH(F3129))))</f>
        <v>Septiembre</v>
      </c>
      <c r="N3129" s="18" t="str">
        <f t="shared" si="146"/>
        <v>Septiembre|298</v>
      </c>
    </row>
    <row r="3130" spans="1:14" ht="14.5" x14ac:dyDescent="0.25">
      <c r="A3130" s="19">
        <v>35</v>
      </c>
      <c r="B3130" s="18" t="s">
        <v>42</v>
      </c>
      <c r="C3130" s="18" t="s">
        <v>97</v>
      </c>
      <c r="D3130" s="18" t="s">
        <v>3412</v>
      </c>
      <c r="E3130" s="18" t="s">
        <v>3679</v>
      </c>
      <c r="F3130" s="101">
        <v>46290.604861111111</v>
      </c>
      <c r="G3130" s="101">
        <v>46291.864583333336</v>
      </c>
      <c r="H3130" s="18" t="s">
        <v>507</v>
      </c>
      <c r="I3130" s="18" t="s">
        <v>508</v>
      </c>
      <c r="J3130" s="18"/>
      <c r="K3130" s="21">
        <f t="shared" si="144"/>
        <v>30.233333333395422</v>
      </c>
      <c r="L3130" s="19">
        <f t="shared" si="145"/>
        <v>299</v>
      </c>
      <c r="M3130" s="18" t="str">
        <f>IF(I3130&lt;&gt;"Sí","",IF(YEAR(F3130)&lt;&gt;2026,"",INDEX({"Enero","Febrero","Marzo","Abril","Mayo","Junio","Julio","Agosto","Septiembre","Octubre","Noviembre","Diciembre"},MONTH(F3130))))</f>
        <v>Septiembre</v>
      </c>
      <c r="N3130" s="18" t="str">
        <f t="shared" si="146"/>
        <v>Septiembre|299</v>
      </c>
    </row>
    <row r="3131" spans="1:14" ht="14.5" x14ac:dyDescent="0.25">
      <c r="A3131" s="19">
        <v>35</v>
      </c>
      <c r="B3131" s="18" t="s">
        <v>42</v>
      </c>
      <c r="C3131" s="18" t="s">
        <v>97</v>
      </c>
      <c r="D3131" s="18" t="s">
        <v>3412</v>
      </c>
      <c r="E3131" s="18" t="s">
        <v>3680</v>
      </c>
      <c r="F3131" s="101">
        <v>46290.607638888891</v>
      </c>
      <c r="G3131" s="101">
        <v>46291.864583333336</v>
      </c>
      <c r="H3131" s="18" t="s">
        <v>507</v>
      </c>
      <c r="I3131" s="18" t="s">
        <v>508</v>
      </c>
      <c r="J3131" s="18"/>
      <c r="K3131" s="21">
        <f t="shared" si="144"/>
        <v>30.166666666686069</v>
      </c>
      <c r="L3131" s="19">
        <f t="shared" si="145"/>
        <v>300</v>
      </c>
      <c r="M3131" s="18" t="str">
        <f>IF(I3131&lt;&gt;"Sí","",IF(YEAR(F3131)&lt;&gt;2026,"",INDEX({"Enero","Febrero","Marzo","Abril","Mayo","Junio","Julio","Agosto","Septiembre","Octubre","Noviembre","Diciembre"},MONTH(F3131))))</f>
        <v>Septiembre</v>
      </c>
      <c r="N3131" s="18" t="str">
        <f t="shared" si="146"/>
        <v>Septiembre|300</v>
      </c>
    </row>
    <row r="3132" spans="1:14" ht="14.5" x14ac:dyDescent="0.25">
      <c r="A3132" s="19">
        <v>35</v>
      </c>
      <c r="B3132" s="18" t="s">
        <v>42</v>
      </c>
      <c r="C3132" s="18" t="s">
        <v>97</v>
      </c>
      <c r="D3132" s="18" t="s">
        <v>3412</v>
      </c>
      <c r="E3132" s="18" t="s">
        <v>3681</v>
      </c>
      <c r="F3132" s="101">
        <v>46290.60833333333</v>
      </c>
      <c r="G3132" s="101">
        <v>46291.864583333336</v>
      </c>
      <c r="H3132" s="18" t="s">
        <v>507</v>
      </c>
      <c r="I3132" s="18" t="s">
        <v>508</v>
      </c>
      <c r="J3132" s="18"/>
      <c r="K3132" s="21">
        <f t="shared" si="144"/>
        <v>30.150000000139698</v>
      </c>
      <c r="L3132" s="19">
        <f t="shared" si="145"/>
        <v>301</v>
      </c>
      <c r="M3132" s="18" t="str">
        <f>IF(I3132&lt;&gt;"Sí","",IF(YEAR(F3132)&lt;&gt;2026,"",INDEX({"Enero","Febrero","Marzo","Abril","Mayo","Junio","Julio","Agosto","Septiembre","Octubre","Noviembre","Diciembre"},MONTH(F3132))))</f>
        <v>Septiembre</v>
      </c>
      <c r="N3132" s="18" t="str">
        <f t="shared" si="146"/>
        <v>Septiembre|301</v>
      </c>
    </row>
    <row r="3133" spans="1:14" ht="14.5" x14ac:dyDescent="0.25">
      <c r="A3133" s="19">
        <v>35</v>
      </c>
      <c r="B3133" s="18" t="s">
        <v>42</v>
      </c>
      <c r="C3133" s="18" t="s">
        <v>97</v>
      </c>
      <c r="D3133" s="18" t="s">
        <v>3412</v>
      </c>
      <c r="E3133" s="18" t="s">
        <v>3682</v>
      </c>
      <c r="F3133" s="101">
        <v>46290.609722222223</v>
      </c>
      <c r="G3133" s="101">
        <v>46291.864583333336</v>
      </c>
      <c r="H3133" s="18" t="s">
        <v>507</v>
      </c>
      <c r="I3133" s="18" t="s">
        <v>508</v>
      </c>
      <c r="J3133" s="18"/>
      <c r="K3133" s="21">
        <f t="shared" si="144"/>
        <v>30.116666666697711</v>
      </c>
      <c r="L3133" s="19">
        <f t="shared" si="145"/>
        <v>302</v>
      </c>
      <c r="M3133" s="18" t="str">
        <f>IF(I3133&lt;&gt;"Sí","",IF(YEAR(F3133)&lt;&gt;2026,"",INDEX({"Enero","Febrero","Marzo","Abril","Mayo","Junio","Julio","Agosto","Septiembre","Octubre","Noviembre","Diciembre"},MONTH(F3133))))</f>
        <v>Septiembre</v>
      </c>
      <c r="N3133" s="18" t="str">
        <f t="shared" si="146"/>
        <v>Septiembre|302</v>
      </c>
    </row>
    <row r="3134" spans="1:14" ht="14.5" x14ac:dyDescent="0.25">
      <c r="A3134" s="19">
        <v>35</v>
      </c>
      <c r="B3134" s="18" t="s">
        <v>42</v>
      </c>
      <c r="C3134" s="18" t="s">
        <v>97</v>
      </c>
      <c r="D3134" s="18" t="s">
        <v>3412</v>
      </c>
      <c r="E3134" s="18" t="s">
        <v>3683</v>
      </c>
      <c r="F3134" s="101">
        <v>46290.611111111109</v>
      </c>
      <c r="G3134" s="101">
        <v>46291.864583333336</v>
      </c>
      <c r="H3134" s="18" t="s">
        <v>507</v>
      </c>
      <c r="I3134" s="18" t="s">
        <v>508</v>
      </c>
      <c r="J3134" s="18"/>
      <c r="K3134" s="21">
        <f t="shared" si="144"/>
        <v>30.083333333430346</v>
      </c>
      <c r="L3134" s="19">
        <f t="shared" si="145"/>
        <v>303</v>
      </c>
      <c r="M3134" s="18" t="str">
        <f>IF(I3134&lt;&gt;"Sí","",IF(YEAR(F3134)&lt;&gt;2026,"",INDEX({"Enero","Febrero","Marzo","Abril","Mayo","Junio","Julio","Agosto","Septiembre","Octubre","Noviembre","Diciembre"},MONTH(F3134))))</f>
        <v>Septiembre</v>
      </c>
      <c r="N3134" s="18" t="str">
        <f t="shared" si="146"/>
        <v>Septiembre|303</v>
      </c>
    </row>
    <row r="3135" spans="1:14" ht="14.5" x14ac:dyDescent="0.25">
      <c r="A3135" s="19">
        <v>35</v>
      </c>
      <c r="B3135" s="18" t="s">
        <v>42</v>
      </c>
      <c r="C3135" s="18" t="s">
        <v>97</v>
      </c>
      <c r="D3135" s="18" t="s">
        <v>3412</v>
      </c>
      <c r="E3135" s="18" t="s">
        <v>3684</v>
      </c>
      <c r="F3135" s="101">
        <v>46290.740972222222</v>
      </c>
      <c r="G3135" s="101">
        <v>46292.772916666669</v>
      </c>
      <c r="H3135" s="18" t="s">
        <v>507</v>
      </c>
      <c r="I3135" s="18" t="s">
        <v>508</v>
      </c>
      <c r="J3135" s="18"/>
      <c r="K3135" s="21">
        <f t="shared" si="144"/>
        <v>48.766666666720994</v>
      </c>
      <c r="L3135" s="19">
        <f t="shared" si="145"/>
        <v>300</v>
      </c>
      <c r="M3135" s="18" t="str">
        <f>IF(I3135&lt;&gt;"Sí","",IF(YEAR(F3135)&lt;&gt;2026,"",INDEX({"Enero","Febrero","Marzo","Abril","Mayo","Junio","Julio","Agosto","Septiembre","Octubre","Noviembre","Diciembre"},MONTH(F3135))))</f>
        <v>Septiembre</v>
      </c>
      <c r="N3135" s="18" t="str">
        <f t="shared" si="146"/>
        <v>Septiembre|300</v>
      </c>
    </row>
    <row r="3136" spans="1:14" ht="14.5" x14ac:dyDescent="0.25">
      <c r="A3136" s="19">
        <v>35</v>
      </c>
      <c r="B3136" s="18" t="s">
        <v>42</v>
      </c>
      <c r="C3136" s="18" t="s">
        <v>97</v>
      </c>
      <c r="D3136" s="18" t="s">
        <v>3412</v>
      </c>
      <c r="E3136" s="18" t="s">
        <v>3685</v>
      </c>
      <c r="F3136" s="101">
        <v>46290.740972222222</v>
      </c>
      <c r="G3136" s="101">
        <v>46292.8125</v>
      </c>
      <c r="H3136" s="18" t="s">
        <v>507</v>
      </c>
      <c r="I3136" s="18" t="s">
        <v>508</v>
      </c>
      <c r="J3136" s="18"/>
      <c r="K3136" s="21">
        <f t="shared" si="144"/>
        <v>49.716666666674428</v>
      </c>
      <c r="L3136" s="19">
        <f t="shared" si="145"/>
        <v>300</v>
      </c>
      <c r="M3136" s="18" t="str">
        <f>IF(I3136&lt;&gt;"Sí","",IF(YEAR(F3136)&lt;&gt;2026,"",INDEX({"Enero","Febrero","Marzo","Abril","Mayo","Junio","Julio","Agosto","Septiembre","Octubre","Noviembre","Diciembre"},MONTH(F3136))))</f>
        <v>Septiembre</v>
      </c>
      <c r="N3136" s="18" t="str">
        <f t="shared" si="146"/>
        <v>Septiembre|300</v>
      </c>
    </row>
    <row r="3137" spans="1:14" ht="14.5" x14ac:dyDescent="0.25">
      <c r="A3137" s="19">
        <v>35</v>
      </c>
      <c r="B3137" s="18" t="s">
        <v>42</v>
      </c>
      <c r="C3137" s="18" t="s">
        <v>97</v>
      </c>
      <c r="D3137" s="18" t="s">
        <v>3412</v>
      </c>
      <c r="E3137" s="18" t="s">
        <v>3686</v>
      </c>
      <c r="F3137" s="101">
        <v>46290.740972222222</v>
      </c>
      <c r="G3137" s="101">
        <v>46292.8125</v>
      </c>
      <c r="H3137" s="18" t="s">
        <v>507</v>
      </c>
      <c r="I3137" s="18" t="s">
        <v>508</v>
      </c>
      <c r="J3137" s="18"/>
      <c r="K3137" s="21">
        <f t="shared" si="144"/>
        <v>49.716666666674428</v>
      </c>
      <c r="L3137" s="19">
        <f t="shared" si="145"/>
        <v>300</v>
      </c>
      <c r="M3137" s="18" t="str">
        <f>IF(I3137&lt;&gt;"Sí","",IF(YEAR(F3137)&lt;&gt;2026,"",INDEX({"Enero","Febrero","Marzo","Abril","Mayo","Junio","Julio","Agosto","Septiembre","Octubre","Noviembre","Diciembre"},MONTH(F3137))))</f>
        <v>Septiembre</v>
      </c>
      <c r="N3137" s="18" t="str">
        <f t="shared" si="146"/>
        <v>Septiembre|300</v>
      </c>
    </row>
    <row r="3138" spans="1:14" ht="14.5" x14ac:dyDescent="0.25">
      <c r="A3138" s="19">
        <v>35</v>
      </c>
      <c r="B3138" s="18" t="s">
        <v>42</v>
      </c>
      <c r="C3138" s="18" t="s">
        <v>97</v>
      </c>
      <c r="D3138" s="18" t="s">
        <v>3412</v>
      </c>
      <c r="E3138" s="18" t="s">
        <v>3687</v>
      </c>
      <c r="F3138" s="101">
        <v>46290.740972222222</v>
      </c>
      <c r="G3138" s="101">
        <v>46292.8125</v>
      </c>
      <c r="H3138" s="18" t="s">
        <v>507</v>
      </c>
      <c r="I3138" s="18" t="s">
        <v>508</v>
      </c>
      <c r="J3138" s="18"/>
      <c r="K3138" s="21">
        <f t="shared" si="144"/>
        <v>49.716666666674428</v>
      </c>
      <c r="L3138" s="19">
        <f t="shared" si="145"/>
        <v>300</v>
      </c>
      <c r="M3138" s="18" t="str">
        <f>IF(I3138&lt;&gt;"Sí","",IF(YEAR(F3138)&lt;&gt;2026,"",INDEX({"Enero","Febrero","Marzo","Abril","Mayo","Junio","Julio","Agosto","Septiembre","Octubre","Noviembre","Diciembre"},MONTH(F3138))))</f>
        <v>Septiembre</v>
      </c>
      <c r="N3138" s="18" t="str">
        <f t="shared" si="146"/>
        <v>Septiembre|300</v>
      </c>
    </row>
    <row r="3139" spans="1:14" ht="14.5" x14ac:dyDescent="0.25">
      <c r="A3139" s="19">
        <v>35</v>
      </c>
      <c r="B3139" s="18" t="s">
        <v>42</v>
      </c>
      <c r="C3139" s="18" t="s">
        <v>97</v>
      </c>
      <c r="D3139" s="18" t="s">
        <v>3412</v>
      </c>
      <c r="E3139" s="18" t="s">
        <v>3688</v>
      </c>
      <c r="F3139" s="101">
        <v>46290.740972222222</v>
      </c>
      <c r="G3139" s="101">
        <v>46292.8125</v>
      </c>
      <c r="H3139" s="18" t="s">
        <v>507</v>
      </c>
      <c r="I3139" s="18" t="s">
        <v>508</v>
      </c>
      <c r="J3139" s="18"/>
      <c r="K3139" s="21">
        <f t="shared" si="144"/>
        <v>49.716666666674428</v>
      </c>
      <c r="L3139" s="19">
        <f t="shared" si="145"/>
        <v>300</v>
      </c>
      <c r="M3139" s="18" t="str">
        <f>IF(I3139&lt;&gt;"Sí","",IF(YEAR(F3139)&lt;&gt;2026,"",INDEX({"Enero","Febrero","Marzo","Abril","Mayo","Junio","Julio","Agosto","Septiembre","Octubre","Noviembre","Diciembre"},MONTH(F3139))))</f>
        <v>Septiembre</v>
      </c>
      <c r="N3139" s="18" t="str">
        <f t="shared" si="146"/>
        <v>Septiembre|300</v>
      </c>
    </row>
    <row r="3140" spans="1:14" ht="14.5" x14ac:dyDescent="0.25">
      <c r="A3140" s="19">
        <v>35</v>
      </c>
      <c r="B3140" s="18" t="s">
        <v>42</v>
      </c>
      <c r="C3140" s="18" t="s">
        <v>97</v>
      </c>
      <c r="D3140" s="18" t="s">
        <v>3412</v>
      </c>
      <c r="E3140" s="18" t="s">
        <v>3689</v>
      </c>
      <c r="F3140" s="101">
        <v>46290.740972222222</v>
      </c>
      <c r="G3140" s="101">
        <v>46292.8125</v>
      </c>
      <c r="H3140" s="18" t="s">
        <v>507</v>
      </c>
      <c r="I3140" s="18" t="s">
        <v>508</v>
      </c>
      <c r="J3140" s="18"/>
      <c r="K3140" s="21">
        <f t="shared" si="144"/>
        <v>49.716666666674428</v>
      </c>
      <c r="L3140" s="19">
        <f t="shared" si="145"/>
        <v>300</v>
      </c>
      <c r="M3140" s="18" t="str">
        <f>IF(I3140&lt;&gt;"Sí","",IF(YEAR(F3140)&lt;&gt;2026,"",INDEX({"Enero","Febrero","Marzo","Abril","Mayo","Junio","Julio","Agosto","Septiembre","Octubre","Noviembre","Diciembre"},MONTH(F3140))))</f>
        <v>Septiembre</v>
      </c>
      <c r="N3140" s="18" t="str">
        <f t="shared" si="146"/>
        <v>Septiembre|300</v>
      </c>
    </row>
    <row r="3141" spans="1:14" ht="14.5" x14ac:dyDescent="0.25">
      <c r="A3141" s="19">
        <v>35</v>
      </c>
      <c r="B3141" s="18" t="s">
        <v>42</v>
      </c>
      <c r="C3141" s="18" t="s">
        <v>97</v>
      </c>
      <c r="D3141" s="18" t="s">
        <v>3412</v>
      </c>
      <c r="E3141" s="18" t="s">
        <v>3690</v>
      </c>
      <c r="F3141" s="101">
        <v>46290.740972222222</v>
      </c>
      <c r="G3141" s="101">
        <v>46292.8125</v>
      </c>
      <c r="H3141" s="18" t="s">
        <v>507</v>
      </c>
      <c r="I3141" s="18" t="s">
        <v>508</v>
      </c>
      <c r="J3141" s="18"/>
      <c r="K3141" s="21">
        <f t="shared" si="144"/>
        <v>49.716666666674428</v>
      </c>
      <c r="L3141" s="19">
        <f t="shared" si="145"/>
        <v>300</v>
      </c>
      <c r="M3141" s="18" t="str">
        <f>IF(I3141&lt;&gt;"Sí","",IF(YEAR(F3141)&lt;&gt;2026,"",INDEX({"Enero","Febrero","Marzo","Abril","Mayo","Junio","Julio","Agosto","Septiembre","Octubre","Noviembre","Diciembre"},MONTH(F3141))))</f>
        <v>Septiembre</v>
      </c>
      <c r="N3141" s="18" t="str">
        <f t="shared" si="146"/>
        <v>Septiembre|300</v>
      </c>
    </row>
    <row r="3142" spans="1:14" ht="14.5" x14ac:dyDescent="0.25">
      <c r="A3142" s="19">
        <v>35</v>
      </c>
      <c r="B3142" s="18" t="s">
        <v>42</v>
      </c>
      <c r="C3142" s="18" t="s">
        <v>97</v>
      </c>
      <c r="D3142" s="18" t="s">
        <v>3412</v>
      </c>
      <c r="E3142" s="18" t="s">
        <v>3691</v>
      </c>
      <c r="F3142" s="101">
        <v>46290.740972222222</v>
      </c>
      <c r="G3142" s="101">
        <v>46291.864583333336</v>
      </c>
      <c r="H3142" s="18" t="s">
        <v>507</v>
      </c>
      <c r="I3142" s="18" t="s">
        <v>508</v>
      </c>
      <c r="J3142" s="18"/>
      <c r="K3142" s="21">
        <f t="shared" si="144"/>
        <v>26.966666666732635</v>
      </c>
      <c r="L3142" s="19">
        <f t="shared" si="145"/>
        <v>300</v>
      </c>
      <c r="M3142" s="18" t="str">
        <f>IF(I3142&lt;&gt;"Sí","",IF(YEAR(F3142)&lt;&gt;2026,"",INDEX({"Enero","Febrero","Marzo","Abril","Mayo","Junio","Julio","Agosto","Septiembre","Octubre","Noviembre","Diciembre"},MONTH(F3142))))</f>
        <v>Septiembre</v>
      </c>
      <c r="N3142" s="18" t="str">
        <f t="shared" si="146"/>
        <v>Septiembre|300</v>
      </c>
    </row>
    <row r="3143" spans="1:14" ht="14.5" x14ac:dyDescent="0.25">
      <c r="A3143" s="19">
        <v>35</v>
      </c>
      <c r="B3143" s="18" t="s">
        <v>42</v>
      </c>
      <c r="C3143" s="18" t="s">
        <v>97</v>
      </c>
      <c r="D3143" s="18" t="s">
        <v>3412</v>
      </c>
      <c r="E3143" s="18" t="s">
        <v>3692</v>
      </c>
      <c r="F3143" s="101">
        <v>46290.740972222222</v>
      </c>
      <c r="G3143" s="101">
        <v>46291.864583333336</v>
      </c>
      <c r="H3143" s="18" t="s">
        <v>507</v>
      </c>
      <c r="I3143" s="18" t="s">
        <v>508</v>
      </c>
      <c r="J3143" s="18"/>
      <c r="K3143" s="21">
        <f t="shared" ref="K3143:K3206" si="147">IF(I3143="Sí",(G3143-F3143)*24,"")</f>
        <v>26.966666666732635</v>
      </c>
      <c r="L3143" s="19">
        <f t="shared" ref="L3143:L3206" si="148">IF(I3143="Sí",COUNTIFS($F$7:$F$4000,"&lt;="&amp;F3143,$G$7:$G$4000,"&gt;"&amp;F3143,$I$7:$I$4000,"Sí"),"")</f>
        <v>300</v>
      </c>
      <c r="M3143" s="18" t="str">
        <f>IF(I3143&lt;&gt;"Sí","",IF(YEAR(F3143)&lt;&gt;2026,"",INDEX({"Enero","Febrero","Marzo","Abril","Mayo","Junio","Julio","Agosto","Septiembre","Octubre","Noviembre","Diciembre"},MONTH(F3143))))</f>
        <v>Septiembre</v>
      </c>
      <c r="N3143" s="18" t="str">
        <f t="shared" ref="N3143:N3206" si="149">IF(M3143="","",M3143&amp;"|"&amp;L3143)</f>
        <v>Septiembre|300</v>
      </c>
    </row>
    <row r="3144" spans="1:14" ht="14.5" x14ac:dyDescent="0.25">
      <c r="A3144" s="19">
        <v>35</v>
      </c>
      <c r="B3144" s="18" t="s">
        <v>42</v>
      </c>
      <c r="C3144" s="18" t="s">
        <v>97</v>
      </c>
      <c r="D3144" s="18" t="s">
        <v>3412</v>
      </c>
      <c r="E3144" s="18" t="s">
        <v>3693</v>
      </c>
      <c r="F3144" s="101">
        <v>46290.740972222222</v>
      </c>
      <c r="G3144" s="101">
        <v>46291.864583333336</v>
      </c>
      <c r="H3144" s="18" t="s">
        <v>507</v>
      </c>
      <c r="I3144" s="18" t="s">
        <v>508</v>
      </c>
      <c r="J3144" s="18"/>
      <c r="K3144" s="21">
        <f t="shared" si="147"/>
        <v>26.966666666732635</v>
      </c>
      <c r="L3144" s="19">
        <f t="shared" si="148"/>
        <v>300</v>
      </c>
      <c r="M3144" s="18" t="str">
        <f>IF(I3144&lt;&gt;"Sí","",IF(YEAR(F3144)&lt;&gt;2026,"",INDEX({"Enero","Febrero","Marzo","Abril","Mayo","Junio","Julio","Agosto","Septiembre","Octubre","Noviembre","Diciembre"},MONTH(F3144))))</f>
        <v>Septiembre</v>
      </c>
      <c r="N3144" s="18" t="str">
        <f t="shared" si="149"/>
        <v>Septiembre|300</v>
      </c>
    </row>
    <row r="3145" spans="1:14" ht="14.5" x14ac:dyDescent="0.25">
      <c r="A3145" s="19">
        <v>35</v>
      </c>
      <c r="B3145" s="18" t="s">
        <v>42</v>
      </c>
      <c r="C3145" s="18" t="s">
        <v>97</v>
      </c>
      <c r="D3145" s="18" t="s">
        <v>3412</v>
      </c>
      <c r="E3145" s="18" t="s">
        <v>3694</v>
      </c>
      <c r="F3145" s="101">
        <v>46290.740972222222</v>
      </c>
      <c r="G3145" s="101">
        <v>46291.864583333336</v>
      </c>
      <c r="H3145" s="18" t="s">
        <v>507</v>
      </c>
      <c r="I3145" s="18" t="s">
        <v>508</v>
      </c>
      <c r="J3145" s="18"/>
      <c r="K3145" s="21">
        <f t="shared" si="147"/>
        <v>26.966666666732635</v>
      </c>
      <c r="L3145" s="19">
        <f t="shared" si="148"/>
        <v>300</v>
      </c>
      <c r="M3145" s="18" t="str">
        <f>IF(I3145&lt;&gt;"Sí","",IF(YEAR(F3145)&lt;&gt;2026,"",INDEX({"Enero","Febrero","Marzo","Abril","Mayo","Junio","Julio","Agosto","Septiembre","Octubre","Noviembre","Diciembre"},MONTH(F3145))))</f>
        <v>Septiembre</v>
      </c>
      <c r="N3145" s="18" t="str">
        <f t="shared" si="149"/>
        <v>Septiembre|300</v>
      </c>
    </row>
    <row r="3146" spans="1:14" ht="14.5" x14ac:dyDescent="0.25">
      <c r="A3146" s="19">
        <v>35</v>
      </c>
      <c r="B3146" s="18" t="s">
        <v>42</v>
      </c>
      <c r="C3146" s="18" t="s">
        <v>97</v>
      </c>
      <c r="D3146" s="18" t="s">
        <v>3412</v>
      </c>
      <c r="E3146" s="18" t="s">
        <v>3695</v>
      </c>
      <c r="F3146" s="101">
        <v>46290.740972222222</v>
      </c>
      <c r="G3146" s="101">
        <v>46291.864583333336</v>
      </c>
      <c r="H3146" s="18" t="s">
        <v>507</v>
      </c>
      <c r="I3146" s="18" t="s">
        <v>508</v>
      </c>
      <c r="J3146" s="18"/>
      <c r="K3146" s="21">
        <f t="shared" si="147"/>
        <v>26.966666666732635</v>
      </c>
      <c r="L3146" s="19">
        <f t="shared" si="148"/>
        <v>300</v>
      </c>
      <c r="M3146" s="18" t="str">
        <f>IF(I3146&lt;&gt;"Sí","",IF(YEAR(F3146)&lt;&gt;2026,"",INDEX({"Enero","Febrero","Marzo","Abril","Mayo","Junio","Julio","Agosto","Septiembre","Octubre","Noviembre","Diciembre"},MONTH(F3146))))</f>
        <v>Septiembre</v>
      </c>
      <c r="N3146" s="18" t="str">
        <f t="shared" si="149"/>
        <v>Septiembre|300</v>
      </c>
    </row>
    <row r="3147" spans="1:14" ht="14.5" x14ac:dyDescent="0.25">
      <c r="A3147" s="19">
        <v>35</v>
      </c>
      <c r="B3147" s="18" t="s">
        <v>42</v>
      </c>
      <c r="C3147" s="18" t="s">
        <v>97</v>
      </c>
      <c r="D3147" s="18" t="s">
        <v>3412</v>
      </c>
      <c r="E3147" s="18" t="s">
        <v>3696</v>
      </c>
      <c r="F3147" s="101">
        <v>46290.881944444445</v>
      </c>
      <c r="G3147" s="101">
        <v>46292.629861111112</v>
      </c>
      <c r="H3147" s="18" t="s">
        <v>507</v>
      </c>
      <c r="I3147" s="18" t="s">
        <v>508</v>
      </c>
      <c r="J3147" s="18"/>
      <c r="K3147" s="21">
        <f t="shared" si="147"/>
        <v>41.950000000011642</v>
      </c>
      <c r="L3147" s="19">
        <f t="shared" si="148"/>
        <v>331</v>
      </c>
      <c r="M3147" s="18" t="str">
        <f>IF(I3147&lt;&gt;"Sí","",IF(YEAR(F3147)&lt;&gt;2026,"",INDEX({"Enero","Febrero","Marzo","Abril","Mayo","Junio","Julio","Agosto","Septiembre","Octubre","Noviembre","Diciembre"},MONTH(F3147))))</f>
        <v>Septiembre</v>
      </c>
      <c r="N3147" s="18" t="str">
        <f t="shared" si="149"/>
        <v>Septiembre|331</v>
      </c>
    </row>
    <row r="3148" spans="1:14" ht="14.5" x14ac:dyDescent="0.25">
      <c r="A3148" s="19">
        <v>35</v>
      </c>
      <c r="B3148" s="18" t="s">
        <v>42</v>
      </c>
      <c r="C3148" s="18" t="s">
        <v>97</v>
      </c>
      <c r="D3148" s="18" t="s">
        <v>3412</v>
      </c>
      <c r="E3148" s="18" t="s">
        <v>3697</v>
      </c>
      <c r="F3148" s="101">
        <v>46290.881944444445</v>
      </c>
      <c r="G3148" s="101">
        <v>46292.629861111112</v>
      </c>
      <c r="H3148" s="18" t="s">
        <v>507</v>
      </c>
      <c r="I3148" s="18" t="s">
        <v>508</v>
      </c>
      <c r="J3148" s="18"/>
      <c r="K3148" s="21">
        <f t="shared" si="147"/>
        <v>41.950000000011642</v>
      </c>
      <c r="L3148" s="19">
        <f t="shared" si="148"/>
        <v>331</v>
      </c>
      <c r="M3148" s="18" t="str">
        <f>IF(I3148&lt;&gt;"Sí","",IF(YEAR(F3148)&lt;&gt;2026,"",INDEX({"Enero","Febrero","Marzo","Abril","Mayo","Junio","Julio","Agosto","Septiembre","Octubre","Noviembre","Diciembre"},MONTH(F3148))))</f>
        <v>Septiembre</v>
      </c>
      <c r="N3148" s="18" t="str">
        <f t="shared" si="149"/>
        <v>Septiembre|331</v>
      </c>
    </row>
    <row r="3149" spans="1:14" ht="14.5" x14ac:dyDescent="0.25">
      <c r="A3149" s="19">
        <v>35</v>
      </c>
      <c r="B3149" s="18" t="s">
        <v>42</v>
      </c>
      <c r="C3149" s="18" t="s">
        <v>97</v>
      </c>
      <c r="D3149" s="18" t="s">
        <v>3412</v>
      </c>
      <c r="E3149" s="18" t="s">
        <v>3698</v>
      </c>
      <c r="F3149" s="101">
        <v>46290.881944444445</v>
      </c>
      <c r="G3149" s="101">
        <v>46292.629861111112</v>
      </c>
      <c r="H3149" s="18" t="s">
        <v>507</v>
      </c>
      <c r="I3149" s="18" t="s">
        <v>508</v>
      </c>
      <c r="J3149" s="18"/>
      <c r="K3149" s="21">
        <f t="shared" si="147"/>
        <v>41.950000000011642</v>
      </c>
      <c r="L3149" s="19">
        <f t="shared" si="148"/>
        <v>331</v>
      </c>
      <c r="M3149" s="18" t="str">
        <f>IF(I3149&lt;&gt;"Sí","",IF(YEAR(F3149)&lt;&gt;2026,"",INDEX({"Enero","Febrero","Marzo","Abril","Mayo","Junio","Julio","Agosto","Septiembre","Octubre","Noviembre","Diciembre"},MONTH(F3149))))</f>
        <v>Septiembre</v>
      </c>
      <c r="N3149" s="18" t="str">
        <f t="shared" si="149"/>
        <v>Septiembre|331</v>
      </c>
    </row>
    <row r="3150" spans="1:14" ht="14.5" x14ac:dyDescent="0.25">
      <c r="A3150" s="19">
        <v>35</v>
      </c>
      <c r="B3150" s="18" t="s">
        <v>42</v>
      </c>
      <c r="C3150" s="18" t="s">
        <v>97</v>
      </c>
      <c r="D3150" s="18" t="s">
        <v>3412</v>
      </c>
      <c r="E3150" s="18" t="s">
        <v>3699</v>
      </c>
      <c r="F3150" s="101">
        <v>46290.881944444445</v>
      </c>
      <c r="G3150" s="101">
        <v>46292.629861111112</v>
      </c>
      <c r="H3150" s="18" t="s">
        <v>507</v>
      </c>
      <c r="I3150" s="18" t="s">
        <v>508</v>
      </c>
      <c r="J3150" s="18"/>
      <c r="K3150" s="21">
        <f t="shared" si="147"/>
        <v>41.950000000011642</v>
      </c>
      <c r="L3150" s="19">
        <f t="shared" si="148"/>
        <v>331</v>
      </c>
      <c r="M3150" s="18" t="str">
        <f>IF(I3150&lt;&gt;"Sí","",IF(YEAR(F3150)&lt;&gt;2026,"",INDEX({"Enero","Febrero","Marzo","Abril","Mayo","Junio","Julio","Agosto","Septiembre","Octubre","Noviembre","Diciembre"},MONTH(F3150))))</f>
        <v>Septiembre</v>
      </c>
      <c r="N3150" s="18" t="str">
        <f t="shared" si="149"/>
        <v>Septiembre|331</v>
      </c>
    </row>
    <row r="3151" spans="1:14" ht="14.5" x14ac:dyDescent="0.25">
      <c r="A3151" s="19">
        <v>35</v>
      </c>
      <c r="B3151" s="18" t="s">
        <v>42</v>
      </c>
      <c r="C3151" s="18" t="s">
        <v>97</v>
      </c>
      <c r="D3151" s="18" t="s">
        <v>3412</v>
      </c>
      <c r="E3151" s="18" t="s">
        <v>3700</v>
      </c>
      <c r="F3151" s="101">
        <v>46290.881944444445</v>
      </c>
      <c r="G3151" s="101">
        <v>46292.559027777781</v>
      </c>
      <c r="H3151" s="18" t="s">
        <v>507</v>
      </c>
      <c r="I3151" s="18" t="s">
        <v>508</v>
      </c>
      <c r="J3151" s="18"/>
      <c r="K3151" s="21">
        <f t="shared" si="147"/>
        <v>40.250000000058208</v>
      </c>
      <c r="L3151" s="19">
        <f t="shared" si="148"/>
        <v>331</v>
      </c>
      <c r="M3151" s="18" t="str">
        <f>IF(I3151&lt;&gt;"Sí","",IF(YEAR(F3151)&lt;&gt;2026,"",INDEX({"Enero","Febrero","Marzo","Abril","Mayo","Junio","Julio","Agosto","Septiembre","Octubre","Noviembre","Diciembre"},MONTH(F3151))))</f>
        <v>Septiembre</v>
      </c>
      <c r="N3151" s="18" t="str">
        <f t="shared" si="149"/>
        <v>Septiembre|331</v>
      </c>
    </row>
    <row r="3152" spans="1:14" ht="14.5" x14ac:dyDescent="0.25">
      <c r="A3152" s="19">
        <v>35</v>
      </c>
      <c r="B3152" s="18" t="s">
        <v>42</v>
      </c>
      <c r="C3152" s="18" t="s">
        <v>97</v>
      </c>
      <c r="D3152" s="18" t="s">
        <v>3412</v>
      </c>
      <c r="E3152" s="18" t="s">
        <v>3701</v>
      </c>
      <c r="F3152" s="101">
        <v>46290.881944444445</v>
      </c>
      <c r="G3152" s="101">
        <v>46292.89166666667</v>
      </c>
      <c r="H3152" s="18" t="s">
        <v>507</v>
      </c>
      <c r="I3152" s="18" t="s">
        <v>508</v>
      </c>
      <c r="J3152" s="18"/>
      <c r="K3152" s="21">
        <f t="shared" si="147"/>
        <v>48.233333333395422</v>
      </c>
      <c r="L3152" s="19">
        <f t="shared" si="148"/>
        <v>331</v>
      </c>
      <c r="M3152" s="18" t="str">
        <f>IF(I3152&lt;&gt;"Sí","",IF(YEAR(F3152)&lt;&gt;2026,"",INDEX({"Enero","Febrero","Marzo","Abril","Mayo","Junio","Julio","Agosto","Septiembre","Octubre","Noviembre","Diciembre"},MONTH(F3152))))</f>
        <v>Septiembre</v>
      </c>
      <c r="N3152" s="18" t="str">
        <f t="shared" si="149"/>
        <v>Septiembre|331</v>
      </c>
    </row>
    <row r="3153" spans="1:14" ht="14.5" x14ac:dyDescent="0.25">
      <c r="A3153" s="19">
        <v>35</v>
      </c>
      <c r="B3153" s="18" t="s">
        <v>42</v>
      </c>
      <c r="C3153" s="18" t="s">
        <v>97</v>
      </c>
      <c r="D3153" s="18" t="s">
        <v>3412</v>
      </c>
      <c r="E3153" s="18" t="s">
        <v>3702</v>
      </c>
      <c r="F3153" s="101">
        <v>46290.881944444445</v>
      </c>
      <c r="G3153" s="101">
        <v>46292.89166666667</v>
      </c>
      <c r="H3153" s="18" t="s">
        <v>507</v>
      </c>
      <c r="I3153" s="18" t="s">
        <v>508</v>
      </c>
      <c r="J3153" s="18"/>
      <c r="K3153" s="21">
        <f t="shared" si="147"/>
        <v>48.233333333395422</v>
      </c>
      <c r="L3153" s="19">
        <f t="shared" si="148"/>
        <v>331</v>
      </c>
      <c r="M3153" s="18" t="str">
        <f>IF(I3153&lt;&gt;"Sí","",IF(YEAR(F3153)&lt;&gt;2026,"",INDEX({"Enero","Febrero","Marzo","Abril","Mayo","Junio","Julio","Agosto","Septiembre","Octubre","Noviembre","Diciembre"},MONTH(F3153))))</f>
        <v>Septiembre</v>
      </c>
      <c r="N3153" s="18" t="str">
        <f t="shared" si="149"/>
        <v>Septiembre|331</v>
      </c>
    </row>
    <row r="3154" spans="1:14" ht="14.5" x14ac:dyDescent="0.25">
      <c r="A3154" s="19">
        <v>35</v>
      </c>
      <c r="B3154" s="18" t="s">
        <v>42</v>
      </c>
      <c r="C3154" s="18" t="s">
        <v>97</v>
      </c>
      <c r="D3154" s="18" t="s">
        <v>3412</v>
      </c>
      <c r="E3154" s="18" t="s">
        <v>3703</v>
      </c>
      <c r="F3154" s="101">
        <v>46290.881944444445</v>
      </c>
      <c r="G3154" s="101">
        <v>46292.89166666667</v>
      </c>
      <c r="H3154" s="18" t="s">
        <v>507</v>
      </c>
      <c r="I3154" s="18" t="s">
        <v>508</v>
      </c>
      <c r="J3154" s="18"/>
      <c r="K3154" s="21">
        <f t="shared" si="147"/>
        <v>48.233333333395422</v>
      </c>
      <c r="L3154" s="19">
        <f t="shared" si="148"/>
        <v>331</v>
      </c>
      <c r="M3154" s="18" t="str">
        <f>IF(I3154&lt;&gt;"Sí","",IF(YEAR(F3154)&lt;&gt;2026,"",INDEX({"Enero","Febrero","Marzo","Abril","Mayo","Junio","Julio","Agosto","Septiembre","Octubre","Noviembre","Diciembre"},MONTH(F3154))))</f>
        <v>Septiembre</v>
      </c>
      <c r="N3154" s="18" t="str">
        <f t="shared" si="149"/>
        <v>Septiembre|331</v>
      </c>
    </row>
    <row r="3155" spans="1:14" ht="14.5" x14ac:dyDescent="0.25">
      <c r="A3155" s="19">
        <v>35</v>
      </c>
      <c r="B3155" s="18" t="s">
        <v>42</v>
      </c>
      <c r="C3155" s="18" t="s">
        <v>97</v>
      </c>
      <c r="D3155" s="18" t="s">
        <v>3412</v>
      </c>
      <c r="E3155" s="18" t="s">
        <v>3704</v>
      </c>
      <c r="F3155" s="101">
        <v>46290.881944444445</v>
      </c>
      <c r="G3155" s="101">
        <v>46292.89166666667</v>
      </c>
      <c r="H3155" s="18" t="s">
        <v>507</v>
      </c>
      <c r="I3155" s="18" t="s">
        <v>508</v>
      </c>
      <c r="J3155" s="18"/>
      <c r="K3155" s="21">
        <f t="shared" si="147"/>
        <v>48.233333333395422</v>
      </c>
      <c r="L3155" s="19">
        <f t="shared" si="148"/>
        <v>331</v>
      </c>
      <c r="M3155" s="18" t="str">
        <f>IF(I3155&lt;&gt;"Sí","",IF(YEAR(F3155)&lt;&gt;2026,"",INDEX({"Enero","Febrero","Marzo","Abril","Mayo","Junio","Julio","Agosto","Septiembre","Octubre","Noviembre","Diciembre"},MONTH(F3155))))</f>
        <v>Septiembre</v>
      </c>
      <c r="N3155" s="18" t="str">
        <f t="shared" si="149"/>
        <v>Septiembre|331</v>
      </c>
    </row>
    <row r="3156" spans="1:14" ht="14.5" x14ac:dyDescent="0.25">
      <c r="A3156" s="19">
        <v>35</v>
      </c>
      <c r="B3156" s="18" t="s">
        <v>42</v>
      </c>
      <c r="C3156" s="18" t="s">
        <v>97</v>
      </c>
      <c r="D3156" s="18" t="s">
        <v>3412</v>
      </c>
      <c r="E3156" s="18" t="s">
        <v>3705</v>
      </c>
      <c r="F3156" s="101">
        <v>46290.881944444445</v>
      </c>
      <c r="G3156" s="101">
        <v>46292.89166666667</v>
      </c>
      <c r="H3156" s="18" t="s">
        <v>507</v>
      </c>
      <c r="I3156" s="18" t="s">
        <v>508</v>
      </c>
      <c r="J3156" s="18"/>
      <c r="K3156" s="21">
        <f t="shared" si="147"/>
        <v>48.233333333395422</v>
      </c>
      <c r="L3156" s="19">
        <f t="shared" si="148"/>
        <v>331</v>
      </c>
      <c r="M3156" s="18" t="str">
        <f>IF(I3156&lt;&gt;"Sí","",IF(YEAR(F3156)&lt;&gt;2026,"",INDEX({"Enero","Febrero","Marzo","Abril","Mayo","Junio","Julio","Agosto","Septiembre","Octubre","Noviembre","Diciembre"},MONTH(F3156))))</f>
        <v>Septiembre</v>
      </c>
      <c r="N3156" s="18" t="str">
        <f t="shared" si="149"/>
        <v>Septiembre|331</v>
      </c>
    </row>
    <row r="3157" spans="1:14" ht="14.5" x14ac:dyDescent="0.25">
      <c r="A3157" s="19">
        <v>35</v>
      </c>
      <c r="B3157" s="18" t="s">
        <v>42</v>
      </c>
      <c r="C3157" s="18" t="s">
        <v>97</v>
      </c>
      <c r="D3157" s="18" t="s">
        <v>3412</v>
      </c>
      <c r="E3157" s="18" t="s">
        <v>3706</v>
      </c>
      <c r="F3157" s="101">
        <v>46290.881944444445</v>
      </c>
      <c r="G3157" s="101">
        <v>46292.89166666667</v>
      </c>
      <c r="H3157" s="18" t="s">
        <v>507</v>
      </c>
      <c r="I3157" s="18" t="s">
        <v>508</v>
      </c>
      <c r="J3157" s="18"/>
      <c r="K3157" s="21">
        <f t="shared" si="147"/>
        <v>48.233333333395422</v>
      </c>
      <c r="L3157" s="19">
        <f t="shared" si="148"/>
        <v>331</v>
      </c>
      <c r="M3157" s="18" t="str">
        <f>IF(I3157&lt;&gt;"Sí","",IF(YEAR(F3157)&lt;&gt;2026,"",INDEX({"Enero","Febrero","Marzo","Abril","Mayo","Junio","Julio","Agosto","Septiembre","Octubre","Noviembre","Diciembre"},MONTH(F3157))))</f>
        <v>Septiembre</v>
      </c>
      <c r="N3157" s="18" t="str">
        <f t="shared" si="149"/>
        <v>Septiembre|331</v>
      </c>
    </row>
    <row r="3158" spans="1:14" ht="14.5" x14ac:dyDescent="0.25">
      <c r="A3158" s="19">
        <v>35</v>
      </c>
      <c r="B3158" s="18" t="s">
        <v>42</v>
      </c>
      <c r="C3158" s="18" t="s">
        <v>97</v>
      </c>
      <c r="D3158" s="18" t="s">
        <v>3412</v>
      </c>
      <c r="E3158" s="18" t="s">
        <v>3707</v>
      </c>
      <c r="F3158" s="101">
        <v>46290.881944444445</v>
      </c>
      <c r="G3158" s="101">
        <v>46292.89166666667</v>
      </c>
      <c r="H3158" s="18" t="s">
        <v>507</v>
      </c>
      <c r="I3158" s="18" t="s">
        <v>508</v>
      </c>
      <c r="J3158" s="18"/>
      <c r="K3158" s="21">
        <f t="shared" si="147"/>
        <v>48.233333333395422</v>
      </c>
      <c r="L3158" s="19">
        <f t="shared" si="148"/>
        <v>331</v>
      </c>
      <c r="M3158" s="18" t="str">
        <f>IF(I3158&lt;&gt;"Sí","",IF(YEAR(F3158)&lt;&gt;2026,"",INDEX({"Enero","Febrero","Marzo","Abril","Mayo","Junio","Julio","Agosto","Septiembre","Octubre","Noviembre","Diciembre"},MONTH(F3158))))</f>
        <v>Septiembre</v>
      </c>
      <c r="N3158" s="18" t="str">
        <f t="shared" si="149"/>
        <v>Septiembre|331</v>
      </c>
    </row>
    <row r="3159" spans="1:14" ht="14.5" x14ac:dyDescent="0.25">
      <c r="A3159" s="19">
        <v>35</v>
      </c>
      <c r="B3159" s="18" t="s">
        <v>42</v>
      </c>
      <c r="C3159" s="18" t="s">
        <v>97</v>
      </c>
      <c r="D3159" s="18" t="s">
        <v>3412</v>
      </c>
      <c r="E3159" s="18" t="s">
        <v>3708</v>
      </c>
      <c r="F3159" s="101">
        <v>46290.881944444445</v>
      </c>
      <c r="G3159" s="101">
        <v>46292.89166666667</v>
      </c>
      <c r="H3159" s="18" t="s">
        <v>507</v>
      </c>
      <c r="I3159" s="18" t="s">
        <v>508</v>
      </c>
      <c r="J3159" s="18"/>
      <c r="K3159" s="21">
        <f t="shared" si="147"/>
        <v>48.233333333395422</v>
      </c>
      <c r="L3159" s="19">
        <f t="shared" si="148"/>
        <v>331</v>
      </c>
      <c r="M3159" s="18" t="str">
        <f>IF(I3159&lt;&gt;"Sí","",IF(YEAR(F3159)&lt;&gt;2026,"",INDEX({"Enero","Febrero","Marzo","Abril","Mayo","Junio","Julio","Agosto","Septiembre","Octubre","Noviembre","Diciembre"},MONTH(F3159))))</f>
        <v>Septiembre</v>
      </c>
      <c r="N3159" s="18" t="str">
        <f t="shared" si="149"/>
        <v>Septiembre|331</v>
      </c>
    </row>
    <row r="3160" spans="1:14" ht="14.5" x14ac:dyDescent="0.25">
      <c r="A3160" s="19">
        <v>35</v>
      </c>
      <c r="B3160" s="18" t="s">
        <v>42</v>
      </c>
      <c r="C3160" s="18" t="s">
        <v>97</v>
      </c>
      <c r="D3160" s="18" t="s">
        <v>3412</v>
      </c>
      <c r="E3160" s="18" t="s">
        <v>3709</v>
      </c>
      <c r="F3160" s="101">
        <v>46290.881944444445</v>
      </c>
      <c r="G3160" s="101">
        <v>46292.89166666667</v>
      </c>
      <c r="H3160" s="18" t="s">
        <v>507</v>
      </c>
      <c r="I3160" s="18" t="s">
        <v>508</v>
      </c>
      <c r="J3160" s="18"/>
      <c r="K3160" s="21">
        <f t="shared" si="147"/>
        <v>48.233333333395422</v>
      </c>
      <c r="L3160" s="19">
        <f t="shared" si="148"/>
        <v>331</v>
      </c>
      <c r="M3160" s="18" t="str">
        <f>IF(I3160&lt;&gt;"Sí","",IF(YEAR(F3160)&lt;&gt;2026,"",INDEX({"Enero","Febrero","Marzo","Abril","Mayo","Junio","Julio","Agosto","Septiembre","Octubre","Noviembre","Diciembre"},MONTH(F3160))))</f>
        <v>Septiembre</v>
      </c>
      <c r="N3160" s="18" t="str">
        <f t="shared" si="149"/>
        <v>Septiembre|331</v>
      </c>
    </row>
    <row r="3161" spans="1:14" ht="14.5" x14ac:dyDescent="0.25">
      <c r="A3161" s="19">
        <v>35</v>
      </c>
      <c r="B3161" s="18" t="s">
        <v>42</v>
      </c>
      <c r="C3161" s="18" t="s">
        <v>97</v>
      </c>
      <c r="D3161" s="18" t="s">
        <v>3412</v>
      </c>
      <c r="E3161" s="18" t="s">
        <v>3710</v>
      </c>
      <c r="F3161" s="101">
        <v>46290.881944444445</v>
      </c>
      <c r="G3161" s="101">
        <v>46292.89166666667</v>
      </c>
      <c r="H3161" s="18" t="s">
        <v>507</v>
      </c>
      <c r="I3161" s="18" t="s">
        <v>508</v>
      </c>
      <c r="J3161" s="18"/>
      <c r="K3161" s="21">
        <f t="shared" si="147"/>
        <v>48.233333333395422</v>
      </c>
      <c r="L3161" s="19">
        <f t="shared" si="148"/>
        <v>331</v>
      </c>
      <c r="M3161" s="18" t="str">
        <f>IF(I3161&lt;&gt;"Sí","",IF(YEAR(F3161)&lt;&gt;2026,"",INDEX({"Enero","Febrero","Marzo","Abril","Mayo","Junio","Julio","Agosto","Septiembre","Octubre","Noviembre","Diciembre"},MONTH(F3161))))</f>
        <v>Septiembre</v>
      </c>
      <c r="N3161" s="18" t="str">
        <f t="shared" si="149"/>
        <v>Septiembre|331</v>
      </c>
    </row>
    <row r="3162" spans="1:14" ht="14.5" x14ac:dyDescent="0.25">
      <c r="A3162" s="19">
        <v>35</v>
      </c>
      <c r="B3162" s="18" t="s">
        <v>42</v>
      </c>
      <c r="C3162" s="18" t="s">
        <v>97</v>
      </c>
      <c r="D3162" s="18" t="s">
        <v>3412</v>
      </c>
      <c r="E3162" s="18" t="s">
        <v>3711</v>
      </c>
      <c r="F3162" s="101">
        <v>46290.881944444445</v>
      </c>
      <c r="G3162" s="101">
        <v>46292.076388888891</v>
      </c>
      <c r="H3162" s="18" t="s">
        <v>507</v>
      </c>
      <c r="I3162" s="18" t="s">
        <v>508</v>
      </c>
      <c r="J3162" s="18"/>
      <c r="K3162" s="21">
        <f t="shared" si="147"/>
        <v>28.666666666686069</v>
      </c>
      <c r="L3162" s="19">
        <f t="shared" si="148"/>
        <v>331</v>
      </c>
      <c r="M3162" s="18" t="str">
        <f>IF(I3162&lt;&gt;"Sí","",IF(YEAR(F3162)&lt;&gt;2026,"",INDEX({"Enero","Febrero","Marzo","Abril","Mayo","Junio","Julio","Agosto","Septiembre","Octubre","Noviembre","Diciembre"},MONTH(F3162))))</f>
        <v>Septiembre</v>
      </c>
      <c r="N3162" s="18" t="str">
        <f t="shared" si="149"/>
        <v>Septiembre|331</v>
      </c>
    </row>
    <row r="3163" spans="1:14" ht="14.5" x14ac:dyDescent="0.25">
      <c r="A3163" s="19">
        <v>35</v>
      </c>
      <c r="B3163" s="18" t="s">
        <v>42</v>
      </c>
      <c r="C3163" s="18" t="s">
        <v>97</v>
      </c>
      <c r="D3163" s="18" t="s">
        <v>3412</v>
      </c>
      <c r="E3163" s="18" t="s">
        <v>3712</v>
      </c>
      <c r="F3163" s="101">
        <v>46290.881944444445</v>
      </c>
      <c r="G3163" s="101">
        <v>46292.077777777777</v>
      </c>
      <c r="H3163" s="18" t="s">
        <v>507</v>
      </c>
      <c r="I3163" s="18" t="s">
        <v>508</v>
      </c>
      <c r="J3163" s="18"/>
      <c r="K3163" s="21">
        <f t="shared" si="147"/>
        <v>28.699999999953434</v>
      </c>
      <c r="L3163" s="19">
        <f t="shared" si="148"/>
        <v>331</v>
      </c>
      <c r="M3163" s="18" t="str">
        <f>IF(I3163&lt;&gt;"Sí","",IF(YEAR(F3163)&lt;&gt;2026,"",INDEX({"Enero","Febrero","Marzo","Abril","Mayo","Junio","Julio","Agosto","Septiembre","Octubre","Noviembre","Diciembre"},MONTH(F3163))))</f>
        <v>Septiembre</v>
      </c>
      <c r="N3163" s="18" t="str">
        <f t="shared" si="149"/>
        <v>Septiembre|331</v>
      </c>
    </row>
    <row r="3164" spans="1:14" ht="14.5" x14ac:dyDescent="0.25">
      <c r="A3164" s="19">
        <v>35</v>
      </c>
      <c r="B3164" s="18" t="s">
        <v>42</v>
      </c>
      <c r="C3164" s="18" t="s">
        <v>97</v>
      </c>
      <c r="D3164" s="18" t="s">
        <v>3412</v>
      </c>
      <c r="E3164" s="18" t="s">
        <v>3713</v>
      </c>
      <c r="F3164" s="101">
        <v>46290.881944444445</v>
      </c>
      <c r="G3164" s="101">
        <v>46292.252083333333</v>
      </c>
      <c r="H3164" s="18" t="s">
        <v>507</v>
      </c>
      <c r="I3164" s="18" t="s">
        <v>508</v>
      </c>
      <c r="J3164" s="18"/>
      <c r="K3164" s="21">
        <f t="shared" si="147"/>
        <v>32.883333333302289</v>
      </c>
      <c r="L3164" s="19">
        <f t="shared" si="148"/>
        <v>331</v>
      </c>
      <c r="M3164" s="18" t="str">
        <f>IF(I3164&lt;&gt;"Sí","",IF(YEAR(F3164)&lt;&gt;2026,"",INDEX({"Enero","Febrero","Marzo","Abril","Mayo","Junio","Julio","Agosto","Septiembre","Octubre","Noviembre","Diciembre"},MONTH(F3164))))</f>
        <v>Septiembre</v>
      </c>
      <c r="N3164" s="18" t="str">
        <f t="shared" si="149"/>
        <v>Septiembre|331</v>
      </c>
    </row>
    <row r="3165" spans="1:14" ht="14.5" x14ac:dyDescent="0.25">
      <c r="A3165" s="19">
        <v>35</v>
      </c>
      <c r="B3165" s="18" t="s">
        <v>42</v>
      </c>
      <c r="C3165" s="18" t="s">
        <v>97</v>
      </c>
      <c r="D3165" s="18" t="s">
        <v>3412</v>
      </c>
      <c r="E3165" s="18" t="s">
        <v>3714</v>
      </c>
      <c r="F3165" s="101">
        <v>46290.881944444445</v>
      </c>
      <c r="G3165" s="101">
        <v>46292.252083333333</v>
      </c>
      <c r="H3165" s="18" t="s">
        <v>507</v>
      </c>
      <c r="I3165" s="18" t="s">
        <v>508</v>
      </c>
      <c r="J3165" s="18"/>
      <c r="K3165" s="21">
        <f t="shared" si="147"/>
        <v>32.883333333302289</v>
      </c>
      <c r="L3165" s="19">
        <f t="shared" si="148"/>
        <v>331</v>
      </c>
      <c r="M3165" s="18" t="str">
        <f>IF(I3165&lt;&gt;"Sí","",IF(YEAR(F3165)&lt;&gt;2026,"",INDEX({"Enero","Febrero","Marzo","Abril","Mayo","Junio","Julio","Agosto","Septiembre","Octubre","Noviembre","Diciembre"},MONTH(F3165))))</f>
        <v>Septiembre</v>
      </c>
      <c r="N3165" s="18" t="str">
        <f t="shared" si="149"/>
        <v>Septiembre|331</v>
      </c>
    </row>
    <row r="3166" spans="1:14" ht="14.5" x14ac:dyDescent="0.25">
      <c r="A3166" s="19">
        <v>35</v>
      </c>
      <c r="B3166" s="18" t="s">
        <v>42</v>
      </c>
      <c r="C3166" s="18" t="s">
        <v>97</v>
      </c>
      <c r="D3166" s="18" t="s">
        <v>3412</v>
      </c>
      <c r="E3166" s="18" t="s">
        <v>3715</v>
      </c>
      <c r="F3166" s="101">
        <v>46290.881944444445</v>
      </c>
      <c r="G3166" s="101">
        <v>46292.252083333333</v>
      </c>
      <c r="H3166" s="18" t="s">
        <v>507</v>
      </c>
      <c r="I3166" s="18" t="s">
        <v>508</v>
      </c>
      <c r="J3166" s="18"/>
      <c r="K3166" s="21">
        <f t="shared" si="147"/>
        <v>32.883333333302289</v>
      </c>
      <c r="L3166" s="19">
        <f t="shared" si="148"/>
        <v>331</v>
      </c>
      <c r="M3166" s="18" t="str">
        <f>IF(I3166&lt;&gt;"Sí","",IF(YEAR(F3166)&lt;&gt;2026,"",INDEX({"Enero","Febrero","Marzo","Abril","Mayo","Junio","Julio","Agosto","Septiembre","Octubre","Noviembre","Diciembre"},MONTH(F3166))))</f>
        <v>Septiembre</v>
      </c>
      <c r="N3166" s="18" t="str">
        <f t="shared" si="149"/>
        <v>Septiembre|331</v>
      </c>
    </row>
    <row r="3167" spans="1:14" ht="14.5" x14ac:dyDescent="0.25">
      <c r="A3167" s="19">
        <v>35</v>
      </c>
      <c r="B3167" s="18" t="s">
        <v>42</v>
      </c>
      <c r="C3167" s="18" t="s">
        <v>97</v>
      </c>
      <c r="D3167" s="18" t="s">
        <v>3412</v>
      </c>
      <c r="E3167" s="18" t="s">
        <v>3716</v>
      </c>
      <c r="F3167" s="101">
        <v>46290.881944444445</v>
      </c>
      <c r="G3167" s="101">
        <v>46292.252083333333</v>
      </c>
      <c r="H3167" s="18" t="s">
        <v>507</v>
      </c>
      <c r="I3167" s="18" t="s">
        <v>508</v>
      </c>
      <c r="J3167" s="18"/>
      <c r="K3167" s="21">
        <f t="shared" si="147"/>
        <v>32.883333333302289</v>
      </c>
      <c r="L3167" s="19">
        <f t="shared" si="148"/>
        <v>331</v>
      </c>
      <c r="M3167" s="18" t="str">
        <f>IF(I3167&lt;&gt;"Sí","",IF(YEAR(F3167)&lt;&gt;2026,"",INDEX({"Enero","Febrero","Marzo","Abril","Mayo","Junio","Julio","Agosto","Septiembre","Octubre","Noviembre","Diciembre"},MONTH(F3167))))</f>
        <v>Septiembre</v>
      </c>
      <c r="N3167" s="18" t="str">
        <f t="shared" si="149"/>
        <v>Septiembre|331</v>
      </c>
    </row>
    <row r="3168" spans="1:14" ht="14.5" x14ac:dyDescent="0.25">
      <c r="A3168" s="19">
        <v>35</v>
      </c>
      <c r="B3168" s="18" t="s">
        <v>42</v>
      </c>
      <c r="C3168" s="18" t="s">
        <v>97</v>
      </c>
      <c r="D3168" s="18" t="s">
        <v>3412</v>
      </c>
      <c r="E3168" s="18" t="s">
        <v>3717</v>
      </c>
      <c r="F3168" s="101">
        <v>46290.881944444445</v>
      </c>
      <c r="G3168" s="101">
        <v>46292.252083333333</v>
      </c>
      <c r="H3168" s="18" t="s">
        <v>507</v>
      </c>
      <c r="I3168" s="18" t="s">
        <v>508</v>
      </c>
      <c r="J3168" s="18"/>
      <c r="K3168" s="21">
        <f t="shared" si="147"/>
        <v>32.883333333302289</v>
      </c>
      <c r="L3168" s="19">
        <f t="shared" si="148"/>
        <v>331</v>
      </c>
      <c r="M3168" s="18" t="str">
        <f>IF(I3168&lt;&gt;"Sí","",IF(YEAR(F3168)&lt;&gt;2026,"",INDEX({"Enero","Febrero","Marzo","Abril","Mayo","Junio","Julio","Agosto","Septiembre","Octubre","Noviembre","Diciembre"},MONTH(F3168))))</f>
        <v>Septiembre</v>
      </c>
      <c r="N3168" s="18" t="str">
        <f t="shared" si="149"/>
        <v>Septiembre|331</v>
      </c>
    </row>
    <row r="3169" spans="1:14" ht="14.5" x14ac:dyDescent="0.25">
      <c r="A3169" s="19">
        <v>35</v>
      </c>
      <c r="B3169" s="18" t="s">
        <v>42</v>
      </c>
      <c r="C3169" s="18" t="s">
        <v>97</v>
      </c>
      <c r="D3169" s="18" t="s">
        <v>3412</v>
      </c>
      <c r="E3169" s="18" t="s">
        <v>3718</v>
      </c>
      <c r="F3169" s="101">
        <v>46290.881944444445</v>
      </c>
      <c r="G3169" s="101">
        <v>46292.573611111111</v>
      </c>
      <c r="H3169" s="18" t="s">
        <v>507</v>
      </c>
      <c r="I3169" s="18" t="s">
        <v>508</v>
      </c>
      <c r="J3169" s="18"/>
      <c r="K3169" s="21">
        <f t="shared" si="147"/>
        <v>40.599999999976717</v>
      </c>
      <c r="L3169" s="19">
        <f t="shared" si="148"/>
        <v>331</v>
      </c>
      <c r="M3169" s="18" t="str">
        <f>IF(I3169&lt;&gt;"Sí","",IF(YEAR(F3169)&lt;&gt;2026,"",INDEX({"Enero","Febrero","Marzo","Abril","Mayo","Junio","Julio","Agosto","Septiembre","Octubre","Noviembre","Diciembre"},MONTH(F3169))))</f>
        <v>Septiembre</v>
      </c>
      <c r="N3169" s="18" t="str">
        <f t="shared" si="149"/>
        <v>Septiembre|331</v>
      </c>
    </row>
    <row r="3170" spans="1:14" ht="14.5" x14ac:dyDescent="0.25">
      <c r="A3170" s="19">
        <v>35</v>
      </c>
      <c r="B3170" s="18" t="s">
        <v>42</v>
      </c>
      <c r="C3170" s="18" t="s">
        <v>97</v>
      </c>
      <c r="D3170" s="18" t="s">
        <v>3412</v>
      </c>
      <c r="E3170" s="18" t="s">
        <v>3719</v>
      </c>
      <c r="F3170" s="101">
        <v>46290.881944444445</v>
      </c>
      <c r="G3170" s="101">
        <v>46292.573611111111</v>
      </c>
      <c r="H3170" s="18" t="s">
        <v>507</v>
      </c>
      <c r="I3170" s="18" t="s">
        <v>508</v>
      </c>
      <c r="J3170" s="18"/>
      <c r="K3170" s="21">
        <f t="shared" si="147"/>
        <v>40.599999999976717</v>
      </c>
      <c r="L3170" s="19">
        <f t="shared" si="148"/>
        <v>331</v>
      </c>
      <c r="M3170" s="18" t="str">
        <f>IF(I3170&lt;&gt;"Sí","",IF(YEAR(F3170)&lt;&gt;2026,"",INDEX({"Enero","Febrero","Marzo","Abril","Mayo","Junio","Julio","Agosto","Septiembre","Octubre","Noviembre","Diciembre"},MONTH(F3170))))</f>
        <v>Septiembre</v>
      </c>
      <c r="N3170" s="18" t="str">
        <f t="shared" si="149"/>
        <v>Septiembre|331</v>
      </c>
    </row>
    <row r="3171" spans="1:14" ht="14.5" x14ac:dyDescent="0.25">
      <c r="A3171" s="19">
        <v>35</v>
      </c>
      <c r="B3171" s="18" t="s">
        <v>42</v>
      </c>
      <c r="C3171" s="18" t="s">
        <v>97</v>
      </c>
      <c r="D3171" s="18" t="s">
        <v>3412</v>
      </c>
      <c r="E3171" s="18" t="s">
        <v>3720</v>
      </c>
      <c r="F3171" s="101">
        <v>46290.881944444445</v>
      </c>
      <c r="G3171" s="101">
        <v>46292.573611111111</v>
      </c>
      <c r="H3171" s="18" t="s">
        <v>507</v>
      </c>
      <c r="I3171" s="18" t="s">
        <v>508</v>
      </c>
      <c r="J3171" s="18"/>
      <c r="K3171" s="21">
        <f t="shared" si="147"/>
        <v>40.599999999976717</v>
      </c>
      <c r="L3171" s="19">
        <f t="shared" si="148"/>
        <v>331</v>
      </c>
      <c r="M3171" s="18" t="str">
        <f>IF(I3171&lt;&gt;"Sí","",IF(YEAR(F3171)&lt;&gt;2026,"",INDEX({"Enero","Febrero","Marzo","Abril","Mayo","Junio","Julio","Agosto","Septiembre","Octubre","Noviembre","Diciembre"},MONTH(F3171))))</f>
        <v>Septiembre</v>
      </c>
      <c r="N3171" s="18" t="str">
        <f t="shared" si="149"/>
        <v>Septiembre|331</v>
      </c>
    </row>
    <row r="3172" spans="1:14" ht="14.5" x14ac:dyDescent="0.25">
      <c r="A3172" s="19">
        <v>35</v>
      </c>
      <c r="B3172" s="18" t="s">
        <v>42</v>
      </c>
      <c r="C3172" s="18" t="s">
        <v>97</v>
      </c>
      <c r="D3172" s="18" t="s">
        <v>3412</v>
      </c>
      <c r="E3172" s="18" t="s">
        <v>3721</v>
      </c>
      <c r="F3172" s="101">
        <v>46290.881944444445</v>
      </c>
      <c r="G3172" s="101">
        <v>46292.573611111111</v>
      </c>
      <c r="H3172" s="18" t="s">
        <v>507</v>
      </c>
      <c r="I3172" s="18" t="s">
        <v>508</v>
      </c>
      <c r="J3172" s="18"/>
      <c r="K3172" s="21">
        <f t="shared" si="147"/>
        <v>40.599999999976717</v>
      </c>
      <c r="L3172" s="19">
        <f t="shared" si="148"/>
        <v>331</v>
      </c>
      <c r="M3172" s="18" t="str">
        <f>IF(I3172&lt;&gt;"Sí","",IF(YEAR(F3172)&lt;&gt;2026,"",INDEX({"Enero","Febrero","Marzo","Abril","Mayo","Junio","Julio","Agosto","Septiembre","Octubre","Noviembre","Diciembre"},MONTH(F3172))))</f>
        <v>Septiembre</v>
      </c>
      <c r="N3172" s="18" t="str">
        <f t="shared" si="149"/>
        <v>Septiembre|331</v>
      </c>
    </row>
    <row r="3173" spans="1:14" ht="14.5" x14ac:dyDescent="0.25">
      <c r="A3173" s="19">
        <v>35</v>
      </c>
      <c r="B3173" s="18" t="s">
        <v>42</v>
      </c>
      <c r="C3173" s="18" t="s">
        <v>97</v>
      </c>
      <c r="D3173" s="18" t="s">
        <v>3412</v>
      </c>
      <c r="E3173" s="18" t="s">
        <v>3722</v>
      </c>
      <c r="F3173" s="101">
        <v>46290.881944444445</v>
      </c>
      <c r="G3173" s="101">
        <v>46292.573611111111</v>
      </c>
      <c r="H3173" s="18" t="s">
        <v>507</v>
      </c>
      <c r="I3173" s="18" t="s">
        <v>508</v>
      </c>
      <c r="J3173" s="18"/>
      <c r="K3173" s="21">
        <f t="shared" si="147"/>
        <v>40.599999999976717</v>
      </c>
      <c r="L3173" s="19">
        <f t="shared" si="148"/>
        <v>331</v>
      </c>
      <c r="M3173" s="18" t="str">
        <f>IF(I3173&lt;&gt;"Sí","",IF(YEAR(F3173)&lt;&gt;2026,"",INDEX({"Enero","Febrero","Marzo","Abril","Mayo","Junio","Julio","Agosto","Septiembre","Octubre","Noviembre","Diciembre"},MONTH(F3173))))</f>
        <v>Septiembre</v>
      </c>
      <c r="N3173" s="18" t="str">
        <f t="shared" si="149"/>
        <v>Septiembre|331</v>
      </c>
    </row>
    <row r="3174" spans="1:14" ht="14.5" x14ac:dyDescent="0.25">
      <c r="A3174" s="19">
        <v>35</v>
      </c>
      <c r="B3174" s="18" t="s">
        <v>42</v>
      </c>
      <c r="C3174" s="18" t="s">
        <v>97</v>
      </c>
      <c r="D3174" s="18" t="s">
        <v>3412</v>
      </c>
      <c r="E3174" s="18" t="s">
        <v>3723</v>
      </c>
      <c r="F3174" s="101">
        <v>46290.881944444445</v>
      </c>
      <c r="G3174" s="101">
        <v>46292.629861111112</v>
      </c>
      <c r="H3174" s="18" t="s">
        <v>507</v>
      </c>
      <c r="I3174" s="18" t="s">
        <v>508</v>
      </c>
      <c r="J3174" s="18"/>
      <c r="K3174" s="21">
        <f t="shared" si="147"/>
        <v>41.950000000011642</v>
      </c>
      <c r="L3174" s="19">
        <f t="shared" si="148"/>
        <v>331</v>
      </c>
      <c r="M3174" s="18" t="str">
        <f>IF(I3174&lt;&gt;"Sí","",IF(YEAR(F3174)&lt;&gt;2026,"",INDEX({"Enero","Febrero","Marzo","Abril","Mayo","Junio","Julio","Agosto","Septiembre","Octubre","Noviembre","Diciembre"},MONTH(F3174))))</f>
        <v>Septiembre</v>
      </c>
      <c r="N3174" s="18" t="str">
        <f t="shared" si="149"/>
        <v>Septiembre|331</v>
      </c>
    </row>
    <row r="3175" spans="1:14" ht="14.5" x14ac:dyDescent="0.25">
      <c r="A3175" s="19">
        <v>35</v>
      </c>
      <c r="B3175" s="18" t="s">
        <v>42</v>
      </c>
      <c r="C3175" s="18" t="s">
        <v>97</v>
      </c>
      <c r="D3175" s="18" t="s">
        <v>3412</v>
      </c>
      <c r="E3175" s="18" t="s">
        <v>3724</v>
      </c>
      <c r="F3175" s="101">
        <v>46290.881944444445</v>
      </c>
      <c r="G3175" s="101">
        <v>46292.573611111111</v>
      </c>
      <c r="H3175" s="18" t="s">
        <v>507</v>
      </c>
      <c r="I3175" s="18" t="s">
        <v>508</v>
      </c>
      <c r="J3175" s="18"/>
      <c r="K3175" s="21">
        <f t="shared" si="147"/>
        <v>40.599999999976717</v>
      </c>
      <c r="L3175" s="19">
        <f t="shared" si="148"/>
        <v>331</v>
      </c>
      <c r="M3175" s="18" t="str">
        <f>IF(I3175&lt;&gt;"Sí","",IF(YEAR(F3175)&lt;&gt;2026,"",INDEX({"Enero","Febrero","Marzo","Abril","Mayo","Junio","Julio","Agosto","Septiembre","Octubre","Noviembre","Diciembre"},MONTH(F3175))))</f>
        <v>Septiembre</v>
      </c>
      <c r="N3175" s="18" t="str">
        <f t="shared" si="149"/>
        <v>Septiembre|331</v>
      </c>
    </row>
    <row r="3176" spans="1:14" ht="14.5" x14ac:dyDescent="0.25">
      <c r="A3176" s="19">
        <v>35</v>
      </c>
      <c r="B3176" s="18" t="s">
        <v>42</v>
      </c>
      <c r="C3176" s="18" t="s">
        <v>97</v>
      </c>
      <c r="D3176" s="18" t="s">
        <v>3412</v>
      </c>
      <c r="E3176" s="18" t="s">
        <v>3725</v>
      </c>
      <c r="F3176" s="101">
        <v>46290.881944444445</v>
      </c>
      <c r="G3176" s="101">
        <v>46292.629861111112</v>
      </c>
      <c r="H3176" s="18" t="s">
        <v>507</v>
      </c>
      <c r="I3176" s="18" t="s">
        <v>508</v>
      </c>
      <c r="J3176" s="18"/>
      <c r="K3176" s="21">
        <f t="shared" si="147"/>
        <v>41.950000000011642</v>
      </c>
      <c r="L3176" s="19">
        <f t="shared" si="148"/>
        <v>331</v>
      </c>
      <c r="M3176" s="18" t="str">
        <f>IF(I3176&lt;&gt;"Sí","",IF(YEAR(F3176)&lt;&gt;2026,"",INDEX({"Enero","Febrero","Marzo","Abril","Mayo","Junio","Julio","Agosto","Septiembre","Octubre","Noviembre","Diciembre"},MONTH(F3176))))</f>
        <v>Septiembre</v>
      </c>
      <c r="N3176" s="18" t="str">
        <f t="shared" si="149"/>
        <v>Septiembre|331</v>
      </c>
    </row>
    <row r="3177" spans="1:14" ht="14.5" x14ac:dyDescent="0.25">
      <c r="A3177" s="19">
        <v>35</v>
      </c>
      <c r="B3177" s="18" t="s">
        <v>42</v>
      </c>
      <c r="C3177" s="18" t="s">
        <v>97</v>
      </c>
      <c r="D3177" s="18" t="s">
        <v>3412</v>
      </c>
      <c r="E3177" s="18" t="s">
        <v>3726</v>
      </c>
      <c r="F3177" s="101">
        <v>46290.881944444445</v>
      </c>
      <c r="G3177" s="101">
        <v>46292.629861111112</v>
      </c>
      <c r="H3177" s="18" t="s">
        <v>507</v>
      </c>
      <c r="I3177" s="18" t="s">
        <v>508</v>
      </c>
      <c r="J3177" s="18"/>
      <c r="K3177" s="21">
        <f t="shared" si="147"/>
        <v>41.950000000011642</v>
      </c>
      <c r="L3177" s="19">
        <f t="shared" si="148"/>
        <v>331</v>
      </c>
      <c r="M3177" s="18" t="str">
        <f>IF(I3177&lt;&gt;"Sí","",IF(YEAR(F3177)&lt;&gt;2026,"",INDEX({"Enero","Febrero","Marzo","Abril","Mayo","Junio","Julio","Agosto","Septiembre","Octubre","Noviembre","Diciembre"},MONTH(F3177))))</f>
        <v>Septiembre</v>
      </c>
      <c r="N3177" s="18" t="str">
        <f t="shared" si="149"/>
        <v>Septiembre|331</v>
      </c>
    </row>
    <row r="3178" spans="1:14" ht="14.5" x14ac:dyDescent="0.25">
      <c r="A3178" s="19">
        <v>35</v>
      </c>
      <c r="B3178" s="18" t="s">
        <v>42</v>
      </c>
      <c r="C3178" s="18" t="s">
        <v>97</v>
      </c>
      <c r="D3178" s="18" t="s">
        <v>3412</v>
      </c>
      <c r="E3178" s="18" t="s">
        <v>3727</v>
      </c>
      <c r="F3178" s="101">
        <v>46290.895833333336</v>
      </c>
      <c r="G3178" s="101">
        <v>46292.202777777777</v>
      </c>
      <c r="H3178" s="18" t="s">
        <v>507</v>
      </c>
      <c r="I3178" s="18" t="s">
        <v>508</v>
      </c>
      <c r="J3178" s="18"/>
      <c r="K3178" s="21">
        <f t="shared" si="147"/>
        <v>31.366666666581295</v>
      </c>
      <c r="L3178" s="19">
        <f t="shared" si="148"/>
        <v>342</v>
      </c>
      <c r="M3178" s="18" t="str">
        <f>IF(I3178&lt;&gt;"Sí","",IF(YEAR(F3178)&lt;&gt;2026,"",INDEX({"Enero","Febrero","Marzo","Abril","Mayo","Junio","Julio","Agosto","Septiembre","Octubre","Noviembre","Diciembre"},MONTH(F3178))))</f>
        <v>Septiembre</v>
      </c>
      <c r="N3178" s="18" t="str">
        <f t="shared" si="149"/>
        <v>Septiembre|342</v>
      </c>
    </row>
    <row r="3179" spans="1:14" ht="14.5" x14ac:dyDescent="0.25">
      <c r="A3179" s="19">
        <v>35</v>
      </c>
      <c r="B3179" s="18" t="s">
        <v>42</v>
      </c>
      <c r="C3179" s="18" t="s">
        <v>97</v>
      </c>
      <c r="D3179" s="18" t="s">
        <v>3412</v>
      </c>
      <c r="E3179" s="18" t="s">
        <v>3728</v>
      </c>
      <c r="F3179" s="101">
        <v>46290.895833333336</v>
      </c>
      <c r="G3179" s="101">
        <v>46292.202777777777</v>
      </c>
      <c r="H3179" s="18" t="s">
        <v>507</v>
      </c>
      <c r="I3179" s="18" t="s">
        <v>508</v>
      </c>
      <c r="J3179" s="18"/>
      <c r="K3179" s="21">
        <f t="shared" si="147"/>
        <v>31.366666666581295</v>
      </c>
      <c r="L3179" s="19">
        <f t="shared" si="148"/>
        <v>342</v>
      </c>
      <c r="M3179" s="18" t="str">
        <f>IF(I3179&lt;&gt;"Sí","",IF(YEAR(F3179)&lt;&gt;2026,"",INDEX({"Enero","Febrero","Marzo","Abril","Mayo","Junio","Julio","Agosto","Septiembre","Octubre","Noviembre","Diciembre"},MONTH(F3179))))</f>
        <v>Septiembre</v>
      </c>
      <c r="N3179" s="18" t="str">
        <f t="shared" si="149"/>
        <v>Septiembre|342</v>
      </c>
    </row>
    <row r="3180" spans="1:14" ht="14.5" x14ac:dyDescent="0.25">
      <c r="A3180" s="19">
        <v>35</v>
      </c>
      <c r="B3180" s="18" t="s">
        <v>42</v>
      </c>
      <c r="C3180" s="18" t="s">
        <v>97</v>
      </c>
      <c r="D3180" s="18" t="s">
        <v>3412</v>
      </c>
      <c r="E3180" s="18" t="s">
        <v>3729</v>
      </c>
      <c r="F3180" s="101">
        <v>46290.895833333336</v>
      </c>
      <c r="G3180" s="101">
        <v>46292.202777777777</v>
      </c>
      <c r="H3180" s="18" t="s">
        <v>507</v>
      </c>
      <c r="I3180" s="18" t="s">
        <v>508</v>
      </c>
      <c r="J3180" s="18"/>
      <c r="K3180" s="21">
        <f t="shared" si="147"/>
        <v>31.366666666581295</v>
      </c>
      <c r="L3180" s="19">
        <f t="shared" si="148"/>
        <v>342</v>
      </c>
      <c r="M3180" s="18" t="str">
        <f>IF(I3180&lt;&gt;"Sí","",IF(YEAR(F3180)&lt;&gt;2026,"",INDEX({"Enero","Febrero","Marzo","Abril","Mayo","Junio","Julio","Agosto","Septiembre","Octubre","Noviembre","Diciembre"},MONTH(F3180))))</f>
        <v>Septiembre</v>
      </c>
      <c r="N3180" s="18" t="str">
        <f t="shared" si="149"/>
        <v>Septiembre|342</v>
      </c>
    </row>
    <row r="3181" spans="1:14" ht="14.5" x14ac:dyDescent="0.25">
      <c r="A3181" s="19">
        <v>35</v>
      </c>
      <c r="B3181" s="18" t="s">
        <v>42</v>
      </c>
      <c r="C3181" s="18" t="s">
        <v>97</v>
      </c>
      <c r="D3181" s="18" t="s">
        <v>3412</v>
      </c>
      <c r="E3181" s="18" t="s">
        <v>3730</v>
      </c>
      <c r="F3181" s="101">
        <v>46290.895833333336</v>
      </c>
      <c r="G3181" s="101">
        <v>46292.202777777777</v>
      </c>
      <c r="H3181" s="18" t="s">
        <v>507</v>
      </c>
      <c r="I3181" s="18" t="s">
        <v>508</v>
      </c>
      <c r="J3181" s="18"/>
      <c r="K3181" s="21">
        <f t="shared" si="147"/>
        <v>31.366666666581295</v>
      </c>
      <c r="L3181" s="19">
        <f t="shared" si="148"/>
        <v>342</v>
      </c>
      <c r="M3181" s="18" t="str">
        <f>IF(I3181&lt;&gt;"Sí","",IF(YEAR(F3181)&lt;&gt;2026,"",INDEX({"Enero","Febrero","Marzo","Abril","Mayo","Junio","Julio","Agosto","Septiembre","Octubre","Noviembre","Diciembre"},MONTH(F3181))))</f>
        <v>Septiembre</v>
      </c>
      <c r="N3181" s="18" t="str">
        <f t="shared" si="149"/>
        <v>Septiembre|342</v>
      </c>
    </row>
    <row r="3182" spans="1:14" ht="14.5" x14ac:dyDescent="0.25">
      <c r="A3182" s="19">
        <v>35</v>
      </c>
      <c r="B3182" s="18" t="s">
        <v>42</v>
      </c>
      <c r="C3182" s="18" t="s">
        <v>97</v>
      </c>
      <c r="D3182" s="18" t="s">
        <v>3412</v>
      </c>
      <c r="E3182" s="18" t="s">
        <v>3731</v>
      </c>
      <c r="F3182" s="101">
        <v>46290.895833333336</v>
      </c>
      <c r="G3182" s="101">
        <v>46292.204861111109</v>
      </c>
      <c r="H3182" s="18" t="s">
        <v>507</v>
      </c>
      <c r="I3182" s="18" t="s">
        <v>508</v>
      </c>
      <c r="J3182" s="18"/>
      <c r="K3182" s="21">
        <f t="shared" si="147"/>
        <v>31.416666666569654</v>
      </c>
      <c r="L3182" s="19">
        <f t="shared" si="148"/>
        <v>342</v>
      </c>
      <c r="M3182" s="18" t="str">
        <f>IF(I3182&lt;&gt;"Sí","",IF(YEAR(F3182)&lt;&gt;2026,"",INDEX({"Enero","Febrero","Marzo","Abril","Mayo","Junio","Julio","Agosto","Septiembre","Octubre","Noviembre","Diciembre"},MONTH(F3182))))</f>
        <v>Septiembre</v>
      </c>
      <c r="N3182" s="18" t="str">
        <f t="shared" si="149"/>
        <v>Septiembre|342</v>
      </c>
    </row>
    <row r="3183" spans="1:14" ht="14.5" x14ac:dyDescent="0.25">
      <c r="A3183" s="19">
        <v>35</v>
      </c>
      <c r="B3183" s="18" t="s">
        <v>42</v>
      </c>
      <c r="C3183" s="18" t="s">
        <v>97</v>
      </c>
      <c r="D3183" s="18" t="s">
        <v>3412</v>
      </c>
      <c r="E3183" s="18" t="s">
        <v>3732</v>
      </c>
      <c r="F3183" s="101">
        <v>46290.895833333336</v>
      </c>
      <c r="G3183" s="101">
        <v>46292.202777777777</v>
      </c>
      <c r="H3183" s="18" t="s">
        <v>507</v>
      </c>
      <c r="I3183" s="18" t="s">
        <v>508</v>
      </c>
      <c r="J3183" s="18"/>
      <c r="K3183" s="21">
        <f t="shared" si="147"/>
        <v>31.366666666581295</v>
      </c>
      <c r="L3183" s="19">
        <f t="shared" si="148"/>
        <v>342</v>
      </c>
      <c r="M3183" s="18" t="str">
        <f>IF(I3183&lt;&gt;"Sí","",IF(YEAR(F3183)&lt;&gt;2026,"",INDEX({"Enero","Febrero","Marzo","Abril","Mayo","Junio","Julio","Agosto","Septiembre","Octubre","Noviembre","Diciembre"},MONTH(F3183))))</f>
        <v>Septiembre</v>
      </c>
      <c r="N3183" s="18" t="str">
        <f t="shared" si="149"/>
        <v>Septiembre|342</v>
      </c>
    </row>
    <row r="3184" spans="1:14" ht="14.5" x14ac:dyDescent="0.25">
      <c r="A3184" s="19">
        <v>35</v>
      </c>
      <c r="B3184" s="18" t="s">
        <v>42</v>
      </c>
      <c r="C3184" s="18" t="s">
        <v>97</v>
      </c>
      <c r="D3184" s="18" t="s">
        <v>3412</v>
      </c>
      <c r="E3184" s="18" t="s">
        <v>3733</v>
      </c>
      <c r="F3184" s="101">
        <v>46290.895833333336</v>
      </c>
      <c r="G3184" s="101">
        <v>46292.218055555553</v>
      </c>
      <c r="H3184" s="18" t="s">
        <v>507</v>
      </c>
      <c r="I3184" s="18" t="s">
        <v>508</v>
      </c>
      <c r="J3184" s="18"/>
      <c r="K3184" s="21">
        <f t="shared" si="147"/>
        <v>31.733333333220799</v>
      </c>
      <c r="L3184" s="19">
        <f t="shared" si="148"/>
        <v>342</v>
      </c>
      <c r="M3184" s="18" t="str">
        <f>IF(I3184&lt;&gt;"Sí","",IF(YEAR(F3184)&lt;&gt;2026,"",INDEX({"Enero","Febrero","Marzo","Abril","Mayo","Junio","Julio","Agosto","Septiembre","Octubre","Noviembre","Diciembre"},MONTH(F3184))))</f>
        <v>Septiembre</v>
      </c>
      <c r="N3184" s="18" t="str">
        <f t="shared" si="149"/>
        <v>Septiembre|342</v>
      </c>
    </row>
    <row r="3185" spans="1:14" ht="14.5" x14ac:dyDescent="0.25">
      <c r="A3185" s="19">
        <v>35</v>
      </c>
      <c r="B3185" s="18" t="s">
        <v>42</v>
      </c>
      <c r="C3185" s="18" t="s">
        <v>97</v>
      </c>
      <c r="D3185" s="18" t="s">
        <v>3412</v>
      </c>
      <c r="E3185" s="18" t="s">
        <v>3734</v>
      </c>
      <c r="F3185" s="101">
        <v>46290.895833333336</v>
      </c>
      <c r="G3185" s="101">
        <v>46292.218055555553</v>
      </c>
      <c r="H3185" s="18" t="s">
        <v>507</v>
      </c>
      <c r="I3185" s="18" t="s">
        <v>508</v>
      </c>
      <c r="J3185" s="18"/>
      <c r="K3185" s="21">
        <f t="shared" si="147"/>
        <v>31.733333333220799</v>
      </c>
      <c r="L3185" s="19">
        <f t="shared" si="148"/>
        <v>342</v>
      </c>
      <c r="M3185" s="18" t="str">
        <f>IF(I3185&lt;&gt;"Sí","",IF(YEAR(F3185)&lt;&gt;2026,"",INDEX({"Enero","Febrero","Marzo","Abril","Mayo","Junio","Julio","Agosto","Septiembre","Octubre","Noviembre","Diciembre"},MONTH(F3185))))</f>
        <v>Septiembre</v>
      </c>
      <c r="N3185" s="18" t="str">
        <f t="shared" si="149"/>
        <v>Septiembre|342</v>
      </c>
    </row>
    <row r="3186" spans="1:14" ht="14.5" x14ac:dyDescent="0.25">
      <c r="A3186" s="19">
        <v>35</v>
      </c>
      <c r="B3186" s="18" t="s">
        <v>42</v>
      </c>
      <c r="C3186" s="18" t="s">
        <v>97</v>
      </c>
      <c r="D3186" s="18" t="s">
        <v>3412</v>
      </c>
      <c r="E3186" s="18" t="s">
        <v>3735</v>
      </c>
      <c r="F3186" s="101">
        <v>46290.895833333336</v>
      </c>
      <c r="G3186" s="101">
        <v>46292.218055555553</v>
      </c>
      <c r="H3186" s="18" t="s">
        <v>507</v>
      </c>
      <c r="I3186" s="18" t="s">
        <v>508</v>
      </c>
      <c r="J3186" s="18"/>
      <c r="K3186" s="21">
        <f t="shared" si="147"/>
        <v>31.733333333220799</v>
      </c>
      <c r="L3186" s="19">
        <f t="shared" si="148"/>
        <v>342</v>
      </c>
      <c r="M3186" s="18" t="str">
        <f>IF(I3186&lt;&gt;"Sí","",IF(YEAR(F3186)&lt;&gt;2026,"",INDEX({"Enero","Febrero","Marzo","Abril","Mayo","Junio","Julio","Agosto","Septiembre","Octubre","Noviembre","Diciembre"},MONTH(F3186))))</f>
        <v>Septiembre</v>
      </c>
      <c r="N3186" s="18" t="str">
        <f t="shared" si="149"/>
        <v>Septiembre|342</v>
      </c>
    </row>
    <row r="3187" spans="1:14" ht="14.5" x14ac:dyDescent="0.25">
      <c r="A3187" s="19">
        <v>35</v>
      </c>
      <c r="B3187" s="18" t="s">
        <v>42</v>
      </c>
      <c r="C3187" s="18" t="s">
        <v>97</v>
      </c>
      <c r="D3187" s="18" t="s">
        <v>3412</v>
      </c>
      <c r="E3187" s="18" t="s">
        <v>3736</v>
      </c>
      <c r="F3187" s="101">
        <v>46290.895833333336</v>
      </c>
      <c r="G3187" s="101">
        <v>46292.218055555553</v>
      </c>
      <c r="H3187" s="18" t="s">
        <v>507</v>
      </c>
      <c r="I3187" s="18" t="s">
        <v>508</v>
      </c>
      <c r="J3187" s="18"/>
      <c r="K3187" s="21">
        <f t="shared" si="147"/>
        <v>31.733333333220799</v>
      </c>
      <c r="L3187" s="19">
        <f t="shared" si="148"/>
        <v>342</v>
      </c>
      <c r="M3187" s="18" t="str">
        <f>IF(I3187&lt;&gt;"Sí","",IF(YEAR(F3187)&lt;&gt;2026,"",INDEX({"Enero","Febrero","Marzo","Abril","Mayo","Junio","Julio","Agosto","Septiembre","Octubre","Noviembre","Diciembre"},MONTH(F3187))))</f>
        <v>Septiembre</v>
      </c>
      <c r="N3187" s="18" t="str">
        <f t="shared" si="149"/>
        <v>Septiembre|342</v>
      </c>
    </row>
    <row r="3188" spans="1:14" ht="14.5" x14ac:dyDescent="0.25">
      <c r="A3188" s="19">
        <v>35</v>
      </c>
      <c r="B3188" s="18" t="s">
        <v>42</v>
      </c>
      <c r="C3188" s="18" t="s">
        <v>97</v>
      </c>
      <c r="D3188" s="18" t="s">
        <v>3412</v>
      </c>
      <c r="E3188" s="18" t="s">
        <v>3737</v>
      </c>
      <c r="F3188" s="101">
        <v>46290.895833333336</v>
      </c>
      <c r="G3188" s="101">
        <v>46292.252083333333</v>
      </c>
      <c r="H3188" s="18" t="s">
        <v>507</v>
      </c>
      <c r="I3188" s="18" t="s">
        <v>508</v>
      </c>
      <c r="J3188" s="18"/>
      <c r="K3188" s="21">
        <f t="shared" si="147"/>
        <v>32.549999999930151</v>
      </c>
      <c r="L3188" s="19">
        <f t="shared" si="148"/>
        <v>342</v>
      </c>
      <c r="M3188" s="18" t="str">
        <f>IF(I3188&lt;&gt;"Sí","",IF(YEAR(F3188)&lt;&gt;2026,"",INDEX({"Enero","Febrero","Marzo","Abril","Mayo","Junio","Julio","Agosto","Septiembre","Octubre","Noviembre","Diciembre"},MONTH(F3188))))</f>
        <v>Septiembre</v>
      </c>
      <c r="N3188" s="18" t="str">
        <f t="shared" si="149"/>
        <v>Septiembre|342</v>
      </c>
    </row>
    <row r="3189" spans="1:14" ht="14.5" x14ac:dyDescent="0.25">
      <c r="A3189" s="19">
        <v>35</v>
      </c>
      <c r="B3189" s="18" t="s">
        <v>42</v>
      </c>
      <c r="C3189" s="18" t="s">
        <v>97</v>
      </c>
      <c r="D3189" s="18" t="s">
        <v>3412</v>
      </c>
      <c r="E3189" s="18" t="s">
        <v>3738</v>
      </c>
      <c r="F3189" s="101">
        <v>46290.899305555555</v>
      </c>
      <c r="G3189" s="101">
        <v>46292.202777777777</v>
      </c>
      <c r="H3189" s="18" t="s">
        <v>507</v>
      </c>
      <c r="I3189" s="18" t="s">
        <v>508</v>
      </c>
      <c r="J3189" s="18"/>
      <c r="K3189" s="21">
        <f t="shared" si="147"/>
        <v>31.283333333325572</v>
      </c>
      <c r="L3189" s="19">
        <f t="shared" si="148"/>
        <v>345</v>
      </c>
      <c r="M3189" s="18" t="str">
        <f>IF(I3189&lt;&gt;"Sí","",IF(YEAR(F3189)&lt;&gt;2026,"",INDEX({"Enero","Febrero","Marzo","Abril","Mayo","Junio","Julio","Agosto","Septiembre","Octubre","Noviembre","Diciembre"},MONTH(F3189))))</f>
        <v>Septiembre</v>
      </c>
      <c r="N3189" s="18" t="str">
        <f t="shared" si="149"/>
        <v>Septiembre|345</v>
      </c>
    </row>
    <row r="3190" spans="1:14" ht="14.5" x14ac:dyDescent="0.25">
      <c r="A3190" s="19">
        <v>35</v>
      </c>
      <c r="B3190" s="18" t="s">
        <v>42</v>
      </c>
      <c r="C3190" s="18" t="s">
        <v>97</v>
      </c>
      <c r="D3190" s="18" t="s">
        <v>3412</v>
      </c>
      <c r="E3190" s="18" t="s">
        <v>3739</v>
      </c>
      <c r="F3190" s="101">
        <v>46290.899305555555</v>
      </c>
      <c r="G3190" s="101">
        <v>46292.202777777777</v>
      </c>
      <c r="H3190" s="18" t="s">
        <v>507</v>
      </c>
      <c r="I3190" s="18" t="s">
        <v>508</v>
      </c>
      <c r="J3190" s="18"/>
      <c r="K3190" s="21">
        <f t="shared" si="147"/>
        <v>31.283333333325572</v>
      </c>
      <c r="L3190" s="19">
        <f t="shared" si="148"/>
        <v>345</v>
      </c>
      <c r="M3190" s="18" t="str">
        <f>IF(I3190&lt;&gt;"Sí","",IF(YEAR(F3190)&lt;&gt;2026,"",INDEX({"Enero","Febrero","Marzo","Abril","Mayo","Junio","Julio","Agosto","Septiembre","Octubre","Noviembre","Diciembre"},MONTH(F3190))))</f>
        <v>Septiembre</v>
      </c>
      <c r="N3190" s="18" t="str">
        <f t="shared" si="149"/>
        <v>Septiembre|345</v>
      </c>
    </row>
    <row r="3191" spans="1:14" ht="14.5" x14ac:dyDescent="0.25">
      <c r="A3191" s="19">
        <v>35</v>
      </c>
      <c r="B3191" s="18" t="s">
        <v>42</v>
      </c>
      <c r="C3191" s="18" t="s">
        <v>97</v>
      </c>
      <c r="D3191" s="18" t="s">
        <v>3412</v>
      </c>
      <c r="E3191" s="18" t="s">
        <v>3740</v>
      </c>
      <c r="F3191" s="101">
        <v>46290.899305555555</v>
      </c>
      <c r="G3191" s="101">
        <v>46292.202777777777</v>
      </c>
      <c r="H3191" s="18" t="s">
        <v>507</v>
      </c>
      <c r="I3191" s="18" t="s">
        <v>508</v>
      </c>
      <c r="J3191" s="18"/>
      <c r="K3191" s="21">
        <f t="shared" si="147"/>
        <v>31.283333333325572</v>
      </c>
      <c r="L3191" s="19">
        <f t="shared" si="148"/>
        <v>345</v>
      </c>
      <c r="M3191" s="18" t="str">
        <f>IF(I3191&lt;&gt;"Sí","",IF(YEAR(F3191)&lt;&gt;2026,"",INDEX({"Enero","Febrero","Marzo","Abril","Mayo","Junio","Julio","Agosto","Septiembre","Octubre","Noviembre","Diciembre"},MONTH(F3191))))</f>
        <v>Septiembre</v>
      </c>
      <c r="N3191" s="18" t="str">
        <f t="shared" si="149"/>
        <v>Septiembre|345</v>
      </c>
    </row>
    <row r="3192" spans="1:14" ht="14.5" x14ac:dyDescent="0.25">
      <c r="A3192" s="19">
        <v>35</v>
      </c>
      <c r="B3192" s="18" t="s">
        <v>42</v>
      </c>
      <c r="C3192" s="18" t="s">
        <v>97</v>
      </c>
      <c r="D3192" s="18" t="s">
        <v>3412</v>
      </c>
      <c r="E3192" s="18" t="s">
        <v>3741</v>
      </c>
      <c r="F3192" s="101">
        <v>46290.902777777781</v>
      </c>
      <c r="G3192" s="101">
        <v>46292.202777777777</v>
      </c>
      <c r="H3192" s="18" t="s">
        <v>507</v>
      </c>
      <c r="I3192" s="18" t="s">
        <v>508</v>
      </c>
      <c r="J3192" s="18"/>
      <c r="K3192" s="21">
        <f t="shared" si="147"/>
        <v>31.199999999895226</v>
      </c>
      <c r="L3192" s="19">
        <f t="shared" si="148"/>
        <v>346</v>
      </c>
      <c r="M3192" s="18" t="str">
        <f>IF(I3192&lt;&gt;"Sí","",IF(YEAR(F3192)&lt;&gt;2026,"",INDEX({"Enero","Febrero","Marzo","Abril","Mayo","Junio","Julio","Agosto","Septiembre","Octubre","Noviembre","Diciembre"},MONTH(F3192))))</f>
        <v>Septiembre</v>
      </c>
      <c r="N3192" s="18" t="str">
        <f t="shared" si="149"/>
        <v>Septiembre|346</v>
      </c>
    </row>
    <row r="3193" spans="1:14" ht="14.5" x14ac:dyDescent="0.25">
      <c r="A3193" s="19">
        <v>35</v>
      </c>
      <c r="B3193" s="18" t="s">
        <v>42</v>
      </c>
      <c r="C3193" s="18" t="s">
        <v>97</v>
      </c>
      <c r="D3193" s="18" t="s">
        <v>3412</v>
      </c>
      <c r="E3193" s="18" t="s">
        <v>3742</v>
      </c>
      <c r="F3193" s="101">
        <v>46290.909722222219</v>
      </c>
      <c r="G3193" s="101">
        <v>46292.629861111112</v>
      </c>
      <c r="H3193" s="18" t="s">
        <v>507</v>
      </c>
      <c r="I3193" s="18" t="s">
        <v>508</v>
      </c>
      <c r="J3193" s="18"/>
      <c r="K3193" s="21">
        <f t="shared" si="147"/>
        <v>41.283333333441988</v>
      </c>
      <c r="L3193" s="19">
        <f t="shared" si="148"/>
        <v>352</v>
      </c>
      <c r="M3193" s="18" t="str">
        <f>IF(I3193&lt;&gt;"Sí","",IF(YEAR(F3193)&lt;&gt;2026,"",INDEX({"Enero","Febrero","Marzo","Abril","Mayo","Junio","Julio","Agosto","Septiembre","Octubre","Noviembre","Diciembre"},MONTH(F3193))))</f>
        <v>Septiembre</v>
      </c>
      <c r="N3193" s="18" t="str">
        <f t="shared" si="149"/>
        <v>Septiembre|352</v>
      </c>
    </row>
    <row r="3194" spans="1:14" ht="14.5" x14ac:dyDescent="0.25">
      <c r="A3194" s="19">
        <v>35</v>
      </c>
      <c r="B3194" s="18" t="s">
        <v>42</v>
      </c>
      <c r="C3194" s="18" t="s">
        <v>97</v>
      </c>
      <c r="D3194" s="18" t="s">
        <v>3412</v>
      </c>
      <c r="E3194" s="18" t="s">
        <v>3743</v>
      </c>
      <c r="F3194" s="101">
        <v>46290.909722222219</v>
      </c>
      <c r="G3194" s="101">
        <v>46292.629861111112</v>
      </c>
      <c r="H3194" s="18" t="s">
        <v>507</v>
      </c>
      <c r="I3194" s="18" t="s">
        <v>508</v>
      </c>
      <c r="J3194" s="18"/>
      <c r="K3194" s="21">
        <f t="shared" si="147"/>
        <v>41.283333333441988</v>
      </c>
      <c r="L3194" s="19">
        <f t="shared" si="148"/>
        <v>352</v>
      </c>
      <c r="M3194" s="18" t="str">
        <f>IF(I3194&lt;&gt;"Sí","",IF(YEAR(F3194)&lt;&gt;2026,"",INDEX({"Enero","Febrero","Marzo","Abril","Mayo","Junio","Julio","Agosto","Septiembre","Octubre","Noviembre","Diciembre"},MONTH(F3194))))</f>
        <v>Septiembre</v>
      </c>
      <c r="N3194" s="18" t="str">
        <f t="shared" si="149"/>
        <v>Septiembre|352</v>
      </c>
    </row>
    <row r="3195" spans="1:14" ht="14.5" x14ac:dyDescent="0.25">
      <c r="A3195" s="19">
        <v>35</v>
      </c>
      <c r="B3195" s="18" t="s">
        <v>42</v>
      </c>
      <c r="C3195" s="18" t="s">
        <v>97</v>
      </c>
      <c r="D3195" s="18" t="s">
        <v>3412</v>
      </c>
      <c r="E3195" s="18" t="s">
        <v>3744</v>
      </c>
      <c r="F3195" s="101">
        <v>46290.909722222219</v>
      </c>
      <c r="G3195" s="101">
        <v>46292.629861111112</v>
      </c>
      <c r="H3195" s="18" t="s">
        <v>507</v>
      </c>
      <c r="I3195" s="18" t="s">
        <v>508</v>
      </c>
      <c r="J3195" s="18"/>
      <c r="K3195" s="21">
        <f t="shared" si="147"/>
        <v>41.283333333441988</v>
      </c>
      <c r="L3195" s="19">
        <f t="shared" si="148"/>
        <v>352</v>
      </c>
      <c r="M3195" s="18" t="str">
        <f>IF(I3195&lt;&gt;"Sí","",IF(YEAR(F3195)&lt;&gt;2026,"",INDEX({"Enero","Febrero","Marzo","Abril","Mayo","Junio","Julio","Agosto","Septiembre","Octubre","Noviembre","Diciembre"},MONTH(F3195))))</f>
        <v>Septiembre</v>
      </c>
      <c r="N3195" s="18" t="str">
        <f t="shared" si="149"/>
        <v>Septiembre|352</v>
      </c>
    </row>
    <row r="3196" spans="1:14" ht="14.5" x14ac:dyDescent="0.25">
      <c r="A3196" s="19">
        <v>35</v>
      </c>
      <c r="B3196" s="18" t="s">
        <v>42</v>
      </c>
      <c r="C3196" s="18" t="s">
        <v>97</v>
      </c>
      <c r="D3196" s="18" t="s">
        <v>3412</v>
      </c>
      <c r="E3196" s="18" t="s">
        <v>3745</v>
      </c>
      <c r="F3196" s="101">
        <v>46290.909722222219</v>
      </c>
      <c r="G3196" s="101">
        <v>46292.629861111112</v>
      </c>
      <c r="H3196" s="18" t="s">
        <v>507</v>
      </c>
      <c r="I3196" s="18" t="s">
        <v>508</v>
      </c>
      <c r="J3196" s="18"/>
      <c r="K3196" s="21">
        <f t="shared" si="147"/>
        <v>41.283333333441988</v>
      </c>
      <c r="L3196" s="19">
        <f t="shared" si="148"/>
        <v>352</v>
      </c>
      <c r="M3196" s="18" t="str">
        <f>IF(I3196&lt;&gt;"Sí","",IF(YEAR(F3196)&lt;&gt;2026,"",INDEX({"Enero","Febrero","Marzo","Abril","Mayo","Junio","Julio","Agosto","Septiembre","Octubre","Noviembre","Diciembre"},MONTH(F3196))))</f>
        <v>Septiembre</v>
      </c>
      <c r="N3196" s="18" t="str">
        <f t="shared" si="149"/>
        <v>Septiembre|352</v>
      </c>
    </row>
    <row r="3197" spans="1:14" ht="14.5" x14ac:dyDescent="0.25">
      <c r="A3197" s="19">
        <v>35</v>
      </c>
      <c r="B3197" s="18" t="s">
        <v>42</v>
      </c>
      <c r="C3197" s="18" t="s">
        <v>97</v>
      </c>
      <c r="D3197" s="18" t="s">
        <v>3412</v>
      </c>
      <c r="E3197" s="18" t="s">
        <v>3746</v>
      </c>
      <c r="F3197" s="101">
        <v>46290.909722222219</v>
      </c>
      <c r="G3197" s="101">
        <v>46292.202777777777</v>
      </c>
      <c r="H3197" s="18" t="s">
        <v>507</v>
      </c>
      <c r="I3197" s="18" t="s">
        <v>508</v>
      </c>
      <c r="J3197" s="18"/>
      <c r="K3197" s="21">
        <f t="shared" si="147"/>
        <v>31.03333333338378</v>
      </c>
      <c r="L3197" s="19">
        <f t="shared" si="148"/>
        <v>352</v>
      </c>
      <c r="M3197" s="18" t="str">
        <f>IF(I3197&lt;&gt;"Sí","",IF(YEAR(F3197)&lt;&gt;2026,"",INDEX({"Enero","Febrero","Marzo","Abril","Mayo","Junio","Julio","Agosto","Septiembre","Octubre","Noviembre","Diciembre"},MONTH(F3197))))</f>
        <v>Septiembre</v>
      </c>
      <c r="N3197" s="18" t="str">
        <f t="shared" si="149"/>
        <v>Septiembre|352</v>
      </c>
    </row>
    <row r="3198" spans="1:14" ht="14.5" x14ac:dyDescent="0.25">
      <c r="A3198" s="19">
        <v>35</v>
      </c>
      <c r="B3198" s="18" t="s">
        <v>42</v>
      </c>
      <c r="C3198" s="18" t="s">
        <v>97</v>
      </c>
      <c r="D3198" s="18" t="s">
        <v>3412</v>
      </c>
      <c r="E3198" s="18" t="s">
        <v>3747</v>
      </c>
      <c r="F3198" s="101">
        <v>46290.909722222219</v>
      </c>
      <c r="G3198" s="101">
        <v>46292.202777777777</v>
      </c>
      <c r="H3198" s="18" t="s">
        <v>507</v>
      </c>
      <c r="I3198" s="18" t="s">
        <v>508</v>
      </c>
      <c r="J3198" s="18"/>
      <c r="K3198" s="21">
        <f t="shared" si="147"/>
        <v>31.03333333338378</v>
      </c>
      <c r="L3198" s="19">
        <f t="shared" si="148"/>
        <v>352</v>
      </c>
      <c r="M3198" s="18" t="str">
        <f>IF(I3198&lt;&gt;"Sí","",IF(YEAR(F3198)&lt;&gt;2026,"",INDEX({"Enero","Febrero","Marzo","Abril","Mayo","Junio","Julio","Agosto","Septiembre","Octubre","Noviembre","Diciembre"},MONTH(F3198))))</f>
        <v>Septiembre</v>
      </c>
      <c r="N3198" s="18" t="str">
        <f t="shared" si="149"/>
        <v>Septiembre|352</v>
      </c>
    </row>
    <row r="3199" spans="1:14" ht="14.5" x14ac:dyDescent="0.25">
      <c r="A3199" s="19">
        <v>35</v>
      </c>
      <c r="B3199" s="18" t="s">
        <v>42</v>
      </c>
      <c r="C3199" s="18" t="s">
        <v>97</v>
      </c>
      <c r="D3199" s="18" t="s">
        <v>3412</v>
      </c>
      <c r="E3199" s="18" t="s">
        <v>3748</v>
      </c>
      <c r="F3199" s="101">
        <v>46290.913888888892</v>
      </c>
      <c r="G3199" s="101">
        <v>46292.629861111112</v>
      </c>
      <c r="H3199" s="18" t="s">
        <v>507</v>
      </c>
      <c r="I3199" s="18" t="s">
        <v>508</v>
      </c>
      <c r="J3199" s="18"/>
      <c r="K3199" s="21">
        <f t="shared" si="147"/>
        <v>41.183333333290648</v>
      </c>
      <c r="L3199" s="19">
        <f t="shared" si="148"/>
        <v>353</v>
      </c>
      <c r="M3199" s="18" t="str">
        <f>IF(I3199&lt;&gt;"Sí","",IF(YEAR(F3199)&lt;&gt;2026,"",INDEX({"Enero","Febrero","Marzo","Abril","Mayo","Junio","Julio","Agosto","Septiembre","Octubre","Noviembre","Diciembre"},MONTH(F3199))))</f>
        <v>Septiembre</v>
      </c>
      <c r="N3199" s="18" t="str">
        <f t="shared" si="149"/>
        <v>Septiembre|353</v>
      </c>
    </row>
    <row r="3200" spans="1:14" ht="14.5" x14ac:dyDescent="0.25">
      <c r="A3200" s="19">
        <v>35</v>
      </c>
      <c r="B3200" s="18" t="s">
        <v>42</v>
      </c>
      <c r="C3200" s="18" t="s">
        <v>97</v>
      </c>
      <c r="D3200" s="18" t="s">
        <v>3412</v>
      </c>
      <c r="E3200" s="18" t="s">
        <v>3749</v>
      </c>
      <c r="F3200" s="101">
        <v>46290.923611111109</v>
      </c>
      <c r="G3200" s="101">
        <v>46292.078472222223</v>
      </c>
      <c r="H3200" s="18" t="s">
        <v>507</v>
      </c>
      <c r="I3200" s="18" t="s">
        <v>508</v>
      </c>
      <c r="J3200" s="18"/>
      <c r="K3200" s="21">
        <f t="shared" si="147"/>
        <v>27.716666666732635</v>
      </c>
      <c r="L3200" s="19">
        <f t="shared" si="148"/>
        <v>356</v>
      </c>
      <c r="M3200" s="18" t="str">
        <f>IF(I3200&lt;&gt;"Sí","",IF(YEAR(F3200)&lt;&gt;2026,"",INDEX({"Enero","Febrero","Marzo","Abril","Mayo","Junio","Julio","Agosto","Septiembre","Octubre","Noviembre","Diciembre"},MONTH(F3200))))</f>
        <v>Septiembre</v>
      </c>
      <c r="N3200" s="18" t="str">
        <f t="shared" si="149"/>
        <v>Septiembre|356</v>
      </c>
    </row>
    <row r="3201" spans="1:14" ht="14.5" x14ac:dyDescent="0.25">
      <c r="A3201" s="19">
        <v>35</v>
      </c>
      <c r="B3201" s="18" t="s">
        <v>42</v>
      </c>
      <c r="C3201" s="18" t="s">
        <v>97</v>
      </c>
      <c r="D3201" s="18" t="s">
        <v>3412</v>
      </c>
      <c r="E3201" s="18" t="s">
        <v>3750</v>
      </c>
      <c r="F3201" s="101">
        <v>46290.923611111109</v>
      </c>
      <c r="G3201" s="101">
        <v>46292.07916666667</v>
      </c>
      <c r="H3201" s="18" t="s">
        <v>507</v>
      </c>
      <c r="I3201" s="18" t="s">
        <v>508</v>
      </c>
      <c r="J3201" s="18"/>
      <c r="K3201" s="21">
        <f t="shared" si="147"/>
        <v>27.733333333453629</v>
      </c>
      <c r="L3201" s="19">
        <f t="shared" si="148"/>
        <v>356</v>
      </c>
      <c r="M3201" s="18" t="str">
        <f>IF(I3201&lt;&gt;"Sí","",IF(YEAR(F3201)&lt;&gt;2026,"",INDEX({"Enero","Febrero","Marzo","Abril","Mayo","Junio","Julio","Agosto","Septiembre","Octubre","Noviembre","Diciembre"},MONTH(F3201))))</f>
        <v>Septiembre</v>
      </c>
      <c r="N3201" s="18" t="str">
        <f t="shared" si="149"/>
        <v>Septiembre|356</v>
      </c>
    </row>
    <row r="3202" spans="1:14" ht="14.5" x14ac:dyDescent="0.25">
      <c r="A3202" s="19">
        <v>35</v>
      </c>
      <c r="B3202" s="18" t="s">
        <v>42</v>
      </c>
      <c r="C3202" s="18" t="s">
        <v>97</v>
      </c>
      <c r="D3202" s="18" t="s">
        <v>3412</v>
      </c>
      <c r="E3202" s="18" t="s">
        <v>3751</v>
      </c>
      <c r="F3202" s="101">
        <v>46290.923611111109</v>
      </c>
      <c r="G3202" s="101">
        <v>46292.559027777781</v>
      </c>
      <c r="H3202" s="18" t="s">
        <v>507</v>
      </c>
      <c r="I3202" s="18" t="s">
        <v>508</v>
      </c>
      <c r="J3202" s="18"/>
      <c r="K3202" s="21">
        <f t="shared" si="147"/>
        <v>39.250000000116415</v>
      </c>
      <c r="L3202" s="19">
        <f t="shared" si="148"/>
        <v>356</v>
      </c>
      <c r="M3202" s="18" t="str">
        <f>IF(I3202&lt;&gt;"Sí","",IF(YEAR(F3202)&lt;&gt;2026,"",INDEX({"Enero","Febrero","Marzo","Abril","Mayo","Junio","Julio","Agosto","Septiembre","Octubre","Noviembre","Diciembre"},MONTH(F3202))))</f>
        <v>Septiembre</v>
      </c>
      <c r="N3202" s="18" t="str">
        <f t="shared" si="149"/>
        <v>Septiembre|356</v>
      </c>
    </row>
    <row r="3203" spans="1:14" ht="14.5" x14ac:dyDescent="0.25">
      <c r="A3203" s="19">
        <v>35</v>
      </c>
      <c r="B3203" s="18" t="s">
        <v>42</v>
      </c>
      <c r="C3203" s="18" t="s">
        <v>97</v>
      </c>
      <c r="D3203" s="18" t="s">
        <v>3412</v>
      </c>
      <c r="E3203" s="18" t="s">
        <v>3752</v>
      </c>
      <c r="F3203" s="101">
        <v>46290.928472222222</v>
      </c>
      <c r="G3203" s="101">
        <v>46292.89166666667</v>
      </c>
      <c r="H3203" s="18" t="s">
        <v>507</v>
      </c>
      <c r="I3203" s="18" t="s">
        <v>508</v>
      </c>
      <c r="J3203" s="18"/>
      <c r="K3203" s="21">
        <f t="shared" si="147"/>
        <v>47.116666666755918</v>
      </c>
      <c r="L3203" s="19">
        <f t="shared" si="148"/>
        <v>374</v>
      </c>
      <c r="M3203" s="18" t="str">
        <f>IF(I3203&lt;&gt;"Sí","",IF(YEAR(F3203)&lt;&gt;2026,"",INDEX({"Enero","Febrero","Marzo","Abril","Mayo","Junio","Julio","Agosto","Septiembre","Octubre","Noviembre","Diciembre"},MONTH(F3203))))</f>
        <v>Septiembre</v>
      </c>
      <c r="N3203" s="18" t="str">
        <f t="shared" si="149"/>
        <v>Septiembre|374</v>
      </c>
    </row>
    <row r="3204" spans="1:14" ht="14.5" x14ac:dyDescent="0.25">
      <c r="A3204" s="19">
        <v>35</v>
      </c>
      <c r="B3204" s="18" t="s">
        <v>42</v>
      </c>
      <c r="C3204" s="18" t="s">
        <v>97</v>
      </c>
      <c r="D3204" s="18" t="s">
        <v>3412</v>
      </c>
      <c r="E3204" s="18" t="s">
        <v>3753</v>
      </c>
      <c r="F3204" s="101">
        <v>46290.928472222222</v>
      </c>
      <c r="G3204" s="101">
        <v>46292.89166666667</v>
      </c>
      <c r="H3204" s="18" t="s">
        <v>507</v>
      </c>
      <c r="I3204" s="18" t="s">
        <v>508</v>
      </c>
      <c r="J3204" s="18"/>
      <c r="K3204" s="21">
        <f t="shared" si="147"/>
        <v>47.116666666755918</v>
      </c>
      <c r="L3204" s="19">
        <f t="shared" si="148"/>
        <v>374</v>
      </c>
      <c r="M3204" s="18" t="str">
        <f>IF(I3204&lt;&gt;"Sí","",IF(YEAR(F3204)&lt;&gt;2026,"",INDEX({"Enero","Febrero","Marzo","Abril","Mayo","Junio","Julio","Agosto","Septiembre","Octubre","Noviembre","Diciembre"},MONTH(F3204))))</f>
        <v>Septiembre</v>
      </c>
      <c r="N3204" s="18" t="str">
        <f t="shared" si="149"/>
        <v>Septiembre|374</v>
      </c>
    </row>
    <row r="3205" spans="1:14" ht="14.5" x14ac:dyDescent="0.25">
      <c r="A3205" s="19">
        <v>35</v>
      </c>
      <c r="B3205" s="18" t="s">
        <v>42</v>
      </c>
      <c r="C3205" s="18" t="s">
        <v>97</v>
      </c>
      <c r="D3205" s="18" t="s">
        <v>3412</v>
      </c>
      <c r="E3205" s="18" t="s">
        <v>3754</v>
      </c>
      <c r="F3205" s="101">
        <v>46290.928472222222</v>
      </c>
      <c r="G3205" s="101">
        <v>46292.89166666667</v>
      </c>
      <c r="H3205" s="18" t="s">
        <v>507</v>
      </c>
      <c r="I3205" s="18" t="s">
        <v>508</v>
      </c>
      <c r="J3205" s="18"/>
      <c r="K3205" s="21">
        <f t="shared" si="147"/>
        <v>47.116666666755918</v>
      </c>
      <c r="L3205" s="19">
        <f t="shared" si="148"/>
        <v>374</v>
      </c>
      <c r="M3205" s="18" t="str">
        <f>IF(I3205&lt;&gt;"Sí","",IF(YEAR(F3205)&lt;&gt;2026,"",INDEX({"Enero","Febrero","Marzo","Abril","Mayo","Junio","Julio","Agosto","Septiembre","Octubre","Noviembre","Diciembre"},MONTH(F3205))))</f>
        <v>Septiembre</v>
      </c>
      <c r="N3205" s="18" t="str">
        <f t="shared" si="149"/>
        <v>Septiembre|374</v>
      </c>
    </row>
    <row r="3206" spans="1:14" ht="14.5" x14ac:dyDescent="0.25">
      <c r="A3206" s="19">
        <v>35</v>
      </c>
      <c r="B3206" s="18" t="s">
        <v>42</v>
      </c>
      <c r="C3206" s="18" t="s">
        <v>97</v>
      </c>
      <c r="D3206" s="18" t="s">
        <v>3412</v>
      </c>
      <c r="E3206" s="18" t="s">
        <v>3755</v>
      </c>
      <c r="F3206" s="101">
        <v>46290.928472222222</v>
      </c>
      <c r="G3206" s="101">
        <v>46292.89166666667</v>
      </c>
      <c r="H3206" s="18" t="s">
        <v>507</v>
      </c>
      <c r="I3206" s="18" t="s">
        <v>508</v>
      </c>
      <c r="J3206" s="18"/>
      <c r="K3206" s="21">
        <f t="shared" si="147"/>
        <v>47.116666666755918</v>
      </c>
      <c r="L3206" s="19">
        <f t="shared" si="148"/>
        <v>374</v>
      </c>
      <c r="M3206" s="18" t="str">
        <f>IF(I3206&lt;&gt;"Sí","",IF(YEAR(F3206)&lt;&gt;2026,"",INDEX({"Enero","Febrero","Marzo","Abril","Mayo","Junio","Julio","Agosto","Septiembre","Octubre","Noviembre","Diciembre"},MONTH(F3206))))</f>
        <v>Septiembre</v>
      </c>
      <c r="N3206" s="18" t="str">
        <f t="shared" si="149"/>
        <v>Septiembre|374</v>
      </c>
    </row>
    <row r="3207" spans="1:14" ht="14.5" x14ac:dyDescent="0.25">
      <c r="A3207" s="19">
        <v>35</v>
      </c>
      <c r="B3207" s="18" t="s">
        <v>42</v>
      </c>
      <c r="C3207" s="18" t="s">
        <v>97</v>
      </c>
      <c r="D3207" s="18" t="s">
        <v>3412</v>
      </c>
      <c r="E3207" s="18" t="s">
        <v>3756</v>
      </c>
      <c r="F3207" s="101">
        <v>46290.928472222222</v>
      </c>
      <c r="G3207" s="101">
        <v>46292.89166666667</v>
      </c>
      <c r="H3207" s="18" t="s">
        <v>507</v>
      </c>
      <c r="I3207" s="18" t="s">
        <v>508</v>
      </c>
      <c r="J3207" s="18"/>
      <c r="K3207" s="21">
        <f t="shared" ref="K3207:K3270" si="150">IF(I3207="Sí",(G3207-F3207)*24,"")</f>
        <v>47.116666666755918</v>
      </c>
      <c r="L3207" s="19">
        <f t="shared" ref="L3207:L3270" si="151">IF(I3207="Sí",COUNTIFS($F$7:$F$4000,"&lt;="&amp;F3207,$G$7:$G$4000,"&gt;"&amp;F3207,$I$7:$I$4000,"Sí"),"")</f>
        <v>374</v>
      </c>
      <c r="M3207" s="18" t="str">
        <f>IF(I3207&lt;&gt;"Sí","",IF(YEAR(F3207)&lt;&gt;2026,"",INDEX({"Enero","Febrero","Marzo","Abril","Mayo","Junio","Julio","Agosto","Septiembre","Octubre","Noviembre","Diciembre"},MONTH(F3207))))</f>
        <v>Septiembre</v>
      </c>
      <c r="N3207" s="18" t="str">
        <f t="shared" ref="N3207:N3270" si="152">IF(M3207="","",M3207&amp;"|"&amp;L3207)</f>
        <v>Septiembre|374</v>
      </c>
    </row>
    <row r="3208" spans="1:14" ht="14.5" x14ac:dyDescent="0.25">
      <c r="A3208" s="19">
        <v>35</v>
      </c>
      <c r="B3208" s="18" t="s">
        <v>42</v>
      </c>
      <c r="C3208" s="18" t="s">
        <v>97</v>
      </c>
      <c r="D3208" s="18" t="s">
        <v>3412</v>
      </c>
      <c r="E3208" s="18" t="s">
        <v>3757</v>
      </c>
      <c r="F3208" s="101">
        <v>46290.928472222222</v>
      </c>
      <c r="G3208" s="101">
        <v>46292.89166666667</v>
      </c>
      <c r="H3208" s="18" t="s">
        <v>507</v>
      </c>
      <c r="I3208" s="18" t="s">
        <v>508</v>
      </c>
      <c r="J3208" s="18"/>
      <c r="K3208" s="21">
        <f t="shared" si="150"/>
        <v>47.116666666755918</v>
      </c>
      <c r="L3208" s="19">
        <f t="shared" si="151"/>
        <v>374</v>
      </c>
      <c r="M3208" s="18" t="str">
        <f>IF(I3208&lt;&gt;"Sí","",IF(YEAR(F3208)&lt;&gt;2026,"",INDEX({"Enero","Febrero","Marzo","Abril","Mayo","Junio","Julio","Agosto","Septiembre","Octubre","Noviembre","Diciembre"},MONTH(F3208))))</f>
        <v>Septiembre</v>
      </c>
      <c r="N3208" s="18" t="str">
        <f t="shared" si="152"/>
        <v>Septiembre|374</v>
      </c>
    </row>
    <row r="3209" spans="1:14" ht="14.5" x14ac:dyDescent="0.25">
      <c r="A3209" s="19">
        <v>35</v>
      </c>
      <c r="B3209" s="18" t="s">
        <v>42</v>
      </c>
      <c r="C3209" s="18" t="s">
        <v>97</v>
      </c>
      <c r="D3209" s="18" t="s">
        <v>3412</v>
      </c>
      <c r="E3209" s="18" t="s">
        <v>3758</v>
      </c>
      <c r="F3209" s="101">
        <v>46290.928472222222</v>
      </c>
      <c r="G3209" s="101">
        <v>46292.89166666667</v>
      </c>
      <c r="H3209" s="18" t="s">
        <v>507</v>
      </c>
      <c r="I3209" s="18" t="s">
        <v>508</v>
      </c>
      <c r="J3209" s="18"/>
      <c r="K3209" s="21">
        <f t="shared" si="150"/>
        <v>47.116666666755918</v>
      </c>
      <c r="L3209" s="19">
        <f t="shared" si="151"/>
        <v>374</v>
      </c>
      <c r="M3209" s="18" t="str">
        <f>IF(I3209&lt;&gt;"Sí","",IF(YEAR(F3209)&lt;&gt;2026,"",INDEX({"Enero","Febrero","Marzo","Abril","Mayo","Junio","Julio","Agosto","Septiembre","Octubre","Noviembre","Diciembre"},MONTH(F3209))))</f>
        <v>Septiembre</v>
      </c>
      <c r="N3209" s="18" t="str">
        <f t="shared" si="152"/>
        <v>Septiembre|374</v>
      </c>
    </row>
    <row r="3210" spans="1:14" ht="14.5" x14ac:dyDescent="0.25">
      <c r="A3210" s="19">
        <v>35</v>
      </c>
      <c r="B3210" s="18" t="s">
        <v>42</v>
      </c>
      <c r="C3210" s="18" t="s">
        <v>97</v>
      </c>
      <c r="D3210" s="18" t="s">
        <v>3412</v>
      </c>
      <c r="E3210" s="18" t="s">
        <v>3759</v>
      </c>
      <c r="F3210" s="101">
        <v>46290.928472222222</v>
      </c>
      <c r="G3210" s="101">
        <v>46292.89166666667</v>
      </c>
      <c r="H3210" s="18" t="s">
        <v>507</v>
      </c>
      <c r="I3210" s="18" t="s">
        <v>508</v>
      </c>
      <c r="J3210" s="18"/>
      <c r="K3210" s="21">
        <f t="shared" si="150"/>
        <v>47.116666666755918</v>
      </c>
      <c r="L3210" s="19">
        <f t="shared" si="151"/>
        <v>374</v>
      </c>
      <c r="M3210" s="18" t="str">
        <f>IF(I3210&lt;&gt;"Sí","",IF(YEAR(F3210)&lt;&gt;2026,"",INDEX({"Enero","Febrero","Marzo","Abril","Mayo","Junio","Julio","Agosto","Septiembre","Octubre","Noviembre","Diciembre"},MONTH(F3210))))</f>
        <v>Septiembre</v>
      </c>
      <c r="N3210" s="18" t="str">
        <f t="shared" si="152"/>
        <v>Septiembre|374</v>
      </c>
    </row>
    <row r="3211" spans="1:14" ht="14.5" x14ac:dyDescent="0.25">
      <c r="A3211" s="19">
        <v>35</v>
      </c>
      <c r="B3211" s="18" t="s">
        <v>42</v>
      </c>
      <c r="C3211" s="18" t="s">
        <v>97</v>
      </c>
      <c r="D3211" s="18" t="s">
        <v>3412</v>
      </c>
      <c r="E3211" s="18" t="s">
        <v>3760</v>
      </c>
      <c r="F3211" s="101">
        <v>46290.928472222222</v>
      </c>
      <c r="G3211" s="101">
        <v>46292.89166666667</v>
      </c>
      <c r="H3211" s="18" t="s">
        <v>507</v>
      </c>
      <c r="I3211" s="18" t="s">
        <v>508</v>
      </c>
      <c r="J3211" s="18"/>
      <c r="K3211" s="21">
        <f t="shared" si="150"/>
        <v>47.116666666755918</v>
      </c>
      <c r="L3211" s="19">
        <f t="shared" si="151"/>
        <v>374</v>
      </c>
      <c r="M3211" s="18" t="str">
        <f>IF(I3211&lt;&gt;"Sí","",IF(YEAR(F3211)&lt;&gt;2026,"",INDEX({"Enero","Febrero","Marzo","Abril","Mayo","Junio","Julio","Agosto","Septiembre","Octubre","Noviembre","Diciembre"},MONTH(F3211))))</f>
        <v>Septiembre</v>
      </c>
      <c r="N3211" s="18" t="str">
        <f t="shared" si="152"/>
        <v>Septiembre|374</v>
      </c>
    </row>
    <row r="3212" spans="1:14" ht="14.5" x14ac:dyDescent="0.25">
      <c r="A3212" s="19">
        <v>35</v>
      </c>
      <c r="B3212" s="18" t="s">
        <v>42</v>
      </c>
      <c r="C3212" s="18" t="s">
        <v>97</v>
      </c>
      <c r="D3212" s="18" t="s">
        <v>3412</v>
      </c>
      <c r="E3212" s="18" t="s">
        <v>3761</v>
      </c>
      <c r="F3212" s="101">
        <v>46290.928472222222</v>
      </c>
      <c r="G3212" s="101">
        <v>46292.89166666667</v>
      </c>
      <c r="H3212" s="18" t="s">
        <v>507</v>
      </c>
      <c r="I3212" s="18" t="s">
        <v>508</v>
      </c>
      <c r="J3212" s="18"/>
      <c r="K3212" s="21">
        <f t="shared" si="150"/>
        <v>47.116666666755918</v>
      </c>
      <c r="L3212" s="19">
        <f t="shared" si="151"/>
        <v>374</v>
      </c>
      <c r="M3212" s="18" t="str">
        <f>IF(I3212&lt;&gt;"Sí","",IF(YEAR(F3212)&lt;&gt;2026,"",INDEX({"Enero","Febrero","Marzo","Abril","Mayo","Junio","Julio","Agosto","Septiembre","Octubre","Noviembre","Diciembre"},MONTH(F3212))))</f>
        <v>Septiembre</v>
      </c>
      <c r="N3212" s="18" t="str">
        <f t="shared" si="152"/>
        <v>Septiembre|374</v>
      </c>
    </row>
    <row r="3213" spans="1:14" ht="14.5" x14ac:dyDescent="0.25">
      <c r="A3213" s="19">
        <v>35</v>
      </c>
      <c r="B3213" s="18" t="s">
        <v>42</v>
      </c>
      <c r="C3213" s="18" t="s">
        <v>97</v>
      </c>
      <c r="D3213" s="18" t="s">
        <v>3412</v>
      </c>
      <c r="E3213" s="18" t="s">
        <v>3762</v>
      </c>
      <c r="F3213" s="101">
        <v>46290.928472222222</v>
      </c>
      <c r="G3213" s="101">
        <v>46292.89166666667</v>
      </c>
      <c r="H3213" s="18" t="s">
        <v>507</v>
      </c>
      <c r="I3213" s="18" t="s">
        <v>508</v>
      </c>
      <c r="J3213" s="18"/>
      <c r="K3213" s="21">
        <f t="shared" si="150"/>
        <v>47.116666666755918</v>
      </c>
      <c r="L3213" s="19">
        <f t="shared" si="151"/>
        <v>374</v>
      </c>
      <c r="M3213" s="18" t="str">
        <f>IF(I3213&lt;&gt;"Sí","",IF(YEAR(F3213)&lt;&gt;2026,"",INDEX({"Enero","Febrero","Marzo","Abril","Mayo","Junio","Julio","Agosto","Septiembre","Octubre","Noviembre","Diciembre"},MONTH(F3213))))</f>
        <v>Septiembre</v>
      </c>
      <c r="N3213" s="18" t="str">
        <f t="shared" si="152"/>
        <v>Septiembre|374</v>
      </c>
    </row>
    <row r="3214" spans="1:14" ht="14.5" x14ac:dyDescent="0.25">
      <c r="A3214" s="19">
        <v>35</v>
      </c>
      <c r="B3214" s="18" t="s">
        <v>42</v>
      </c>
      <c r="C3214" s="18" t="s">
        <v>97</v>
      </c>
      <c r="D3214" s="18" t="s">
        <v>3412</v>
      </c>
      <c r="E3214" s="18" t="s">
        <v>3763</v>
      </c>
      <c r="F3214" s="101">
        <v>46290.928472222222</v>
      </c>
      <c r="G3214" s="101">
        <v>46292.89166666667</v>
      </c>
      <c r="H3214" s="18" t="s">
        <v>507</v>
      </c>
      <c r="I3214" s="18" t="s">
        <v>508</v>
      </c>
      <c r="J3214" s="18"/>
      <c r="K3214" s="21">
        <f t="shared" si="150"/>
        <v>47.116666666755918</v>
      </c>
      <c r="L3214" s="19">
        <f t="shared" si="151"/>
        <v>374</v>
      </c>
      <c r="M3214" s="18" t="str">
        <f>IF(I3214&lt;&gt;"Sí","",IF(YEAR(F3214)&lt;&gt;2026,"",INDEX({"Enero","Febrero","Marzo","Abril","Mayo","Junio","Julio","Agosto","Septiembre","Octubre","Noviembre","Diciembre"},MONTH(F3214))))</f>
        <v>Septiembre</v>
      </c>
      <c r="N3214" s="18" t="str">
        <f t="shared" si="152"/>
        <v>Septiembre|374</v>
      </c>
    </row>
    <row r="3215" spans="1:14" ht="14.5" x14ac:dyDescent="0.25">
      <c r="A3215" s="19">
        <v>35</v>
      </c>
      <c r="B3215" s="18" t="s">
        <v>42</v>
      </c>
      <c r="C3215" s="18" t="s">
        <v>97</v>
      </c>
      <c r="D3215" s="18" t="s">
        <v>3412</v>
      </c>
      <c r="E3215" s="18" t="s">
        <v>3764</v>
      </c>
      <c r="F3215" s="101">
        <v>46290.928472222222</v>
      </c>
      <c r="G3215" s="101">
        <v>46292.89166666667</v>
      </c>
      <c r="H3215" s="18" t="s">
        <v>507</v>
      </c>
      <c r="I3215" s="18" t="s">
        <v>508</v>
      </c>
      <c r="J3215" s="18"/>
      <c r="K3215" s="21">
        <f t="shared" si="150"/>
        <v>47.116666666755918</v>
      </c>
      <c r="L3215" s="19">
        <f t="shared" si="151"/>
        <v>374</v>
      </c>
      <c r="M3215" s="18" t="str">
        <f>IF(I3215&lt;&gt;"Sí","",IF(YEAR(F3215)&lt;&gt;2026,"",INDEX({"Enero","Febrero","Marzo","Abril","Mayo","Junio","Julio","Agosto","Septiembre","Octubre","Noviembre","Diciembre"},MONTH(F3215))))</f>
        <v>Septiembre</v>
      </c>
      <c r="N3215" s="18" t="str">
        <f t="shared" si="152"/>
        <v>Septiembre|374</v>
      </c>
    </row>
    <row r="3216" spans="1:14" ht="14.5" x14ac:dyDescent="0.25">
      <c r="A3216" s="19">
        <v>35</v>
      </c>
      <c r="B3216" s="18" t="s">
        <v>42</v>
      </c>
      <c r="C3216" s="18" t="s">
        <v>97</v>
      </c>
      <c r="D3216" s="18" t="s">
        <v>3412</v>
      </c>
      <c r="E3216" s="18" t="s">
        <v>3765</v>
      </c>
      <c r="F3216" s="101">
        <v>46290.928472222222</v>
      </c>
      <c r="G3216" s="101">
        <v>46292.89166666667</v>
      </c>
      <c r="H3216" s="18" t="s">
        <v>507</v>
      </c>
      <c r="I3216" s="18" t="s">
        <v>508</v>
      </c>
      <c r="J3216" s="18"/>
      <c r="K3216" s="21">
        <f t="shared" si="150"/>
        <v>47.116666666755918</v>
      </c>
      <c r="L3216" s="19">
        <f t="shared" si="151"/>
        <v>374</v>
      </c>
      <c r="M3216" s="18" t="str">
        <f>IF(I3216&lt;&gt;"Sí","",IF(YEAR(F3216)&lt;&gt;2026,"",INDEX({"Enero","Febrero","Marzo","Abril","Mayo","Junio","Julio","Agosto","Septiembre","Octubre","Noviembre","Diciembre"},MONTH(F3216))))</f>
        <v>Septiembre</v>
      </c>
      <c r="N3216" s="18" t="str">
        <f t="shared" si="152"/>
        <v>Septiembre|374</v>
      </c>
    </row>
    <row r="3217" spans="1:14" ht="14.5" x14ac:dyDescent="0.25">
      <c r="A3217" s="19">
        <v>35</v>
      </c>
      <c r="B3217" s="18" t="s">
        <v>42</v>
      </c>
      <c r="C3217" s="18" t="s">
        <v>97</v>
      </c>
      <c r="D3217" s="18" t="s">
        <v>3412</v>
      </c>
      <c r="E3217" s="18" t="s">
        <v>3766</v>
      </c>
      <c r="F3217" s="101">
        <v>46290.928472222222</v>
      </c>
      <c r="G3217" s="101">
        <v>46292.89166666667</v>
      </c>
      <c r="H3217" s="18" t="s">
        <v>507</v>
      </c>
      <c r="I3217" s="18" t="s">
        <v>508</v>
      </c>
      <c r="J3217" s="18"/>
      <c r="K3217" s="21">
        <f t="shared" si="150"/>
        <v>47.116666666755918</v>
      </c>
      <c r="L3217" s="19">
        <f t="shared" si="151"/>
        <v>374</v>
      </c>
      <c r="M3217" s="18" t="str">
        <f>IF(I3217&lt;&gt;"Sí","",IF(YEAR(F3217)&lt;&gt;2026,"",INDEX({"Enero","Febrero","Marzo","Abril","Mayo","Junio","Julio","Agosto","Septiembre","Octubre","Noviembre","Diciembre"},MONTH(F3217))))</f>
        <v>Septiembre</v>
      </c>
      <c r="N3217" s="18" t="str">
        <f t="shared" si="152"/>
        <v>Septiembre|374</v>
      </c>
    </row>
    <row r="3218" spans="1:14" ht="14.5" x14ac:dyDescent="0.25">
      <c r="A3218" s="19">
        <v>35</v>
      </c>
      <c r="B3218" s="18" t="s">
        <v>42</v>
      </c>
      <c r="C3218" s="18" t="s">
        <v>97</v>
      </c>
      <c r="D3218" s="18" t="s">
        <v>3412</v>
      </c>
      <c r="E3218" s="18" t="s">
        <v>3767</v>
      </c>
      <c r="F3218" s="101">
        <v>46290.928472222222</v>
      </c>
      <c r="G3218" s="101">
        <v>46292.89166666667</v>
      </c>
      <c r="H3218" s="18" t="s">
        <v>507</v>
      </c>
      <c r="I3218" s="18" t="s">
        <v>508</v>
      </c>
      <c r="J3218" s="18"/>
      <c r="K3218" s="21">
        <f t="shared" si="150"/>
        <v>47.116666666755918</v>
      </c>
      <c r="L3218" s="19">
        <f t="shared" si="151"/>
        <v>374</v>
      </c>
      <c r="M3218" s="18" t="str">
        <f>IF(I3218&lt;&gt;"Sí","",IF(YEAR(F3218)&lt;&gt;2026,"",INDEX({"Enero","Febrero","Marzo","Abril","Mayo","Junio","Julio","Agosto","Septiembre","Octubre","Noviembre","Diciembre"},MONTH(F3218))))</f>
        <v>Septiembre</v>
      </c>
      <c r="N3218" s="18" t="str">
        <f t="shared" si="152"/>
        <v>Septiembre|374</v>
      </c>
    </row>
    <row r="3219" spans="1:14" ht="14.5" x14ac:dyDescent="0.25">
      <c r="A3219" s="19">
        <v>35</v>
      </c>
      <c r="B3219" s="18" t="s">
        <v>42</v>
      </c>
      <c r="C3219" s="18" t="s">
        <v>97</v>
      </c>
      <c r="D3219" s="18" t="s">
        <v>3412</v>
      </c>
      <c r="E3219" s="18" t="s">
        <v>3768</v>
      </c>
      <c r="F3219" s="101">
        <v>46290.928472222222</v>
      </c>
      <c r="G3219" s="101">
        <v>46292.89166666667</v>
      </c>
      <c r="H3219" s="18" t="s">
        <v>507</v>
      </c>
      <c r="I3219" s="18" t="s">
        <v>508</v>
      </c>
      <c r="J3219" s="18"/>
      <c r="K3219" s="21">
        <f t="shared" si="150"/>
        <v>47.116666666755918</v>
      </c>
      <c r="L3219" s="19">
        <f t="shared" si="151"/>
        <v>374</v>
      </c>
      <c r="M3219" s="18" t="str">
        <f>IF(I3219&lt;&gt;"Sí","",IF(YEAR(F3219)&lt;&gt;2026,"",INDEX({"Enero","Febrero","Marzo","Abril","Mayo","Junio","Julio","Agosto","Septiembre","Octubre","Noviembre","Diciembre"},MONTH(F3219))))</f>
        <v>Septiembre</v>
      </c>
      <c r="N3219" s="18" t="str">
        <f t="shared" si="152"/>
        <v>Septiembre|374</v>
      </c>
    </row>
    <row r="3220" spans="1:14" ht="14.5" x14ac:dyDescent="0.25">
      <c r="A3220" s="19">
        <v>35</v>
      </c>
      <c r="B3220" s="18" t="s">
        <v>42</v>
      </c>
      <c r="C3220" s="18" t="s">
        <v>97</v>
      </c>
      <c r="D3220" s="18" t="s">
        <v>3412</v>
      </c>
      <c r="E3220" s="18" t="s">
        <v>3769</v>
      </c>
      <c r="F3220" s="101">
        <v>46290.928472222222</v>
      </c>
      <c r="G3220" s="101">
        <v>46292.89166666667</v>
      </c>
      <c r="H3220" s="18" t="s">
        <v>507</v>
      </c>
      <c r="I3220" s="18" t="s">
        <v>508</v>
      </c>
      <c r="J3220" s="18"/>
      <c r="K3220" s="21">
        <f t="shared" si="150"/>
        <v>47.116666666755918</v>
      </c>
      <c r="L3220" s="19">
        <f t="shared" si="151"/>
        <v>374</v>
      </c>
      <c r="M3220" s="18" t="str">
        <f>IF(I3220&lt;&gt;"Sí","",IF(YEAR(F3220)&lt;&gt;2026,"",INDEX({"Enero","Febrero","Marzo","Abril","Mayo","Junio","Julio","Agosto","Septiembre","Octubre","Noviembre","Diciembre"},MONTH(F3220))))</f>
        <v>Septiembre</v>
      </c>
      <c r="N3220" s="18" t="str">
        <f t="shared" si="152"/>
        <v>Septiembre|374</v>
      </c>
    </row>
    <row r="3221" spans="1:14" ht="14.5" x14ac:dyDescent="0.25">
      <c r="A3221" s="19">
        <v>35</v>
      </c>
      <c r="B3221" s="18" t="s">
        <v>42</v>
      </c>
      <c r="C3221" s="18" t="s">
        <v>97</v>
      </c>
      <c r="D3221" s="18" t="s">
        <v>3412</v>
      </c>
      <c r="E3221" s="18" t="s">
        <v>3770</v>
      </c>
      <c r="F3221" s="101">
        <v>46290.9375</v>
      </c>
      <c r="G3221" s="101">
        <v>46292.8125</v>
      </c>
      <c r="H3221" s="18" t="s">
        <v>507</v>
      </c>
      <c r="I3221" s="18" t="s">
        <v>508</v>
      </c>
      <c r="J3221" s="18"/>
      <c r="K3221" s="21">
        <f t="shared" si="150"/>
        <v>45</v>
      </c>
      <c r="L3221" s="19">
        <f t="shared" si="151"/>
        <v>400</v>
      </c>
      <c r="M3221" s="18" t="str">
        <f>IF(I3221&lt;&gt;"Sí","",IF(YEAR(F3221)&lt;&gt;2026,"",INDEX({"Enero","Febrero","Marzo","Abril","Mayo","Junio","Julio","Agosto","Septiembre","Octubre","Noviembre","Diciembre"},MONTH(F3221))))</f>
        <v>Septiembre</v>
      </c>
      <c r="N3221" s="18" t="str">
        <f t="shared" si="152"/>
        <v>Septiembre|400</v>
      </c>
    </row>
    <row r="3222" spans="1:14" ht="14.5" x14ac:dyDescent="0.25">
      <c r="A3222" s="19">
        <v>35</v>
      </c>
      <c r="B3222" s="18" t="s">
        <v>42</v>
      </c>
      <c r="C3222" s="18" t="s">
        <v>97</v>
      </c>
      <c r="D3222" s="18" t="s">
        <v>3412</v>
      </c>
      <c r="E3222" s="18" t="s">
        <v>3771</v>
      </c>
      <c r="F3222" s="101">
        <v>46290.9375</v>
      </c>
      <c r="G3222" s="101">
        <v>46292.767361111109</v>
      </c>
      <c r="H3222" s="18" t="s">
        <v>507</v>
      </c>
      <c r="I3222" s="18" t="s">
        <v>508</v>
      </c>
      <c r="J3222" s="18"/>
      <c r="K3222" s="21">
        <f t="shared" si="150"/>
        <v>43.916666666627862</v>
      </c>
      <c r="L3222" s="19">
        <f t="shared" si="151"/>
        <v>400</v>
      </c>
      <c r="M3222" s="18" t="str">
        <f>IF(I3222&lt;&gt;"Sí","",IF(YEAR(F3222)&lt;&gt;2026,"",INDEX({"Enero","Febrero","Marzo","Abril","Mayo","Junio","Julio","Agosto","Septiembre","Octubre","Noviembre","Diciembre"},MONTH(F3222))))</f>
        <v>Septiembre</v>
      </c>
      <c r="N3222" s="18" t="str">
        <f t="shared" si="152"/>
        <v>Septiembre|400</v>
      </c>
    </row>
    <row r="3223" spans="1:14" ht="14.5" x14ac:dyDescent="0.25">
      <c r="A3223" s="19">
        <v>35</v>
      </c>
      <c r="B3223" s="18" t="s">
        <v>42</v>
      </c>
      <c r="C3223" s="18" t="s">
        <v>97</v>
      </c>
      <c r="D3223" s="18" t="s">
        <v>3412</v>
      </c>
      <c r="E3223" s="18" t="s">
        <v>3772</v>
      </c>
      <c r="F3223" s="101">
        <v>46290.9375</v>
      </c>
      <c r="G3223" s="101">
        <v>46292.767361111109</v>
      </c>
      <c r="H3223" s="18" t="s">
        <v>507</v>
      </c>
      <c r="I3223" s="18" t="s">
        <v>508</v>
      </c>
      <c r="J3223" s="18"/>
      <c r="K3223" s="21">
        <f t="shared" si="150"/>
        <v>43.916666666627862</v>
      </c>
      <c r="L3223" s="19">
        <f t="shared" si="151"/>
        <v>400</v>
      </c>
      <c r="M3223" s="18" t="str">
        <f>IF(I3223&lt;&gt;"Sí","",IF(YEAR(F3223)&lt;&gt;2026,"",INDEX({"Enero","Febrero","Marzo","Abril","Mayo","Junio","Julio","Agosto","Septiembre","Octubre","Noviembre","Diciembre"},MONTH(F3223))))</f>
        <v>Septiembre</v>
      </c>
      <c r="N3223" s="18" t="str">
        <f t="shared" si="152"/>
        <v>Septiembre|400</v>
      </c>
    </row>
    <row r="3224" spans="1:14" ht="14.5" x14ac:dyDescent="0.25">
      <c r="A3224" s="19">
        <v>35</v>
      </c>
      <c r="B3224" s="18" t="s">
        <v>42</v>
      </c>
      <c r="C3224" s="18" t="s">
        <v>97</v>
      </c>
      <c r="D3224" s="18" t="s">
        <v>3412</v>
      </c>
      <c r="E3224" s="18" t="s">
        <v>3773</v>
      </c>
      <c r="F3224" s="101">
        <v>46290.9375</v>
      </c>
      <c r="G3224" s="101">
        <v>46292.767361111109</v>
      </c>
      <c r="H3224" s="18" t="s">
        <v>507</v>
      </c>
      <c r="I3224" s="18" t="s">
        <v>508</v>
      </c>
      <c r="J3224" s="18"/>
      <c r="K3224" s="21">
        <f t="shared" si="150"/>
        <v>43.916666666627862</v>
      </c>
      <c r="L3224" s="19">
        <f t="shared" si="151"/>
        <v>400</v>
      </c>
      <c r="M3224" s="18" t="str">
        <f>IF(I3224&lt;&gt;"Sí","",IF(YEAR(F3224)&lt;&gt;2026,"",INDEX({"Enero","Febrero","Marzo","Abril","Mayo","Junio","Julio","Agosto","Septiembre","Octubre","Noviembre","Diciembre"},MONTH(F3224))))</f>
        <v>Septiembre</v>
      </c>
      <c r="N3224" s="18" t="str">
        <f t="shared" si="152"/>
        <v>Septiembre|400</v>
      </c>
    </row>
    <row r="3225" spans="1:14" ht="14.5" x14ac:dyDescent="0.25">
      <c r="A3225" s="19">
        <v>35</v>
      </c>
      <c r="B3225" s="18" t="s">
        <v>42</v>
      </c>
      <c r="C3225" s="18" t="s">
        <v>97</v>
      </c>
      <c r="D3225" s="18" t="s">
        <v>3412</v>
      </c>
      <c r="E3225" s="18" t="s">
        <v>3774</v>
      </c>
      <c r="F3225" s="101">
        <v>46290.9375</v>
      </c>
      <c r="G3225" s="101">
        <v>46292.767361111109</v>
      </c>
      <c r="H3225" s="18" t="s">
        <v>507</v>
      </c>
      <c r="I3225" s="18" t="s">
        <v>508</v>
      </c>
      <c r="J3225" s="18"/>
      <c r="K3225" s="21">
        <f t="shared" si="150"/>
        <v>43.916666666627862</v>
      </c>
      <c r="L3225" s="19">
        <f t="shared" si="151"/>
        <v>400</v>
      </c>
      <c r="M3225" s="18" t="str">
        <f>IF(I3225&lt;&gt;"Sí","",IF(YEAR(F3225)&lt;&gt;2026,"",INDEX({"Enero","Febrero","Marzo","Abril","Mayo","Junio","Julio","Agosto","Septiembre","Octubre","Noviembre","Diciembre"},MONTH(F3225))))</f>
        <v>Septiembre</v>
      </c>
      <c r="N3225" s="18" t="str">
        <f t="shared" si="152"/>
        <v>Septiembre|400</v>
      </c>
    </row>
    <row r="3226" spans="1:14" ht="14.5" x14ac:dyDescent="0.25">
      <c r="A3226" s="19">
        <v>35</v>
      </c>
      <c r="B3226" s="18" t="s">
        <v>42</v>
      </c>
      <c r="C3226" s="18" t="s">
        <v>97</v>
      </c>
      <c r="D3226" s="18" t="s">
        <v>3412</v>
      </c>
      <c r="E3226" s="18" t="s">
        <v>3775</v>
      </c>
      <c r="F3226" s="101">
        <v>46290.9375</v>
      </c>
      <c r="G3226" s="101">
        <v>46292.767361111109</v>
      </c>
      <c r="H3226" s="18" t="s">
        <v>507</v>
      </c>
      <c r="I3226" s="18" t="s">
        <v>508</v>
      </c>
      <c r="J3226" s="18"/>
      <c r="K3226" s="21">
        <f t="shared" si="150"/>
        <v>43.916666666627862</v>
      </c>
      <c r="L3226" s="19">
        <f t="shared" si="151"/>
        <v>400</v>
      </c>
      <c r="M3226" s="18" t="str">
        <f>IF(I3226&lt;&gt;"Sí","",IF(YEAR(F3226)&lt;&gt;2026,"",INDEX({"Enero","Febrero","Marzo","Abril","Mayo","Junio","Julio","Agosto","Septiembre","Octubre","Noviembre","Diciembre"},MONTH(F3226))))</f>
        <v>Septiembre</v>
      </c>
      <c r="N3226" s="18" t="str">
        <f t="shared" si="152"/>
        <v>Septiembre|400</v>
      </c>
    </row>
    <row r="3227" spans="1:14" ht="14.5" x14ac:dyDescent="0.25">
      <c r="A3227" s="19">
        <v>35</v>
      </c>
      <c r="B3227" s="18" t="s">
        <v>42</v>
      </c>
      <c r="C3227" s="18" t="s">
        <v>97</v>
      </c>
      <c r="D3227" s="18" t="s">
        <v>3412</v>
      </c>
      <c r="E3227" s="18" t="s">
        <v>3776</v>
      </c>
      <c r="F3227" s="101">
        <v>46290.9375</v>
      </c>
      <c r="G3227" s="101">
        <v>46292.767361111109</v>
      </c>
      <c r="H3227" s="18" t="s">
        <v>507</v>
      </c>
      <c r="I3227" s="18" t="s">
        <v>508</v>
      </c>
      <c r="J3227" s="18"/>
      <c r="K3227" s="21">
        <f t="shared" si="150"/>
        <v>43.916666666627862</v>
      </c>
      <c r="L3227" s="19">
        <f t="shared" si="151"/>
        <v>400</v>
      </c>
      <c r="M3227" s="18" t="str">
        <f>IF(I3227&lt;&gt;"Sí","",IF(YEAR(F3227)&lt;&gt;2026,"",INDEX({"Enero","Febrero","Marzo","Abril","Mayo","Junio","Julio","Agosto","Septiembre","Octubre","Noviembre","Diciembre"},MONTH(F3227))))</f>
        <v>Septiembre</v>
      </c>
      <c r="N3227" s="18" t="str">
        <f t="shared" si="152"/>
        <v>Septiembre|400</v>
      </c>
    </row>
    <row r="3228" spans="1:14" ht="14.5" x14ac:dyDescent="0.25">
      <c r="A3228" s="19">
        <v>35</v>
      </c>
      <c r="B3228" s="18" t="s">
        <v>42</v>
      </c>
      <c r="C3228" s="18" t="s">
        <v>97</v>
      </c>
      <c r="D3228" s="18" t="s">
        <v>3412</v>
      </c>
      <c r="E3228" s="18" t="s">
        <v>3777</v>
      </c>
      <c r="F3228" s="101">
        <v>46290.9375</v>
      </c>
      <c r="G3228" s="101">
        <v>46292.767361111109</v>
      </c>
      <c r="H3228" s="18" t="s">
        <v>507</v>
      </c>
      <c r="I3228" s="18" t="s">
        <v>508</v>
      </c>
      <c r="J3228" s="18"/>
      <c r="K3228" s="21">
        <f t="shared" si="150"/>
        <v>43.916666666627862</v>
      </c>
      <c r="L3228" s="19">
        <f t="shared" si="151"/>
        <v>400</v>
      </c>
      <c r="M3228" s="18" t="str">
        <f>IF(I3228&lt;&gt;"Sí","",IF(YEAR(F3228)&lt;&gt;2026,"",INDEX({"Enero","Febrero","Marzo","Abril","Mayo","Junio","Julio","Agosto","Septiembre","Octubre","Noviembre","Diciembre"},MONTH(F3228))))</f>
        <v>Septiembre</v>
      </c>
      <c r="N3228" s="18" t="str">
        <f t="shared" si="152"/>
        <v>Septiembre|400</v>
      </c>
    </row>
    <row r="3229" spans="1:14" ht="14.5" x14ac:dyDescent="0.25">
      <c r="A3229" s="19">
        <v>35</v>
      </c>
      <c r="B3229" s="18" t="s">
        <v>42</v>
      </c>
      <c r="C3229" s="18" t="s">
        <v>97</v>
      </c>
      <c r="D3229" s="18" t="s">
        <v>3412</v>
      </c>
      <c r="E3229" s="18" t="s">
        <v>2668</v>
      </c>
      <c r="F3229" s="101">
        <v>46290.9375</v>
      </c>
      <c r="G3229" s="101">
        <v>46292.767361111109</v>
      </c>
      <c r="H3229" s="18" t="s">
        <v>507</v>
      </c>
      <c r="I3229" s="18" t="s">
        <v>508</v>
      </c>
      <c r="J3229" s="18"/>
      <c r="K3229" s="21">
        <f t="shared" si="150"/>
        <v>43.916666666627862</v>
      </c>
      <c r="L3229" s="19">
        <f t="shared" si="151"/>
        <v>400</v>
      </c>
      <c r="M3229" s="18" t="str">
        <f>IF(I3229&lt;&gt;"Sí","",IF(YEAR(F3229)&lt;&gt;2026,"",INDEX({"Enero","Febrero","Marzo","Abril","Mayo","Junio","Julio","Agosto","Septiembre","Octubre","Noviembre","Diciembre"},MONTH(F3229))))</f>
        <v>Septiembre</v>
      </c>
      <c r="N3229" s="18" t="str">
        <f t="shared" si="152"/>
        <v>Septiembre|400</v>
      </c>
    </row>
    <row r="3230" spans="1:14" ht="14.5" x14ac:dyDescent="0.25">
      <c r="A3230" s="19">
        <v>35</v>
      </c>
      <c r="B3230" s="18" t="s">
        <v>42</v>
      </c>
      <c r="C3230" s="18" t="s">
        <v>97</v>
      </c>
      <c r="D3230" s="18" t="s">
        <v>3412</v>
      </c>
      <c r="E3230" s="18" t="s">
        <v>3778</v>
      </c>
      <c r="F3230" s="101">
        <v>46290.9375</v>
      </c>
      <c r="G3230" s="101">
        <v>46292.767361111109</v>
      </c>
      <c r="H3230" s="18" t="s">
        <v>507</v>
      </c>
      <c r="I3230" s="18" t="s">
        <v>508</v>
      </c>
      <c r="J3230" s="18"/>
      <c r="K3230" s="21">
        <f t="shared" si="150"/>
        <v>43.916666666627862</v>
      </c>
      <c r="L3230" s="19">
        <f t="shared" si="151"/>
        <v>400</v>
      </c>
      <c r="M3230" s="18" t="str">
        <f>IF(I3230&lt;&gt;"Sí","",IF(YEAR(F3230)&lt;&gt;2026,"",INDEX({"Enero","Febrero","Marzo","Abril","Mayo","Junio","Julio","Agosto","Septiembre","Octubre","Noviembre","Diciembre"},MONTH(F3230))))</f>
        <v>Septiembre</v>
      </c>
      <c r="N3230" s="18" t="str">
        <f t="shared" si="152"/>
        <v>Septiembre|400</v>
      </c>
    </row>
    <row r="3231" spans="1:14" ht="14.5" x14ac:dyDescent="0.25">
      <c r="A3231" s="19">
        <v>35</v>
      </c>
      <c r="B3231" s="18" t="s">
        <v>42</v>
      </c>
      <c r="C3231" s="18" t="s">
        <v>97</v>
      </c>
      <c r="D3231" s="18" t="s">
        <v>3412</v>
      </c>
      <c r="E3231" s="18" t="s">
        <v>3779</v>
      </c>
      <c r="F3231" s="101">
        <v>46290.9375</v>
      </c>
      <c r="G3231" s="101">
        <v>46292.788194444445</v>
      </c>
      <c r="H3231" s="18" t="s">
        <v>507</v>
      </c>
      <c r="I3231" s="18" t="s">
        <v>508</v>
      </c>
      <c r="J3231" s="18"/>
      <c r="K3231" s="21">
        <f t="shared" si="150"/>
        <v>44.416666666686069</v>
      </c>
      <c r="L3231" s="19">
        <f t="shared" si="151"/>
        <v>400</v>
      </c>
      <c r="M3231" s="18" t="str">
        <f>IF(I3231&lt;&gt;"Sí","",IF(YEAR(F3231)&lt;&gt;2026,"",INDEX({"Enero","Febrero","Marzo","Abril","Mayo","Junio","Julio","Agosto","Septiembre","Octubre","Noviembre","Diciembre"},MONTH(F3231))))</f>
        <v>Septiembre</v>
      </c>
      <c r="N3231" s="18" t="str">
        <f t="shared" si="152"/>
        <v>Septiembre|400</v>
      </c>
    </row>
    <row r="3232" spans="1:14" ht="14.5" x14ac:dyDescent="0.25">
      <c r="A3232" s="19">
        <v>35</v>
      </c>
      <c r="B3232" s="18" t="s">
        <v>42</v>
      </c>
      <c r="C3232" s="18" t="s">
        <v>97</v>
      </c>
      <c r="D3232" s="18" t="s">
        <v>3412</v>
      </c>
      <c r="E3232" s="18" t="s">
        <v>3780</v>
      </c>
      <c r="F3232" s="101">
        <v>46290.9375</v>
      </c>
      <c r="G3232" s="101">
        <v>46292.788194444445</v>
      </c>
      <c r="H3232" s="18" t="s">
        <v>507</v>
      </c>
      <c r="I3232" s="18" t="s">
        <v>508</v>
      </c>
      <c r="J3232" s="18"/>
      <c r="K3232" s="21">
        <f t="shared" si="150"/>
        <v>44.416666666686069</v>
      </c>
      <c r="L3232" s="19">
        <f t="shared" si="151"/>
        <v>400</v>
      </c>
      <c r="M3232" s="18" t="str">
        <f>IF(I3232&lt;&gt;"Sí","",IF(YEAR(F3232)&lt;&gt;2026,"",INDEX({"Enero","Febrero","Marzo","Abril","Mayo","Junio","Julio","Agosto","Septiembre","Octubre","Noviembre","Diciembre"},MONTH(F3232))))</f>
        <v>Septiembre</v>
      </c>
      <c r="N3232" s="18" t="str">
        <f t="shared" si="152"/>
        <v>Septiembre|400</v>
      </c>
    </row>
    <row r="3233" spans="1:14" ht="14.5" x14ac:dyDescent="0.25">
      <c r="A3233" s="19">
        <v>35</v>
      </c>
      <c r="B3233" s="18" t="s">
        <v>42</v>
      </c>
      <c r="C3233" s="18" t="s">
        <v>97</v>
      </c>
      <c r="D3233" s="18" t="s">
        <v>3412</v>
      </c>
      <c r="E3233" s="18" t="s">
        <v>3781</v>
      </c>
      <c r="F3233" s="101">
        <v>46290.9375</v>
      </c>
      <c r="G3233" s="101">
        <v>46292.788194444445</v>
      </c>
      <c r="H3233" s="18" t="s">
        <v>507</v>
      </c>
      <c r="I3233" s="18" t="s">
        <v>508</v>
      </c>
      <c r="J3233" s="18"/>
      <c r="K3233" s="21">
        <f t="shared" si="150"/>
        <v>44.416666666686069</v>
      </c>
      <c r="L3233" s="19">
        <f t="shared" si="151"/>
        <v>400</v>
      </c>
      <c r="M3233" s="18" t="str">
        <f>IF(I3233&lt;&gt;"Sí","",IF(YEAR(F3233)&lt;&gt;2026,"",INDEX({"Enero","Febrero","Marzo","Abril","Mayo","Junio","Julio","Agosto","Septiembre","Octubre","Noviembre","Diciembre"},MONTH(F3233))))</f>
        <v>Septiembre</v>
      </c>
      <c r="N3233" s="18" t="str">
        <f t="shared" si="152"/>
        <v>Septiembre|400</v>
      </c>
    </row>
    <row r="3234" spans="1:14" ht="14.5" x14ac:dyDescent="0.25">
      <c r="A3234" s="19">
        <v>35</v>
      </c>
      <c r="B3234" s="18" t="s">
        <v>42</v>
      </c>
      <c r="C3234" s="18" t="s">
        <v>97</v>
      </c>
      <c r="D3234" s="18" t="s">
        <v>3412</v>
      </c>
      <c r="E3234" s="18" t="s">
        <v>3782</v>
      </c>
      <c r="F3234" s="101">
        <v>46290.9375</v>
      </c>
      <c r="G3234" s="101">
        <v>46292.788194444445</v>
      </c>
      <c r="H3234" s="18" t="s">
        <v>507</v>
      </c>
      <c r="I3234" s="18" t="s">
        <v>508</v>
      </c>
      <c r="J3234" s="18"/>
      <c r="K3234" s="21">
        <f t="shared" si="150"/>
        <v>44.416666666686069</v>
      </c>
      <c r="L3234" s="19">
        <f t="shared" si="151"/>
        <v>400</v>
      </c>
      <c r="M3234" s="18" t="str">
        <f>IF(I3234&lt;&gt;"Sí","",IF(YEAR(F3234)&lt;&gt;2026,"",INDEX({"Enero","Febrero","Marzo","Abril","Mayo","Junio","Julio","Agosto","Septiembre","Octubre","Noviembre","Diciembre"},MONTH(F3234))))</f>
        <v>Septiembre</v>
      </c>
      <c r="N3234" s="18" t="str">
        <f t="shared" si="152"/>
        <v>Septiembre|400</v>
      </c>
    </row>
    <row r="3235" spans="1:14" ht="14.5" x14ac:dyDescent="0.25">
      <c r="A3235" s="19">
        <v>35</v>
      </c>
      <c r="B3235" s="18" t="s">
        <v>42</v>
      </c>
      <c r="C3235" s="18" t="s">
        <v>97</v>
      </c>
      <c r="D3235" s="18" t="s">
        <v>3412</v>
      </c>
      <c r="E3235" s="18" t="s">
        <v>3783</v>
      </c>
      <c r="F3235" s="101">
        <v>46290.9375</v>
      </c>
      <c r="G3235" s="101">
        <v>46292.788194444445</v>
      </c>
      <c r="H3235" s="18" t="s">
        <v>507</v>
      </c>
      <c r="I3235" s="18" t="s">
        <v>508</v>
      </c>
      <c r="J3235" s="18"/>
      <c r="K3235" s="21">
        <f t="shared" si="150"/>
        <v>44.416666666686069</v>
      </c>
      <c r="L3235" s="19">
        <f t="shared" si="151"/>
        <v>400</v>
      </c>
      <c r="M3235" s="18" t="str">
        <f>IF(I3235&lt;&gt;"Sí","",IF(YEAR(F3235)&lt;&gt;2026,"",INDEX({"Enero","Febrero","Marzo","Abril","Mayo","Junio","Julio","Agosto","Septiembre","Octubre","Noviembre","Diciembre"},MONTH(F3235))))</f>
        <v>Septiembre</v>
      </c>
      <c r="N3235" s="18" t="str">
        <f t="shared" si="152"/>
        <v>Septiembre|400</v>
      </c>
    </row>
    <row r="3236" spans="1:14" ht="14.5" x14ac:dyDescent="0.25">
      <c r="A3236" s="19">
        <v>35</v>
      </c>
      <c r="B3236" s="18" t="s">
        <v>42</v>
      </c>
      <c r="C3236" s="18" t="s">
        <v>97</v>
      </c>
      <c r="D3236" s="18" t="s">
        <v>3412</v>
      </c>
      <c r="E3236" s="18" t="s">
        <v>3784</v>
      </c>
      <c r="F3236" s="101">
        <v>46290.9375</v>
      </c>
      <c r="G3236" s="101">
        <v>46292.788194444445</v>
      </c>
      <c r="H3236" s="18" t="s">
        <v>507</v>
      </c>
      <c r="I3236" s="18" t="s">
        <v>508</v>
      </c>
      <c r="J3236" s="18"/>
      <c r="K3236" s="21">
        <f t="shared" si="150"/>
        <v>44.416666666686069</v>
      </c>
      <c r="L3236" s="19">
        <f t="shared" si="151"/>
        <v>400</v>
      </c>
      <c r="M3236" s="18" t="str">
        <f>IF(I3236&lt;&gt;"Sí","",IF(YEAR(F3236)&lt;&gt;2026,"",INDEX({"Enero","Febrero","Marzo","Abril","Mayo","Junio","Julio","Agosto","Septiembre","Octubre","Noviembre","Diciembre"},MONTH(F3236))))</f>
        <v>Septiembre</v>
      </c>
      <c r="N3236" s="18" t="str">
        <f t="shared" si="152"/>
        <v>Septiembre|400</v>
      </c>
    </row>
    <row r="3237" spans="1:14" ht="14.5" x14ac:dyDescent="0.25">
      <c r="A3237" s="19">
        <v>35</v>
      </c>
      <c r="B3237" s="18" t="s">
        <v>42</v>
      </c>
      <c r="C3237" s="18" t="s">
        <v>97</v>
      </c>
      <c r="D3237" s="18" t="s">
        <v>3412</v>
      </c>
      <c r="E3237" s="18" t="s">
        <v>3785</v>
      </c>
      <c r="F3237" s="101">
        <v>46290.9375</v>
      </c>
      <c r="G3237" s="101">
        <v>46292.788194444445</v>
      </c>
      <c r="H3237" s="18" t="s">
        <v>507</v>
      </c>
      <c r="I3237" s="18" t="s">
        <v>508</v>
      </c>
      <c r="J3237" s="18"/>
      <c r="K3237" s="21">
        <f t="shared" si="150"/>
        <v>44.416666666686069</v>
      </c>
      <c r="L3237" s="19">
        <f t="shared" si="151"/>
        <v>400</v>
      </c>
      <c r="M3237" s="18" t="str">
        <f>IF(I3237&lt;&gt;"Sí","",IF(YEAR(F3237)&lt;&gt;2026,"",INDEX({"Enero","Febrero","Marzo","Abril","Mayo","Junio","Julio","Agosto","Septiembre","Octubre","Noviembre","Diciembre"},MONTH(F3237))))</f>
        <v>Septiembre</v>
      </c>
      <c r="N3237" s="18" t="str">
        <f t="shared" si="152"/>
        <v>Septiembre|400</v>
      </c>
    </row>
    <row r="3238" spans="1:14" ht="14.5" x14ac:dyDescent="0.25">
      <c r="A3238" s="19">
        <v>35</v>
      </c>
      <c r="B3238" s="18" t="s">
        <v>42</v>
      </c>
      <c r="C3238" s="18" t="s">
        <v>97</v>
      </c>
      <c r="D3238" s="18" t="s">
        <v>3412</v>
      </c>
      <c r="E3238" s="18" t="s">
        <v>3786</v>
      </c>
      <c r="F3238" s="101">
        <v>46290.9375</v>
      </c>
      <c r="G3238" s="101">
        <v>46292.788194444445</v>
      </c>
      <c r="H3238" s="18" t="s">
        <v>507</v>
      </c>
      <c r="I3238" s="18" t="s">
        <v>508</v>
      </c>
      <c r="J3238" s="18"/>
      <c r="K3238" s="21">
        <f t="shared" si="150"/>
        <v>44.416666666686069</v>
      </c>
      <c r="L3238" s="19">
        <f t="shared" si="151"/>
        <v>400</v>
      </c>
      <c r="M3238" s="18" t="str">
        <f>IF(I3238&lt;&gt;"Sí","",IF(YEAR(F3238)&lt;&gt;2026,"",INDEX({"Enero","Febrero","Marzo","Abril","Mayo","Junio","Julio","Agosto","Septiembre","Octubre","Noviembre","Diciembre"},MONTH(F3238))))</f>
        <v>Septiembre</v>
      </c>
      <c r="N3238" s="18" t="str">
        <f t="shared" si="152"/>
        <v>Septiembre|400</v>
      </c>
    </row>
    <row r="3239" spans="1:14" ht="14.5" x14ac:dyDescent="0.25">
      <c r="A3239" s="19">
        <v>35</v>
      </c>
      <c r="B3239" s="18" t="s">
        <v>42</v>
      </c>
      <c r="C3239" s="18" t="s">
        <v>97</v>
      </c>
      <c r="D3239" s="18" t="s">
        <v>3412</v>
      </c>
      <c r="E3239" s="18" t="s">
        <v>3787</v>
      </c>
      <c r="F3239" s="101">
        <v>46290.9375</v>
      </c>
      <c r="G3239" s="101">
        <v>46292.788194444445</v>
      </c>
      <c r="H3239" s="18" t="s">
        <v>507</v>
      </c>
      <c r="I3239" s="18" t="s">
        <v>508</v>
      </c>
      <c r="J3239" s="18"/>
      <c r="K3239" s="21">
        <f t="shared" si="150"/>
        <v>44.416666666686069</v>
      </c>
      <c r="L3239" s="19">
        <f t="shared" si="151"/>
        <v>400</v>
      </c>
      <c r="M3239" s="18" t="str">
        <f>IF(I3239&lt;&gt;"Sí","",IF(YEAR(F3239)&lt;&gt;2026,"",INDEX({"Enero","Febrero","Marzo","Abril","Mayo","Junio","Julio","Agosto","Septiembre","Octubre","Noviembre","Diciembre"},MONTH(F3239))))</f>
        <v>Septiembre</v>
      </c>
      <c r="N3239" s="18" t="str">
        <f t="shared" si="152"/>
        <v>Septiembre|400</v>
      </c>
    </row>
    <row r="3240" spans="1:14" ht="14.5" x14ac:dyDescent="0.25">
      <c r="A3240" s="19">
        <v>35</v>
      </c>
      <c r="B3240" s="18" t="s">
        <v>42</v>
      </c>
      <c r="C3240" s="18" t="s">
        <v>97</v>
      </c>
      <c r="D3240" s="18" t="s">
        <v>3412</v>
      </c>
      <c r="E3240" s="18" t="s">
        <v>3788</v>
      </c>
      <c r="F3240" s="101">
        <v>46290.9375</v>
      </c>
      <c r="G3240" s="101">
        <v>46292.788194444445</v>
      </c>
      <c r="H3240" s="18" t="s">
        <v>507</v>
      </c>
      <c r="I3240" s="18" t="s">
        <v>508</v>
      </c>
      <c r="J3240" s="18"/>
      <c r="K3240" s="21">
        <f t="shared" si="150"/>
        <v>44.416666666686069</v>
      </c>
      <c r="L3240" s="19">
        <f t="shared" si="151"/>
        <v>400</v>
      </c>
      <c r="M3240" s="18" t="str">
        <f>IF(I3240&lt;&gt;"Sí","",IF(YEAR(F3240)&lt;&gt;2026,"",INDEX({"Enero","Febrero","Marzo","Abril","Mayo","Junio","Julio","Agosto","Septiembre","Octubre","Noviembre","Diciembre"},MONTH(F3240))))</f>
        <v>Septiembre</v>
      </c>
      <c r="N3240" s="18" t="str">
        <f t="shared" si="152"/>
        <v>Septiembre|400</v>
      </c>
    </row>
    <row r="3241" spans="1:14" ht="14.5" x14ac:dyDescent="0.25">
      <c r="A3241" s="19">
        <v>35</v>
      </c>
      <c r="B3241" s="18" t="s">
        <v>42</v>
      </c>
      <c r="C3241" s="18" t="s">
        <v>97</v>
      </c>
      <c r="D3241" s="18" t="s">
        <v>3412</v>
      </c>
      <c r="E3241" s="18" t="s">
        <v>3789</v>
      </c>
      <c r="F3241" s="101">
        <v>46290.9375</v>
      </c>
      <c r="G3241" s="101">
        <v>46292.788194444445</v>
      </c>
      <c r="H3241" s="18" t="s">
        <v>507</v>
      </c>
      <c r="I3241" s="18" t="s">
        <v>508</v>
      </c>
      <c r="J3241" s="18"/>
      <c r="K3241" s="21">
        <f t="shared" si="150"/>
        <v>44.416666666686069</v>
      </c>
      <c r="L3241" s="19">
        <f t="shared" si="151"/>
        <v>400</v>
      </c>
      <c r="M3241" s="18" t="str">
        <f>IF(I3241&lt;&gt;"Sí","",IF(YEAR(F3241)&lt;&gt;2026,"",INDEX({"Enero","Febrero","Marzo","Abril","Mayo","Junio","Julio","Agosto","Septiembre","Octubre","Noviembre","Diciembre"},MONTH(F3241))))</f>
        <v>Septiembre</v>
      </c>
      <c r="N3241" s="18" t="str">
        <f t="shared" si="152"/>
        <v>Septiembre|400</v>
      </c>
    </row>
    <row r="3242" spans="1:14" ht="14.5" x14ac:dyDescent="0.25">
      <c r="A3242" s="19">
        <v>35</v>
      </c>
      <c r="B3242" s="18" t="s">
        <v>42</v>
      </c>
      <c r="C3242" s="18" t="s">
        <v>97</v>
      </c>
      <c r="D3242" s="18" t="s">
        <v>3412</v>
      </c>
      <c r="E3242" s="18" t="s">
        <v>3790</v>
      </c>
      <c r="F3242" s="101">
        <v>46290.9375</v>
      </c>
      <c r="G3242" s="101">
        <v>46292.8125</v>
      </c>
      <c r="H3242" s="18" t="s">
        <v>507</v>
      </c>
      <c r="I3242" s="18" t="s">
        <v>508</v>
      </c>
      <c r="J3242" s="18"/>
      <c r="K3242" s="21">
        <f t="shared" si="150"/>
        <v>45</v>
      </c>
      <c r="L3242" s="19">
        <f t="shared" si="151"/>
        <v>400</v>
      </c>
      <c r="M3242" s="18" t="str">
        <f>IF(I3242&lt;&gt;"Sí","",IF(YEAR(F3242)&lt;&gt;2026,"",INDEX({"Enero","Febrero","Marzo","Abril","Mayo","Junio","Julio","Agosto","Septiembre","Octubre","Noviembre","Diciembre"},MONTH(F3242))))</f>
        <v>Septiembre</v>
      </c>
      <c r="N3242" s="18" t="str">
        <f t="shared" si="152"/>
        <v>Septiembre|400</v>
      </c>
    </row>
    <row r="3243" spans="1:14" ht="14.5" x14ac:dyDescent="0.25">
      <c r="A3243" s="19">
        <v>35</v>
      </c>
      <c r="B3243" s="18" t="s">
        <v>42</v>
      </c>
      <c r="C3243" s="18" t="s">
        <v>97</v>
      </c>
      <c r="D3243" s="18" t="s">
        <v>3412</v>
      </c>
      <c r="E3243" s="18" t="s">
        <v>2671</v>
      </c>
      <c r="F3243" s="101">
        <v>46290.9375</v>
      </c>
      <c r="G3243" s="101">
        <v>46292.8125</v>
      </c>
      <c r="H3243" s="18" t="s">
        <v>507</v>
      </c>
      <c r="I3243" s="18" t="s">
        <v>508</v>
      </c>
      <c r="J3243" s="18"/>
      <c r="K3243" s="21">
        <f t="shared" si="150"/>
        <v>45</v>
      </c>
      <c r="L3243" s="19">
        <f t="shared" si="151"/>
        <v>400</v>
      </c>
      <c r="M3243" s="18" t="str">
        <f>IF(I3243&lt;&gt;"Sí","",IF(YEAR(F3243)&lt;&gt;2026,"",INDEX({"Enero","Febrero","Marzo","Abril","Mayo","Junio","Julio","Agosto","Septiembre","Octubre","Noviembre","Diciembre"},MONTH(F3243))))</f>
        <v>Septiembre</v>
      </c>
      <c r="N3243" s="18" t="str">
        <f t="shared" si="152"/>
        <v>Septiembre|400</v>
      </c>
    </row>
    <row r="3244" spans="1:14" ht="14.5" x14ac:dyDescent="0.25">
      <c r="A3244" s="19">
        <v>35</v>
      </c>
      <c r="B3244" s="18" t="s">
        <v>42</v>
      </c>
      <c r="C3244" s="18" t="s">
        <v>97</v>
      </c>
      <c r="D3244" s="18" t="s">
        <v>3412</v>
      </c>
      <c r="E3244" s="18" t="s">
        <v>3791</v>
      </c>
      <c r="F3244" s="101">
        <v>46290.9375</v>
      </c>
      <c r="G3244" s="101">
        <v>46292.8125</v>
      </c>
      <c r="H3244" s="18" t="s">
        <v>507</v>
      </c>
      <c r="I3244" s="18" t="s">
        <v>508</v>
      </c>
      <c r="J3244" s="18"/>
      <c r="K3244" s="21">
        <f t="shared" si="150"/>
        <v>45</v>
      </c>
      <c r="L3244" s="19">
        <f t="shared" si="151"/>
        <v>400</v>
      </c>
      <c r="M3244" s="18" t="str">
        <f>IF(I3244&lt;&gt;"Sí","",IF(YEAR(F3244)&lt;&gt;2026,"",INDEX({"Enero","Febrero","Marzo","Abril","Mayo","Junio","Julio","Agosto","Septiembre","Octubre","Noviembre","Diciembre"},MONTH(F3244))))</f>
        <v>Septiembre</v>
      </c>
      <c r="N3244" s="18" t="str">
        <f t="shared" si="152"/>
        <v>Septiembre|400</v>
      </c>
    </row>
    <row r="3245" spans="1:14" ht="14.5" x14ac:dyDescent="0.25">
      <c r="A3245" s="19">
        <v>35</v>
      </c>
      <c r="B3245" s="18" t="s">
        <v>42</v>
      </c>
      <c r="C3245" s="18" t="s">
        <v>97</v>
      </c>
      <c r="D3245" s="18" t="s">
        <v>3412</v>
      </c>
      <c r="E3245" s="18" t="s">
        <v>3792</v>
      </c>
      <c r="F3245" s="101">
        <v>46290.9375</v>
      </c>
      <c r="G3245" s="101">
        <v>46292.89166666667</v>
      </c>
      <c r="H3245" s="18" t="s">
        <v>507</v>
      </c>
      <c r="I3245" s="18" t="s">
        <v>508</v>
      </c>
      <c r="J3245" s="18"/>
      <c r="K3245" s="21">
        <f t="shared" si="150"/>
        <v>46.900000000081491</v>
      </c>
      <c r="L3245" s="19">
        <f t="shared" si="151"/>
        <v>400</v>
      </c>
      <c r="M3245" s="18" t="str">
        <f>IF(I3245&lt;&gt;"Sí","",IF(YEAR(F3245)&lt;&gt;2026,"",INDEX({"Enero","Febrero","Marzo","Abril","Mayo","Junio","Julio","Agosto","Septiembre","Octubre","Noviembre","Diciembre"},MONTH(F3245))))</f>
        <v>Septiembre</v>
      </c>
      <c r="N3245" s="18" t="str">
        <f t="shared" si="152"/>
        <v>Septiembre|400</v>
      </c>
    </row>
    <row r="3246" spans="1:14" ht="14.5" x14ac:dyDescent="0.25">
      <c r="A3246" s="19">
        <v>35</v>
      </c>
      <c r="B3246" s="18" t="s">
        <v>42</v>
      </c>
      <c r="C3246" s="18" t="s">
        <v>97</v>
      </c>
      <c r="D3246" s="18" t="s">
        <v>3412</v>
      </c>
      <c r="E3246" s="18" t="s">
        <v>3793</v>
      </c>
      <c r="F3246" s="101">
        <v>46290.9375</v>
      </c>
      <c r="G3246" s="101">
        <v>46292.89166666667</v>
      </c>
      <c r="H3246" s="18" t="s">
        <v>507</v>
      </c>
      <c r="I3246" s="18" t="s">
        <v>508</v>
      </c>
      <c r="J3246" s="18"/>
      <c r="K3246" s="21">
        <f t="shared" si="150"/>
        <v>46.900000000081491</v>
      </c>
      <c r="L3246" s="19">
        <f t="shared" si="151"/>
        <v>400</v>
      </c>
      <c r="M3246" s="18" t="str">
        <f>IF(I3246&lt;&gt;"Sí","",IF(YEAR(F3246)&lt;&gt;2026,"",INDEX({"Enero","Febrero","Marzo","Abril","Mayo","Junio","Julio","Agosto","Septiembre","Octubre","Noviembre","Diciembre"},MONTH(F3246))))</f>
        <v>Septiembre</v>
      </c>
      <c r="N3246" s="18" t="str">
        <f t="shared" si="152"/>
        <v>Septiembre|400</v>
      </c>
    </row>
    <row r="3247" spans="1:14" ht="14.5" x14ac:dyDescent="0.25">
      <c r="A3247" s="19">
        <v>35</v>
      </c>
      <c r="B3247" s="18" t="s">
        <v>42</v>
      </c>
      <c r="C3247" s="18" t="s">
        <v>97</v>
      </c>
      <c r="D3247" s="18" t="s">
        <v>3412</v>
      </c>
      <c r="E3247" s="18" t="s">
        <v>3794</v>
      </c>
      <c r="F3247" s="101"/>
      <c r="G3247" s="101">
        <v>46291.396527777775</v>
      </c>
      <c r="H3247" s="18" t="s">
        <v>554</v>
      </c>
      <c r="I3247" s="18" t="s">
        <v>555</v>
      </c>
      <c r="J3247" s="18" t="s">
        <v>556</v>
      </c>
      <c r="K3247" s="21" t="str">
        <f t="shared" si="150"/>
        <v/>
      </c>
      <c r="L3247" s="19" t="str">
        <f t="shared" si="151"/>
        <v/>
      </c>
      <c r="M3247" s="18" t="str">
        <f>IF(I3247&lt;&gt;"Sí","",IF(YEAR(F3247)&lt;&gt;2026,"",INDEX({"Enero","Febrero","Marzo","Abril","Mayo","Junio","Julio","Agosto","Septiembre","Octubre","Noviembre","Diciembre"},MONTH(F3247))))</f>
        <v/>
      </c>
      <c r="N3247" s="18" t="str">
        <f t="shared" si="152"/>
        <v/>
      </c>
    </row>
    <row r="3248" spans="1:14" ht="14.5" x14ac:dyDescent="0.25">
      <c r="A3248" s="19">
        <v>35</v>
      </c>
      <c r="B3248" s="18" t="s">
        <v>42</v>
      </c>
      <c r="C3248" s="18" t="s">
        <v>97</v>
      </c>
      <c r="D3248" s="18" t="s">
        <v>3412</v>
      </c>
      <c r="E3248" s="18" t="s">
        <v>3795</v>
      </c>
      <c r="F3248" s="101"/>
      <c r="G3248" s="101">
        <v>46291.396527777775</v>
      </c>
      <c r="H3248" s="18" t="s">
        <v>554</v>
      </c>
      <c r="I3248" s="18" t="s">
        <v>555</v>
      </c>
      <c r="J3248" s="18" t="s">
        <v>556</v>
      </c>
      <c r="K3248" s="21" t="str">
        <f t="shared" si="150"/>
        <v/>
      </c>
      <c r="L3248" s="19" t="str">
        <f t="shared" si="151"/>
        <v/>
      </c>
      <c r="M3248" s="18" t="str">
        <f>IF(I3248&lt;&gt;"Sí","",IF(YEAR(F3248)&lt;&gt;2026,"",INDEX({"Enero","Febrero","Marzo","Abril","Mayo","Junio","Julio","Agosto","Septiembre","Octubre","Noviembre","Diciembre"},MONTH(F3248))))</f>
        <v/>
      </c>
      <c r="N3248" s="18" t="str">
        <f t="shared" si="152"/>
        <v/>
      </c>
    </row>
    <row r="3249" spans="1:14" ht="14.5" x14ac:dyDescent="0.25">
      <c r="A3249" s="19">
        <v>35</v>
      </c>
      <c r="B3249" s="18" t="s">
        <v>42</v>
      </c>
      <c r="C3249" s="18" t="s">
        <v>106</v>
      </c>
      <c r="D3249" s="18" t="s">
        <v>3796</v>
      </c>
      <c r="E3249" s="18" t="s">
        <v>3797</v>
      </c>
      <c r="F3249" s="101">
        <v>46293.567361111112</v>
      </c>
      <c r="G3249" s="101">
        <v>46295.988194444442</v>
      </c>
      <c r="H3249" s="18" t="s">
        <v>507</v>
      </c>
      <c r="I3249" s="18" t="s">
        <v>508</v>
      </c>
      <c r="J3249" s="18"/>
      <c r="K3249" s="21">
        <f t="shared" si="150"/>
        <v>58.099999999918509</v>
      </c>
      <c r="L3249" s="19">
        <f t="shared" si="151"/>
        <v>2</v>
      </c>
      <c r="M3249" s="18" t="str">
        <f>IF(I3249&lt;&gt;"Sí","",IF(YEAR(F3249)&lt;&gt;2026,"",INDEX({"Enero","Febrero","Marzo","Abril","Mayo","Junio","Julio","Agosto","Septiembre","Octubre","Noviembre","Diciembre"},MONTH(F3249))))</f>
        <v>Septiembre</v>
      </c>
      <c r="N3249" s="18" t="str">
        <f t="shared" si="152"/>
        <v>Septiembre|2</v>
      </c>
    </row>
    <row r="3250" spans="1:14" ht="14.5" x14ac:dyDescent="0.25">
      <c r="A3250" s="19">
        <v>35</v>
      </c>
      <c r="B3250" s="18" t="s">
        <v>42</v>
      </c>
      <c r="C3250" s="18" t="s">
        <v>106</v>
      </c>
      <c r="D3250" s="18" t="s">
        <v>3796</v>
      </c>
      <c r="E3250" s="18" t="s">
        <v>3798</v>
      </c>
      <c r="F3250" s="101"/>
      <c r="G3250" s="101">
        <v>46295.415972222225</v>
      </c>
      <c r="H3250" s="18" t="s">
        <v>554</v>
      </c>
      <c r="I3250" s="18" t="s">
        <v>555</v>
      </c>
      <c r="J3250" s="18" t="s">
        <v>556</v>
      </c>
      <c r="K3250" s="21" t="str">
        <f t="shared" si="150"/>
        <v/>
      </c>
      <c r="L3250" s="19" t="str">
        <f t="shared" si="151"/>
        <v/>
      </c>
      <c r="M3250" s="18" t="str">
        <f>IF(I3250&lt;&gt;"Sí","",IF(YEAR(F3250)&lt;&gt;2026,"",INDEX({"Enero","Febrero","Marzo","Abril","Mayo","Junio","Julio","Agosto","Septiembre","Octubre","Noviembre","Diciembre"},MONTH(F3250))))</f>
        <v/>
      </c>
      <c r="N3250" s="18" t="str">
        <f t="shared" si="152"/>
        <v/>
      </c>
    </row>
    <row r="3251" spans="1:14" ht="14.5" x14ac:dyDescent="0.25">
      <c r="A3251" s="19">
        <v>35</v>
      </c>
      <c r="B3251" s="18" t="s">
        <v>42</v>
      </c>
      <c r="C3251" s="18" t="s">
        <v>106</v>
      </c>
      <c r="D3251" s="18" t="s">
        <v>3796</v>
      </c>
      <c r="E3251" s="18" t="s">
        <v>3799</v>
      </c>
      <c r="F3251" s="101"/>
      <c r="G3251" s="101">
        <v>46295.415972222225</v>
      </c>
      <c r="H3251" s="18" t="s">
        <v>554</v>
      </c>
      <c r="I3251" s="18" t="s">
        <v>555</v>
      </c>
      <c r="J3251" s="18" t="s">
        <v>556</v>
      </c>
      <c r="K3251" s="21" t="str">
        <f t="shared" si="150"/>
        <v/>
      </c>
      <c r="L3251" s="19" t="str">
        <f t="shared" si="151"/>
        <v/>
      </c>
      <c r="M3251" s="18" t="str">
        <f>IF(I3251&lt;&gt;"Sí","",IF(YEAR(F3251)&lt;&gt;2026,"",INDEX({"Enero","Febrero","Marzo","Abril","Mayo","Junio","Julio","Agosto","Septiembre","Octubre","Noviembre","Diciembre"},MONTH(F3251))))</f>
        <v/>
      </c>
      <c r="N3251" s="18" t="str">
        <f t="shared" si="152"/>
        <v/>
      </c>
    </row>
    <row r="3252" spans="1:14" ht="14.5" x14ac:dyDescent="0.25">
      <c r="A3252" s="19">
        <v>33</v>
      </c>
      <c r="B3252" s="18" t="s">
        <v>40</v>
      </c>
      <c r="C3252" s="18" t="s">
        <v>106</v>
      </c>
      <c r="D3252" s="18" t="s">
        <v>1344</v>
      </c>
      <c r="E3252" s="18" t="s">
        <v>3800</v>
      </c>
      <c r="F3252" s="101"/>
      <c r="G3252" s="101"/>
      <c r="H3252" s="18" t="s">
        <v>523</v>
      </c>
      <c r="I3252" s="18" t="s">
        <v>555</v>
      </c>
      <c r="J3252" s="18" t="s">
        <v>556</v>
      </c>
      <c r="K3252" s="21" t="str">
        <f t="shared" si="150"/>
        <v/>
      </c>
      <c r="L3252" s="19" t="str">
        <f t="shared" si="151"/>
        <v/>
      </c>
      <c r="M3252" s="18" t="str">
        <f>IF(I3252&lt;&gt;"Sí","",IF(YEAR(F3252)&lt;&gt;2026,"",INDEX({"Enero","Febrero","Marzo","Abril","Mayo","Junio","Julio","Agosto","Septiembre","Octubre","Noviembre","Diciembre"},MONTH(F3252))))</f>
        <v/>
      </c>
      <c r="N3252" s="18" t="str">
        <f t="shared" si="152"/>
        <v/>
      </c>
    </row>
    <row r="3253" spans="1:14" ht="14.5" x14ac:dyDescent="0.25">
      <c r="K3253" s="21" t="str">
        <f t="shared" si="150"/>
        <v/>
      </c>
      <c r="L3253" s="19" t="str">
        <f t="shared" si="151"/>
        <v/>
      </c>
      <c r="M3253" s="18" t="str">
        <f>IF(I3253&lt;&gt;"Sí","",IF(YEAR(F3253)&lt;&gt;2026,"",INDEX({"Enero","Febrero","Marzo","Abril","Mayo","Junio","Julio","Agosto","Septiembre","Octubre","Noviembre","Diciembre"},MONTH(F3253))))</f>
        <v/>
      </c>
      <c r="N3253" s="18" t="str">
        <f t="shared" si="152"/>
        <v/>
      </c>
    </row>
    <row r="3254" spans="1:14" ht="14.5" x14ac:dyDescent="0.25">
      <c r="K3254" s="21" t="str">
        <f t="shared" si="150"/>
        <v/>
      </c>
      <c r="L3254" s="19" t="str">
        <f t="shared" si="151"/>
        <v/>
      </c>
      <c r="M3254" s="18" t="str">
        <f>IF(I3254&lt;&gt;"Sí","",IF(YEAR(F3254)&lt;&gt;2026,"",INDEX({"Enero","Febrero","Marzo","Abril","Mayo","Junio","Julio","Agosto","Septiembre","Octubre","Noviembre","Diciembre"},MONTH(F3254))))</f>
        <v/>
      </c>
      <c r="N3254" s="18" t="str">
        <f t="shared" si="152"/>
        <v/>
      </c>
    </row>
    <row r="3255" spans="1:14" ht="14.5" x14ac:dyDescent="0.25">
      <c r="K3255" s="21" t="str">
        <f t="shared" si="150"/>
        <v/>
      </c>
      <c r="L3255" s="19" t="str">
        <f t="shared" si="151"/>
        <v/>
      </c>
      <c r="M3255" s="18" t="str">
        <f>IF(I3255&lt;&gt;"Sí","",IF(YEAR(F3255)&lt;&gt;2026,"",INDEX({"Enero","Febrero","Marzo","Abril","Mayo","Junio","Julio","Agosto","Septiembre","Octubre","Noviembre","Diciembre"},MONTH(F3255))))</f>
        <v/>
      </c>
      <c r="N3255" s="18" t="str">
        <f t="shared" si="152"/>
        <v/>
      </c>
    </row>
    <row r="3256" spans="1:14" ht="14.5" x14ac:dyDescent="0.25">
      <c r="K3256" s="21" t="str">
        <f t="shared" si="150"/>
        <v/>
      </c>
      <c r="L3256" s="19" t="str">
        <f t="shared" si="151"/>
        <v/>
      </c>
      <c r="M3256" s="18" t="str">
        <f>IF(I3256&lt;&gt;"Sí","",IF(YEAR(F3256)&lt;&gt;2026,"",INDEX({"Enero","Febrero","Marzo","Abril","Mayo","Junio","Julio","Agosto","Septiembre","Octubre","Noviembre","Diciembre"},MONTH(F3256))))</f>
        <v/>
      </c>
      <c r="N3256" s="18" t="str">
        <f t="shared" si="152"/>
        <v/>
      </c>
    </row>
    <row r="3257" spans="1:14" ht="14.5" x14ac:dyDescent="0.25">
      <c r="K3257" s="21" t="str">
        <f t="shared" si="150"/>
        <v/>
      </c>
      <c r="L3257" s="19" t="str">
        <f t="shared" si="151"/>
        <v/>
      </c>
      <c r="M3257" s="18" t="str">
        <f>IF(I3257&lt;&gt;"Sí","",IF(YEAR(F3257)&lt;&gt;2026,"",INDEX({"Enero","Febrero","Marzo","Abril","Mayo","Junio","Julio","Agosto","Septiembre","Octubre","Noviembre","Diciembre"},MONTH(F3257))))</f>
        <v/>
      </c>
      <c r="N3257" s="18" t="str">
        <f t="shared" si="152"/>
        <v/>
      </c>
    </row>
    <row r="3258" spans="1:14" ht="14.5" x14ac:dyDescent="0.25">
      <c r="K3258" s="21" t="str">
        <f t="shared" si="150"/>
        <v/>
      </c>
      <c r="L3258" s="19" t="str">
        <f t="shared" si="151"/>
        <v/>
      </c>
      <c r="M3258" s="18" t="str">
        <f>IF(I3258&lt;&gt;"Sí","",IF(YEAR(F3258)&lt;&gt;2026,"",INDEX({"Enero","Febrero","Marzo","Abril","Mayo","Junio","Julio","Agosto","Septiembre","Octubre","Noviembre","Diciembre"},MONTH(F3258))))</f>
        <v/>
      </c>
      <c r="N3258" s="18" t="str">
        <f t="shared" si="152"/>
        <v/>
      </c>
    </row>
    <row r="3259" spans="1:14" ht="14.5" x14ac:dyDescent="0.25">
      <c r="K3259" s="21" t="str">
        <f t="shared" si="150"/>
        <v/>
      </c>
      <c r="L3259" s="19" t="str">
        <f t="shared" si="151"/>
        <v/>
      </c>
      <c r="M3259" s="18" t="str">
        <f>IF(I3259&lt;&gt;"Sí","",IF(YEAR(F3259)&lt;&gt;2026,"",INDEX({"Enero","Febrero","Marzo","Abril","Mayo","Junio","Julio","Agosto","Septiembre","Octubre","Noviembre","Diciembre"},MONTH(F3259))))</f>
        <v/>
      </c>
      <c r="N3259" s="18" t="str">
        <f t="shared" si="152"/>
        <v/>
      </c>
    </row>
    <row r="3260" spans="1:14" ht="14.5" x14ac:dyDescent="0.25">
      <c r="K3260" s="21" t="str">
        <f t="shared" si="150"/>
        <v/>
      </c>
      <c r="L3260" s="19" t="str">
        <f t="shared" si="151"/>
        <v/>
      </c>
      <c r="M3260" s="18" t="str">
        <f>IF(I3260&lt;&gt;"Sí","",IF(YEAR(F3260)&lt;&gt;2026,"",INDEX({"Enero","Febrero","Marzo","Abril","Mayo","Junio","Julio","Agosto","Septiembre","Octubre","Noviembre","Diciembre"},MONTH(F3260))))</f>
        <v/>
      </c>
      <c r="N3260" s="18" t="str">
        <f t="shared" si="152"/>
        <v/>
      </c>
    </row>
    <row r="3261" spans="1:14" ht="14.5" x14ac:dyDescent="0.25">
      <c r="K3261" s="21" t="str">
        <f t="shared" si="150"/>
        <v/>
      </c>
      <c r="L3261" s="19" t="str">
        <f t="shared" si="151"/>
        <v/>
      </c>
      <c r="M3261" s="18" t="str">
        <f>IF(I3261&lt;&gt;"Sí","",IF(YEAR(F3261)&lt;&gt;2026,"",INDEX({"Enero","Febrero","Marzo","Abril","Mayo","Junio","Julio","Agosto","Septiembre","Octubre","Noviembre","Diciembre"},MONTH(F3261))))</f>
        <v/>
      </c>
      <c r="N3261" s="18" t="str">
        <f t="shared" si="152"/>
        <v/>
      </c>
    </row>
    <row r="3262" spans="1:14" ht="14.5" x14ac:dyDescent="0.25">
      <c r="K3262" s="21" t="str">
        <f t="shared" si="150"/>
        <v/>
      </c>
      <c r="L3262" s="19" t="str">
        <f t="shared" si="151"/>
        <v/>
      </c>
      <c r="M3262" s="18" t="str">
        <f>IF(I3262&lt;&gt;"Sí","",IF(YEAR(F3262)&lt;&gt;2026,"",INDEX({"Enero","Febrero","Marzo","Abril","Mayo","Junio","Julio","Agosto","Septiembre","Octubre","Noviembre","Diciembre"},MONTH(F3262))))</f>
        <v/>
      </c>
      <c r="N3262" s="18" t="str">
        <f t="shared" si="152"/>
        <v/>
      </c>
    </row>
    <row r="3263" spans="1:14" ht="14.5" x14ac:dyDescent="0.25">
      <c r="K3263" s="21" t="str">
        <f t="shared" si="150"/>
        <v/>
      </c>
      <c r="L3263" s="19" t="str">
        <f t="shared" si="151"/>
        <v/>
      </c>
      <c r="M3263" s="18" t="str">
        <f>IF(I3263&lt;&gt;"Sí","",IF(YEAR(F3263)&lt;&gt;2026,"",INDEX({"Enero","Febrero","Marzo","Abril","Mayo","Junio","Julio","Agosto","Septiembre","Octubre","Noviembre","Diciembre"},MONTH(F3263))))</f>
        <v/>
      </c>
      <c r="N3263" s="18" t="str">
        <f t="shared" si="152"/>
        <v/>
      </c>
    </row>
    <row r="3264" spans="1:14" ht="14.5" x14ac:dyDescent="0.25">
      <c r="K3264" s="21" t="str">
        <f t="shared" si="150"/>
        <v/>
      </c>
      <c r="L3264" s="19" t="str">
        <f t="shared" si="151"/>
        <v/>
      </c>
      <c r="M3264" s="18" t="str">
        <f>IF(I3264&lt;&gt;"Sí","",IF(YEAR(F3264)&lt;&gt;2026,"",INDEX({"Enero","Febrero","Marzo","Abril","Mayo","Junio","Julio","Agosto","Septiembre","Octubre","Noviembre","Diciembre"},MONTH(F3264))))</f>
        <v/>
      </c>
      <c r="N3264" s="18" t="str">
        <f t="shared" si="152"/>
        <v/>
      </c>
    </row>
    <row r="3265" spans="11:14" ht="14.5" x14ac:dyDescent="0.25">
      <c r="K3265" s="21" t="str">
        <f t="shared" si="150"/>
        <v/>
      </c>
      <c r="L3265" s="19" t="str">
        <f t="shared" si="151"/>
        <v/>
      </c>
      <c r="M3265" s="18" t="str">
        <f>IF(I3265&lt;&gt;"Sí","",IF(YEAR(F3265)&lt;&gt;2026,"",INDEX({"Enero","Febrero","Marzo","Abril","Mayo","Junio","Julio","Agosto","Septiembre","Octubre","Noviembre","Diciembre"},MONTH(F3265))))</f>
        <v/>
      </c>
      <c r="N3265" s="18" t="str">
        <f t="shared" si="152"/>
        <v/>
      </c>
    </row>
    <row r="3266" spans="11:14" ht="14.5" x14ac:dyDescent="0.25">
      <c r="K3266" s="21" t="str">
        <f t="shared" si="150"/>
        <v/>
      </c>
      <c r="L3266" s="19" t="str">
        <f t="shared" si="151"/>
        <v/>
      </c>
      <c r="M3266" s="18" t="str">
        <f>IF(I3266&lt;&gt;"Sí","",IF(YEAR(F3266)&lt;&gt;2026,"",INDEX({"Enero","Febrero","Marzo","Abril","Mayo","Junio","Julio","Agosto","Septiembre","Octubre","Noviembre","Diciembre"},MONTH(F3266))))</f>
        <v/>
      </c>
      <c r="N3266" s="18" t="str">
        <f t="shared" si="152"/>
        <v/>
      </c>
    </row>
    <row r="3267" spans="11:14" ht="14.5" x14ac:dyDescent="0.25">
      <c r="K3267" s="21" t="str">
        <f t="shared" si="150"/>
        <v/>
      </c>
      <c r="L3267" s="19" t="str">
        <f t="shared" si="151"/>
        <v/>
      </c>
      <c r="M3267" s="18" t="str">
        <f>IF(I3267&lt;&gt;"Sí","",IF(YEAR(F3267)&lt;&gt;2026,"",INDEX({"Enero","Febrero","Marzo","Abril","Mayo","Junio","Julio","Agosto","Septiembre","Octubre","Noviembre","Diciembre"},MONTH(F3267))))</f>
        <v/>
      </c>
      <c r="N3267" s="18" t="str">
        <f t="shared" si="152"/>
        <v/>
      </c>
    </row>
    <row r="3268" spans="11:14" ht="14.5" x14ac:dyDescent="0.25">
      <c r="K3268" s="21" t="str">
        <f t="shared" si="150"/>
        <v/>
      </c>
      <c r="L3268" s="19" t="str">
        <f t="shared" si="151"/>
        <v/>
      </c>
      <c r="M3268" s="18" t="str">
        <f>IF(I3268&lt;&gt;"Sí","",IF(YEAR(F3268)&lt;&gt;2026,"",INDEX({"Enero","Febrero","Marzo","Abril","Mayo","Junio","Julio","Agosto","Septiembre","Octubre","Noviembre","Diciembre"},MONTH(F3268))))</f>
        <v/>
      </c>
      <c r="N3268" s="18" t="str">
        <f t="shared" si="152"/>
        <v/>
      </c>
    </row>
    <row r="3269" spans="11:14" ht="14.5" x14ac:dyDescent="0.25">
      <c r="K3269" s="21" t="str">
        <f t="shared" si="150"/>
        <v/>
      </c>
      <c r="L3269" s="19" t="str">
        <f t="shared" si="151"/>
        <v/>
      </c>
      <c r="M3269" s="18" t="str">
        <f>IF(I3269&lt;&gt;"Sí","",IF(YEAR(F3269)&lt;&gt;2026,"",INDEX({"Enero","Febrero","Marzo","Abril","Mayo","Junio","Julio","Agosto","Septiembre","Octubre","Noviembre","Diciembre"},MONTH(F3269))))</f>
        <v/>
      </c>
      <c r="N3269" s="18" t="str">
        <f t="shared" si="152"/>
        <v/>
      </c>
    </row>
    <row r="3270" spans="11:14" ht="14.5" x14ac:dyDescent="0.25">
      <c r="K3270" s="21" t="str">
        <f t="shared" si="150"/>
        <v/>
      </c>
      <c r="L3270" s="19" t="str">
        <f t="shared" si="151"/>
        <v/>
      </c>
      <c r="M3270" s="18" t="str">
        <f>IF(I3270&lt;&gt;"Sí","",IF(YEAR(F3270)&lt;&gt;2026,"",INDEX({"Enero","Febrero","Marzo","Abril","Mayo","Junio","Julio","Agosto","Septiembre","Octubre","Noviembre","Diciembre"},MONTH(F3270))))</f>
        <v/>
      </c>
      <c r="N3270" s="18" t="str">
        <f t="shared" si="152"/>
        <v/>
      </c>
    </row>
    <row r="3271" spans="11:14" ht="14.5" x14ac:dyDescent="0.25">
      <c r="K3271" s="21" t="str">
        <f t="shared" ref="K3271:K3334" si="153">IF(I3271="Sí",(G3271-F3271)*24,"")</f>
        <v/>
      </c>
      <c r="L3271" s="19" t="str">
        <f t="shared" ref="L3271:L3334" si="154">IF(I3271="Sí",COUNTIFS($F$7:$F$4000,"&lt;="&amp;F3271,$G$7:$G$4000,"&gt;"&amp;F3271,$I$7:$I$4000,"Sí"),"")</f>
        <v/>
      </c>
      <c r="M3271" s="18" t="str">
        <f>IF(I3271&lt;&gt;"Sí","",IF(YEAR(F3271)&lt;&gt;2026,"",INDEX({"Enero","Febrero","Marzo","Abril","Mayo","Junio","Julio","Agosto","Septiembre","Octubre","Noviembre","Diciembre"},MONTH(F3271))))</f>
        <v/>
      </c>
      <c r="N3271" s="18" t="str">
        <f t="shared" ref="N3271:N3334" si="155">IF(M3271="","",M3271&amp;"|"&amp;L3271)</f>
        <v/>
      </c>
    </row>
    <row r="3272" spans="11:14" ht="14.5" x14ac:dyDescent="0.25">
      <c r="K3272" s="21" t="str">
        <f t="shared" si="153"/>
        <v/>
      </c>
      <c r="L3272" s="19" t="str">
        <f t="shared" si="154"/>
        <v/>
      </c>
      <c r="M3272" s="18" t="str">
        <f>IF(I3272&lt;&gt;"Sí","",IF(YEAR(F3272)&lt;&gt;2026,"",INDEX({"Enero","Febrero","Marzo","Abril","Mayo","Junio","Julio","Agosto","Septiembre","Octubre","Noviembre","Diciembre"},MONTH(F3272))))</f>
        <v/>
      </c>
      <c r="N3272" s="18" t="str">
        <f t="shared" si="155"/>
        <v/>
      </c>
    </row>
    <row r="3273" spans="11:14" ht="14.5" x14ac:dyDescent="0.25">
      <c r="K3273" s="21" t="str">
        <f t="shared" si="153"/>
        <v/>
      </c>
      <c r="L3273" s="19" t="str">
        <f t="shared" si="154"/>
        <v/>
      </c>
      <c r="M3273" s="18" t="str">
        <f>IF(I3273&lt;&gt;"Sí","",IF(YEAR(F3273)&lt;&gt;2026,"",INDEX({"Enero","Febrero","Marzo","Abril","Mayo","Junio","Julio","Agosto","Septiembre","Octubre","Noviembre","Diciembre"},MONTH(F3273))))</f>
        <v/>
      </c>
      <c r="N3273" s="18" t="str">
        <f t="shared" si="155"/>
        <v/>
      </c>
    </row>
    <row r="3274" spans="11:14" ht="14.5" x14ac:dyDescent="0.25">
      <c r="K3274" s="21" t="str">
        <f t="shared" si="153"/>
        <v/>
      </c>
      <c r="L3274" s="19" t="str">
        <f t="shared" si="154"/>
        <v/>
      </c>
      <c r="M3274" s="18" t="str">
        <f>IF(I3274&lt;&gt;"Sí","",IF(YEAR(F3274)&lt;&gt;2026,"",INDEX({"Enero","Febrero","Marzo","Abril","Mayo","Junio","Julio","Agosto","Septiembre","Octubre","Noviembre","Diciembre"},MONTH(F3274))))</f>
        <v/>
      </c>
      <c r="N3274" s="18" t="str">
        <f t="shared" si="155"/>
        <v/>
      </c>
    </row>
    <row r="3275" spans="11:14" ht="14.5" x14ac:dyDescent="0.25">
      <c r="K3275" s="21" t="str">
        <f t="shared" si="153"/>
        <v/>
      </c>
      <c r="L3275" s="19" t="str">
        <f t="shared" si="154"/>
        <v/>
      </c>
      <c r="M3275" s="18" t="str">
        <f>IF(I3275&lt;&gt;"Sí","",IF(YEAR(F3275)&lt;&gt;2026,"",INDEX({"Enero","Febrero","Marzo","Abril","Mayo","Junio","Julio","Agosto","Septiembre","Octubre","Noviembre","Diciembre"},MONTH(F3275))))</f>
        <v/>
      </c>
      <c r="N3275" s="18" t="str">
        <f t="shared" si="155"/>
        <v/>
      </c>
    </row>
    <row r="3276" spans="11:14" ht="14.5" x14ac:dyDescent="0.25">
      <c r="K3276" s="21" t="str">
        <f t="shared" si="153"/>
        <v/>
      </c>
      <c r="L3276" s="19" t="str">
        <f t="shared" si="154"/>
        <v/>
      </c>
      <c r="M3276" s="18" t="str">
        <f>IF(I3276&lt;&gt;"Sí","",IF(YEAR(F3276)&lt;&gt;2026,"",INDEX({"Enero","Febrero","Marzo","Abril","Mayo","Junio","Julio","Agosto","Septiembre","Octubre","Noviembre","Diciembre"},MONTH(F3276))))</f>
        <v/>
      </c>
      <c r="N3276" s="18" t="str">
        <f t="shared" si="155"/>
        <v/>
      </c>
    </row>
    <row r="3277" spans="11:14" ht="14.5" x14ac:dyDescent="0.25">
      <c r="K3277" s="21" t="str">
        <f t="shared" si="153"/>
        <v/>
      </c>
      <c r="L3277" s="19" t="str">
        <f t="shared" si="154"/>
        <v/>
      </c>
      <c r="M3277" s="18" t="str">
        <f>IF(I3277&lt;&gt;"Sí","",IF(YEAR(F3277)&lt;&gt;2026,"",INDEX({"Enero","Febrero","Marzo","Abril","Mayo","Junio","Julio","Agosto","Septiembre","Octubre","Noviembre","Diciembre"},MONTH(F3277))))</f>
        <v/>
      </c>
      <c r="N3277" s="18" t="str">
        <f t="shared" si="155"/>
        <v/>
      </c>
    </row>
    <row r="3278" spans="11:14" ht="14.5" x14ac:dyDescent="0.25">
      <c r="K3278" s="21" t="str">
        <f t="shared" si="153"/>
        <v/>
      </c>
      <c r="L3278" s="19" t="str">
        <f t="shared" si="154"/>
        <v/>
      </c>
      <c r="M3278" s="18" t="str">
        <f>IF(I3278&lt;&gt;"Sí","",IF(YEAR(F3278)&lt;&gt;2026,"",INDEX({"Enero","Febrero","Marzo","Abril","Mayo","Junio","Julio","Agosto","Septiembre","Octubre","Noviembre","Diciembre"},MONTH(F3278))))</f>
        <v/>
      </c>
      <c r="N3278" s="18" t="str">
        <f t="shared" si="155"/>
        <v/>
      </c>
    </row>
    <row r="3279" spans="11:14" ht="14.5" x14ac:dyDescent="0.25">
      <c r="K3279" s="21" t="str">
        <f t="shared" si="153"/>
        <v/>
      </c>
      <c r="L3279" s="19" t="str">
        <f t="shared" si="154"/>
        <v/>
      </c>
      <c r="M3279" s="18" t="str">
        <f>IF(I3279&lt;&gt;"Sí","",IF(YEAR(F3279)&lt;&gt;2026,"",INDEX({"Enero","Febrero","Marzo","Abril","Mayo","Junio","Julio","Agosto","Septiembre","Octubre","Noviembre","Diciembre"},MONTH(F3279))))</f>
        <v/>
      </c>
      <c r="N3279" s="18" t="str">
        <f t="shared" si="155"/>
        <v/>
      </c>
    </row>
    <row r="3280" spans="11:14" ht="14.5" x14ac:dyDescent="0.25">
      <c r="K3280" s="21" t="str">
        <f t="shared" si="153"/>
        <v/>
      </c>
      <c r="L3280" s="19" t="str">
        <f t="shared" si="154"/>
        <v/>
      </c>
      <c r="M3280" s="18" t="str">
        <f>IF(I3280&lt;&gt;"Sí","",IF(YEAR(F3280)&lt;&gt;2026,"",INDEX({"Enero","Febrero","Marzo","Abril","Mayo","Junio","Julio","Agosto","Septiembre","Octubre","Noviembre","Diciembre"},MONTH(F3280))))</f>
        <v/>
      </c>
      <c r="N3280" s="18" t="str">
        <f t="shared" si="155"/>
        <v/>
      </c>
    </row>
    <row r="3281" spans="11:14" ht="14.5" x14ac:dyDescent="0.25">
      <c r="K3281" s="21" t="str">
        <f t="shared" si="153"/>
        <v/>
      </c>
      <c r="L3281" s="19" t="str">
        <f t="shared" si="154"/>
        <v/>
      </c>
      <c r="M3281" s="18" t="str">
        <f>IF(I3281&lt;&gt;"Sí","",IF(YEAR(F3281)&lt;&gt;2026,"",INDEX({"Enero","Febrero","Marzo","Abril","Mayo","Junio","Julio","Agosto","Septiembre","Octubre","Noviembre","Diciembre"},MONTH(F3281))))</f>
        <v/>
      </c>
      <c r="N3281" s="18" t="str">
        <f t="shared" si="155"/>
        <v/>
      </c>
    </row>
    <row r="3282" spans="11:14" ht="14.5" x14ac:dyDescent="0.25">
      <c r="K3282" s="21" t="str">
        <f t="shared" si="153"/>
        <v/>
      </c>
      <c r="L3282" s="19" t="str">
        <f t="shared" si="154"/>
        <v/>
      </c>
      <c r="M3282" s="18" t="str">
        <f>IF(I3282&lt;&gt;"Sí","",IF(YEAR(F3282)&lt;&gt;2026,"",INDEX({"Enero","Febrero","Marzo","Abril","Mayo","Junio","Julio","Agosto","Septiembre","Octubre","Noviembre","Diciembre"},MONTH(F3282))))</f>
        <v/>
      </c>
      <c r="N3282" s="18" t="str">
        <f t="shared" si="155"/>
        <v/>
      </c>
    </row>
    <row r="3283" spans="11:14" ht="14.5" x14ac:dyDescent="0.25">
      <c r="K3283" s="21" t="str">
        <f t="shared" si="153"/>
        <v/>
      </c>
      <c r="L3283" s="19" t="str">
        <f t="shared" si="154"/>
        <v/>
      </c>
      <c r="M3283" s="18" t="str">
        <f>IF(I3283&lt;&gt;"Sí","",IF(YEAR(F3283)&lt;&gt;2026,"",INDEX({"Enero","Febrero","Marzo","Abril","Mayo","Junio","Julio","Agosto","Septiembre","Octubre","Noviembre","Diciembre"},MONTH(F3283))))</f>
        <v/>
      </c>
      <c r="N3283" s="18" t="str">
        <f t="shared" si="155"/>
        <v/>
      </c>
    </row>
    <row r="3284" spans="11:14" ht="14.5" x14ac:dyDescent="0.25">
      <c r="K3284" s="21" t="str">
        <f t="shared" si="153"/>
        <v/>
      </c>
      <c r="L3284" s="19" t="str">
        <f t="shared" si="154"/>
        <v/>
      </c>
      <c r="M3284" s="18" t="str">
        <f>IF(I3284&lt;&gt;"Sí","",IF(YEAR(F3284)&lt;&gt;2026,"",INDEX({"Enero","Febrero","Marzo","Abril","Mayo","Junio","Julio","Agosto","Septiembre","Octubre","Noviembre","Diciembre"},MONTH(F3284))))</f>
        <v/>
      </c>
      <c r="N3284" s="18" t="str">
        <f t="shared" si="155"/>
        <v/>
      </c>
    </row>
    <row r="3285" spans="11:14" ht="14.5" x14ac:dyDescent="0.25">
      <c r="K3285" s="21" t="str">
        <f t="shared" si="153"/>
        <v/>
      </c>
      <c r="L3285" s="19" t="str">
        <f t="shared" si="154"/>
        <v/>
      </c>
      <c r="M3285" s="18" t="str">
        <f>IF(I3285&lt;&gt;"Sí","",IF(YEAR(F3285)&lt;&gt;2026,"",INDEX({"Enero","Febrero","Marzo","Abril","Mayo","Junio","Julio","Agosto","Septiembre","Octubre","Noviembre","Diciembre"},MONTH(F3285))))</f>
        <v/>
      </c>
      <c r="N3285" s="18" t="str">
        <f t="shared" si="155"/>
        <v/>
      </c>
    </row>
    <row r="3286" spans="11:14" ht="14.5" x14ac:dyDescent="0.25">
      <c r="K3286" s="21" t="str">
        <f t="shared" si="153"/>
        <v/>
      </c>
      <c r="L3286" s="19" t="str">
        <f t="shared" si="154"/>
        <v/>
      </c>
      <c r="M3286" s="18" t="str">
        <f>IF(I3286&lt;&gt;"Sí","",IF(YEAR(F3286)&lt;&gt;2026,"",INDEX({"Enero","Febrero","Marzo","Abril","Mayo","Junio","Julio","Agosto","Septiembre","Octubre","Noviembre","Diciembre"},MONTH(F3286))))</f>
        <v/>
      </c>
      <c r="N3286" s="18" t="str">
        <f t="shared" si="155"/>
        <v/>
      </c>
    </row>
    <row r="3287" spans="11:14" ht="14.5" x14ac:dyDescent="0.25">
      <c r="K3287" s="21" t="str">
        <f t="shared" si="153"/>
        <v/>
      </c>
      <c r="L3287" s="19" t="str">
        <f t="shared" si="154"/>
        <v/>
      </c>
      <c r="M3287" s="18" t="str">
        <f>IF(I3287&lt;&gt;"Sí","",IF(YEAR(F3287)&lt;&gt;2026,"",INDEX({"Enero","Febrero","Marzo","Abril","Mayo","Junio","Julio","Agosto","Septiembre","Octubre","Noviembre","Diciembre"},MONTH(F3287))))</f>
        <v/>
      </c>
      <c r="N3287" s="18" t="str">
        <f t="shared" si="155"/>
        <v/>
      </c>
    </row>
    <row r="3288" spans="11:14" ht="14.5" x14ac:dyDescent="0.25">
      <c r="K3288" s="21" t="str">
        <f t="shared" si="153"/>
        <v/>
      </c>
      <c r="L3288" s="19" t="str">
        <f t="shared" si="154"/>
        <v/>
      </c>
      <c r="M3288" s="18" t="str">
        <f>IF(I3288&lt;&gt;"Sí","",IF(YEAR(F3288)&lt;&gt;2026,"",INDEX({"Enero","Febrero","Marzo","Abril","Mayo","Junio","Julio","Agosto","Septiembre","Octubre","Noviembre","Diciembre"},MONTH(F3288))))</f>
        <v/>
      </c>
      <c r="N3288" s="18" t="str">
        <f t="shared" si="155"/>
        <v/>
      </c>
    </row>
    <row r="3289" spans="11:14" ht="14.5" x14ac:dyDescent="0.25">
      <c r="K3289" s="21" t="str">
        <f t="shared" si="153"/>
        <v/>
      </c>
      <c r="L3289" s="19" t="str">
        <f t="shared" si="154"/>
        <v/>
      </c>
      <c r="M3289" s="18" t="str">
        <f>IF(I3289&lt;&gt;"Sí","",IF(YEAR(F3289)&lt;&gt;2026,"",INDEX({"Enero","Febrero","Marzo","Abril","Mayo","Junio","Julio","Agosto","Septiembre","Octubre","Noviembre","Diciembre"},MONTH(F3289))))</f>
        <v/>
      </c>
      <c r="N3289" s="18" t="str">
        <f t="shared" si="155"/>
        <v/>
      </c>
    </row>
    <row r="3290" spans="11:14" ht="14.5" x14ac:dyDescent="0.25">
      <c r="K3290" s="21" t="str">
        <f t="shared" si="153"/>
        <v/>
      </c>
      <c r="L3290" s="19" t="str">
        <f t="shared" si="154"/>
        <v/>
      </c>
      <c r="M3290" s="18" t="str">
        <f>IF(I3290&lt;&gt;"Sí","",IF(YEAR(F3290)&lt;&gt;2026,"",INDEX({"Enero","Febrero","Marzo","Abril","Mayo","Junio","Julio","Agosto","Septiembre","Octubre","Noviembre","Diciembre"},MONTH(F3290))))</f>
        <v/>
      </c>
      <c r="N3290" s="18" t="str">
        <f t="shared" si="155"/>
        <v/>
      </c>
    </row>
    <row r="3291" spans="11:14" ht="14.5" x14ac:dyDescent="0.25">
      <c r="K3291" s="21" t="str">
        <f t="shared" si="153"/>
        <v/>
      </c>
      <c r="L3291" s="19" t="str">
        <f t="shared" si="154"/>
        <v/>
      </c>
      <c r="M3291" s="18" t="str">
        <f>IF(I3291&lt;&gt;"Sí","",IF(YEAR(F3291)&lt;&gt;2026,"",INDEX({"Enero","Febrero","Marzo","Abril","Mayo","Junio","Julio","Agosto","Septiembre","Octubre","Noviembre","Diciembre"},MONTH(F3291))))</f>
        <v/>
      </c>
      <c r="N3291" s="18" t="str">
        <f t="shared" si="155"/>
        <v/>
      </c>
    </row>
    <row r="3292" spans="11:14" ht="14.5" x14ac:dyDescent="0.25">
      <c r="K3292" s="21" t="str">
        <f t="shared" si="153"/>
        <v/>
      </c>
      <c r="L3292" s="19" t="str">
        <f t="shared" si="154"/>
        <v/>
      </c>
      <c r="M3292" s="18" t="str">
        <f>IF(I3292&lt;&gt;"Sí","",IF(YEAR(F3292)&lt;&gt;2026,"",INDEX({"Enero","Febrero","Marzo","Abril","Mayo","Junio","Julio","Agosto","Septiembre","Octubre","Noviembre","Diciembre"},MONTH(F3292))))</f>
        <v/>
      </c>
      <c r="N3292" s="18" t="str">
        <f t="shared" si="155"/>
        <v/>
      </c>
    </row>
    <row r="3293" spans="11:14" ht="14.5" x14ac:dyDescent="0.25">
      <c r="K3293" s="21" t="str">
        <f t="shared" si="153"/>
        <v/>
      </c>
      <c r="L3293" s="19" t="str">
        <f t="shared" si="154"/>
        <v/>
      </c>
      <c r="M3293" s="18" t="str">
        <f>IF(I3293&lt;&gt;"Sí","",IF(YEAR(F3293)&lt;&gt;2026,"",INDEX({"Enero","Febrero","Marzo","Abril","Mayo","Junio","Julio","Agosto","Septiembre","Octubre","Noviembre","Diciembre"},MONTH(F3293))))</f>
        <v/>
      </c>
      <c r="N3293" s="18" t="str">
        <f t="shared" si="155"/>
        <v/>
      </c>
    </row>
    <row r="3294" spans="11:14" ht="14.5" x14ac:dyDescent="0.25">
      <c r="K3294" s="21" t="str">
        <f t="shared" si="153"/>
        <v/>
      </c>
      <c r="L3294" s="19" t="str">
        <f t="shared" si="154"/>
        <v/>
      </c>
      <c r="M3294" s="18" t="str">
        <f>IF(I3294&lt;&gt;"Sí","",IF(YEAR(F3294)&lt;&gt;2026,"",INDEX({"Enero","Febrero","Marzo","Abril","Mayo","Junio","Julio","Agosto","Septiembre","Octubre","Noviembre","Diciembre"},MONTH(F3294))))</f>
        <v/>
      </c>
      <c r="N3294" s="18" t="str">
        <f t="shared" si="155"/>
        <v/>
      </c>
    </row>
    <row r="3295" spans="11:14" ht="14.5" x14ac:dyDescent="0.25">
      <c r="K3295" s="21" t="str">
        <f t="shared" si="153"/>
        <v/>
      </c>
      <c r="L3295" s="19" t="str">
        <f t="shared" si="154"/>
        <v/>
      </c>
      <c r="M3295" s="18" t="str">
        <f>IF(I3295&lt;&gt;"Sí","",IF(YEAR(F3295)&lt;&gt;2026,"",INDEX({"Enero","Febrero","Marzo","Abril","Mayo","Junio","Julio","Agosto","Septiembre","Octubre","Noviembre","Diciembre"},MONTH(F3295))))</f>
        <v/>
      </c>
      <c r="N3295" s="18" t="str">
        <f t="shared" si="155"/>
        <v/>
      </c>
    </row>
    <row r="3296" spans="11:14" ht="14.5" x14ac:dyDescent="0.25">
      <c r="K3296" s="21" t="str">
        <f t="shared" si="153"/>
        <v/>
      </c>
      <c r="L3296" s="19" t="str">
        <f t="shared" si="154"/>
        <v/>
      </c>
      <c r="M3296" s="18" t="str">
        <f>IF(I3296&lt;&gt;"Sí","",IF(YEAR(F3296)&lt;&gt;2026,"",INDEX({"Enero","Febrero","Marzo","Abril","Mayo","Junio","Julio","Agosto","Septiembre","Octubre","Noviembre","Diciembre"},MONTH(F3296))))</f>
        <v/>
      </c>
      <c r="N3296" s="18" t="str">
        <f t="shared" si="155"/>
        <v/>
      </c>
    </row>
    <row r="3297" spans="11:14" ht="14.5" x14ac:dyDescent="0.25">
      <c r="K3297" s="21" t="str">
        <f t="shared" si="153"/>
        <v/>
      </c>
      <c r="L3297" s="19" t="str">
        <f t="shared" si="154"/>
        <v/>
      </c>
      <c r="M3297" s="18" t="str">
        <f>IF(I3297&lt;&gt;"Sí","",IF(YEAR(F3297)&lt;&gt;2026,"",INDEX({"Enero","Febrero","Marzo","Abril","Mayo","Junio","Julio","Agosto","Septiembre","Octubre","Noviembre","Diciembre"},MONTH(F3297))))</f>
        <v/>
      </c>
      <c r="N3297" s="18" t="str">
        <f t="shared" si="155"/>
        <v/>
      </c>
    </row>
    <row r="3298" spans="11:14" ht="14.5" x14ac:dyDescent="0.25">
      <c r="K3298" s="21" t="str">
        <f t="shared" si="153"/>
        <v/>
      </c>
      <c r="L3298" s="19" t="str">
        <f t="shared" si="154"/>
        <v/>
      </c>
      <c r="M3298" s="18" t="str">
        <f>IF(I3298&lt;&gt;"Sí","",IF(YEAR(F3298)&lt;&gt;2026,"",INDEX({"Enero","Febrero","Marzo","Abril","Mayo","Junio","Julio","Agosto","Septiembre","Octubre","Noviembre","Diciembre"},MONTH(F3298))))</f>
        <v/>
      </c>
      <c r="N3298" s="18" t="str">
        <f t="shared" si="155"/>
        <v/>
      </c>
    </row>
    <row r="3299" spans="11:14" ht="14.5" x14ac:dyDescent="0.25">
      <c r="K3299" s="21" t="str">
        <f t="shared" si="153"/>
        <v/>
      </c>
      <c r="L3299" s="19" t="str">
        <f t="shared" si="154"/>
        <v/>
      </c>
      <c r="M3299" s="18" t="str">
        <f>IF(I3299&lt;&gt;"Sí","",IF(YEAR(F3299)&lt;&gt;2026,"",INDEX({"Enero","Febrero","Marzo","Abril","Mayo","Junio","Julio","Agosto","Septiembre","Octubre","Noviembre","Diciembre"},MONTH(F3299))))</f>
        <v/>
      </c>
      <c r="N3299" s="18" t="str">
        <f t="shared" si="155"/>
        <v/>
      </c>
    </row>
    <row r="3300" spans="11:14" ht="14.5" x14ac:dyDescent="0.25">
      <c r="K3300" s="21" t="str">
        <f t="shared" si="153"/>
        <v/>
      </c>
      <c r="L3300" s="19" t="str">
        <f t="shared" si="154"/>
        <v/>
      </c>
      <c r="M3300" s="18" t="str">
        <f>IF(I3300&lt;&gt;"Sí","",IF(YEAR(F3300)&lt;&gt;2026,"",INDEX({"Enero","Febrero","Marzo","Abril","Mayo","Junio","Julio","Agosto","Septiembre","Octubre","Noviembre","Diciembre"},MONTH(F3300))))</f>
        <v/>
      </c>
      <c r="N3300" s="18" t="str">
        <f t="shared" si="155"/>
        <v/>
      </c>
    </row>
    <row r="3301" spans="11:14" ht="14.5" x14ac:dyDescent="0.25">
      <c r="K3301" s="21" t="str">
        <f t="shared" si="153"/>
        <v/>
      </c>
      <c r="L3301" s="19" t="str">
        <f t="shared" si="154"/>
        <v/>
      </c>
      <c r="M3301" s="18" t="str">
        <f>IF(I3301&lt;&gt;"Sí","",IF(YEAR(F3301)&lt;&gt;2026,"",INDEX({"Enero","Febrero","Marzo","Abril","Mayo","Junio","Julio","Agosto","Septiembre","Octubre","Noviembre","Diciembre"},MONTH(F3301))))</f>
        <v/>
      </c>
      <c r="N3301" s="18" t="str">
        <f t="shared" si="155"/>
        <v/>
      </c>
    </row>
    <row r="3302" spans="11:14" ht="14.5" x14ac:dyDescent="0.25">
      <c r="K3302" s="21" t="str">
        <f t="shared" si="153"/>
        <v/>
      </c>
      <c r="L3302" s="19" t="str">
        <f t="shared" si="154"/>
        <v/>
      </c>
      <c r="M3302" s="18" t="str">
        <f>IF(I3302&lt;&gt;"Sí","",IF(YEAR(F3302)&lt;&gt;2026,"",INDEX({"Enero","Febrero","Marzo","Abril","Mayo","Junio","Julio","Agosto","Septiembre","Octubre","Noviembre","Diciembre"},MONTH(F3302))))</f>
        <v/>
      </c>
      <c r="N3302" s="18" t="str">
        <f t="shared" si="155"/>
        <v/>
      </c>
    </row>
    <row r="3303" spans="11:14" ht="14.5" x14ac:dyDescent="0.25">
      <c r="K3303" s="21" t="str">
        <f t="shared" si="153"/>
        <v/>
      </c>
      <c r="L3303" s="19" t="str">
        <f t="shared" si="154"/>
        <v/>
      </c>
      <c r="M3303" s="18" t="str">
        <f>IF(I3303&lt;&gt;"Sí","",IF(YEAR(F3303)&lt;&gt;2026,"",INDEX({"Enero","Febrero","Marzo","Abril","Mayo","Junio","Julio","Agosto","Septiembre","Octubre","Noviembre","Diciembre"},MONTH(F3303))))</f>
        <v/>
      </c>
      <c r="N3303" s="18" t="str">
        <f t="shared" si="155"/>
        <v/>
      </c>
    </row>
    <row r="3304" spans="11:14" ht="14.5" x14ac:dyDescent="0.25">
      <c r="K3304" s="21" t="str">
        <f t="shared" si="153"/>
        <v/>
      </c>
      <c r="L3304" s="19" t="str">
        <f t="shared" si="154"/>
        <v/>
      </c>
      <c r="M3304" s="18" t="str">
        <f>IF(I3304&lt;&gt;"Sí","",IF(YEAR(F3304)&lt;&gt;2026,"",INDEX({"Enero","Febrero","Marzo","Abril","Mayo","Junio","Julio","Agosto","Septiembre","Octubre","Noviembre","Diciembre"},MONTH(F3304))))</f>
        <v/>
      </c>
      <c r="N3304" s="18" t="str">
        <f t="shared" si="155"/>
        <v/>
      </c>
    </row>
    <row r="3305" spans="11:14" ht="14.5" x14ac:dyDescent="0.25">
      <c r="K3305" s="21" t="str">
        <f t="shared" si="153"/>
        <v/>
      </c>
      <c r="L3305" s="19" t="str">
        <f t="shared" si="154"/>
        <v/>
      </c>
      <c r="M3305" s="18" t="str">
        <f>IF(I3305&lt;&gt;"Sí","",IF(YEAR(F3305)&lt;&gt;2026,"",INDEX({"Enero","Febrero","Marzo","Abril","Mayo","Junio","Julio","Agosto","Septiembre","Octubre","Noviembre","Diciembre"},MONTH(F3305))))</f>
        <v/>
      </c>
      <c r="N3305" s="18" t="str">
        <f t="shared" si="155"/>
        <v/>
      </c>
    </row>
    <row r="3306" spans="11:14" ht="14.5" x14ac:dyDescent="0.25">
      <c r="K3306" s="21" t="str">
        <f t="shared" si="153"/>
        <v/>
      </c>
      <c r="L3306" s="19" t="str">
        <f t="shared" si="154"/>
        <v/>
      </c>
      <c r="M3306" s="18" t="str">
        <f>IF(I3306&lt;&gt;"Sí","",IF(YEAR(F3306)&lt;&gt;2026,"",INDEX({"Enero","Febrero","Marzo","Abril","Mayo","Junio","Julio","Agosto","Septiembre","Octubre","Noviembre","Diciembre"},MONTH(F3306))))</f>
        <v/>
      </c>
      <c r="N3306" s="18" t="str">
        <f t="shared" si="155"/>
        <v/>
      </c>
    </row>
    <row r="3307" spans="11:14" ht="14.5" x14ac:dyDescent="0.25">
      <c r="K3307" s="21" t="str">
        <f t="shared" si="153"/>
        <v/>
      </c>
      <c r="L3307" s="19" t="str">
        <f t="shared" si="154"/>
        <v/>
      </c>
      <c r="M3307" s="18" t="str">
        <f>IF(I3307&lt;&gt;"Sí","",IF(YEAR(F3307)&lt;&gt;2026,"",INDEX({"Enero","Febrero","Marzo","Abril","Mayo","Junio","Julio","Agosto","Septiembre","Octubre","Noviembre","Diciembre"},MONTH(F3307))))</f>
        <v/>
      </c>
      <c r="N3307" s="18" t="str">
        <f t="shared" si="155"/>
        <v/>
      </c>
    </row>
    <row r="3308" spans="11:14" ht="14.5" x14ac:dyDescent="0.25">
      <c r="K3308" s="21" t="str">
        <f t="shared" si="153"/>
        <v/>
      </c>
      <c r="L3308" s="19" t="str">
        <f t="shared" si="154"/>
        <v/>
      </c>
      <c r="M3308" s="18" t="str">
        <f>IF(I3308&lt;&gt;"Sí","",IF(YEAR(F3308)&lt;&gt;2026,"",INDEX({"Enero","Febrero","Marzo","Abril","Mayo","Junio","Julio","Agosto","Septiembre","Octubre","Noviembre","Diciembre"},MONTH(F3308))))</f>
        <v/>
      </c>
      <c r="N3308" s="18" t="str">
        <f t="shared" si="155"/>
        <v/>
      </c>
    </row>
    <row r="3309" spans="11:14" ht="14.5" x14ac:dyDescent="0.25">
      <c r="K3309" s="21" t="str">
        <f t="shared" si="153"/>
        <v/>
      </c>
      <c r="L3309" s="19" t="str">
        <f t="shared" si="154"/>
        <v/>
      </c>
      <c r="M3309" s="18" t="str">
        <f>IF(I3309&lt;&gt;"Sí","",IF(YEAR(F3309)&lt;&gt;2026,"",INDEX({"Enero","Febrero","Marzo","Abril","Mayo","Junio","Julio","Agosto","Septiembre","Octubre","Noviembre","Diciembre"},MONTH(F3309))))</f>
        <v/>
      </c>
      <c r="N3309" s="18" t="str">
        <f t="shared" si="155"/>
        <v/>
      </c>
    </row>
    <row r="3310" spans="11:14" ht="14.5" x14ac:dyDescent="0.25">
      <c r="K3310" s="21" t="str">
        <f t="shared" si="153"/>
        <v/>
      </c>
      <c r="L3310" s="19" t="str">
        <f t="shared" si="154"/>
        <v/>
      </c>
      <c r="M3310" s="18" t="str">
        <f>IF(I3310&lt;&gt;"Sí","",IF(YEAR(F3310)&lt;&gt;2026,"",INDEX({"Enero","Febrero","Marzo","Abril","Mayo","Junio","Julio","Agosto","Septiembre","Octubre","Noviembre","Diciembre"},MONTH(F3310))))</f>
        <v/>
      </c>
      <c r="N3310" s="18" t="str">
        <f t="shared" si="155"/>
        <v/>
      </c>
    </row>
    <row r="3311" spans="11:14" ht="14.5" x14ac:dyDescent="0.25">
      <c r="K3311" s="21" t="str">
        <f t="shared" si="153"/>
        <v/>
      </c>
      <c r="L3311" s="19" t="str">
        <f t="shared" si="154"/>
        <v/>
      </c>
      <c r="M3311" s="18" t="str">
        <f>IF(I3311&lt;&gt;"Sí","",IF(YEAR(F3311)&lt;&gt;2026,"",INDEX({"Enero","Febrero","Marzo","Abril","Mayo","Junio","Julio","Agosto","Septiembre","Octubre","Noviembre","Diciembre"},MONTH(F3311))))</f>
        <v/>
      </c>
      <c r="N3311" s="18" t="str">
        <f t="shared" si="155"/>
        <v/>
      </c>
    </row>
    <row r="3312" spans="11:14" ht="14.5" x14ac:dyDescent="0.25">
      <c r="K3312" s="21" t="str">
        <f t="shared" si="153"/>
        <v/>
      </c>
      <c r="L3312" s="19" t="str">
        <f t="shared" si="154"/>
        <v/>
      </c>
      <c r="M3312" s="18" t="str">
        <f>IF(I3312&lt;&gt;"Sí","",IF(YEAR(F3312)&lt;&gt;2026,"",INDEX({"Enero","Febrero","Marzo","Abril","Mayo","Junio","Julio","Agosto","Septiembre","Octubre","Noviembre","Diciembre"},MONTH(F3312))))</f>
        <v/>
      </c>
      <c r="N3312" s="18" t="str">
        <f t="shared" si="155"/>
        <v/>
      </c>
    </row>
    <row r="3313" spans="11:14" ht="14.5" x14ac:dyDescent="0.25">
      <c r="K3313" s="21" t="str">
        <f t="shared" si="153"/>
        <v/>
      </c>
      <c r="L3313" s="19" t="str">
        <f t="shared" si="154"/>
        <v/>
      </c>
      <c r="M3313" s="18" t="str">
        <f>IF(I3313&lt;&gt;"Sí","",IF(YEAR(F3313)&lt;&gt;2026,"",INDEX({"Enero","Febrero","Marzo","Abril","Mayo","Junio","Julio","Agosto","Septiembre","Octubre","Noviembre","Diciembre"},MONTH(F3313))))</f>
        <v/>
      </c>
      <c r="N3313" s="18" t="str">
        <f t="shared" si="155"/>
        <v/>
      </c>
    </row>
    <row r="3314" spans="11:14" ht="14.5" x14ac:dyDescent="0.25">
      <c r="K3314" s="21" t="str">
        <f t="shared" si="153"/>
        <v/>
      </c>
      <c r="L3314" s="19" t="str">
        <f t="shared" si="154"/>
        <v/>
      </c>
      <c r="M3314" s="18" t="str">
        <f>IF(I3314&lt;&gt;"Sí","",IF(YEAR(F3314)&lt;&gt;2026,"",INDEX({"Enero","Febrero","Marzo","Abril","Mayo","Junio","Julio","Agosto","Septiembre","Octubre","Noviembre","Diciembre"},MONTH(F3314))))</f>
        <v/>
      </c>
      <c r="N3314" s="18" t="str">
        <f t="shared" si="155"/>
        <v/>
      </c>
    </row>
    <row r="3315" spans="11:14" ht="14.5" x14ac:dyDescent="0.25">
      <c r="K3315" s="21" t="str">
        <f t="shared" si="153"/>
        <v/>
      </c>
      <c r="L3315" s="19" t="str">
        <f t="shared" si="154"/>
        <v/>
      </c>
      <c r="M3315" s="18" t="str">
        <f>IF(I3315&lt;&gt;"Sí","",IF(YEAR(F3315)&lt;&gt;2026,"",INDEX({"Enero","Febrero","Marzo","Abril","Mayo","Junio","Julio","Agosto","Septiembre","Octubre","Noviembre","Diciembre"},MONTH(F3315))))</f>
        <v/>
      </c>
      <c r="N3315" s="18" t="str">
        <f t="shared" si="155"/>
        <v/>
      </c>
    </row>
    <row r="3316" spans="11:14" ht="14.5" x14ac:dyDescent="0.25">
      <c r="K3316" s="21" t="str">
        <f t="shared" si="153"/>
        <v/>
      </c>
      <c r="L3316" s="19" t="str">
        <f t="shared" si="154"/>
        <v/>
      </c>
      <c r="M3316" s="18" t="str">
        <f>IF(I3316&lt;&gt;"Sí","",IF(YEAR(F3316)&lt;&gt;2026,"",INDEX({"Enero","Febrero","Marzo","Abril","Mayo","Junio","Julio","Agosto","Septiembre","Octubre","Noviembre","Diciembre"},MONTH(F3316))))</f>
        <v/>
      </c>
      <c r="N3316" s="18" t="str">
        <f t="shared" si="155"/>
        <v/>
      </c>
    </row>
    <row r="3317" spans="11:14" ht="14.5" x14ac:dyDescent="0.25">
      <c r="K3317" s="21" t="str">
        <f t="shared" si="153"/>
        <v/>
      </c>
      <c r="L3317" s="19" t="str">
        <f t="shared" si="154"/>
        <v/>
      </c>
      <c r="M3317" s="18" t="str">
        <f>IF(I3317&lt;&gt;"Sí","",IF(YEAR(F3317)&lt;&gt;2026,"",INDEX({"Enero","Febrero","Marzo","Abril","Mayo","Junio","Julio","Agosto","Septiembre","Octubre","Noviembre","Diciembre"},MONTH(F3317))))</f>
        <v/>
      </c>
      <c r="N3317" s="18" t="str">
        <f t="shared" si="155"/>
        <v/>
      </c>
    </row>
    <row r="3318" spans="11:14" ht="14.5" x14ac:dyDescent="0.25">
      <c r="K3318" s="21" t="str">
        <f t="shared" si="153"/>
        <v/>
      </c>
      <c r="L3318" s="19" t="str">
        <f t="shared" si="154"/>
        <v/>
      </c>
      <c r="M3318" s="18" t="str">
        <f>IF(I3318&lt;&gt;"Sí","",IF(YEAR(F3318)&lt;&gt;2026,"",INDEX({"Enero","Febrero","Marzo","Abril","Mayo","Junio","Julio","Agosto","Septiembre","Octubre","Noviembre","Diciembre"},MONTH(F3318))))</f>
        <v/>
      </c>
      <c r="N3318" s="18" t="str">
        <f t="shared" si="155"/>
        <v/>
      </c>
    </row>
    <row r="3319" spans="11:14" ht="14.5" x14ac:dyDescent="0.25">
      <c r="K3319" s="21" t="str">
        <f t="shared" si="153"/>
        <v/>
      </c>
      <c r="L3319" s="19" t="str">
        <f t="shared" si="154"/>
        <v/>
      </c>
      <c r="M3319" s="18" t="str">
        <f>IF(I3319&lt;&gt;"Sí","",IF(YEAR(F3319)&lt;&gt;2026,"",INDEX({"Enero","Febrero","Marzo","Abril","Mayo","Junio","Julio","Agosto","Septiembre","Octubre","Noviembre","Diciembre"},MONTH(F3319))))</f>
        <v/>
      </c>
      <c r="N3319" s="18" t="str">
        <f t="shared" si="155"/>
        <v/>
      </c>
    </row>
    <row r="3320" spans="11:14" ht="14.5" x14ac:dyDescent="0.25">
      <c r="K3320" s="21" t="str">
        <f t="shared" si="153"/>
        <v/>
      </c>
      <c r="L3320" s="19" t="str">
        <f t="shared" si="154"/>
        <v/>
      </c>
      <c r="M3320" s="18" t="str">
        <f>IF(I3320&lt;&gt;"Sí","",IF(YEAR(F3320)&lt;&gt;2026,"",INDEX({"Enero","Febrero","Marzo","Abril","Mayo","Junio","Julio","Agosto","Septiembre","Octubre","Noviembre","Diciembre"},MONTH(F3320))))</f>
        <v/>
      </c>
      <c r="N3320" s="18" t="str">
        <f t="shared" si="155"/>
        <v/>
      </c>
    </row>
    <row r="3321" spans="11:14" ht="14.5" x14ac:dyDescent="0.25">
      <c r="K3321" s="21" t="str">
        <f t="shared" si="153"/>
        <v/>
      </c>
      <c r="L3321" s="19" t="str">
        <f t="shared" si="154"/>
        <v/>
      </c>
      <c r="M3321" s="18" t="str">
        <f>IF(I3321&lt;&gt;"Sí","",IF(YEAR(F3321)&lt;&gt;2026,"",INDEX({"Enero","Febrero","Marzo","Abril","Mayo","Junio","Julio","Agosto","Septiembre","Octubre","Noviembre","Diciembre"},MONTH(F3321))))</f>
        <v/>
      </c>
      <c r="N3321" s="18" t="str">
        <f t="shared" si="155"/>
        <v/>
      </c>
    </row>
    <row r="3322" spans="11:14" ht="14.5" x14ac:dyDescent="0.25">
      <c r="K3322" s="21" t="str">
        <f t="shared" si="153"/>
        <v/>
      </c>
      <c r="L3322" s="19" t="str">
        <f t="shared" si="154"/>
        <v/>
      </c>
      <c r="M3322" s="18" t="str">
        <f>IF(I3322&lt;&gt;"Sí","",IF(YEAR(F3322)&lt;&gt;2026,"",INDEX({"Enero","Febrero","Marzo","Abril","Mayo","Junio","Julio","Agosto","Septiembre","Octubre","Noviembre","Diciembre"},MONTH(F3322))))</f>
        <v/>
      </c>
      <c r="N3322" s="18" t="str">
        <f t="shared" si="155"/>
        <v/>
      </c>
    </row>
    <row r="3323" spans="11:14" ht="14.5" x14ac:dyDescent="0.25">
      <c r="K3323" s="21" t="str">
        <f t="shared" si="153"/>
        <v/>
      </c>
      <c r="L3323" s="19" t="str">
        <f t="shared" si="154"/>
        <v/>
      </c>
      <c r="M3323" s="18" t="str">
        <f>IF(I3323&lt;&gt;"Sí","",IF(YEAR(F3323)&lt;&gt;2026,"",INDEX({"Enero","Febrero","Marzo","Abril","Mayo","Junio","Julio","Agosto","Septiembre","Octubre","Noviembre","Diciembre"},MONTH(F3323))))</f>
        <v/>
      </c>
      <c r="N3323" s="18" t="str">
        <f t="shared" si="155"/>
        <v/>
      </c>
    </row>
    <row r="3324" spans="11:14" ht="14.5" x14ac:dyDescent="0.25">
      <c r="K3324" s="21" t="str">
        <f t="shared" si="153"/>
        <v/>
      </c>
      <c r="L3324" s="19" t="str">
        <f t="shared" si="154"/>
        <v/>
      </c>
      <c r="M3324" s="18" t="str">
        <f>IF(I3324&lt;&gt;"Sí","",IF(YEAR(F3324)&lt;&gt;2026,"",INDEX({"Enero","Febrero","Marzo","Abril","Mayo","Junio","Julio","Agosto","Septiembre","Octubre","Noviembre","Diciembre"},MONTH(F3324))))</f>
        <v/>
      </c>
      <c r="N3324" s="18" t="str">
        <f t="shared" si="155"/>
        <v/>
      </c>
    </row>
    <row r="3325" spans="11:14" ht="14.5" x14ac:dyDescent="0.25">
      <c r="K3325" s="21" t="str">
        <f t="shared" si="153"/>
        <v/>
      </c>
      <c r="L3325" s="19" t="str">
        <f t="shared" si="154"/>
        <v/>
      </c>
      <c r="M3325" s="18" t="str">
        <f>IF(I3325&lt;&gt;"Sí","",IF(YEAR(F3325)&lt;&gt;2026,"",INDEX({"Enero","Febrero","Marzo","Abril","Mayo","Junio","Julio","Agosto","Septiembre","Octubre","Noviembre","Diciembre"},MONTH(F3325))))</f>
        <v/>
      </c>
      <c r="N3325" s="18" t="str">
        <f t="shared" si="155"/>
        <v/>
      </c>
    </row>
    <row r="3326" spans="11:14" ht="14.5" x14ac:dyDescent="0.25">
      <c r="K3326" s="21" t="str">
        <f t="shared" si="153"/>
        <v/>
      </c>
      <c r="L3326" s="19" t="str">
        <f t="shared" si="154"/>
        <v/>
      </c>
      <c r="M3326" s="18" t="str">
        <f>IF(I3326&lt;&gt;"Sí","",IF(YEAR(F3326)&lt;&gt;2026,"",INDEX({"Enero","Febrero","Marzo","Abril","Mayo","Junio","Julio","Agosto","Septiembre","Octubre","Noviembre","Diciembre"},MONTH(F3326))))</f>
        <v/>
      </c>
      <c r="N3326" s="18" t="str">
        <f t="shared" si="155"/>
        <v/>
      </c>
    </row>
    <row r="3327" spans="11:14" ht="14.5" x14ac:dyDescent="0.25">
      <c r="K3327" s="21" t="str">
        <f t="shared" si="153"/>
        <v/>
      </c>
      <c r="L3327" s="19" t="str">
        <f t="shared" si="154"/>
        <v/>
      </c>
      <c r="M3327" s="18" t="str">
        <f>IF(I3327&lt;&gt;"Sí","",IF(YEAR(F3327)&lt;&gt;2026,"",INDEX({"Enero","Febrero","Marzo","Abril","Mayo","Junio","Julio","Agosto","Septiembre","Octubre","Noviembre","Diciembre"},MONTH(F3327))))</f>
        <v/>
      </c>
      <c r="N3327" s="18" t="str">
        <f t="shared" si="155"/>
        <v/>
      </c>
    </row>
    <row r="3328" spans="11:14" ht="14.5" x14ac:dyDescent="0.25">
      <c r="K3328" s="21" t="str">
        <f t="shared" si="153"/>
        <v/>
      </c>
      <c r="L3328" s="19" t="str">
        <f t="shared" si="154"/>
        <v/>
      </c>
      <c r="M3328" s="18" t="str">
        <f>IF(I3328&lt;&gt;"Sí","",IF(YEAR(F3328)&lt;&gt;2026,"",INDEX({"Enero","Febrero","Marzo","Abril","Mayo","Junio","Julio","Agosto","Septiembre","Octubre","Noviembre","Diciembre"},MONTH(F3328))))</f>
        <v/>
      </c>
      <c r="N3328" s="18" t="str">
        <f t="shared" si="155"/>
        <v/>
      </c>
    </row>
    <row r="3329" spans="11:14" ht="14.5" x14ac:dyDescent="0.25">
      <c r="K3329" s="21" t="str">
        <f t="shared" si="153"/>
        <v/>
      </c>
      <c r="L3329" s="19" t="str">
        <f t="shared" si="154"/>
        <v/>
      </c>
      <c r="M3329" s="18" t="str">
        <f>IF(I3329&lt;&gt;"Sí","",IF(YEAR(F3329)&lt;&gt;2026,"",INDEX({"Enero","Febrero","Marzo","Abril","Mayo","Junio","Julio","Agosto","Septiembre","Octubre","Noviembre","Diciembre"},MONTH(F3329))))</f>
        <v/>
      </c>
      <c r="N3329" s="18" t="str">
        <f t="shared" si="155"/>
        <v/>
      </c>
    </row>
    <row r="3330" spans="11:14" ht="14.5" x14ac:dyDescent="0.25">
      <c r="K3330" s="21" t="str">
        <f t="shared" si="153"/>
        <v/>
      </c>
      <c r="L3330" s="19" t="str">
        <f t="shared" si="154"/>
        <v/>
      </c>
      <c r="M3330" s="18" t="str">
        <f>IF(I3330&lt;&gt;"Sí","",IF(YEAR(F3330)&lt;&gt;2026,"",INDEX({"Enero","Febrero","Marzo","Abril","Mayo","Junio","Julio","Agosto","Septiembre","Octubre","Noviembre","Diciembre"},MONTH(F3330))))</f>
        <v/>
      </c>
      <c r="N3330" s="18" t="str">
        <f t="shared" si="155"/>
        <v/>
      </c>
    </row>
    <row r="3331" spans="11:14" ht="14.5" x14ac:dyDescent="0.25">
      <c r="K3331" s="21" t="str">
        <f t="shared" si="153"/>
        <v/>
      </c>
      <c r="L3331" s="19" t="str">
        <f t="shared" si="154"/>
        <v/>
      </c>
      <c r="M3331" s="18" t="str">
        <f>IF(I3331&lt;&gt;"Sí","",IF(YEAR(F3331)&lt;&gt;2026,"",INDEX({"Enero","Febrero","Marzo","Abril","Mayo","Junio","Julio","Agosto","Septiembre","Octubre","Noviembre","Diciembre"},MONTH(F3331))))</f>
        <v/>
      </c>
      <c r="N3331" s="18" t="str">
        <f t="shared" si="155"/>
        <v/>
      </c>
    </row>
    <row r="3332" spans="11:14" ht="14.5" x14ac:dyDescent="0.25">
      <c r="K3332" s="21" t="str">
        <f t="shared" si="153"/>
        <v/>
      </c>
      <c r="L3332" s="19" t="str">
        <f t="shared" si="154"/>
        <v/>
      </c>
      <c r="M3332" s="18" t="str">
        <f>IF(I3332&lt;&gt;"Sí","",IF(YEAR(F3332)&lt;&gt;2026,"",INDEX({"Enero","Febrero","Marzo","Abril","Mayo","Junio","Julio","Agosto","Septiembre","Octubre","Noviembre","Diciembre"},MONTH(F3332))))</f>
        <v/>
      </c>
      <c r="N3332" s="18" t="str">
        <f t="shared" si="155"/>
        <v/>
      </c>
    </row>
    <row r="3333" spans="11:14" ht="14.5" x14ac:dyDescent="0.25">
      <c r="K3333" s="21" t="str">
        <f t="shared" si="153"/>
        <v/>
      </c>
      <c r="L3333" s="19" t="str">
        <f t="shared" si="154"/>
        <v/>
      </c>
      <c r="M3333" s="18" t="str">
        <f>IF(I3333&lt;&gt;"Sí","",IF(YEAR(F3333)&lt;&gt;2026,"",INDEX({"Enero","Febrero","Marzo","Abril","Mayo","Junio","Julio","Agosto","Septiembre","Octubre","Noviembre","Diciembre"},MONTH(F3333))))</f>
        <v/>
      </c>
      <c r="N3333" s="18" t="str">
        <f t="shared" si="155"/>
        <v/>
      </c>
    </row>
    <row r="3334" spans="11:14" ht="14.5" x14ac:dyDescent="0.25">
      <c r="K3334" s="21" t="str">
        <f t="shared" si="153"/>
        <v/>
      </c>
      <c r="L3334" s="19" t="str">
        <f t="shared" si="154"/>
        <v/>
      </c>
      <c r="M3334" s="18" t="str">
        <f>IF(I3334&lt;&gt;"Sí","",IF(YEAR(F3334)&lt;&gt;2026,"",INDEX({"Enero","Febrero","Marzo","Abril","Mayo","Junio","Julio","Agosto","Septiembre","Octubre","Noviembre","Diciembre"},MONTH(F3334))))</f>
        <v/>
      </c>
      <c r="N3334" s="18" t="str">
        <f t="shared" si="155"/>
        <v/>
      </c>
    </row>
    <row r="3335" spans="11:14" ht="14.5" x14ac:dyDescent="0.25">
      <c r="K3335" s="21" t="str">
        <f t="shared" ref="K3335:K3398" si="156">IF(I3335="Sí",(G3335-F3335)*24,"")</f>
        <v/>
      </c>
      <c r="L3335" s="19" t="str">
        <f t="shared" ref="L3335:L3398" si="157">IF(I3335="Sí",COUNTIFS($F$7:$F$4000,"&lt;="&amp;F3335,$G$7:$G$4000,"&gt;"&amp;F3335,$I$7:$I$4000,"Sí"),"")</f>
        <v/>
      </c>
      <c r="M3335" s="18" t="str">
        <f>IF(I3335&lt;&gt;"Sí","",IF(YEAR(F3335)&lt;&gt;2026,"",INDEX({"Enero","Febrero","Marzo","Abril","Mayo","Junio","Julio","Agosto","Septiembre","Octubre","Noviembre","Diciembre"},MONTH(F3335))))</f>
        <v/>
      </c>
      <c r="N3335" s="18" t="str">
        <f t="shared" ref="N3335:N3398" si="158">IF(M3335="","",M3335&amp;"|"&amp;L3335)</f>
        <v/>
      </c>
    </row>
    <row r="3336" spans="11:14" ht="14.5" x14ac:dyDescent="0.25">
      <c r="K3336" s="21" t="str">
        <f t="shared" si="156"/>
        <v/>
      </c>
      <c r="L3336" s="19" t="str">
        <f t="shared" si="157"/>
        <v/>
      </c>
      <c r="M3336" s="18" t="str">
        <f>IF(I3336&lt;&gt;"Sí","",IF(YEAR(F3336)&lt;&gt;2026,"",INDEX({"Enero","Febrero","Marzo","Abril","Mayo","Junio","Julio","Agosto","Septiembre","Octubre","Noviembre","Diciembre"},MONTH(F3336))))</f>
        <v/>
      </c>
      <c r="N3336" s="18" t="str">
        <f t="shared" si="158"/>
        <v/>
      </c>
    </row>
    <row r="3337" spans="11:14" ht="14.5" x14ac:dyDescent="0.25">
      <c r="K3337" s="21" t="str">
        <f t="shared" si="156"/>
        <v/>
      </c>
      <c r="L3337" s="19" t="str">
        <f t="shared" si="157"/>
        <v/>
      </c>
      <c r="M3337" s="18" t="str">
        <f>IF(I3337&lt;&gt;"Sí","",IF(YEAR(F3337)&lt;&gt;2026,"",INDEX({"Enero","Febrero","Marzo","Abril","Mayo","Junio","Julio","Agosto","Septiembre","Octubre","Noviembre","Diciembre"},MONTH(F3337))))</f>
        <v/>
      </c>
      <c r="N3337" s="18" t="str">
        <f t="shared" si="158"/>
        <v/>
      </c>
    </row>
    <row r="3338" spans="11:14" ht="14.5" x14ac:dyDescent="0.25">
      <c r="K3338" s="21" t="str">
        <f t="shared" si="156"/>
        <v/>
      </c>
      <c r="L3338" s="19" t="str">
        <f t="shared" si="157"/>
        <v/>
      </c>
      <c r="M3338" s="18" t="str">
        <f>IF(I3338&lt;&gt;"Sí","",IF(YEAR(F3338)&lt;&gt;2026,"",INDEX({"Enero","Febrero","Marzo","Abril","Mayo","Junio","Julio","Agosto","Septiembre","Octubre","Noviembre","Diciembre"},MONTH(F3338))))</f>
        <v/>
      </c>
      <c r="N3338" s="18" t="str">
        <f t="shared" si="158"/>
        <v/>
      </c>
    </row>
    <row r="3339" spans="11:14" ht="14.5" x14ac:dyDescent="0.25">
      <c r="K3339" s="21" t="str">
        <f t="shared" si="156"/>
        <v/>
      </c>
      <c r="L3339" s="19" t="str">
        <f t="shared" si="157"/>
        <v/>
      </c>
      <c r="M3339" s="18" t="str">
        <f>IF(I3339&lt;&gt;"Sí","",IF(YEAR(F3339)&lt;&gt;2026,"",INDEX({"Enero","Febrero","Marzo","Abril","Mayo","Junio","Julio","Agosto","Septiembre","Octubre","Noviembre","Diciembre"},MONTH(F3339))))</f>
        <v/>
      </c>
      <c r="N3339" s="18" t="str">
        <f t="shared" si="158"/>
        <v/>
      </c>
    </row>
    <row r="3340" spans="11:14" ht="14.5" x14ac:dyDescent="0.25">
      <c r="K3340" s="21" t="str">
        <f t="shared" si="156"/>
        <v/>
      </c>
      <c r="L3340" s="19" t="str">
        <f t="shared" si="157"/>
        <v/>
      </c>
      <c r="M3340" s="18" t="str">
        <f>IF(I3340&lt;&gt;"Sí","",IF(YEAR(F3340)&lt;&gt;2026,"",INDEX({"Enero","Febrero","Marzo","Abril","Mayo","Junio","Julio","Agosto","Septiembre","Octubre","Noviembre","Diciembre"},MONTH(F3340))))</f>
        <v/>
      </c>
      <c r="N3340" s="18" t="str">
        <f t="shared" si="158"/>
        <v/>
      </c>
    </row>
    <row r="3341" spans="11:14" ht="14.5" x14ac:dyDescent="0.25">
      <c r="K3341" s="21" t="str">
        <f t="shared" si="156"/>
        <v/>
      </c>
      <c r="L3341" s="19" t="str">
        <f t="shared" si="157"/>
        <v/>
      </c>
      <c r="M3341" s="18" t="str">
        <f>IF(I3341&lt;&gt;"Sí","",IF(YEAR(F3341)&lt;&gt;2026,"",INDEX({"Enero","Febrero","Marzo","Abril","Mayo","Junio","Julio","Agosto","Septiembre","Octubre","Noviembre","Diciembre"},MONTH(F3341))))</f>
        <v/>
      </c>
      <c r="N3341" s="18" t="str">
        <f t="shared" si="158"/>
        <v/>
      </c>
    </row>
    <row r="3342" spans="11:14" ht="14.5" x14ac:dyDescent="0.25">
      <c r="K3342" s="21" t="str">
        <f t="shared" si="156"/>
        <v/>
      </c>
      <c r="L3342" s="19" t="str">
        <f t="shared" si="157"/>
        <v/>
      </c>
      <c r="M3342" s="18" t="str">
        <f>IF(I3342&lt;&gt;"Sí","",IF(YEAR(F3342)&lt;&gt;2026,"",INDEX({"Enero","Febrero","Marzo","Abril","Mayo","Junio","Julio","Agosto","Septiembre","Octubre","Noviembre","Diciembre"},MONTH(F3342))))</f>
        <v/>
      </c>
      <c r="N3342" s="18" t="str">
        <f t="shared" si="158"/>
        <v/>
      </c>
    </row>
    <row r="3343" spans="11:14" ht="14.5" x14ac:dyDescent="0.25">
      <c r="K3343" s="21" t="str">
        <f t="shared" si="156"/>
        <v/>
      </c>
      <c r="L3343" s="19" t="str">
        <f t="shared" si="157"/>
        <v/>
      </c>
      <c r="M3343" s="18" t="str">
        <f>IF(I3343&lt;&gt;"Sí","",IF(YEAR(F3343)&lt;&gt;2026,"",INDEX({"Enero","Febrero","Marzo","Abril","Mayo","Junio","Julio","Agosto","Septiembre","Octubre","Noviembre","Diciembre"},MONTH(F3343))))</f>
        <v/>
      </c>
      <c r="N3343" s="18" t="str">
        <f t="shared" si="158"/>
        <v/>
      </c>
    </row>
    <row r="3344" spans="11:14" ht="14.5" x14ac:dyDescent="0.25">
      <c r="K3344" s="21" t="str">
        <f t="shared" si="156"/>
        <v/>
      </c>
      <c r="L3344" s="19" t="str">
        <f t="shared" si="157"/>
        <v/>
      </c>
      <c r="M3344" s="18" t="str">
        <f>IF(I3344&lt;&gt;"Sí","",IF(YEAR(F3344)&lt;&gt;2026,"",INDEX({"Enero","Febrero","Marzo","Abril","Mayo","Junio","Julio","Agosto","Septiembre","Octubre","Noviembre","Diciembre"},MONTH(F3344))))</f>
        <v/>
      </c>
      <c r="N3344" s="18" t="str">
        <f t="shared" si="158"/>
        <v/>
      </c>
    </row>
    <row r="3345" spans="11:14" ht="14.5" x14ac:dyDescent="0.25">
      <c r="K3345" s="21" t="str">
        <f t="shared" si="156"/>
        <v/>
      </c>
      <c r="L3345" s="19" t="str">
        <f t="shared" si="157"/>
        <v/>
      </c>
      <c r="M3345" s="18" t="str">
        <f>IF(I3345&lt;&gt;"Sí","",IF(YEAR(F3345)&lt;&gt;2026,"",INDEX({"Enero","Febrero","Marzo","Abril","Mayo","Junio","Julio","Agosto","Septiembre","Octubre","Noviembre","Diciembre"},MONTH(F3345))))</f>
        <v/>
      </c>
      <c r="N3345" s="18" t="str">
        <f t="shared" si="158"/>
        <v/>
      </c>
    </row>
    <row r="3346" spans="11:14" ht="14.5" x14ac:dyDescent="0.25">
      <c r="K3346" s="21" t="str">
        <f t="shared" si="156"/>
        <v/>
      </c>
      <c r="L3346" s="19" t="str">
        <f t="shared" si="157"/>
        <v/>
      </c>
      <c r="M3346" s="18" t="str">
        <f>IF(I3346&lt;&gt;"Sí","",IF(YEAR(F3346)&lt;&gt;2026,"",INDEX({"Enero","Febrero","Marzo","Abril","Mayo","Junio","Julio","Agosto","Septiembre","Octubre","Noviembre","Diciembre"},MONTH(F3346))))</f>
        <v/>
      </c>
      <c r="N3346" s="18" t="str">
        <f t="shared" si="158"/>
        <v/>
      </c>
    </row>
    <row r="3347" spans="11:14" ht="14.5" x14ac:dyDescent="0.25">
      <c r="K3347" s="21" t="str">
        <f t="shared" si="156"/>
        <v/>
      </c>
      <c r="L3347" s="19" t="str">
        <f t="shared" si="157"/>
        <v/>
      </c>
      <c r="M3347" s="18" t="str">
        <f>IF(I3347&lt;&gt;"Sí","",IF(YEAR(F3347)&lt;&gt;2026,"",INDEX({"Enero","Febrero","Marzo","Abril","Mayo","Junio","Julio","Agosto","Septiembre","Octubre","Noviembre","Diciembre"},MONTH(F3347))))</f>
        <v/>
      </c>
      <c r="N3347" s="18" t="str">
        <f t="shared" si="158"/>
        <v/>
      </c>
    </row>
    <row r="3348" spans="11:14" ht="14.5" x14ac:dyDescent="0.25">
      <c r="K3348" s="21" t="str">
        <f t="shared" si="156"/>
        <v/>
      </c>
      <c r="L3348" s="19" t="str">
        <f t="shared" si="157"/>
        <v/>
      </c>
      <c r="M3348" s="18" t="str">
        <f>IF(I3348&lt;&gt;"Sí","",IF(YEAR(F3348)&lt;&gt;2026,"",INDEX({"Enero","Febrero","Marzo","Abril","Mayo","Junio","Julio","Agosto","Septiembre","Octubre","Noviembre","Diciembre"},MONTH(F3348))))</f>
        <v/>
      </c>
      <c r="N3348" s="18" t="str">
        <f t="shared" si="158"/>
        <v/>
      </c>
    </row>
    <row r="3349" spans="11:14" ht="14.5" x14ac:dyDescent="0.25">
      <c r="K3349" s="21" t="str">
        <f t="shared" si="156"/>
        <v/>
      </c>
      <c r="L3349" s="19" t="str">
        <f t="shared" si="157"/>
        <v/>
      </c>
      <c r="M3349" s="18" t="str">
        <f>IF(I3349&lt;&gt;"Sí","",IF(YEAR(F3349)&lt;&gt;2026,"",INDEX({"Enero","Febrero","Marzo","Abril","Mayo","Junio","Julio","Agosto","Septiembre","Octubre","Noviembre","Diciembre"},MONTH(F3349))))</f>
        <v/>
      </c>
      <c r="N3349" s="18" t="str">
        <f t="shared" si="158"/>
        <v/>
      </c>
    </row>
    <row r="3350" spans="11:14" ht="14.5" x14ac:dyDescent="0.25">
      <c r="K3350" s="21" t="str">
        <f t="shared" si="156"/>
        <v/>
      </c>
      <c r="L3350" s="19" t="str">
        <f t="shared" si="157"/>
        <v/>
      </c>
      <c r="M3350" s="18" t="str">
        <f>IF(I3350&lt;&gt;"Sí","",IF(YEAR(F3350)&lt;&gt;2026,"",INDEX({"Enero","Febrero","Marzo","Abril","Mayo","Junio","Julio","Agosto","Septiembre","Octubre","Noviembre","Diciembre"},MONTH(F3350))))</f>
        <v/>
      </c>
      <c r="N3350" s="18" t="str">
        <f t="shared" si="158"/>
        <v/>
      </c>
    </row>
    <row r="3351" spans="11:14" ht="14.5" x14ac:dyDescent="0.25">
      <c r="K3351" s="21" t="str">
        <f t="shared" si="156"/>
        <v/>
      </c>
      <c r="L3351" s="19" t="str">
        <f t="shared" si="157"/>
        <v/>
      </c>
      <c r="M3351" s="18" t="str">
        <f>IF(I3351&lt;&gt;"Sí","",IF(YEAR(F3351)&lt;&gt;2026,"",INDEX({"Enero","Febrero","Marzo","Abril","Mayo","Junio","Julio","Agosto","Septiembre","Octubre","Noviembre","Diciembre"},MONTH(F3351))))</f>
        <v/>
      </c>
      <c r="N3351" s="18" t="str">
        <f t="shared" si="158"/>
        <v/>
      </c>
    </row>
    <row r="3352" spans="11:14" ht="14.5" x14ac:dyDescent="0.25">
      <c r="K3352" s="21" t="str">
        <f t="shared" si="156"/>
        <v/>
      </c>
      <c r="L3352" s="19" t="str">
        <f t="shared" si="157"/>
        <v/>
      </c>
      <c r="M3352" s="18" t="str">
        <f>IF(I3352&lt;&gt;"Sí","",IF(YEAR(F3352)&lt;&gt;2026,"",INDEX({"Enero","Febrero","Marzo","Abril","Mayo","Junio","Julio","Agosto","Septiembre","Octubre","Noviembre","Diciembre"},MONTH(F3352))))</f>
        <v/>
      </c>
      <c r="N3352" s="18" t="str">
        <f t="shared" si="158"/>
        <v/>
      </c>
    </row>
    <row r="3353" spans="11:14" ht="14.5" x14ac:dyDescent="0.25">
      <c r="K3353" s="21" t="str">
        <f t="shared" si="156"/>
        <v/>
      </c>
      <c r="L3353" s="19" t="str">
        <f t="shared" si="157"/>
        <v/>
      </c>
      <c r="M3353" s="18" t="str">
        <f>IF(I3353&lt;&gt;"Sí","",IF(YEAR(F3353)&lt;&gt;2026,"",INDEX({"Enero","Febrero","Marzo","Abril","Mayo","Junio","Julio","Agosto","Septiembre","Octubre","Noviembre","Diciembre"},MONTH(F3353))))</f>
        <v/>
      </c>
      <c r="N3353" s="18" t="str">
        <f t="shared" si="158"/>
        <v/>
      </c>
    </row>
    <row r="3354" spans="11:14" ht="14.5" x14ac:dyDescent="0.25">
      <c r="K3354" s="21" t="str">
        <f t="shared" si="156"/>
        <v/>
      </c>
      <c r="L3354" s="19" t="str">
        <f t="shared" si="157"/>
        <v/>
      </c>
      <c r="M3354" s="18" t="str">
        <f>IF(I3354&lt;&gt;"Sí","",IF(YEAR(F3354)&lt;&gt;2026,"",INDEX({"Enero","Febrero","Marzo","Abril","Mayo","Junio","Julio","Agosto","Septiembre","Octubre","Noviembre","Diciembre"},MONTH(F3354))))</f>
        <v/>
      </c>
      <c r="N3354" s="18" t="str">
        <f t="shared" si="158"/>
        <v/>
      </c>
    </row>
    <row r="3355" spans="11:14" ht="14.5" x14ac:dyDescent="0.25">
      <c r="K3355" s="21" t="str">
        <f t="shared" si="156"/>
        <v/>
      </c>
      <c r="L3355" s="19" t="str">
        <f t="shared" si="157"/>
        <v/>
      </c>
      <c r="M3355" s="18" t="str">
        <f>IF(I3355&lt;&gt;"Sí","",IF(YEAR(F3355)&lt;&gt;2026,"",INDEX({"Enero","Febrero","Marzo","Abril","Mayo","Junio","Julio","Agosto","Septiembre","Octubre","Noviembre","Diciembre"},MONTH(F3355))))</f>
        <v/>
      </c>
      <c r="N3355" s="18" t="str">
        <f t="shared" si="158"/>
        <v/>
      </c>
    </row>
    <row r="3356" spans="11:14" ht="14.5" x14ac:dyDescent="0.25">
      <c r="K3356" s="21" t="str">
        <f t="shared" si="156"/>
        <v/>
      </c>
      <c r="L3356" s="19" t="str">
        <f t="shared" si="157"/>
        <v/>
      </c>
      <c r="M3356" s="18" t="str">
        <f>IF(I3356&lt;&gt;"Sí","",IF(YEAR(F3356)&lt;&gt;2026,"",INDEX({"Enero","Febrero","Marzo","Abril","Mayo","Junio","Julio","Agosto","Septiembre","Octubre","Noviembre","Diciembre"},MONTH(F3356))))</f>
        <v/>
      </c>
      <c r="N3356" s="18" t="str">
        <f t="shared" si="158"/>
        <v/>
      </c>
    </row>
    <row r="3357" spans="11:14" ht="14.5" x14ac:dyDescent="0.25">
      <c r="K3357" s="21" t="str">
        <f t="shared" si="156"/>
        <v/>
      </c>
      <c r="L3357" s="19" t="str">
        <f t="shared" si="157"/>
        <v/>
      </c>
      <c r="M3357" s="18" t="str">
        <f>IF(I3357&lt;&gt;"Sí","",IF(YEAR(F3357)&lt;&gt;2026,"",INDEX({"Enero","Febrero","Marzo","Abril","Mayo","Junio","Julio","Agosto","Septiembre","Octubre","Noviembre","Diciembre"},MONTH(F3357))))</f>
        <v/>
      </c>
      <c r="N3357" s="18" t="str">
        <f t="shared" si="158"/>
        <v/>
      </c>
    </row>
    <row r="3358" spans="11:14" ht="14.5" x14ac:dyDescent="0.25">
      <c r="K3358" s="21" t="str">
        <f t="shared" si="156"/>
        <v/>
      </c>
      <c r="L3358" s="19" t="str">
        <f t="shared" si="157"/>
        <v/>
      </c>
      <c r="M3358" s="18" t="str">
        <f>IF(I3358&lt;&gt;"Sí","",IF(YEAR(F3358)&lt;&gt;2026,"",INDEX({"Enero","Febrero","Marzo","Abril","Mayo","Junio","Julio","Agosto","Septiembre","Octubre","Noviembre","Diciembre"},MONTH(F3358))))</f>
        <v/>
      </c>
      <c r="N3358" s="18" t="str">
        <f t="shared" si="158"/>
        <v/>
      </c>
    </row>
    <row r="3359" spans="11:14" ht="14.5" x14ac:dyDescent="0.25">
      <c r="K3359" s="21" t="str">
        <f t="shared" si="156"/>
        <v/>
      </c>
      <c r="L3359" s="19" t="str">
        <f t="shared" si="157"/>
        <v/>
      </c>
      <c r="M3359" s="18" t="str">
        <f>IF(I3359&lt;&gt;"Sí","",IF(YEAR(F3359)&lt;&gt;2026,"",INDEX({"Enero","Febrero","Marzo","Abril","Mayo","Junio","Julio","Agosto","Septiembre","Octubre","Noviembre","Diciembre"},MONTH(F3359))))</f>
        <v/>
      </c>
      <c r="N3359" s="18" t="str">
        <f t="shared" si="158"/>
        <v/>
      </c>
    </row>
    <row r="3360" spans="11:14" ht="14.5" x14ac:dyDescent="0.25">
      <c r="K3360" s="21" t="str">
        <f t="shared" si="156"/>
        <v/>
      </c>
      <c r="L3360" s="19" t="str">
        <f t="shared" si="157"/>
        <v/>
      </c>
      <c r="M3360" s="18" t="str">
        <f>IF(I3360&lt;&gt;"Sí","",IF(YEAR(F3360)&lt;&gt;2026,"",INDEX({"Enero","Febrero","Marzo","Abril","Mayo","Junio","Julio","Agosto","Septiembre","Octubre","Noviembre","Diciembre"},MONTH(F3360))))</f>
        <v/>
      </c>
      <c r="N3360" s="18" t="str">
        <f t="shared" si="158"/>
        <v/>
      </c>
    </row>
    <row r="3361" spans="11:14" ht="14.5" x14ac:dyDescent="0.25">
      <c r="K3361" s="21" t="str">
        <f t="shared" si="156"/>
        <v/>
      </c>
      <c r="L3361" s="19" t="str">
        <f t="shared" si="157"/>
        <v/>
      </c>
      <c r="M3361" s="18" t="str">
        <f>IF(I3361&lt;&gt;"Sí","",IF(YEAR(F3361)&lt;&gt;2026,"",INDEX({"Enero","Febrero","Marzo","Abril","Mayo","Junio","Julio","Agosto","Septiembre","Octubre","Noviembre","Diciembre"},MONTH(F3361))))</f>
        <v/>
      </c>
      <c r="N3361" s="18" t="str">
        <f t="shared" si="158"/>
        <v/>
      </c>
    </row>
    <row r="3362" spans="11:14" ht="14.5" x14ac:dyDescent="0.25">
      <c r="K3362" s="21" t="str">
        <f t="shared" si="156"/>
        <v/>
      </c>
      <c r="L3362" s="19" t="str">
        <f t="shared" si="157"/>
        <v/>
      </c>
      <c r="M3362" s="18" t="str">
        <f>IF(I3362&lt;&gt;"Sí","",IF(YEAR(F3362)&lt;&gt;2026,"",INDEX({"Enero","Febrero","Marzo","Abril","Mayo","Junio","Julio","Agosto","Septiembre","Octubre","Noviembre","Diciembre"},MONTH(F3362))))</f>
        <v/>
      </c>
      <c r="N3362" s="18" t="str">
        <f t="shared" si="158"/>
        <v/>
      </c>
    </row>
    <row r="3363" spans="11:14" ht="14.5" x14ac:dyDescent="0.25">
      <c r="K3363" s="21" t="str">
        <f t="shared" si="156"/>
        <v/>
      </c>
      <c r="L3363" s="19" t="str">
        <f t="shared" si="157"/>
        <v/>
      </c>
      <c r="M3363" s="18" t="str">
        <f>IF(I3363&lt;&gt;"Sí","",IF(YEAR(F3363)&lt;&gt;2026,"",INDEX({"Enero","Febrero","Marzo","Abril","Mayo","Junio","Julio","Agosto","Septiembre","Octubre","Noviembre","Diciembre"},MONTH(F3363))))</f>
        <v/>
      </c>
      <c r="N3363" s="18" t="str">
        <f t="shared" si="158"/>
        <v/>
      </c>
    </row>
    <row r="3364" spans="11:14" ht="14.5" x14ac:dyDescent="0.25">
      <c r="K3364" s="21" t="str">
        <f t="shared" si="156"/>
        <v/>
      </c>
      <c r="L3364" s="19" t="str">
        <f t="shared" si="157"/>
        <v/>
      </c>
      <c r="M3364" s="18" t="str">
        <f>IF(I3364&lt;&gt;"Sí","",IF(YEAR(F3364)&lt;&gt;2026,"",INDEX({"Enero","Febrero","Marzo","Abril","Mayo","Junio","Julio","Agosto","Septiembre","Octubre","Noviembre","Diciembre"},MONTH(F3364))))</f>
        <v/>
      </c>
      <c r="N3364" s="18" t="str">
        <f t="shared" si="158"/>
        <v/>
      </c>
    </row>
    <row r="3365" spans="11:14" ht="14.5" x14ac:dyDescent="0.25">
      <c r="K3365" s="21" t="str">
        <f t="shared" si="156"/>
        <v/>
      </c>
      <c r="L3365" s="19" t="str">
        <f t="shared" si="157"/>
        <v/>
      </c>
      <c r="M3365" s="18" t="str">
        <f>IF(I3365&lt;&gt;"Sí","",IF(YEAR(F3365)&lt;&gt;2026,"",INDEX({"Enero","Febrero","Marzo","Abril","Mayo","Junio","Julio","Agosto","Septiembre","Octubre","Noviembre","Diciembre"},MONTH(F3365))))</f>
        <v/>
      </c>
      <c r="N3365" s="18" t="str">
        <f t="shared" si="158"/>
        <v/>
      </c>
    </row>
    <row r="3366" spans="11:14" ht="14.5" x14ac:dyDescent="0.25">
      <c r="K3366" s="21" t="str">
        <f t="shared" si="156"/>
        <v/>
      </c>
      <c r="L3366" s="19" t="str">
        <f t="shared" si="157"/>
        <v/>
      </c>
      <c r="M3366" s="18" t="str">
        <f>IF(I3366&lt;&gt;"Sí","",IF(YEAR(F3366)&lt;&gt;2026,"",INDEX({"Enero","Febrero","Marzo","Abril","Mayo","Junio","Julio","Agosto","Septiembre","Octubre","Noviembre","Diciembre"},MONTH(F3366))))</f>
        <v/>
      </c>
      <c r="N3366" s="18" t="str">
        <f t="shared" si="158"/>
        <v/>
      </c>
    </row>
    <row r="3367" spans="11:14" ht="14.5" x14ac:dyDescent="0.25">
      <c r="K3367" s="21" t="str">
        <f t="shared" si="156"/>
        <v/>
      </c>
      <c r="L3367" s="19" t="str">
        <f t="shared" si="157"/>
        <v/>
      </c>
      <c r="M3367" s="18" t="str">
        <f>IF(I3367&lt;&gt;"Sí","",IF(YEAR(F3367)&lt;&gt;2026,"",INDEX({"Enero","Febrero","Marzo","Abril","Mayo","Junio","Julio","Agosto","Septiembre","Octubre","Noviembre","Diciembre"},MONTH(F3367))))</f>
        <v/>
      </c>
      <c r="N3367" s="18" t="str">
        <f t="shared" si="158"/>
        <v/>
      </c>
    </row>
    <row r="3368" spans="11:14" ht="14.5" x14ac:dyDescent="0.25">
      <c r="K3368" s="21" t="str">
        <f t="shared" si="156"/>
        <v/>
      </c>
      <c r="L3368" s="19" t="str">
        <f t="shared" si="157"/>
        <v/>
      </c>
      <c r="M3368" s="18" t="str">
        <f>IF(I3368&lt;&gt;"Sí","",IF(YEAR(F3368)&lt;&gt;2026,"",INDEX({"Enero","Febrero","Marzo","Abril","Mayo","Junio","Julio","Agosto","Septiembre","Octubre","Noviembre","Diciembre"},MONTH(F3368))))</f>
        <v/>
      </c>
      <c r="N3368" s="18" t="str">
        <f t="shared" si="158"/>
        <v/>
      </c>
    </row>
    <row r="3369" spans="11:14" ht="14.5" x14ac:dyDescent="0.25">
      <c r="K3369" s="21" t="str">
        <f t="shared" si="156"/>
        <v/>
      </c>
      <c r="L3369" s="19" t="str">
        <f t="shared" si="157"/>
        <v/>
      </c>
      <c r="M3369" s="18" t="str">
        <f>IF(I3369&lt;&gt;"Sí","",IF(YEAR(F3369)&lt;&gt;2026,"",INDEX({"Enero","Febrero","Marzo","Abril","Mayo","Junio","Julio","Agosto","Septiembre","Octubre","Noviembre","Diciembre"},MONTH(F3369))))</f>
        <v/>
      </c>
      <c r="N3369" s="18" t="str">
        <f t="shared" si="158"/>
        <v/>
      </c>
    </row>
    <row r="3370" spans="11:14" ht="14.5" x14ac:dyDescent="0.25">
      <c r="K3370" s="21" t="str">
        <f t="shared" si="156"/>
        <v/>
      </c>
      <c r="L3370" s="19" t="str">
        <f t="shared" si="157"/>
        <v/>
      </c>
      <c r="M3370" s="18" t="str">
        <f>IF(I3370&lt;&gt;"Sí","",IF(YEAR(F3370)&lt;&gt;2026,"",INDEX({"Enero","Febrero","Marzo","Abril","Mayo","Junio","Julio","Agosto","Septiembre","Octubre","Noviembre","Diciembre"},MONTH(F3370))))</f>
        <v/>
      </c>
      <c r="N3370" s="18" t="str">
        <f t="shared" si="158"/>
        <v/>
      </c>
    </row>
    <row r="3371" spans="11:14" ht="14.5" x14ac:dyDescent="0.25">
      <c r="K3371" s="21" t="str">
        <f t="shared" si="156"/>
        <v/>
      </c>
      <c r="L3371" s="19" t="str">
        <f t="shared" si="157"/>
        <v/>
      </c>
      <c r="M3371" s="18" t="str">
        <f>IF(I3371&lt;&gt;"Sí","",IF(YEAR(F3371)&lt;&gt;2026,"",INDEX({"Enero","Febrero","Marzo","Abril","Mayo","Junio","Julio","Agosto","Septiembre","Octubre","Noviembre","Diciembre"},MONTH(F3371))))</f>
        <v/>
      </c>
      <c r="N3371" s="18" t="str">
        <f t="shared" si="158"/>
        <v/>
      </c>
    </row>
    <row r="3372" spans="11:14" ht="14.5" x14ac:dyDescent="0.25">
      <c r="K3372" s="21" t="str">
        <f t="shared" si="156"/>
        <v/>
      </c>
      <c r="L3372" s="19" t="str">
        <f t="shared" si="157"/>
        <v/>
      </c>
      <c r="M3372" s="18" t="str">
        <f>IF(I3372&lt;&gt;"Sí","",IF(YEAR(F3372)&lt;&gt;2026,"",INDEX({"Enero","Febrero","Marzo","Abril","Mayo","Junio","Julio","Agosto","Septiembre","Octubre","Noviembre","Diciembre"},MONTH(F3372))))</f>
        <v/>
      </c>
      <c r="N3372" s="18" t="str">
        <f t="shared" si="158"/>
        <v/>
      </c>
    </row>
    <row r="3373" spans="11:14" ht="14.5" x14ac:dyDescent="0.25">
      <c r="K3373" s="21" t="str">
        <f t="shared" si="156"/>
        <v/>
      </c>
      <c r="L3373" s="19" t="str">
        <f t="shared" si="157"/>
        <v/>
      </c>
      <c r="M3373" s="18" t="str">
        <f>IF(I3373&lt;&gt;"Sí","",IF(YEAR(F3373)&lt;&gt;2026,"",INDEX({"Enero","Febrero","Marzo","Abril","Mayo","Junio","Julio","Agosto","Septiembre","Octubre","Noviembre","Diciembre"},MONTH(F3373))))</f>
        <v/>
      </c>
      <c r="N3373" s="18" t="str">
        <f t="shared" si="158"/>
        <v/>
      </c>
    </row>
    <row r="3374" spans="11:14" ht="14.5" x14ac:dyDescent="0.25">
      <c r="K3374" s="21" t="str">
        <f t="shared" si="156"/>
        <v/>
      </c>
      <c r="L3374" s="19" t="str">
        <f t="shared" si="157"/>
        <v/>
      </c>
      <c r="M3374" s="18" t="str">
        <f>IF(I3374&lt;&gt;"Sí","",IF(YEAR(F3374)&lt;&gt;2026,"",INDEX({"Enero","Febrero","Marzo","Abril","Mayo","Junio","Julio","Agosto","Septiembre","Octubre","Noviembre","Diciembre"},MONTH(F3374))))</f>
        <v/>
      </c>
      <c r="N3374" s="18" t="str">
        <f t="shared" si="158"/>
        <v/>
      </c>
    </row>
    <row r="3375" spans="11:14" ht="14.5" x14ac:dyDescent="0.25">
      <c r="K3375" s="21" t="str">
        <f t="shared" si="156"/>
        <v/>
      </c>
      <c r="L3375" s="19" t="str">
        <f t="shared" si="157"/>
        <v/>
      </c>
      <c r="M3375" s="18" t="str">
        <f>IF(I3375&lt;&gt;"Sí","",IF(YEAR(F3375)&lt;&gt;2026,"",INDEX({"Enero","Febrero","Marzo","Abril","Mayo","Junio","Julio","Agosto","Septiembre","Octubre","Noviembre","Diciembre"},MONTH(F3375))))</f>
        <v/>
      </c>
      <c r="N3375" s="18" t="str">
        <f t="shared" si="158"/>
        <v/>
      </c>
    </row>
    <row r="3376" spans="11:14" ht="14.5" x14ac:dyDescent="0.25">
      <c r="K3376" s="21" t="str">
        <f t="shared" si="156"/>
        <v/>
      </c>
      <c r="L3376" s="19" t="str">
        <f t="shared" si="157"/>
        <v/>
      </c>
      <c r="M3376" s="18" t="str">
        <f>IF(I3376&lt;&gt;"Sí","",IF(YEAR(F3376)&lt;&gt;2026,"",INDEX({"Enero","Febrero","Marzo","Abril","Mayo","Junio","Julio","Agosto","Septiembre","Octubre","Noviembre","Diciembre"},MONTH(F3376))))</f>
        <v/>
      </c>
      <c r="N3376" s="18" t="str">
        <f t="shared" si="158"/>
        <v/>
      </c>
    </row>
    <row r="3377" spans="11:14" ht="14.5" x14ac:dyDescent="0.25">
      <c r="K3377" s="21" t="str">
        <f t="shared" si="156"/>
        <v/>
      </c>
      <c r="L3377" s="19" t="str">
        <f t="shared" si="157"/>
        <v/>
      </c>
      <c r="M3377" s="18" t="str">
        <f>IF(I3377&lt;&gt;"Sí","",IF(YEAR(F3377)&lt;&gt;2026,"",INDEX({"Enero","Febrero","Marzo","Abril","Mayo","Junio","Julio","Agosto","Septiembre","Octubre","Noviembre","Diciembre"},MONTH(F3377))))</f>
        <v/>
      </c>
      <c r="N3377" s="18" t="str">
        <f t="shared" si="158"/>
        <v/>
      </c>
    </row>
    <row r="3378" spans="11:14" ht="14.5" x14ac:dyDescent="0.25">
      <c r="K3378" s="21" t="str">
        <f t="shared" si="156"/>
        <v/>
      </c>
      <c r="L3378" s="19" t="str">
        <f t="shared" si="157"/>
        <v/>
      </c>
      <c r="M3378" s="18" t="str">
        <f>IF(I3378&lt;&gt;"Sí","",IF(YEAR(F3378)&lt;&gt;2026,"",INDEX({"Enero","Febrero","Marzo","Abril","Mayo","Junio","Julio","Agosto","Septiembre","Octubre","Noviembre","Diciembre"},MONTH(F3378))))</f>
        <v/>
      </c>
      <c r="N3378" s="18" t="str">
        <f t="shared" si="158"/>
        <v/>
      </c>
    </row>
    <row r="3379" spans="11:14" ht="14.5" x14ac:dyDescent="0.25">
      <c r="K3379" s="21" t="str">
        <f t="shared" si="156"/>
        <v/>
      </c>
      <c r="L3379" s="19" t="str">
        <f t="shared" si="157"/>
        <v/>
      </c>
      <c r="M3379" s="18" t="str">
        <f>IF(I3379&lt;&gt;"Sí","",IF(YEAR(F3379)&lt;&gt;2026,"",INDEX({"Enero","Febrero","Marzo","Abril","Mayo","Junio","Julio","Agosto","Septiembre","Octubre","Noviembre","Diciembre"},MONTH(F3379))))</f>
        <v/>
      </c>
      <c r="N3379" s="18" t="str">
        <f t="shared" si="158"/>
        <v/>
      </c>
    </row>
    <row r="3380" spans="11:14" ht="14.5" x14ac:dyDescent="0.25">
      <c r="K3380" s="21" t="str">
        <f t="shared" si="156"/>
        <v/>
      </c>
      <c r="L3380" s="19" t="str">
        <f t="shared" si="157"/>
        <v/>
      </c>
      <c r="M3380" s="18" t="str">
        <f>IF(I3380&lt;&gt;"Sí","",IF(YEAR(F3380)&lt;&gt;2026,"",INDEX({"Enero","Febrero","Marzo","Abril","Mayo","Junio","Julio","Agosto","Septiembre","Octubre","Noviembre","Diciembre"},MONTH(F3380))))</f>
        <v/>
      </c>
      <c r="N3380" s="18" t="str">
        <f t="shared" si="158"/>
        <v/>
      </c>
    </row>
    <row r="3381" spans="11:14" ht="14.5" x14ac:dyDescent="0.25">
      <c r="K3381" s="21" t="str">
        <f t="shared" si="156"/>
        <v/>
      </c>
      <c r="L3381" s="19" t="str">
        <f t="shared" si="157"/>
        <v/>
      </c>
      <c r="M3381" s="18" t="str">
        <f>IF(I3381&lt;&gt;"Sí","",IF(YEAR(F3381)&lt;&gt;2026,"",INDEX({"Enero","Febrero","Marzo","Abril","Mayo","Junio","Julio","Agosto","Septiembre","Octubre","Noviembre","Diciembre"},MONTH(F3381))))</f>
        <v/>
      </c>
      <c r="N3381" s="18" t="str">
        <f t="shared" si="158"/>
        <v/>
      </c>
    </row>
    <row r="3382" spans="11:14" ht="14.5" x14ac:dyDescent="0.25">
      <c r="K3382" s="21" t="str">
        <f t="shared" si="156"/>
        <v/>
      </c>
      <c r="L3382" s="19" t="str">
        <f t="shared" si="157"/>
        <v/>
      </c>
      <c r="M3382" s="18" t="str">
        <f>IF(I3382&lt;&gt;"Sí","",IF(YEAR(F3382)&lt;&gt;2026,"",INDEX({"Enero","Febrero","Marzo","Abril","Mayo","Junio","Julio","Agosto","Septiembre","Octubre","Noviembre","Diciembre"},MONTH(F3382))))</f>
        <v/>
      </c>
      <c r="N3382" s="18" t="str">
        <f t="shared" si="158"/>
        <v/>
      </c>
    </row>
    <row r="3383" spans="11:14" ht="14.5" x14ac:dyDescent="0.25">
      <c r="K3383" s="21" t="str">
        <f t="shared" si="156"/>
        <v/>
      </c>
      <c r="L3383" s="19" t="str">
        <f t="shared" si="157"/>
        <v/>
      </c>
      <c r="M3383" s="18" t="str">
        <f>IF(I3383&lt;&gt;"Sí","",IF(YEAR(F3383)&lt;&gt;2026,"",INDEX({"Enero","Febrero","Marzo","Abril","Mayo","Junio","Julio","Agosto","Septiembre","Octubre","Noviembre","Diciembre"},MONTH(F3383))))</f>
        <v/>
      </c>
      <c r="N3383" s="18" t="str">
        <f t="shared" si="158"/>
        <v/>
      </c>
    </row>
    <row r="3384" spans="11:14" ht="14.5" x14ac:dyDescent="0.25">
      <c r="K3384" s="21" t="str">
        <f t="shared" si="156"/>
        <v/>
      </c>
      <c r="L3384" s="19" t="str">
        <f t="shared" si="157"/>
        <v/>
      </c>
      <c r="M3384" s="18" t="str">
        <f>IF(I3384&lt;&gt;"Sí","",IF(YEAR(F3384)&lt;&gt;2026,"",INDEX({"Enero","Febrero","Marzo","Abril","Mayo","Junio","Julio","Agosto","Septiembre","Octubre","Noviembre","Diciembre"},MONTH(F3384))))</f>
        <v/>
      </c>
      <c r="N3384" s="18" t="str">
        <f t="shared" si="158"/>
        <v/>
      </c>
    </row>
    <row r="3385" spans="11:14" ht="14.5" x14ac:dyDescent="0.25">
      <c r="K3385" s="21" t="str">
        <f t="shared" si="156"/>
        <v/>
      </c>
      <c r="L3385" s="19" t="str">
        <f t="shared" si="157"/>
        <v/>
      </c>
      <c r="M3385" s="18" t="str">
        <f>IF(I3385&lt;&gt;"Sí","",IF(YEAR(F3385)&lt;&gt;2026,"",INDEX({"Enero","Febrero","Marzo","Abril","Mayo","Junio","Julio","Agosto","Septiembre","Octubre","Noviembre","Diciembre"},MONTH(F3385))))</f>
        <v/>
      </c>
      <c r="N3385" s="18" t="str">
        <f t="shared" si="158"/>
        <v/>
      </c>
    </row>
    <row r="3386" spans="11:14" ht="14.5" x14ac:dyDescent="0.25">
      <c r="K3386" s="21" t="str">
        <f t="shared" si="156"/>
        <v/>
      </c>
      <c r="L3386" s="19" t="str">
        <f t="shared" si="157"/>
        <v/>
      </c>
      <c r="M3386" s="18" t="str">
        <f>IF(I3386&lt;&gt;"Sí","",IF(YEAR(F3386)&lt;&gt;2026,"",INDEX({"Enero","Febrero","Marzo","Abril","Mayo","Junio","Julio","Agosto","Septiembre","Octubre","Noviembre","Diciembre"},MONTH(F3386))))</f>
        <v/>
      </c>
      <c r="N3386" s="18" t="str">
        <f t="shared" si="158"/>
        <v/>
      </c>
    </row>
    <row r="3387" spans="11:14" ht="14.5" x14ac:dyDescent="0.25">
      <c r="K3387" s="21" t="str">
        <f t="shared" si="156"/>
        <v/>
      </c>
      <c r="L3387" s="19" t="str">
        <f t="shared" si="157"/>
        <v/>
      </c>
      <c r="M3387" s="18" t="str">
        <f>IF(I3387&lt;&gt;"Sí","",IF(YEAR(F3387)&lt;&gt;2026,"",INDEX({"Enero","Febrero","Marzo","Abril","Mayo","Junio","Julio","Agosto","Septiembre","Octubre","Noviembre","Diciembre"},MONTH(F3387))))</f>
        <v/>
      </c>
      <c r="N3387" s="18" t="str">
        <f t="shared" si="158"/>
        <v/>
      </c>
    </row>
    <row r="3388" spans="11:14" ht="14.5" x14ac:dyDescent="0.25">
      <c r="K3388" s="21" t="str">
        <f t="shared" si="156"/>
        <v/>
      </c>
      <c r="L3388" s="19" t="str">
        <f t="shared" si="157"/>
        <v/>
      </c>
      <c r="M3388" s="18" t="str">
        <f>IF(I3388&lt;&gt;"Sí","",IF(YEAR(F3388)&lt;&gt;2026,"",INDEX({"Enero","Febrero","Marzo","Abril","Mayo","Junio","Julio","Agosto","Septiembre","Octubre","Noviembre","Diciembre"},MONTH(F3388))))</f>
        <v/>
      </c>
      <c r="N3388" s="18" t="str">
        <f t="shared" si="158"/>
        <v/>
      </c>
    </row>
    <row r="3389" spans="11:14" ht="14.5" x14ac:dyDescent="0.25">
      <c r="K3389" s="21" t="str">
        <f t="shared" si="156"/>
        <v/>
      </c>
      <c r="L3389" s="19" t="str">
        <f t="shared" si="157"/>
        <v/>
      </c>
      <c r="M3389" s="18" t="str">
        <f>IF(I3389&lt;&gt;"Sí","",IF(YEAR(F3389)&lt;&gt;2026,"",INDEX({"Enero","Febrero","Marzo","Abril","Mayo","Junio","Julio","Agosto","Septiembre","Octubre","Noviembre","Diciembre"},MONTH(F3389))))</f>
        <v/>
      </c>
      <c r="N3389" s="18" t="str">
        <f t="shared" si="158"/>
        <v/>
      </c>
    </row>
    <row r="3390" spans="11:14" ht="14.5" x14ac:dyDescent="0.25">
      <c r="K3390" s="21" t="str">
        <f t="shared" si="156"/>
        <v/>
      </c>
      <c r="L3390" s="19" t="str">
        <f t="shared" si="157"/>
        <v/>
      </c>
      <c r="M3390" s="18" t="str">
        <f>IF(I3390&lt;&gt;"Sí","",IF(YEAR(F3390)&lt;&gt;2026,"",INDEX({"Enero","Febrero","Marzo","Abril","Mayo","Junio","Julio","Agosto","Septiembre","Octubre","Noviembre","Diciembre"},MONTH(F3390))))</f>
        <v/>
      </c>
      <c r="N3390" s="18" t="str">
        <f t="shared" si="158"/>
        <v/>
      </c>
    </row>
    <row r="3391" spans="11:14" ht="14.5" x14ac:dyDescent="0.25">
      <c r="K3391" s="21" t="str">
        <f t="shared" si="156"/>
        <v/>
      </c>
      <c r="L3391" s="19" t="str">
        <f t="shared" si="157"/>
        <v/>
      </c>
      <c r="M3391" s="18" t="str">
        <f>IF(I3391&lt;&gt;"Sí","",IF(YEAR(F3391)&lt;&gt;2026,"",INDEX({"Enero","Febrero","Marzo","Abril","Mayo","Junio","Julio","Agosto","Septiembre","Octubre","Noviembre","Diciembre"},MONTH(F3391))))</f>
        <v/>
      </c>
      <c r="N3391" s="18" t="str">
        <f t="shared" si="158"/>
        <v/>
      </c>
    </row>
    <row r="3392" spans="11:14" ht="14.5" x14ac:dyDescent="0.25">
      <c r="K3392" s="21" t="str">
        <f t="shared" si="156"/>
        <v/>
      </c>
      <c r="L3392" s="19" t="str">
        <f t="shared" si="157"/>
        <v/>
      </c>
      <c r="M3392" s="18" t="str">
        <f>IF(I3392&lt;&gt;"Sí","",IF(YEAR(F3392)&lt;&gt;2026,"",INDEX({"Enero","Febrero","Marzo","Abril","Mayo","Junio","Julio","Agosto","Septiembre","Octubre","Noviembre","Diciembre"},MONTH(F3392))))</f>
        <v/>
      </c>
      <c r="N3392" s="18" t="str">
        <f t="shared" si="158"/>
        <v/>
      </c>
    </row>
    <row r="3393" spans="11:14" ht="14.5" x14ac:dyDescent="0.25">
      <c r="K3393" s="21" t="str">
        <f t="shared" si="156"/>
        <v/>
      </c>
      <c r="L3393" s="19" t="str">
        <f t="shared" si="157"/>
        <v/>
      </c>
      <c r="M3393" s="18" t="str">
        <f>IF(I3393&lt;&gt;"Sí","",IF(YEAR(F3393)&lt;&gt;2026,"",INDEX({"Enero","Febrero","Marzo","Abril","Mayo","Junio","Julio","Agosto","Septiembre","Octubre","Noviembre","Diciembre"},MONTH(F3393))))</f>
        <v/>
      </c>
      <c r="N3393" s="18" t="str">
        <f t="shared" si="158"/>
        <v/>
      </c>
    </row>
    <row r="3394" spans="11:14" ht="14.5" x14ac:dyDescent="0.25">
      <c r="K3394" s="21" t="str">
        <f t="shared" si="156"/>
        <v/>
      </c>
      <c r="L3394" s="19" t="str">
        <f t="shared" si="157"/>
        <v/>
      </c>
      <c r="M3394" s="18" t="str">
        <f>IF(I3394&lt;&gt;"Sí","",IF(YEAR(F3394)&lt;&gt;2026,"",INDEX({"Enero","Febrero","Marzo","Abril","Mayo","Junio","Julio","Agosto","Septiembre","Octubre","Noviembre","Diciembre"},MONTH(F3394))))</f>
        <v/>
      </c>
      <c r="N3394" s="18" t="str">
        <f t="shared" si="158"/>
        <v/>
      </c>
    </row>
    <row r="3395" spans="11:14" ht="14.5" x14ac:dyDescent="0.25">
      <c r="K3395" s="21" t="str">
        <f t="shared" si="156"/>
        <v/>
      </c>
      <c r="L3395" s="19" t="str">
        <f t="shared" si="157"/>
        <v/>
      </c>
      <c r="M3395" s="18" t="str">
        <f>IF(I3395&lt;&gt;"Sí","",IF(YEAR(F3395)&lt;&gt;2026,"",INDEX({"Enero","Febrero","Marzo","Abril","Mayo","Junio","Julio","Agosto","Septiembre","Octubre","Noviembre","Diciembre"},MONTH(F3395))))</f>
        <v/>
      </c>
      <c r="N3395" s="18" t="str">
        <f t="shared" si="158"/>
        <v/>
      </c>
    </row>
    <row r="3396" spans="11:14" ht="14.5" x14ac:dyDescent="0.25">
      <c r="K3396" s="21" t="str">
        <f t="shared" si="156"/>
        <v/>
      </c>
      <c r="L3396" s="19" t="str">
        <f t="shared" si="157"/>
        <v/>
      </c>
      <c r="M3396" s="18" t="str">
        <f>IF(I3396&lt;&gt;"Sí","",IF(YEAR(F3396)&lt;&gt;2026,"",INDEX({"Enero","Febrero","Marzo","Abril","Mayo","Junio","Julio","Agosto","Septiembre","Octubre","Noviembre","Diciembre"},MONTH(F3396))))</f>
        <v/>
      </c>
      <c r="N3396" s="18" t="str">
        <f t="shared" si="158"/>
        <v/>
      </c>
    </row>
    <row r="3397" spans="11:14" ht="14.5" x14ac:dyDescent="0.25">
      <c r="K3397" s="21" t="str">
        <f t="shared" si="156"/>
        <v/>
      </c>
      <c r="L3397" s="19" t="str">
        <f t="shared" si="157"/>
        <v/>
      </c>
      <c r="M3397" s="18" t="str">
        <f>IF(I3397&lt;&gt;"Sí","",IF(YEAR(F3397)&lt;&gt;2026,"",INDEX({"Enero","Febrero","Marzo","Abril","Mayo","Junio","Julio","Agosto","Septiembre","Octubre","Noviembre","Diciembre"},MONTH(F3397))))</f>
        <v/>
      </c>
      <c r="N3397" s="18" t="str">
        <f t="shared" si="158"/>
        <v/>
      </c>
    </row>
    <row r="3398" spans="11:14" ht="14.5" x14ac:dyDescent="0.25">
      <c r="K3398" s="21" t="str">
        <f t="shared" si="156"/>
        <v/>
      </c>
      <c r="L3398" s="19" t="str">
        <f t="shared" si="157"/>
        <v/>
      </c>
      <c r="M3398" s="18" t="str">
        <f>IF(I3398&lt;&gt;"Sí","",IF(YEAR(F3398)&lt;&gt;2026,"",INDEX({"Enero","Febrero","Marzo","Abril","Mayo","Junio","Julio","Agosto","Septiembre","Octubre","Noviembre","Diciembre"},MONTH(F3398))))</f>
        <v/>
      </c>
      <c r="N3398" s="18" t="str">
        <f t="shared" si="158"/>
        <v/>
      </c>
    </row>
    <row r="3399" spans="11:14" ht="14.5" x14ac:dyDescent="0.25">
      <c r="K3399" s="21" t="str">
        <f t="shared" ref="K3399:K3462" si="159">IF(I3399="Sí",(G3399-F3399)*24,"")</f>
        <v/>
      </c>
      <c r="L3399" s="19" t="str">
        <f t="shared" ref="L3399:L3462" si="160">IF(I3399="Sí",COUNTIFS($F$7:$F$4000,"&lt;="&amp;F3399,$G$7:$G$4000,"&gt;"&amp;F3399,$I$7:$I$4000,"Sí"),"")</f>
        <v/>
      </c>
      <c r="M3399" s="18" t="str">
        <f>IF(I3399&lt;&gt;"Sí","",IF(YEAR(F3399)&lt;&gt;2026,"",INDEX({"Enero","Febrero","Marzo","Abril","Mayo","Junio","Julio","Agosto","Septiembre","Octubre","Noviembre","Diciembre"},MONTH(F3399))))</f>
        <v/>
      </c>
      <c r="N3399" s="18" t="str">
        <f t="shared" ref="N3399:N3462" si="161">IF(M3399="","",M3399&amp;"|"&amp;L3399)</f>
        <v/>
      </c>
    </row>
    <row r="3400" spans="11:14" ht="14.5" x14ac:dyDescent="0.25">
      <c r="K3400" s="21" t="str">
        <f t="shared" si="159"/>
        <v/>
      </c>
      <c r="L3400" s="19" t="str">
        <f t="shared" si="160"/>
        <v/>
      </c>
      <c r="M3400" s="18" t="str">
        <f>IF(I3400&lt;&gt;"Sí","",IF(YEAR(F3400)&lt;&gt;2026,"",INDEX({"Enero","Febrero","Marzo","Abril","Mayo","Junio","Julio","Agosto","Septiembre","Octubre","Noviembre","Diciembre"},MONTH(F3400))))</f>
        <v/>
      </c>
      <c r="N3400" s="18" t="str">
        <f t="shared" si="161"/>
        <v/>
      </c>
    </row>
    <row r="3401" spans="11:14" ht="14.5" x14ac:dyDescent="0.25">
      <c r="K3401" s="21" t="str">
        <f t="shared" si="159"/>
        <v/>
      </c>
      <c r="L3401" s="19" t="str">
        <f t="shared" si="160"/>
        <v/>
      </c>
      <c r="M3401" s="18" t="str">
        <f>IF(I3401&lt;&gt;"Sí","",IF(YEAR(F3401)&lt;&gt;2026,"",INDEX({"Enero","Febrero","Marzo","Abril","Mayo","Junio","Julio","Agosto","Septiembre","Octubre","Noviembre","Diciembre"},MONTH(F3401))))</f>
        <v/>
      </c>
      <c r="N3401" s="18" t="str">
        <f t="shared" si="161"/>
        <v/>
      </c>
    </row>
    <row r="3402" spans="11:14" ht="14.5" x14ac:dyDescent="0.25">
      <c r="K3402" s="21" t="str">
        <f t="shared" si="159"/>
        <v/>
      </c>
      <c r="L3402" s="19" t="str">
        <f t="shared" si="160"/>
        <v/>
      </c>
      <c r="M3402" s="18" t="str">
        <f>IF(I3402&lt;&gt;"Sí","",IF(YEAR(F3402)&lt;&gt;2026,"",INDEX({"Enero","Febrero","Marzo","Abril","Mayo","Junio","Julio","Agosto","Septiembre","Octubre","Noviembre","Diciembre"},MONTH(F3402))))</f>
        <v/>
      </c>
      <c r="N3402" s="18" t="str">
        <f t="shared" si="161"/>
        <v/>
      </c>
    </row>
    <row r="3403" spans="11:14" ht="14.5" x14ac:dyDescent="0.25">
      <c r="K3403" s="21" t="str">
        <f t="shared" si="159"/>
        <v/>
      </c>
      <c r="L3403" s="19" t="str">
        <f t="shared" si="160"/>
        <v/>
      </c>
      <c r="M3403" s="18" t="str">
        <f>IF(I3403&lt;&gt;"Sí","",IF(YEAR(F3403)&lt;&gt;2026,"",INDEX({"Enero","Febrero","Marzo","Abril","Mayo","Junio","Julio","Agosto","Septiembre","Octubre","Noviembre","Diciembre"},MONTH(F3403))))</f>
        <v/>
      </c>
      <c r="N3403" s="18" t="str">
        <f t="shared" si="161"/>
        <v/>
      </c>
    </row>
    <row r="3404" spans="11:14" ht="14.5" x14ac:dyDescent="0.25">
      <c r="K3404" s="21" t="str">
        <f t="shared" si="159"/>
        <v/>
      </c>
      <c r="L3404" s="19" t="str">
        <f t="shared" si="160"/>
        <v/>
      </c>
      <c r="M3404" s="18" t="str">
        <f>IF(I3404&lt;&gt;"Sí","",IF(YEAR(F3404)&lt;&gt;2026,"",INDEX({"Enero","Febrero","Marzo","Abril","Mayo","Junio","Julio","Agosto","Septiembre","Octubre","Noviembre","Diciembre"},MONTH(F3404))))</f>
        <v/>
      </c>
      <c r="N3404" s="18" t="str">
        <f t="shared" si="161"/>
        <v/>
      </c>
    </row>
    <row r="3405" spans="11:14" ht="14.5" x14ac:dyDescent="0.25">
      <c r="K3405" s="21" t="str">
        <f t="shared" si="159"/>
        <v/>
      </c>
      <c r="L3405" s="19" t="str">
        <f t="shared" si="160"/>
        <v/>
      </c>
      <c r="M3405" s="18" t="str">
        <f>IF(I3405&lt;&gt;"Sí","",IF(YEAR(F3405)&lt;&gt;2026,"",INDEX({"Enero","Febrero","Marzo","Abril","Mayo","Junio","Julio","Agosto","Septiembre","Octubre","Noviembre","Diciembre"},MONTH(F3405))))</f>
        <v/>
      </c>
      <c r="N3405" s="18" t="str">
        <f t="shared" si="161"/>
        <v/>
      </c>
    </row>
    <row r="3406" spans="11:14" ht="14.5" x14ac:dyDescent="0.25">
      <c r="K3406" s="21" t="str">
        <f t="shared" si="159"/>
        <v/>
      </c>
      <c r="L3406" s="19" t="str">
        <f t="shared" si="160"/>
        <v/>
      </c>
      <c r="M3406" s="18" t="str">
        <f>IF(I3406&lt;&gt;"Sí","",IF(YEAR(F3406)&lt;&gt;2026,"",INDEX({"Enero","Febrero","Marzo","Abril","Mayo","Junio","Julio","Agosto","Septiembre","Octubre","Noviembre","Diciembre"},MONTH(F3406))))</f>
        <v/>
      </c>
      <c r="N3406" s="18" t="str">
        <f t="shared" si="161"/>
        <v/>
      </c>
    </row>
    <row r="3407" spans="11:14" ht="14.5" x14ac:dyDescent="0.25">
      <c r="K3407" s="21" t="str">
        <f t="shared" si="159"/>
        <v/>
      </c>
      <c r="L3407" s="19" t="str">
        <f t="shared" si="160"/>
        <v/>
      </c>
      <c r="M3407" s="18" t="str">
        <f>IF(I3407&lt;&gt;"Sí","",IF(YEAR(F3407)&lt;&gt;2026,"",INDEX({"Enero","Febrero","Marzo","Abril","Mayo","Junio","Julio","Agosto","Septiembre","Octubre","Noviembre","Diciembre"},MONTH(F3407))))</f>
        <v/>
      </c>
      <c r="N3407" s="18" t="str">
        <f t="shared" si="161"/>
        <v/>
      </c>
    </row>
    <row r="3408" spans="11:14" ht="14.5" x14ac:dyDescent="0.25">
      <c r="K3408" s="21" t="str">
        <f t="shared" si="159"/>
        <v/>
      </c>
      <c r="L3408" s="19" t="str">
        <f t="shared" si="160"/>
        <v/>
      </c>
      <c r="M3408" s="18" t="str">
        <f>IF(I3408&lt;&gt;"Sí","",IF(YEAR(F3408)&lt;&gt;2026,"",INDEX({"Enero","Febrero","Marzo","Abril","Mayo","Junio","Julio","Agosto","Septiembre","Octubre","Noviembre","Diciembre"},MONTH(F3408))))</f>
        <v/>
      </c>
      <c r="N3408" s="18" t="str">
        <f t="shared" si="161"/>
        <v/>
      </c>
    </row>
    <row r="3409" spans="11:14" ht="14.5" x14ac:dyDescent="0.25">
      <c r="K3409" s="21" t="str">
        <f t="shared" si="159"/>
        <v/>
      </c>
      <c r="L3409" s="19" t="str">
        <f t="shared" si="160"/>
        <v/>
      </c>
      <c r="M3409" s="18" t="str">
        <f>IF(I3409&lt;&gt;"Sí","",IF(YEAR(F3409)&lt;&gt;2026,"",INDEX({"Enero","Febrero","Marzo","Abril","Mayo","Junio","Julio","Agosto","Septiembre","Octubre","Noviembre","Diciembre"},MONTH(F3409))))</f>
        <v/>
      </c>
      <c r="N3409" s="18" t="str">
        <f t="shared" si="161"/>
        <v/>
      </c>
    </row>
    <row r="3410" spans="11:14" ht="14.5" x14ac:dyDescent="0.25">
      <c r="K3410" s="21" t="str">
        <f t="shared" si="159"/>
        <v/>
      </c>
      <c r="L3410" s="19" t="str">
        <f t="shared" si="160"/>
        <v/>
      </c>
      <c r="M3410" s="18" t="str">
        <f>IF(I3410&lt;&gt;"Sí","",IF(YEAR(F3410)&lt;&gt;2026,"",INDEX({"Enero","Febrero","Marzo","Abril","Mayo","Junio","Julio","Agosto","Septiembre","Octubre","Noviembre","Diciembre"},MONTH(F3410))))</f>
        <v/>
      </c>
      <c r="N3410" s="18" t="str">
        <f t="shared" si="161"/>
        <v/>
      </c>
    </row>
    <row r="3411" spans="11:14" ht="14.5" x14ac:dyDescent="0.25">
      <c r="K3411" s="21" t="str">
        <f t="shared" si="159"/>
        <v/>
      </c>
      <c r="L3411" s="19" t="str">
        <f t="shared" si="160"/>
        <v/>
      </c>
      <c r="M3411" s="18" t="str">
        <f>IF(I3411&lt;&gt;"Sí","",IF(YEAR(F3411)&lt;&gt;2026,"",INDEX({"Enero","Febrero","Marzo","Abril","Mayo","Junio","Julio","Agosto","Septiembre","Octubre","Noviembre","Diciembre"},MONTH(F3411))))</f>
        <v/>
      </c>
      <c r="N3411" s="18" t="str">
        <f t="shared" si="161"/>
        <v/>
      </c>
    </row>
    <row r="3412" spans="11:14" ht="14.5" x14ac:dyDescent="0.25">
      <c r="K3412" s="21" t="str">
        <f t="shared" si="159"/>
        <v/>
      </c>
      <c r="L3412" s="19" t="str">
        <f t="shared" si="160"/>
        <v/>
      </c>
      <c r="M3412" s="18" t="str">
        <f>IF(I3412&lt;&gt;"Sí","",IF(YEAR(F3412)&lt;&gt;2026,"",INDEX({"Enero","Febrero","Marzo","Abril","Mayo","Junio","Julio","Agosto","Septiembre","Octubre","Noviembre","Diciembre"},MONTH(F3412))))</f>
        <v/>
      </c>
      <c r="N3412" s="18" t="str">
        <f t="shared" si="161"/>
        <v/>
      </c>
    </row>
    <row r="3413" spans="11:14" ht="14.5" x14ac:dyDescent="0.25">
      <c r="K3413" s="21" t="str">
        <f t="shared" si="159"/>
        <v/>
      </c>
      <c r="L3413" s="19" t="str">
        <f t="shared" si="160"/>
        <v/>
      </c>
      <c r="M3413" s="18" t="str">
        <f>IF(I3413&lt;&gt;"Sí","",IF(YEAR(F3413)&lt;&gt;2026,"",INDEX({"Enero","Febrero","Marzo","Abril","Mayo","Junio","Julio","Agosto","Septiembre","Octubre","Noviembre","Diciembre"},MONTH(F3413))))</f>
        <v/>
      </c>
      <c r="N3413" s="18" t="str">
        <f t="shared" si="161"/>
        <v/>
      </c>
    </row>
    <row r="3414" spans="11:14" ht="14.5" x14ac:dyDescent="0.25">
      <c r="K3414" s="21" t="str">
        <f t="shared" si="159"/>
        <v/>
      </c>
      <c r="L3414" s="19" t="str">
        <f t="shared" si="160"/>
        <v/>
      </c>
      <c r="M3414" s="18" t="str">
        <f>IF(I3414&lt;&gt;"Sí","",IF(YEAR(F3414)&lt;&gt;2026,"",INDEX({"Enero","Febrero","Marzo","Abril","Mayo","Junio","Julio","Agosto","Septiembre","Octubre","Noviembre","Diciembre"},MONTH(F3414))))</f>
        <v/>
      </c>
      <c r="N3414" s="18" t="str">
        <f t="shared" si="161"/>
        <v/>
      </c>
    </row>
    <row r="3415" spans="11:14" ht="14.5" x14ac:dyDescent="0.25">
      <c r="K3415" s="21" t="str">
        <f t="shared" si="159"/>
        <v/>
      </c>
      <c r="L3415" s="19" t="str">
        <f t="shared" si="160"/>
        <v/>
      </c>
      <c r="M3415" s="18" t="str">
        <f>IF(I3415&lt;&gt;"Sí","",IF(YEAR(F3415)&lt;&gt;2026,"",INDEX({"Enero","Febrero","Marzo","Abril","Mayo","Junio","Julio","Agosto","Septiembre","Octubre","Noviembre","Diciembre"},MONTH(F3415))))</f>
        <v/>
      </c>
      <c r="N3415" s="18" t="str">
        <f t="shared" si="161"/>
        <v/>
      </c>
    </row>
    <row r="3416" spans="11:14" ht="14.5" x14ac:dyDescent="0.25">
      <c r="K3416" s="21" t="str">
        <f t="shared" si="159"/>
        <v/>
      </c>
      <c r="L3416" s="19" t="str">
        <f t="shared" si="160"/>
        <v/>
      </c>
      <c r="M3416" s="18" t="str">
        <f>IF(I3416&lt;&gt;"Sí","",IF(YEAR(F3416)&lt;&gt;2026,"",INDEX({"Enero","Febrero","Marzo","Abril","Mayo","Junio","Julio","Agosto","Septiembre","Octubre","Noviembre","Diciembre"},MONTH(F3416))))</f>
        <v/>
      </c>
      <c r="N3416" s="18" t="str">
        <f t="shared" si="161"/>
        <v/>
      </c>
    </row>
    <row r="3417" spans="11:14" ht="14.5" x14ac:dyDescent="0.25">
      <c r="K3417" s="21" t="str">
        <f t="shared" si="159"/>
        <v/>
      </c>
      <c r="L3417" s="19" t="str">
        <f t="shared" si="160"/>
        <v/>
      </c>
      <c r="M3417" s="18" t="str">
        <f>IF(I3417&lt;&gt;"Sí","",IF(YEAR(F3417)&lt;&gt;2026,"",INDEX({"Enero","Febrero","Marzo","Abril","Mayo","Junio","Julio","Agosto","Septiembre","Octubre","Noviembre","Diciembre"},MONTH(F3417))))</f>
        <v/>
      </c>
      <c r="N3417" s="18" t="str">
        <f t="shared" si="161"/>
        <v/>
      </c>
    </row>
    <row r="3418" spans="11:14" ht="14.5" x14ac:dyDescent="0.25">
      <c r="K3418" s="21" t="str">
        <f t="shared" si="159"/>
        <v/>
      </c>
      <c r="L3418" s="19" t="str">
        <f t="shared" si="160"/>
        <v/>
      </c>
      <c r="M3418" s="18" t="str">
        <f>IF(I3418&lt;&gt;"Sí","",IF(YEAR(F3418)&lt;&gt;2026,"",INDEX({"Enero","Febrero","Marzo","Abril","Mayo","Junio","Julio","Agosto","Septiembre","Octubre","Noviembre","Diciembre"},MONTH(F3418))))</f>
        <v/>
      </c>
      <c r="N3418" s="18" t="str">
        <f t="shared" si="161"/>
        <v/>
      </c>
    </row>
    <row r="3419" spans="11:14" ht="14.5" x14ac:dyDescent="0.25">
      <c r="K3419" s="21" t="str">
        <f t="shared" si="159"/>
        <v/>
      </c>
      <c r="L3419" s="19" t="str">
        <f t="shared" si="160"/>
        <v/>
      </c>
      <c r="M3419" s="18" t="str">
        <f>IF(I3419&lt;&gt;"Sí","",IF(YEAR(F3419)&lt;&gt;2026,"",INDEX({"Enero","Febrero","Marzo","Abril","Mayo","Junio","Julio","Agosto","Septiembre","Octubre","Noviembre","Diciembre"},MONTH(F3419))))</f>
        <v/>
      </c>
      <c r="N3419" s="18" t="str">
        <f t="shared" si="161"/>
        <v/>
      </c>
    </row>
    <row r="3420" spans="11:14" ht="14.5" x14ac:dyDescent="0.25">
      <c r="K3420" s="21" t="str">
        <f t="shared" si="159"/>
        <v/>
      </c>
      <c r="L3420" s="19" t="str">
        <f t="shared" si="160"/>
        <v/>
      </c>
      <c r="M3420" s="18" t="str">
        <f>IF(I3420&lt;&gt;"Sí","",IF(YEAR(F3420)&lt;&gt;2026,"",INDEX({"Enero","Febrero","Marzo","Abril","Mayo","Junio","Julio","Agosto","Septiembre","Octubre","Noviembre","Diciembre"},MONTH(F3420))))</f>
        <v/>
      </c>
      <c r="N3420" s="18" t="str">
        <f t="shared" si="161"/>
        <v/>
      </c>
    </row>
    <row r="3421" spans="11:14" ht="14.5" x14ac:dyDescent="0.25">
      <c r="K3421" s="21" t="str">
        <f t="shared" si="159"/>
        <v/>
      </c>
      <c r="L3421" s="19" t="str">
        <f t="shared" si="160"/>
        <v/>
      </c>
      <c r="M3421" s="18" t="str">
        <f>IF(I3421&lt;&gt;"Sí","",IF(YEAR(F3421)&lt;&gt;2026,"",INDEX({"Enero","Febrero","Marzo","Abril","Mayo","Junio","Julio","Agosto","Septiembre","Octubre","Noviembre","Diciembre"},MONTH(F3421))))</f>
        <v/>
      </c>
      <c r="N3421" s="18" t="str">
        <f t="shared" si="161"/>
        <v/>
      </c>
    </row>
    <row r="3422" spans="11:14" ht="14.5" x14ac:dyDescent="0.25">
      <c r="K3422" s="21" t="str">
        <f t="shared" si="159"/>
        <v/>
      </c>
      <c r="L3422" s="19" t="str">
        <f t="shared" si="160"/>
        <v/>
      </c>
      <c r="M3422" s="18" t="str">
        <f>IF(I3422&lt;&gt;"Sí","",IF(YEAR(F3422)&lt;&gt;2026,"",INDEX({"Enero","Febrero","Marzo","Abril","Mayo","Junio","Julio","Agosto","Septiembre","Octubre","Noviembre","Diciembre"},MONTH(F3422))))</f>
        <v/>
      </c>
      <c r="N3422" s="18" t="str">
        <f t="shared" si="161"/>
        <v/>
      </c>
    </row>
    <row r="3423" spans="11:14" ht="14.5" x14ac:dyDescent="0.25">
      <c r="K3423" s="21" t="str">
        <f t="shared" si="159"/>
        <v/>
      </c>
      <c r="L3423" s="19" t="str">
        <f t="shared" si="160"/>
        <v/>
      </c>
      <c r="M3423" s="18" t="str">
        <f>IF(I3423&lt;&gt;"Sí","",IF(YEAR(F3423)&lt;&gt;2026,"",INDEX({"Enero","Febrero","Marzo","Abril","Mayo","Junio","Julio","Agosto","Septiembre","Octubre","Noviembre","Diciembre"},MONTH(F3423))))</f>
        <v/>
      </c>
      <c r="N3423" s="18" t="str">
        <f t="shared" si="161"/>
        <v/>
      </c>
    </row>
    <row r="3424" spans="11:14" ht="14.5" x14ac:dyDescent="0.25">
      <c r="K3424" s="21" t="str">
        <f t="shared" si="159"/>
        <v/>
      </c>
      <c r="L3424" s="19" t="str">
        <f t="shared" si="160"/>
        <v/>
      </c>
      <c r="M3424" s="18" t="str">
        <f>IF(I3424&lt;&gt;"Sí","",IF(YEAR(F3424)&lt;&gt;2026,"",INDEX({"Enero","Febrero","Marzo","Abril","Mayo","Junio","Julio","Agosto","Septiembre","Octubre","Noviembre","Diciembre"},MONTH(F3424))))</f>
        <v/>
      </c>
      <c r="N3424" s="18" t="str">
        <f t="shared" si="161"/>
        <v/>
      </c>
    </row>
    <row r="3425" spans="11:14" ht="14.5" x14ac:dyDescent="0.25">
      <c r="K3425" s="21" t="str">
        <f t="shared" si="159"/>
        <v/>
      </c>
      <c r="L3425" s="19" t="str">
        <f t="shared" si="160"/>
        <v/>
      </c>
      <c r="M3425" s="18" t="str">
        <f>IF(I3425&lt;&gt;"Sí","",IF(YEAR(F3425)&lt;&gt;2026,"",INDEX({"Enero","Febrero","Marzo","Abril","Mayo","Junio","Julio","Agosto","Septiembre","Octubre","Noviembre","Diciembre"},MONTH(F3425))))</f>
        <v/>
      </c>
      <c r="N3425" s="18" t="str">
        <f t="shared" si="161"/>
        <v/>
      </c>
    </row>
    <row r="3426" spans="11:14" ht="14.5" x14ac:dyDescent="0.25">
      <c r="K3426" s="21" t="str">
        <f t="shared" si="159"/>
        <v/>
      </c>
      <c r="L3426" s="19" t="str">
        <f t="shared" si="160"/>
        <v/>
      </c>
      <c r="M3426" s="18" t="str">
        <f>IF(I3426&lt;&gt;"Sí","",IF(YEAR(F3426)&lt;&gt;2026,"",INDEX({"Enero","Febrero","Marzo","Abril","Mayo","Junio","Julio","Agosto","Septiembre","Octubre","Noviembre","Diciembre"},MONTH(F3426))))</f>
        <v/>
      </c>
      <c r="N3426" s="18" t="str">
        <f t="shared" si="161"/>
        <v/>
      </c>
    </row>
    <row r="3427" spans="11:14" ht="14.5" x14ac:dyDescent="0.25">
      <c r="K3427" s="21" t="str">
        <f t="shared" si="159"/>
        <v/>
      </c>
      <c r="L3427" s="19" t="str">
        <f t="shared" si="160"/>
        <v/>
      </c>
      <c r="M3427" s="18" t="str">
        <f>IF(I3427&lt;&gt;"Sí","",IF(YEAR(F3427)&lt;&gt;2026,"",INDEX({"Enero","Febrero","Marzo","Abril","Mayo","Junio","Julio","Agosto","Septiembre","Octubre","Noviembre","Diciembre"},MONTH(F3427))))</f>
        <v/>
      </c>
      <c r="N3427" s="18" t="str">
        <f t="shared" si="161"/>
        <v/>
      </c>
    </row>
    <row r="3428" spans="11:14" ht="14.5" x14ac:dyDescent="0.25">
      <c r="K3428" s="21" t="str">
        <f t="shared" si="159"/>
        <v/>
      </c>
      <c r="L3428" s="19" t="str">
        <f t="shared" si="160"/>
        <v/>
      </c>
      <c r="M3428" s="18" t="str">
        <f>IF(I3428&lt;&gt;"Sí","",IF(YEAR(F3428)&lt;&gt;2026,"",INDEX({"Enero","Febrero","Marzo","Abril","Mayo","Junio","Julio","Agosto","Septiembre","Octubre","Noviembre","Diciembre"},MONTH(F3428))))</f>
        <v/>
      </c>
      <c r="N3428" s="18" t="str">
        <f t="shared" si="161"/>
        <v/>
      </c>
    </row>
    <row r="3429" spans="11:14" ht="14.5" x14ac:dyDescent="0.25">
      <c r="K3429" s="21" t="str">
        <f t="shared" si="159"/>
        <v/>
      </c>
      <c r="L3429" s="19" t="str">
        <f t="shared" si="160"/>
        <v/>
      </c>
      <c r="M3429" s="18" t="str">
        <f>IF(I3429&lt;&gt;"Sí","",IF(YEAR(F3429)&lt;&gt;2026,"",INDEX({"Enero","Febrero","Marzo","Abril","Mayo","Junio","Julio","Agosto","Septiembre","Octubre","Noviembre","Diciembre"},MONTH(F3429))))</f>
        <v/>
      </c>
      <c r="N3429" s="18" t="str">
        <f t="shared" si="161"/>
        <v/>
      </c>
    </row>
    <row r="3430" spans="11:14" ht="14.5" x14ac:dyDescent="0.25">
      <c r="K3430" s="21" t="str">
        <f t="shared" si="159"/>
        <v/>
      </c>
      <c r="L3430" s="19" t="str">
        <f t="shared" si="160"/>
        <v/>
      </c>
      <c r="M3430" s="18" t="str">
        <f>IF(I3430&lt;&gt;"Sí","",IF(YEAR(F3430)&lt;&gt;2026,"",INDEX({"Enero","Febrero","Marzo","Abril","Mayo","Junio","Julio","Agosto","Septiembre","Octubre","Noviembre","Diciembre"},MONTH(F3430))))</f>
        <v/>
      </c>
      <c r="N3430" s="18" t="str">
        <f t="shared" si="161"/>
        <v/>
      </c>
    </row>
    <row r="3431" spans="11:14" ht="14.5" x14ac:dyDescent="0.25">
      <c r="K3431" s="21" t="str">
        <f t="shared" si="159"/>
        <v/>
      </c>
      <c r="L3431" s="19" t="str">
        <f t="shared" si="160"/>
        <v/>
      </c>
      <c r="M3431" s="18" t="str">
        <f>IF(I3431&lt;&gt;"Sí","",IF(YEAR(F3431)&lt;&gt;2026,"",INDEX({"Enero","Febrero","Marzo","Abril","Mayo","Junio","Julio","Agosto","Septiembre","Octubre","Noviembre","Diciembre"},MONTH(F3431))))</f>
        <v/>
      </c>
      <c r="N3431" s="18" t="str">
        <f t="shared" si="161"/>
        <v/>
      </c>
    </row>
    <row r="3432" spans="11:14" ht="14.5" x14ac:dyDescent="0.25">
      <c r="K3432" s="21" t="str">
        <f t="shared" si="159"/>
        <v/>
      </c>
      <c r="L3432" s="19" t="str">
        <f t="shared" si="160"/>
        <v/>
      </c>
      <c r="M3432" s="18" t="str">
        <f>IF(I3432&lt;&gt;"Sí","",IF(YEAR(F3432)&lt;&gt;2026,"",INDEX({"Enero","Febrero","Marzo","Abril","Mayo","Junio","Julio","Agosto","Septiembre","Octubre","Noviembre","Diciembre"},MONTH(F3432))))</f>
        <v/>
      </c>
      <c r="N3432" s="18" t="str">
        <f t="shared" si="161"/>
        <v/>
      </c>
    </row>
    <row r="3433" spans="11:14" ht="14.5" x14ac:dyDescent="0.25">
      <c r="K3433" s="21" t="str">
        <f t="shared" si="159"/>
        <v/>
      </c>
      <c r="L3433" s="19" t="str">
        <f t="shared" si="160"/>
        <v/>
      </c>
      <c r="M3433" s="18" t="str">
        <f>IF(I3433&lt;&gt;"Sí","",IF(YEAR(F3433)&lt;&gt;2026,"",INDEX({"Enero","Febrero","Marzo","Abril","Mayo","Junio","Julio","Agosto","Septiembre","Octubre","Noviembre","Diciembre"},MONTH(F3433))))</f>
        <v/>
      </c>
      <c r="N3433" s="18" t="str">
        <f t="shared" si="161"/>
        <v/>
      </c>
    </row>
    <row r="3434" spans="11:14" ht="14.5" x14ac:dyDescent="0.25">
      <c r="K3434" s="21" t="str">
        <f t="shared" si="159"/>
        <v/>
      </c>
      <c r="L3434" s="19" t="str">
        <f t="shared" si="160"/>
        <v/>
      </c>
      <c r="M3434" s="18" t="str">
        <f>IF(I3434&lt;&gt;"Sí","",IF(YEAR(F3434)&lt;&gt;2026,"",INDEX({"Enero","Febrero","Marzo","Abril","Mayo","Junio","Julio","Agosto","Septiembre","Octubre","Noviembre","Diciembre"},MONTH(F3434))))</f>
        <v/>
      </c>
      <c r="N3434" s="18" t="str">
        <f t="shared" si="161"/>
        <v/>
      </c>
    </row>
    <row r="3435" spans="11:14" ht="14.5" x14ac:dyDescent="0.25">
      <c r="K3435" s="21" t="str">
        <f t="shared" si="159"/>
        <v/>
      </c>
      <c r="L3435" s="19" t="str">
        <f t="shared" si="160"/>
        <v/>
      </c>
      <c r="M3435" s="18" t="str">
        <f>IF(I3435&lt;&gt;"Sí","",IF(YEAR(F3435)&lt;&gt;2026,"",INDEX({"Enero","Febrero","Marzo","Abril","Mayo","Junio","Julio","Agosto","Septiembre","Octubre","Noviembre","Diciembre"},MONTH(F3435))))</f>
        <v/>
      </c>
      <c r="N3435" s="18" t="str">
        <f t="shared" si="161"/>
        <v/>
      </c>
    </row>
    <row r="3436" spans="11:14" ht="14.5" x14ac:dyDescent="0.25">
      <c r="K3436" s="21" t="str">
        <f t="shared" si="159"/>
        <v/>
      </c>
      <c r="L3436" s="19" t="str">
        <f t="shared" si="160"/>
        <v/>
      </c>
      <c r="M3436" s="18" t="str">
        <f>IF(I3436&lt;&gt;"Sí","",IF(YEAR(F3436)&lt;&gt;2026,"",INDEX({"Enero","Febrero","Marzo","Abril","Mayo","Junio","Julio","Agosto","Septiembre","Octubre","Noviembre","Diciembre"},MONTH(F3436))))</f>
        <v/>
      </c>
      <c r="N3436" s="18" t="str">
        <f t="shared" si="161"/>
        <v/>
      </c>
    </row>
    <row r="3437" spans="11:14" ht="14.5" x14ac:dyDescent="0.25">
      <c r="K3437" s="21" t="str">
        <f t="shared" si="159"/>
        <v/>
      </c>
      <c r="L3437" s="19" t="str">
        <f t="shared" si="160"/>
        <v/>
      </c>
      <c r="M3437" s="18" t="str">
        <f>IF(I3437&lt;&gt;"Sí","",IF(YEAR(F3437)&lt;&gt;2026,"",INDEX({"Enero","Febrero","Marzo","Abril","Mayo","Junio","Julio","Agosto","Septiembre","Octubre","Noviembre","Diciembre"},MONTH(F3437))))</f>
        <v/>
      </c>
      <c r="N3437" s="18" t="str">
        <f t="shared" si="161"/>
        <v/>
      </c>
    </row>
    <row r="3438" spans="11:14" ht="14.5" x14ac:dyDescent="0.25">
      <c r="K3438" s="21" t="str">
        <f t="shared" si="159"/>
        <v/>
      </c>
      <c r="L3438" s="19" t="str">
        <f t="shared" si="160"/>
        <v/>
      </c>
      <c r="M3438" s="18" t="str">
        <f>IF(I3438&lt;&gt;"Sí","",IF(YEAR(F3438)&lt;&gt;2026,"",INDEX({"Enero","Febrero","Marzo","Abril","Mayo","Junio","Julio","Agosto","Septiembre","Octubre","Noviembre","Diciembre"},MONTH(F3438))))</f>
        <v/>
      </c>
      <c r="N3438" s="18" t="str">
        <f t="shared" si="161"/>
        <v/>
      </c>
    </row>
    <row r="3439" spans="11:14" ht="14.5" x14ac:dyDescent="0.25">
      <c r="K3439" s="21" t="str">
        <f t="shared" si="159"/>
        <v/>
      </c>
      <c r="L3439" s="19" t="str">
        <f t="shared" si="160"/>
        <v/>
      </c>
      <c r="M3439" s="18" t="str">
        <f>IF(I3439&lt;&gt;"Sí","",IF(YEAR(F3439)&lt;&gt;2026,"",INDEX({"Enero","Febrero","Marzo","Abril","Mayo","Junio","Julio","Agosto","Septiembre","Octubre","Noviembre","Diciembre"},MONTH(F3439))))</f>
        <v/>
      </c>
      <c r="N3439" s="18" t="str">
        <f t="shared" si="161"/>
        <v/>
      </c>
    </row>
    <row r="3440" spans="11:14" ht="14.5" x14ac:dyDescent="0.25">
      <c r="K3440" s="21" t="str">
        <f t="shared" si="159"/>
        <v/>
      </c>
      <c r="L3440" s="19" t="str">
        <f t="shared" si="160"/>
        <v/>
      </c>
      <c r="M3440" s="18" t="str">
        <f>IF(I3440&lt;&gt;"Sí","",IF(YEAR(F3440)&lt;&gt;2026,"",INDEX({"Enero","Febrero","Marzo","Abril","Mayo","Junio","Julio","Agosto","Septiembre","Octubre","Noviembre","Diciembre"},MONTH(F3440))))</f>
        <v/>
      </c>
      <c r="N3440" s="18" t="str">
        <f t="shared" si="161"/>
        <v/>
      </c>
    </row>
    <row r="3441" spans="11:14" ht="14.5" x14ac:dyDescent="0.25">
      <c r="K3441" s="21" t="str">
        <f t="shared" si="159"/>
        <v/>
      </c>
      <c r="L3441" s="19" t="str">
        <f t="shared" si="160"/>
        <v/>
      </c>
      <c r="M3441" s="18" t="str">
        <f>IF(I3441&lt;&gt;"Sí","",IF(YEAR(F3441)&lt;&gt;2026,"",INDEX({"Enero","Febrero","Marzo","Abril","Mayo","Junio","Julio","Agosto","Septiembre","Octubre","Noviembre","Diciembre"},MONTH(F3441))))</f>
        <v/>
      </c>
      <c r="N3441" s="18" t="str">
        <f t="shared" si="161"/>
        <v/>
      </c>
    </row>
    <row r="3442" spans="11:14" ht="14.5" x14ac:dyDescent="0.25">
      <c r="K3442" s="21" t="str">
        <f t="shared" si="159"/>
        <v/>
      </c>
      <c r="L3442" s="19" t="str">
        <f t="shared" si="160"/>
        <v/>
      </c>
      <c r="M3442" s="18" t="str">
        <f>IF(I3442&lt;&gt;"Sí","",IF(YEAR(F3442)&lt;&gt;2026,"",INDEX({"Enero","Febrero","Marzo","Abril","Mayo","Junio","Julio","Agosto","Septiembre","Octubre","Noviembre","Diciembre"},MONTH(F3442))))</f>
        <v/>
      </c>
      <c r="N3442" s="18" t="str">
        <f t="shared" si="161"/>
        <v/>
      </c>
    </row>
    <row r="3443" spans="11:14" ht="14.5" x14ac:dyDescent="0.25">
      <c r="K3443" s="21" t="str">
        <f t="shared" si="159"/>
        <v/>
      </c>
      <c r="L3443" s="19" t="str">
        <f t="shared" si="160"/>
        <v/>
      </c>
      <c r="M3443" s="18" t="str">
        <f>IF(I3443&lt;&gt;"Sí","",IF(YEAR(F3443)&lt;&gt;2026,"",INDEX({"Enero","Febrero","Marzo","Abril","Mayo","Junio","Julio","Agosto","Septiembre","Octubre","Noviembre","Diciembre"},MONTH(F3443))))</f>
        <v/>
      </c>
      <c r="N3443" s="18" t="str">
        <f t="shared" si="161"/>
        <v/>
      </c>
    </row>
    <row r="3444" spans="11:14" ht="14.5" x14ac:dyDescent="0.25">
      <c r="K3444" s="21" t="str">
        <f t="shared" si="159"/>
        <v/>
      </c>
      <c r="L3444" s="19" t="str">
        <f t="shared" si="160"/>
        <v/>
      </c>
      <c r="M3444" s="18" t="str">
        <f>IF(I3444&lt;&gt;"Sí","",IF(YEAR(F3444)&lt;&gt;2026,"",INDEX({"Enero","Febrero","Marzo","Abril","Mayo","Junio","Julio","Agosto","Septiembre","Octubre","Noviembre","Diciembre"},MONTH(F3444))))</f>
        <v/>
      </c>
      <c r="N3444" s="18" t="str">
        <f t="shared" si="161"/>
        <v/>
      </c>
    </row>
    <row r="3445" spans="11:14" ht="14.5" x14ac:dyDescent="0.25">
      <c r="K3445" s="21" t="str">
        <f t="shared" si="159"/>
        <v/>
      </c>
      <c r="L3445" s="19" t="str">
        <f t="shared" si="160"/>
        <v/>
      </c>
      <c r="M3445" s="18" t="str">
        <f>IF(I3445&lt;&gt;"Sí","",IF(YEAR(F3445)&lt;&gt;2026,"",INDEX({"Enero","Febrero","Marzo","Abril","Mayo","Junio","Julio","Agosto","Septiembre","Octubre","Noviembre","Diciembre"},MONTH(F3445))))</f>
        <v/>
      </c>
      <c r="N3445" s="18" t="str">
        <f t="shared" si="161"/>
        <v/>
      </c>
    </row>
    <row r="3446" spans="11:14" ht="14.5" x14ac:dyDescent="0.25">
      <c r="K3446" s="21" t="str">
        <f t="shared" si="159"/>
        <v/>
      </c>
      <c r="L3446" s="19" t="str">
        <f t="shared" si="160"/>
        <v/>
      </c>
      <c r="M3446" s="18" t="str">
        <f>IF(I3446&lt;&gt;"Sí","",IF(YEAR(F3446)&lt;&gt;2026,"",INDEX({"Enero","Febrero","Marzo","Abril","Mayo","Junio","Julio","Agosto","Septiembre","Octubre","Noviembre","Diciembre"},MONTH(F3446))))</f>
        <v/>
      </c>
      <c r="N3446" s="18" t="str">
        <f t="shared" si="161"/>
        <v/>
      </c>
    </row>
    <row r="3447" spans="11:14" ht="14.5" x14ac:dyDescent="0.25">
      <c r="K3447" s="21" t="str">
        <f t="shared" si="159"/>
        <v/>
      </c>
      <c r="L3447" s="19" t="str">
        <f t="shared" si="160"/>
        <v/>
      </c>
      <c r="M3447" s="18" t="str">
        <f>IF(I3447&lt;&gt;"Sí","",IF(YEAR(F3447)&lt;&gt;2026,"",INDEX({"Enero","Febrero","Marzo","Abril","Mayo","Junio","Julio","Agosto","Septiembre","Octubre","Noviembre","Diciembre"},MONTH(F3447))))</f>
        <v/>
      </c>
      <c r="N3447" s="18" t="str">
        <f t="shared" si="161"/>
        <v/>
      </c>
    </row>
    <row r="3448" spans="11:14" ht="14.5" x14ac:dyDescent="0.25">
      <c r="K3448" s="21" t="str">
        <f t="shared" si="159"/>
        <v/>
      </c>
      <c r="L3448" s="19" t="str">
        <f t="shared" si="160"/>
        <v/>
      </c>
      <c r="M3448" s="18" t="str">
        <f>IF(I3448&lt;&gt;"Sí","",IF(YEAR(F3448)&lt;&gt;2026,"",INDEX({"Enero","Febrero","Marzo","Abril","Mayo","Junio","Julio","Agosto","Septiembre","Octubre","Noviembre","Diciembre"},MONTH(F3448))))</f>
        <v/>
      </c>
      <c r="N3448" s="18" t="str">
        <f t="shared" si="161"/>
        <v/>
      </c>
    </row>
    <row r="3449" spans="11:14" ht="14.5" x14ac:dyDescent="0.25">
      <c r="K3449" s="21" t="str">
        <f t="shared" si="159"/>
        <v/>
      </c>
      <c r="L3449" s="19" t="str">
        <f t="shared" si="160"/>
        <v/>
      </c>
      <c r="M3449" s="18" t="str">
        <f>IF(I3449&lt;&gt;"Sí","",IF(YEAR(F3449)&lt;&gt;2026,"",INDEX({"Enero","Febrero","Marzo","Abril","Mayo","Junio","Julio","Agosto","Septiembre","Octubre","Noviembre","Diciembre"},MONTH(F3449))))</f>
        <v/>
      </c>
      <c r="N3449" s="18" t="str">
        <f t="shared" si="161"/>
        <v/>
      </c>
    </row>
    <row r="3450" spans="11:14" ht="14.5" x14ac:dyDescent="0.25">
      <c r="K3450" s="21" t="str">
        <f t="shared" si="159"/>
        <v/>
      </c>
      <c r="L3450" s="19" t="str">
        <f t="shared" si="160"/>
        <v/>
      </c>
      <c r="M3450" s="18" t="str">
        <f>IF(I3450&lt;&gt;"Sí","",IF(YEAR(F3450)&lt;&gt;2026,"",INDEX({"Enero","Febrero","Marzo","Abril","Mayo","Junio","Julio","Agosto","Septiembre","Octubre","Noviembre","Diciembre"},MONTH(F3450))))</f>
        <v/>
      </c>
      <c r="N3450" s="18" t="str">
        <f t="shared" si="161"/>
        <v/>
      </c>
    </row>
    <row r="3451" spans="11:14" ht="14.5" x14ac:dyDescent="0.25">
      <c r="K3451" s="21" t="str">
        <f t="shared" si="159"/>
        <v/>
      </c>
      <c r="L3451" s="19" t="str">
        <f t="shared" si="160"/>
        <v/>
      </c>
      <c r="M3451" s="18" t="str">
        <f>IF(I3451&lt;&gt;"Sí","",IF(YEAR(F3451)&lt;&gt;2026,"",INDEX({"Enero","Febrero","Marzo","Abril","Mayo","Junio","Julio","Agosto","Septiembre","Octubre","Noviembre","Diciembre"},MONTH(F3451))))</f>
        <v/>
      </c>
      <c r="N3451" s="18" t="str">
        <f t="shared" si="161"/>
        <v/>
      </c>
    </row>
    <row r="3452" spans="11:14" ht="14.5" x14ac:dyDescent="0.25">
      <c r="K3452" s="21" t="str">
        <f t="shared" si="159"/>
        <v/>
      </c>
      <c r="L3452" s="19" t="str">
        <f t="shared" si="160"/>
        <v/>
      </c>
      <c r="M3452" s="18" t="str">
        <f>IF(I3452&lt;&gt;"Sí","",IF(YEAR(F3452)&lt;&gt;2026,"",INDEX({"Enero","Febrero","Marzo","Abril","Mayo","Junio","Julio","Agosto","Septiembre","Octubre","Noviembre","Diciembre"},MONTH(F3452))))</f>
        <v/>
      </c>
      <c r="N3452" s="18" t="str">
        <f t="shared" si="161"/>
        <v/>
      </c>
    </row>
    <row r="3453" spans="11:14" ht="14.5" x14ac:dyDescent="0.25">
      <c r="K3453" s="21" t="str">
        <f t="shared" si="159"/>
        <v/>
      </c>
      <c r="L3453" s="19" t="str">
        <f t="shared" si="160"/>
        <v/>
      </c>
      <c r="M3453" s="18" t="str">
        <f>IF(I3453&lt;&gt;"Sí","",IF(YEAR(F3453)&lt;&gt;2026,"",INDEX({"Enero","Febrero","Marzo","Abril","Mayo","Junio","Julio","Agosto","Septiembre","Octubre","Noviembre","Diciembre"},MONTH(F3453))))</f>
        <v/>
      </c>
      <c r="N3453" s="18" t="str">
        <f t="shared" si="161"/>
        <v/>
      </c>
    </row>
    <row r="3454" spans="11:14" ht="14.5" x14ac:dyDescent="0.25">
      <c r="K3454" s="21" t="str">
        <f t="shared" si="159"/>
        <v/>
      </c>
      <c r="L3454" s="19" t="str">
        <f t="shared" si="160"/>
        <v/>
      </c>
      <c r="M3454" s="18" t="str">
        <f>IF(I3454&lt;&gt;"Sí","",IF(YEAR(F3454)&lt;&gt;2026,"",INDEX({"Enero","Febrero","Marzo","Abril","Mayo","Junio","Julio","Agosto","Septiembre","Octubre","Noviembre","Diciembre"},MONTH(F3454))))</f>
        <v/>
      </c>
      <c r="N3454" s="18" t="str">
        <f t="shared" si="161"/>
        <v/>
      </c>
    </row>
    <row r="3455" spans="11:14" ht="14.5" x14ac:dyDescent="0.25">
      <c r="K3455" s="21" t="str">
        <f t="shared" si="159"/>
        <v/>
      </c>
      <c r="L3455" s="19" t="str">
        <f t="shared" si="160"/>
        <v/>
      </c>
      <c r="M3455" s="18" t="str">
        <f>IF(I3455&lt;&gt;"Sí","",IF(YEAR(F3455)&lt;&gt;2026,"",INDEX({"Enero","Febrero","Marzo","Abril","Mayo","Junio","Julio","Agosto","Septiembre","Octubre","Noviembre","Diciembre"},MONTH(F3455))))</f>
        <v/>
      </c>
      <c r="N3455" s="18" t="str">
        <f t="shared" si="161"/>
        <v/>
      </c>
    </row>
    <row r="3456" spans="11:14" ht="14.5" x14ac:dyDescent="0.25">
      <c r="K3456" s="21" t="str">
        <f t="shared" si="159"/>
        <v/>
      </c>
      <c r="L3456" s="19" t="str">
        <f t="shared" si="160"/>
        <v/>
      </c>
      <c r="M3456" s="18" t="str">
        <f>IF(I3456&lt;&gt;"Sí","",IF(YEAR(F3456)&lt;&gt;2026,"",INDEX({"Enero","Febrero","Marzo","Abril","Mayo","Junio","Julio","Agosto","Septiembre","Octubre","Noviembre","Diciembre"},MONTH(F3456))))</f>
        <v/>
      </c>
      <c r="N3456" s="18" t="str">
        <f t="shared" si="161"/>
        <v/>
      </c>
    </row>
    <row r="3457" spans="11:14" ht="14.5" x14ac:dyDescent="0.25">
      <c r="K3457" s="21" t="str">
        <f t="shared" si="159"/>
        <v/>
      </c>
      <c r="L3457" s="19" t="str">
        <f t="shared" si="160"/>
        <v/>
      </c>
      <c r="M3457" s="18" t="str">
        <f>IF(I3457&lt;&gt;"Sí","",IF(YEAR(F3457)&lt;&gt;2026,"",INDEX({"Enero","Febrero","Marzo","Abril","Mayo","Junio","Julio","Agosto","Septiembre","Octubre","Noviembre","Diciembre"},MONTH(F3457))))</f>
        <v/>
      </c>
      <c r="N3457" s="18" t="str">
        <f t="shared" si="161"/>
        <v/>
      </c>
    </row>
    <row r="3458" spans="11:14" ht="14.5" x14ac:dyDescent="0.25">
      <c r="K3458" s="21" t="str">
        <f t="shared" si="159"/>
        <v/>
      </c>
      <c r="L3458" s="19" t="str">
        <f t="shared" si="160"/>
        <v/>
      </c>
      <c r="M3458" s="18" t="str">
        <f>IF(I3458&lt;&gt;"Sí","",IF(YEAR(F3458)&lt;&gt;2026,"",INDEX({"Enero","Febrero","Marzo","Abril","Mayo","Junio","Julio","Agosto","Septiembre","Octubre","Noviembre","Diciembre"},MONTH(F3458))))</f>
        <v/>
      </c>
      <c r="N3458" s="18" t="str">
        <f t="shared" si="161"/>
        <v/>
      </c>
    </row>
    <row r="3459" spans="11:14" ht="14.5" x14ac:dyDescent="0.25">
      <c r="K3459" s="21" t="str">
        <f t="shared" si="159"/>
        <v/>
      </c>
      <c r="L3459" s="19" t="str">
        <f t="shared" si="160"/>
        <v/>
      </c>
      <c r="M3459" s="18" t="str">
        <f>IF(I3459&lt;&gt;"Sí","",IF(YEAR(F3459)&lt;&gt;2026,"",INDEX({"Enero","Febrero","Marzo","Abril","Mayo","Junio","Julio","Agosto","Septiembre","Octubre","Noviembre","Diciembre"},MONTH(F3459))))</f>
        <v/>
      </c>
      <c r="N3459" s="18" t="str">
        <f t="shared" si="161"/>
        <v/>
      </c>
    </row>
    <row r="3460" spans="11:14" ht="14.5" x14ac:dyDescent="0.25">
      <c r="K3460" s="21" t="str">
        <f t="shared" si="159"/>
        <v/>
      </c>
      <c r="L3460" s="19" t="str">
        <f t="shared" si="160"/>
        <v/>
      </c>
      <c r="M3460" s="18" t="str">
        <f>IF(I3460&lt;&gt;"Sí","",IF(YEAR(F3460)&lt;&gt;2026,"",INDEX({"Enero","Febrero","Marzo","Abril","Mayo","Junio","Julio","Agosto","Septiembre","Octubre","Noviembre","Diciembre"},MONTH(F3460))))</f>
        <v/>
      </c>
      <c r="N3460" s="18" t="str">
        <f t="shared" si="161"/>
        <v/>
      </c>
    </row>
    <row r="3461" spans="11:14" ht="14.5" x14ac:dyDescent="0.25">
      <c r="K3461" s="21" t="str">
        <f t="shared" si="159"/>
        <v/>
      </c>
      <c r="L3461" s="19" t="str">
        <f t="shared" si="160"/>
        <v/>
      </c>
      <c r="M3461" s="18" t="str">
        <f>IF(I3461&lt;&gt;"Sí","",IF(YEAR(F3461)&lt;&gt;2026,"",INDEX({"Enero","Febrero","Marzo","Abril","Mayo","Junio","Julio","Agosto","Septiembre","Octubre","Noviembre","Diciembre"},MONTH(F3461))))</f>
        <v/>
      </c>
      <c r="N3461" s="18" t="str">
        <f t="shared" si="161"/>
        <v/>
      </c>
    </row>
    <row r="3462" spans="11:14" ht="14.5" x14ac:dyDescent="0.25">
      <c r="K3462" s="21" t="str">
        <f t="shared" si="159"/>
        <v/>
      </c>
      <c r="L3462" s="19" t="str">
        <f t="shared" si="160"/>
        <v/>
      </c>
      <c r="M3462" s="18" t="str">
        <f>IF(I3462&lt;&gt;"Sí","",IF(YEAR(F3462)&lt;&gt;2026,"",INDEX({"Enero","Febrero","Marzo","Abril","Mayo","Junio","Julio","Agosto","Septiembre","Octubre","Noviembre","Diciembre"},MONTH(F3462))))</f>
        <v/>
      </c>
      <c r="N3462" s="18" t="str">
        <f t="shared" si="161"/>
        <v/>
      </c>
    </row>
    <row r="3463" spans="11:14" ht="14.5" x14ac:dyDescent="0.25">
      <c r="K3463" s="21" t="str">
        <f t="shared" ref="K3463:K3526" si="162">IF(I3463="Sí",(G3463-F3463)*24,"")</f>
        <v/>
      </c>
      <c r="L3463" s="19" t="str">
        <f t="shared" ref="L3463:L3526" si="163">IF(I3463="Sí",COUNTIFS($F$7:$F$4000,"&lt;="&amp;F3463,$G$7:$G$4000,"&gt;"&amp;F3463,$I$7:$I$4000,"Sí"),"")</f>
        <v/>
      </c>
      <c r="M3463" s="18" t="str">
        <f>IF(I3463&lt;&gt;"Sí","",IF(YEAR(F3463)&lt;&gt;2026,"",INDEX({"Enero","Febrero","Marzo","Abril","Mayo","Junio","Julio","Agosto","Septiembre","Octubre","Noviembre","Diciembre"},MONTH(F3463))))</f>
        <v/>
      </c>
      <c r="N3463" s="18" t="str">
        <f t="shared" ref="N3463:N3526" si="164">IF(M3463="","",M3463&amp;"|"&amp;L3463)</f>
        <v/>
      </c>
    </row>
    <row r="3464" spans="11:14" ht="14.5" x14ac:dyDescent="0.25">
      <c r="K3464" s="21" t="str">
        <f t="shared" si="162"/>
        <v/>
      </c>
      <c r="L3464" s="19" t="str">
        <f t="shared" si="163"/>
        <v/>
      </c>
      <c r="M3464" s="18" t="str">
        <f>IF(I3464&lt;&gt;"Sí","",IF(YEAR(F3464)&lt;&gt;2026,"",INDEX({"Enero","Febrero","Marzo","Abril","Mayo","Junio","Julio","Agosto","Septiembre","Octubre","Noviembre","Diciembre"},MONTH(F3464))))</f>
        <v/>
      </c>
      <c r="N3464" s="18" t="str">
        <f t="shared" si="164"/>
        <v/>
      </c>
    </row>
    <row r="3465" spans="11:14" ht="14.5" x14ac:dyDescent="0.25">
      <c r="K3465" s="21" t="str">
        <f t="shared" si="162"/>
        <v/>
      </c>
      <c r="L3465" s="19" t="str">
        <f t="shared" si="163"/>
        <v/>
      </c>
      <c r="M3465" s="18" t="str">
        <f>IF(I3465&lt;&gt;"Sí","",IF(YEAR(F3465)&lt;&gt;2026,"",INDEX({"Enero","Febrero","Marzo","Abril","Mayo","Junio","Julio","Agosto","Septiembre","Octubre","Noviembre","Diciembre"},MONTH(F3465))))</f>
        <v/>
      </c>
      <c r="N3465" s="18" t="str">
        <f t="shared" si="164"/>
        <v/>
      </c>
    </row>
    <row r="3466" spans="11:14" ht="14.5" x14ac:dyDescent="0.25">
      <c r="K3466" s="21" t="str">
        <f t="shared" si="162"/>
        <v/>
      </c>
      <c r="L3466" s="19" t="str">
        <f t="shared" si="163"/>
        <v/>
      </c>
      <c r="M3466" s="18" t="str">
        <f>IF(I3466&lt;&gt;"Sí","",IF(YEAR(F3466)&lt;&gt;2026,"",INDEX({"Enero","Febrero","Marzo","Abril","Mayo","Junio","Julio","Agosto","Septiembre","Octubre","Noviembre","Diciembre"},MONTH(F3466))))</f>
        <v/>
      </c>
      <c r="N3466" s="18" t="str">
        <f t="shared" si="164"/>
        <v/>
      </c>
    </row>
    <row r="3467" spans="11:14" ht="14.5" x14ac:dyDescent="0.25">
      <c r="K3467" s="21" t="str">
        <f t="shared" si="162"/>
        <v/>
      </c>
      <c r="L3467" s="19" t="str">
        <f t="shared" si="163"/>
        <v/>
      </c>
      <c r="M3467" s="18" t="str">
        <f>IF(I3467&lt;&gt;"Sí","",IF(YEAR(F3467)&lt;&gt;2026,"",INDEX({"Enero","Febrero","Marzo","Abril","Mayo","Junio","Julio","Agosto","Septiembre","Octubre","Noviembre","Diciembre"},MONTH(F3467))))</f>
        <v/>
      </c>
      <c r="N3467" s="18" t="str">
        <f t="shared" si="164"/>
        <v/>
      </c>
    </row>
    <row r="3468" spans="11:14" ht="14.5" x14ac:dyDescent="0.25">
      <c r="K3468" s="21" t="str">
        <f t="shared" si="162"/>
        <v/>
      </c>
      <c r="L3468" s="19" t="str">
        <f t="shared" si="163"/>
        <v/>
      </c>
      <c r="M3468" s="18" t="str">
        <f>IF(I3468&lt;&gt;"Sí","",IF(YEAR(F3468)&lt;&gt;2026,"",INDEX({"Enero","Febrero","Marzo","Abril","Mayo","Junio","Julio","Agosto","Septiembre","Octubre","Noviembre","Diciembre"},MONTH(F3468))))</f>
        <v/>
      </c>
      <c r="N3468" s="18" t="str">
        <f t="shared" si="164"/>
        <v/>
      </c>
    </row>
    <row r="3469" spans="11:14" ht="14.5" x14ac:dyDescent="0.25">
      <c r="K3469" s="21" t="str">
        <f t="shared" si="162"/>
        <v/>
      </c>
      <c r="L3469" s="19" t="str">
        <f t="shared" si="163"/>
        <v/>
      </c>
      <c r="M3469" s="18" t="str">
        <f>IF(I3469&lt;&gt;"Sí","",IF(YEAR(F3469)&lt;&gt;2026,"",INDEX({"Enero","Febrero","Marzo","Abril","Mayo","Junio","Julio","Agosto","Septiembre","Octubre","Noviembre","Diciembre"},MONTH(F3469))))</f>
        <v/>
      </c>
      <c r="N3469" s="18" t="str">
        <f t="shared" si="164"/>
        <v/>
      </c>
    </row>
    <row r="3470" spans="11:14" ht="14.5" x14ac:dyDescent="0.25">
      <c r="K3470" s="21" t="str">
        <f t="shared" si="162"/>
        <v/>
      </c>
      <c r="L3470" s="19" t="str">
        <f t="shared" si="163"/>
        <v/>
      </c>
      <c r="M3470" s="18" t="str">
        <f>IF(I3470&lt;&gt;"Sí","",IF(YEAR(F3470)&lt;&gt;2026,"",INDEX({"Enero","Febrero","Marzo","Abril","Mayo","Junio","Julio","Agosto","Septiembre","Octubre","Noviembre","Diciembre"},MONTH(F3470))))</f>
        <v/>
      </c>
      <c r="N3470" s="18" t="str">
        <f t="shared" si="164"/>
        <v/>
      </c>
    </row>
    <row r="3471" spans="11:14" ht="14.5" x14ac:dyDescent="0.25">
      <c r="K3471" s="21" t="str">
        <f t="shared" si="162"/>
        <v/>
      </c>
      <c r="L3471" s="19" t="str">
        <f t="shared" si="163"/>
        <v/>
      </c>
      <c r="M3471" s="18" t="str">
        <f>IF(I3471&lt;&gt;"Sí","",IF(YEAR(F3471)&lt;&gt;2026,"",INDEX({"Enero","Febrero","Marzo","Abril","Mayo","Junio","Julio","Agosto","Septiembre","Octubre","Noviembre","Diciembre"},MONTH(F3471))))</f>
        <v/>
      </c>
      <c r="N3471" s="18" t="str">
        <f t="shared" si="164"/>
        <v/>
      </c>
    </row>
    <row r="3472" spans="11:14" ht="14.5" x14ac:dyDescent="0.25">
      <c r="K3472" s="21" t="str">
        <f t="shared" si="162"/>
        <v/>
      </c>
      <c r="L3472" s="19" t="str">
        <f t="shared" si="163"/>
        <v/>
      </c>
      <c r="M3472" s="18" t="str">
        <f>IF(I3472&lt;&gt;"Sí","",IF(YEAR(F3472)&lt;&gt;2026,"",INDEX({"Enero","Febrero","Marzo","Abril","Mayo","Junio","Julio","Agosto","Septiembre","Octubre","Noviembre","Diciembre"},MONTH(F3472))))</f>
        <v/>
      </c>
      <c r="N3472" s="18" t="str">
        <f t="shared" si="164"/>
        <v/>
      </c>
    </row>
    <row r="3473" spans="11:14" ht="14.5" x14ac:dyDescent="0.25">
      <c r="K3473" s="21" t="str">
        <f t="shared" si="162"/>
        <v/>
      </c>
      <c r="L3473" s="19" t="str">
        <f t="shared" si="163"/>
        <v/>
      </c>
      <c r="M3473" s="18" t="str">
        <f>IF(I3473&lt;&gt;"Sí","",IF(YEAR(F3473)&lt;&gt;2026,"",INDEX({"Enero","Febrero","Marzo","Abril","Mayo","Junio","Julio","Agosto","Septiembre","Octubre","Noviembre","Diciembre"},MONTH(F3473))))</f>
        <v/>
      </c>
      <c r="N3473" s="18" t="str">
        <f t="shared" si="164"/>
        <v/>
      </c>
    </row>
    <row r="3474" spans="11:14" ht="14.5" x14ac:dyDescent="0.25">
      <c r="K3474" s="21" t="str">
        <f t="shared" si="162"/>
        <v/>
      </c>
      <c r="L3474" s="19" t="str">
        <f t="shared" si="163"/>
        <v/>
      </c>
      <c r="M3474" s="18" t="str">
        <f>IF(I3474&lt;&gt;"Sí","",IF(YEAR(F3474)&lt;&gt;2026,"",INDEX({"Enero","Febrero","Marzo","Abril","Mayo","Junio","Julio","Agosto","Septiembre","Octubre","Noviembre","Diciembre"},MONTH(F3474))))</f>
        <v/>
      </c>
      <c r="N3474" s="18" t="str">
        <f t="shared" si="164"/>
        <v/>
      </c>
    </row>
    <row r="3475" spans="11:14" ht="14.5" x14ac:dyDescent="0.25">
      <c r="K3475" s="21" t="str">
        <f t="shared" si="162"/>
        <v/>
      </c>
      <c r="L3475" s="19" t="str">
        <f t="shared" si="163"/>
        <v/>
      </c>
      <c r="M3475" s="18" t="str">
        <f>IF(I3475&lt;&gt;"Sí","",IF(YEAR(F3475)&lt;&gt;2026,"",INDEX({"Enero","Febrero","Marzo","Abril","Mayo","Junio","Julio","Agosto","Septiembre","Octubre","Noviembre","Diciembre"},MONTH(F3475))))</f>
        <v/>
      </c>
      <c r="N3475" s="18" t="str">
        <f t="shared" si="164"/>
        <v/>
      </c>
    </row>
    <row r="3476" spans="11:14" ht="14.5" x14ac:dyDescent="0.25">
      <c r="K3476" s="21" t="str">
        <f t="shared" si="162"/>
        <v/>
      </c>
      <c r="L3476" s="19" t="str">
        <f t="shared" si="163"/>
        <v/>
      </c>
      <c r="M3476" s="18" t="str">
        <f>IF(I3476&lt;&gt;"Sí","",IF(YEAR(F3476)&lt;&gt;2026,"",INDEX({"Enero","Febrero","Marzo","Abril","Mayo","Junio","Julio","Agosto","Septiembre","Octubre","Noviembre","Diciembre"},MONTH(F3476))))</f>
        <v/>
      </c>
      <c r="N3476" s="18" t="str">
        <f t="shared" si="164"/>
        <v/>
      </c>
    </row>
    <row r="3477" spans="11:14" ht="14.5" x14ac:dyDescent="0.25">
      <c r="K3477" s="21" t="str">
        <f t="shared" si="162"/>
        <v/>
      </c>
      <c r="L3477" s="19" t="str">
        <f t="shared" si="163"/>
        <v/>
      </c>
      <c r="M3477" s="18" t="str">
        <f>IF(I3477&lt;&gt;"Sí","",IF(YEAR(F3477)&lt;&gt;2026,"",INDEX({"Enero","Febrero","Marzo","Abril","Mayo","Junio","Julio","Agosto","Septiembre","Octubre","Noviembre","Diciembre"},MONTH(F3477))))</f>
        <v/>
      </c>
      <c r="N3477" s="18" t="str">
        <f t="shared" si="164"/>
        <v/>
      </c>
    </row>
    <row r="3478" spans="11:14" ht="14.5" x14ac:dyDescent="0.25">
      <c r="K3478" s="21" t="str">
        <f t="shared" si="162"/>
        <v/>
      </c>
      <c r="L3478" s="19" t="str">
        <f t="shared" si="163"/>
        <v/>
      </c>
      <c r="M3478" s="18" t="str">
        <f>IF(I3478&lt;&gt;"Sí","",IF(YEAR(F3478)&lt;&gt;2026,"",INDEX({"Enero","Febrero","Marzo","Abril","Mayo","Junio","Julio","Agosto","Septiembre","Octubre","Noviembre","Diciembre"},MONTH(F3478))))</f>
        <v/>
      </c>
      <c r="N3478" s="18" t="str">
        <f t="shared" si="164"/>
        <v/>
      </c>
    </row>
    <row r="3479" spans="11:14" ht="14.5" x14ac:dyDescent="0.25">
      <c r="K3479" s="21" t="str">
        <f t="shared" si="162"/>
        <v/>
      </c>
      <c r="L3479" s="19" t="str">
        <f t="shared" si="163"/>
        <v/>
      </c>
      <c r="M3479" s="18" t="str">
        <f>IF(I3479&lt;&gt;"Sí","",IF(YEAR(F3479)&lt;&gt;2026,"",INDEX({"Enero","Febrero","Marzo","Abril","Mayo","Junio","Julio","Agosto","Septiembre","Octubre","Noviembre","Diciembre"},MONTH(F3479))))</f>
        <v/>
      </c>
      <c r="N3479" s="18" t="str">
        <f t="shared" si="164"/>
        <v/>
      </c>
    </row>
    <row r="3480" spans="11:14" ht="14.5" x14ac:dyDescent="0.25">
      <c r="K3480" s="21" t="str">
        <f t="shared" si="162"/>
        <v/>
      </c>
      <c r="L3480" s="19" t="str">
        <f t="shared" si="163"/>
        <v/>
      </c>
      <c r="M3480" s="18" t="str">
        <f>IF(I3480&lt;&gt;"Sí","",IF(YEAR(F3480)&lt;&gt;2026,"",INDEX({"Enero","Febrero","Marzo","Abril","Mayo","Junio","Julio","Agosto","Septiembre","Octubre","Noviembre","Diciembre"},MONTH(F3480))))</f>
        <v/>
      </c>
      <c r="N3480" s="18" t="str">
        <f t="shared" si="164"/>
        <v/>
      </c>
    </row>
    <row r="3481" spans="11:14" ht="14.5" x14ac:dyDescent="0.25">
      <c r="K3481" s="21" t="str">
        <f t="shared" si="162"/>
        <v/>
      </c>
      <c r="L3481" s="19" t="str">
        <f t="shared" si="163"/>
        <v/>
      </c>
      <c r="M3481" s="18" t="str">
        <f>IF(I3481&lt;&gt;"Sí","",IF(YEAR(F3481)&lt;&gt;2026,"",INDEX({"Enero","Febrero","Marzo","Abril","Mayo","Junio","Julio","Agosto","Septiembre","Octubre","Noviembre","Diciembre"},MONTH(F3481))))</f>
        <v/>
      </c>
      <c r="N3481" s="18" t="str">
        <f t="shared" si="164"/>
        <v/>
      </c>
    </row>
    <row r="3482" spans="11:14" ht="14.5" x14ac:dyDescent="0.25">
      <c r="K3482" s="21" t="str">
        <f t="shared" si="162"/>
        <v/>
      </c>
      <c r="L3482" s="19" t="str">
        <f t="shared" si="163"/>
        <v/>
      </c>
      <c r="M3482" s="18" t="str">
        <f>IF(I3482&lt;&gt;"Sí","",IF(YEAR(F3482)&lt;&gt;2026,"",INDEX({"Enero","Febrero","Marzo","Abril","Mayo","Junio","Julio","Agosto","Septiembre","Octubre","Noviembre","Diciembre"},MONTH(F3482))))</f>
        <v/>
      </c>
      <c r="N3482" s="18" t="str">
        <f t="shared" si="164"/>
        <v/>
      </c>
    </row>
    <row r="3483" spans="11:14" ht="14.5" x14ac:dyDescent="0.25">
      <c r="K3483" s="21" t="str">
        <f t="shared" si="162"/>
        <v/>
      </c>
      <c r="L3483" s="19" t="str">
        <f t="shared" si="163"/>
        <v/>
      </c>
      <c r="M3483" s="18" t="str">
        <f>IF(I3483&lt;&gt;"Sí","",IF(YEAR(F3483)&lt;&gt;2026,"",INDEX({"Enero","Febrero","Marzo","Abril","Mayo","Junio","Julio","Agosto","Septiembre","Octubre","Noviembre","Diciembre"},MONTH(F3483))))</f>
        <v/>
      </c>
      <c r="N3483" s="18" t="str">
        <f t="shared" si="164"/>
        <v/>
      </c>
    </row>
    <row r="3484" spans="11:14" ht="14.5" x14ac:dyDescent="0.25">
      <c r="K3484" s="21" t="str">
        <f t="shared" si="162"/>
        <v/>
      </c>
      <c r="L3484" s="19" t="str">
        <f t="shared" si="163"/>
        <v/>
      </c>
      <c r="M3484" s="18" t="str">
        <f>IF(I3484&lt;&gt;"Sí","",IF(YEAR(F3484)&lt;&gt;2026,"",INDEX({"Enero","Febrero","Marzo","Abril","Mayo","Junio","Julio","Agosto","Septiembre","Octubre","Noviembre","Diciembre"},MONTH(F3484))))</f>
        <v/>
      </c>
      <c r="N3484" s="18" t="str">
        <f t="shared" si="164"/>
        <v/>
      </c>
    </row>
    <row r="3485" spans="11:14" ht="14.5" x14ac:dyDescent="0.25">
      <c r="K3485" s="21" t="str">
        <f t="shared" si="162"/>
        <v/>
      </c>
      <c r="L3485" s="19" t="str">
        <f t="shared" si="163"/>
        <v/>
      </c>
      <c r="M3485" s="18" t="str">
        <f>IF(I3485&lt;&gt;"Sí","",IF(YEAR(F3485)&lt;&gt;2026,"",INDEX({"Enero","Febrero","Marzo","Abril","Mayo","Junio","Julio","Agosto","Septiembre","Octubre","Noviembre","Diciembre"},MONTH(F3485))))</f>
        <v/>
      </c>
      <c r="N3485" s="18" t="str">
        <f t="shared" si="164"/>
        <v/>
      </c>
    </row>
    <row r="3486" spans="11:14" ht="14.5" x14ac:dyDescent="0.25">
      <c r="K3486" s="21" t="str">
        <f t="shared" si="162"/>
        <v/>
      </c>
      <c r="L3486" s="19" t="str">
        <f t="shared" si="163"/>
        <v/>
      </c>
      <c r="M3486" s="18" t="str">
        <f>IF(I3486&lt;&gt;"Sí","",IF(YEAR(F3486)&lt;&gt;2026,"",INDEX({"Enero","Febrero","Marzo","Abril","Mayo","Junio","Julio","Agosto","Septiembre","Octubre","Noviembre","Diciembre"},MONTH(F3486))))</f>
        <v/>
      </c>
      <c r="N3486" s="18" t="str">
        <f t="shared" si="164"/>
        <v/>
      </c>
    </row>
    <row r="3487" spans="11:14" ht="14.5" x14ac:dyDescent="0.25">
      <c r="K3487" s="21" t="str">
        <f t="shared" si="162"/>
        <v/>
      </c>
      <c r="L3487" s="19" t="str">
        <f t="shared" si="163"/>
        <v/>
      </c>
      <c r="M3487" s="18" t="str">
        <f>IF(I3487&lt;&gt;"Sí","",IF(YEAR(F3487)&lt;&gt;2026,"",INDEX({"Enero","Febrero","Marzo","Abril","Mayo","Junio","Julio","Agosto","Septiembre","Octubre","Noviembre","Diciembre"},MONTH(F3487))))</f>
        <v/>
      </c>
      <c r="N3487" s="18" t="str">
        <f t="shared" si="164"/>
        <v/>
      </c>
    </row>
    <row r="3488" spans="11:14" ht="14.5" x14ac:dyDescent="0.25">
      <c r="K3488" s="21" t="str">
        <f t="shared" si="162"/>
        <v/>
      </c>
      <c r="L3488" s="19" t="str">
        <f t="shared" si="163"/>
        <v/>
      </c>
      <c r="M3488" s="18" t="str">
        <f>IF(I3488&lt;&gt;"Sí","",IF(YEAR(F3488)&lt;&gt;2026,"",INDEX({"Enero","Febrero","Marzo","Abril","Mayo","Junio","Julio","Agosto","Septiembre","Octubre","Noviembre","Diciembre"},MONTH(F3488))))</f>
        <v/>
      </c>
      <c r="N3488" s="18" t="str">
        <f t="shared" si="164"/>
        <v/>
      </c>
    </row>
    <row r="3489" spans="11:14" ht="14.5" x14ac:dyDescent="0.25">
      <c r="K3489" s="21" t="str">
        <f t="shared" si="162"/>
        <v/>
      </c>
      <c r="L3489" s="19" t="str">
        <f t="shared" si="163"/>
        <v/>
      </c>
      <c r="M3489" s="18" t="str">
        <f>IF(I3489&lt;&gt;"Sí","",IF(YEAR(F3489)&lt;&gt;2026,"",INDEX({"Enero","Febrero","Marzo","Abril","Mayo","Junio","Julio","Agosto","Septiembre","Octubre","Noviembre","Diciembre"},MONTH(F3489))))</f>
        <v/>
      </c>
      <c r="N3489" s="18" t="str">
        <f t="shared" si="164"/>
        <v/>
      </c>
    </row>
    <row r="3490" spans="11:14" ht="14.5" x14ac:dyDescent="0.25">
      <c r="K3490" s="21" t="str">
        <f t="shared" si="162"/>
        <v/>
      </c>
      <c r="L3490" s="19" t="str">
        <f t="shared" si="163"/>
        <v/>
      </c>
      <c r="M3490" s="18" t="str">
        <f>IF(I3490&lt;&gt;"Sí","",IF(YEAR(F3490)&lt;&gt;2026,"",INDEX({"Enero","Febrero","Marzo","Abril","Mayo","Junio","Julio","Agosto","Septiembre","Octubre","Noviembre","Diciembre"},MONTH(F3490))))</f>
        <v/>
      </c>
      <c r="N3490" s="18" t="str">
        <f t="shared" si="164"/>
        <v/>
      </c>
    </row>
    <row r="3491" spans="11:14" ht="14.5" x14ac:dyDescent="0.25">
      <c r="K3491" s="21" t="str">
        <f t="shared" si="162"/>
        <v/>
      </c>
      <c r="L3491" s="19" t="str">
        <f t="shared" si="163"/>
        <v/>
      </c>
      <c r="M3491" s="18" t="str">
        <f>IF(I3491&lt;&gt;"Sí","",IF(YEAR(F3491)&lt;&gt;2026,"",INDEX({"Enero","Febrero","Marzo","Abril","Mayo","Junio","Julio","Agosto","Septiembre","Octubre","Noviembre","Diciembre"},MONTH(F3491))))</f>
        <v/>
      </c>
      <c r="N3491" s="18" t="str">
        <f t="shared" si="164"/>
        <v/>
      </c>
    </row>
    <row r="3492" spans="11:14" ht="14.5" x14ac:dyDescent="0.25">
      <c r="K3492" s="21" t="str">
        <f t="shared" si="162"/>
        <v/>
      </c>
      <c r="L3492" s="19" t="str">
        <f t="shared" si="163"/>
        <v/>
      </c>
      <c r="M3492" s="18" t="str">
        <f>IF(I3492&lt;&gt;"Sí","",IF(YEAR(F3492)&lt;&gt;2026,"",INDEX({"Enero","Febrero","Marzo","Abril","Mayo","Junio","Julio","Agosto","Septiembre","Octubre","Noviembre","Diciembre"},MONTH(F3492))))</f>
        <v/>
      </c>
      <c r="N3492" s="18" t="str">
        <f t="shared" si="164"/>
        <v/>
      </c>
    </row>
    <row r="3493" spans="11:14" ht="14.5" x14ac:dyDescent="0.25">
      <c r="K3493" s="21" t="str">
        <f t="shared" si="162"/>
        <v/>
      </c>
      <c r="L3493" s="19" t="str">
        <f t="shared" si="163"/>
        <v/>
      </c>
      <c r="M3493" s="18" t="str">
        <f>IF(I3493&lt;&gt;"Sí","",IF(YEAR(F3493)&lt;&gt;2026,"",INDEX({"Enero","Febrero","Marzo","Abril","Mayo","Junio","Julio","Agosto","Septiembre","Octubre","Noviembre","Diciembre"},MONTH(F3493))))</f>
        <v/>
      </c>
      <c r="N3493" s="18" t="str">
        <f t="shared" si="164"/>
        <v/>
      </c>
    </row>
    <row r="3494" spans="11:14" ht="14.5" x14ac:dyDescent="0.25">
      <c r="K3494" s="21" t="str">
        <f t="shared" si="162"/>
        <v/>
      </c>
      <c r="L3494" s="19" t="str">
        <f t="shared" si="163"/>
        <v/>
      </c>
      <c r="M3494" s="18" t="str">
        <f>IF(I3494&lt;&gt;"Sí","",IF(YEAR(F3494)&lt;&gt;2026,"",INDEX({"Enero","Febrero","Marzo","Abril","Mayo","Junio","Julio","Agosto","Septiembre","Octubre","Noviembre","Diciembre"},MONTH(F3494))))</f>
        <v/>
      </c>
      <c r="N3494" s="18" t="str">
        <f t="shared" si="164"/>
        <v/>
      </c>
    </row>
    <row r="3495" spans="11:14" ht="14.5" x14ac:dyDescent="0.25">
      <c r="K3495" s="21" t="str">
        <f t="shared" si="162"/>
        <v/>
      </c>
      <c r="L3495" s="19" t="str">
        <f t="shared" si="163"/>
        <v/>
      </c>
      <c r="M3495" s="18" t="str">
        <f>IF(I3495&lt;&gt;"Sí","",IF(YEAR(F3495)&lt;&gt;2026,"",INDEX({"Enero","Febrero","Marzo","Abril","Mayo","Junio","Julio","Agosto","Septiembre","Octubre","Noviembre","Diciembre"},MONTH(F3495))))</f>
        <v/>
      </c>
      <c r="N3495" s="18" t="str">
        <f t="shared" si="164"/>
        <v/>
      </c>
    </row>
    <row r="3496" spans="11:14" ht="14.5" x14ac:dyDescent="0.25">
      <c r="K3496" s="21" t="str">
        <f t="shared" si="162"/>
        <v/>
      </c>
      <c r="L3496" s="19" t="str">
        <f t="shared" si="163"/>
        <v/>
      </c>
      <c r="M3496" s="18" t="str">
        <f>IF(I3496&lt;&gt;"Sí","",IF(YEAR(F3496)&lt;&gt;2026,"",INDEX({"Enero","Febrero","Marzo","Abril","Mayo","Junio","Julio","Agosto","Septiembre","Octubre","Noviembre","Diciembre"},MONTH(F3496))))</f>
        <v/>
      </c>
      <c r="N3496" s="18" t="str">
        <f t="shared" si="164"/>
        <v/>
      </c>
    </row>
    <row r="3497" spans="11:14" ht="14.5" x14ac:dyDescent="0.25">
      <c r="K3497" s="21" t="str">
        <f t="shared" si="162"/>
        <v/>
      </c>
      <c r="L3497" s="19" t="str">
        <f t="shared" si="163"/>
        <v/>
      </c>
      <c r="M3497" s="18" t="str">
        <f>IF(I3497&lt;&gt;"Sí","",IF(YEAR(F3497)&lt;&gt;2026,"",INDEX({"Enero","Febrero","Marzo","Abril","Mayo","Junio","Julio","Agosto","Septiembre","Octubre","Noviembre","Diciembre"},MONTH(F3497))))</f>
        <v/>
      </c>
      <c r="N3497" s="18" t="str">
        <f t="shared" si="164"/>
        <v/>
      </c>
    </row>
    <row r="3498" spans="11:14" ht="14.5" x14ac:dyDescent="0.25">
      <c r="K3498" s="21" t="str">
        <f t="shared" si="162"/>
        <v/>
      </c>
      <c r="L3498" s="19" t="str">
        <f t="shared" si="163"/>
        <v/>
      </c>
      <c r="M3498" s="18" t="str">
        <f>IF(I3498&lt;&gt;"Sí","",IF(YEAR(F3498)&lt;&gt;2026,"",INDEX({"Enero","Febrero","Marzo","Abril","Mayo","Junio","Julio","Agosto","Septiembre","Octubre","Noviembre","Diciembre"},MONTH(F3498))))</f>
        <v/>
      </c>
      <c r="N3498" s="18" t="str">
        <f t="shared" si="164"/>
        <v/>
      </c>
    </row>
    <row r="3499" spans="11:14" ht="14.5" x14ac:dyDescent="0.25">
      <c r="K3499" s="21" t="str">
        <f t="shared" si="162"/>
        <v/>
      </c>
      <c r="L3499" s="19" t="str">
        <f t="shared" si="163"/>
        <v/>
      </c>
      <c r="M3499" s="18" t="str">
        <f>IF(I3499&lt;&gt;"Sí","",IF(YEAR(F3499)&lt;&gt;2026,"",INDEX({"Enero","Febrero","Marzo","Abril","Mayo","Junio","Julio","Agosto","Septiembre","Octubre","Noviembre","Diciembre"},MONTH(F3499))))</f>
        <v/>
      </c>
      <c r="N3499" s="18" t="str">
        <f t="shared" si="164"/>
        <v/>
      </c>
    </row>
    <row r="3500" spans="11:14" ht="14.5" x14ac:dyDescent="0.25">
      <c r="K3500" s="21" t="str">
        <f t="shared" si="162"/>
        <v/>
      </c>
      <c r="L3500" s="19" t="str">
        <f t="shared" si="163"/>
        <v/>
      </c>
      <c r="M3500" s="18" t="str">
        <f>IF(I3500&lt;&gt;"Sí","",IF(YEAR(F3500)&lt;&gt;2026,"",INDEX({"Enero","Febrero","Marzo","Abril","Mayo","Junio","Julio","Agosto","Septiembre","Octubre","Noviembre","Diciembre"},MONTH(F3500))))</f>
        <v/>
      </c>
      <c r="N3500" s="18" t="str">
        <f t="shared" si="164"/>
        <v/>
      </c>
    </row>
    <row r="3501" spans="11:14" ht="14.5" x14ac:dyDescent="0.25">
      <c r="K3501" s="21" t="str">
        <f t="shared" si="162"/>
        <v/>
      </c>
      <c r="L3501" s="19" t="str">
        <f t="shared" si="163"/>
        <v/>
      </c>
      <c r="M3501" s="18" t="str">
        <f>IF(I3501&lt;&gt;"Sí","",IF(YEAR(F3501)&lt;&gt;2026,"",INDEX({"Enero","Febrero","Marzo","Abril","Mayo","Junio","Julio","Agosto","Septiembre","Octubre","Noviembre","Diciembre"},MONTH(F3501))))</f>
        <v/>
      </c>
      <c r="N3501" s="18" t="str">
        <f t="shared" si="164"/>
        <v/>
      </c>
    </row>
    <row r="3502" spans="11:14" ht="14.5" x14ac:dyDescent="0.25">
      <c r="K3502" s="21" t="str">
        <f t="shared" si="162"/>
        <v/>
      </c>
      <c r="L3502" s="19" t="str">
        <f t="shared" si="163"/>
        <v/>
      </c>
      <c r="M3502" s="18" t="str">
        <f>IF(I3502&lt;&gt;"Sí","",IF(YEAR(F3502)&lt;&gt;2026,"",INDEX({"Enero","Febrero","Marzo","Abril","Mayo","Junio","Julio","Agosto","Septiembre","Octubre","Noviembre","Diciembre"},MONTH(F3502))))</f>
        <v/>
      </c>
      <c r="N3502" s="18" t="str">
        <f t="shared" si="164"/>
        <v/>
      </c>
    </row>
    <row r="3503" spans="11:14" ht="14.5" x14ac:dyDescent="0.25">
      <c r="K3503" s="21" t="str">
        <f t="shared" si="162"/>
        <v/>
      </c>
      <c r="L3503" s="19" t="str">
        <f t="shared" si="163"/>
        <v/>
      </c>
      <c r="M3503" s="18" t="str">
        <f>IF(I3503&lt;&gt;"Sí","",IF(YEAR(F3503)&lt;&gt;2026,"",INDEX({"Enero","Febrero","Marzo","Abril","Mayo","Junio","Julio","Agosto","Septiembre","Octubre","Noviembre","Diciembre"},MONTH(F3503))))</f>
        <v/>
      </c>
      <c r="N3503" s="18" t="str">
        <f t="shared" si="164"/>
        <v/>
      </c>
    </row>
    <row r="3504" spans="11:14" ht="14.5" x14ac:dyDescent="0.25">
      <c r="K3504" s="21" t="str">
        <f t="shared" si="162"/>
        <v/>
      </c>
      <c r="L3504" s="19" t="str">
        <f t="shared" si="163"/>
        <v/>
      </c>
      <c r="M3504" s="18" t="str">
        <f>IF(I3504&lt;&gt;"Sí","",IF(YEAR(F3504)&lt;&gt;2026,"",INDEX({"Enero","Febrero","Marzo","Abril","Mayo","Junio","Julio","Agosto","Septiembre","Octubre","Noviembre","Diciembre"},MONTH(F3504))))</f>
        <v/>
      </c>
      <c r="N3504" s="18" t="str">
        <f t="shared" si="164"/>
        <v/>
      </c>
    </row>
    <row r="3505" spans="11:14" ht="14.5" x14ac:dyDescent="0.25">
      <c r="K3505" s="21" t="str">
        <f t="shared" si="162"/>
        <v/>
      </c>
      <c r="L3505" s="19" t="str">
        <f t="shared" si="163"/>
        <v/>
      </c>
      <c r="M3505" s="18" t="str">
        <f>IF(I3505&lt;&gt;"Sí","",IF(YEAR(F3505)&lt;&gt;2026,"",INDEX({"Enero","Febrero","Marzo","Abril","Mayo","Junio","Julio","Agosto","Septiembre","Octubre","Noviembre","Diciembre"},MONTH(F3505))))</f>
        <v/>
      </c>
      <c r="N3505" s="18" t="str">
        <f t="shared" si="164"/>
        <v/>
      </c>
    </row>
    <row r="3506" spans="11:14" ht="14.5" x14ac:dyDescent="0.25">
      <c r="K3506" s="21" t="str">
        <f t="shared" si="162"/>
        <v/>
      </c>
      <c r="L3506" s="19" t="str">
        <f t="shared" si="163"/>
        <v/>
      </c>
      <c r="M3506" s="18" t="str">
        <f>IF(I3506&lt;&gt;"Sí","",IF(YEAR(F3506)&lt;&gt;2026,"",INDEX({"Enero","Febrero","Marzo","Abril","Mayo","Junio","Julio","Agosto","Septiembre","Octubre","Noviembre","Diciembre"},MONTH(F3506))))</f>
        <v/>
      </c>
      <c r="N3506" s="18" t="str">
        <f t="shared" si="164"/>
        <v/>
      </c>
    </row>
    <row r="3507" spans="11:14" ht="14.5" x14ac:dyDescent="0.25">
      <c r="K3507" s="21" t="str">
        <f t="shared" si="162"/>
        <v/>
      </c>
      <c r="L3507" s="19" t="str">
        <f t="shared" si="163"/>
        <v/>
      </c>
      <c r="M3507" s="18" t="str">
        <f>IF(I3507&lt;&gt;"Sí","",IF(YEAR(F3507)&lt;&gt;2026,"",INDEX({"Enero","Febrero","Marzo","Abril","Mayo","Junio","Julio","Agosto","Septiembre","Octubre","Noviembre","Diciembre"},MONTH(F3507))))</f>
        <v/>
      </c>
      <c r="N3507" s="18" t="str">
        <f t="shared" si="164"/>
        <v/>
      </c>
    </row>
    <row r="3508" spans="11:14" ht="14.5" x14ac:dyDescent="0.25">
      <c r="K3508" s="21" t="str">
        <f t="shared" si="162"/>
        <v/>
      </c>
      <c r="L3508" s="19" t="str">
        <f t="shared" si="163"/>
        <v/>
      </c>
      <c r="M3508" s="18" t="str">
        <f>IF(I3508&lt;&gt;"Sí","",IF(YEAR(F3508)&lt;&gt;2026,"",INDEX({"Enero","Febrero","Marzo","Abril","Mayo","Junio","Julio","Agosto","Septiembre","Octubre","Noviembre","Diciembre"},MONTH(F3508))))</f>
        <v/>
      </c>
      <c r="N3508" s="18" t="str">
        <f t="shared" si="164"/>
        <v/>
      </c>
    </row>
    <row r="3509" spans="11:14" ht="14.5" x14ac:dyDescent="0.25">
      <c r="K3509" s="21" t="str">
        <f t="shared" si="162"/>
        <v/>
      </c>
      <c r="L3509" s="19" t="str">
        <f t="shared" si="163"/>
        <v/>
      </c>
      <c r="M3509" s="18" t="str">
        <f>IF(I3509&lt;&gt;"Sí","",IF(YEAR(F3509)&lt;&gt;2026,"",INDEX({"Enero","Febrero","Marzo","Abril","Mayo","Junio","Julio","Agosto","Septiembre","Octubre","Noviembre","Diciembre"},MONTH(F3509))))</f>
        <v/>
      </c>
      <c r="N3509" s="18" t="str">
        <f t="shared" si="164"/>
        <v/>
      </c>
    </row>
    <row r="3510" spans="11:14" ht="14.5" x14ac:dyDescent="0.25">
      <c r="K3510" s="21" t="str">
        <f t="shared" si="162"/>
        <v/>
      </c>
      <c r="L3510" s="19" t="str">
        <f t="shared" si="163"/>
        <v/>
      </c>
      <c r="M3510" s="18" t="str">
        <f>IF(I3510&lt;&gt;"Sí","",IF(YEAR(F3510)&lt;&gt;2026,"",INDEX({"Enero","Febrero","Marzo","Abril","Mayo","Junio","Julio","Agosto","Septiembre","Octubre","Noviembre","Diciembre"},MONTH(F3510))))</f>
        <v/>
      </c>
      <c r="N3510" s="18" t="str">
        <f t="shared" si="164"/>
        <v/>
      </c>
    </row>
    <row r="3511" spans="11:14" ht="14.5" x14ac:dyDescent="0.25">
      <c r="K3511" s="21" t="str">
        <f t="shared" si="162"/>
        <v/>
      </c>
      <c r="L3511" s="19" t="str">
        <f t="shared" si="163"/>
        <v/>
      </c>
      <c r="M3511" s="18" t="str">
        <f>IF(I3511&lt;&gt;"Sí","",IF(YEAR(F3511)&lt;&gt;2026,"",INDEX({"Enero","Febrero","Marzo","Abril","Mayo","Junio","Julio","Agosto","Septiembre","Octubre","Noviembre","Diciembre"},MONTH(F3511))))</f>
        <v/>
      </c>
      <c r="N3511" s="18" t="str">
        <f t="shared" si="164"/>
        <v/>
      </c>
    </row>
    <row r="3512" spans="11:14" ht="14.5" x14ac:dyDescent="0.25">
      <c r="K3512" s="21" t="str">
        <f t="shared" si="162"/>
        <v/>
      </c>
      <c r="L3512" s="19" t="str">
        <f t="shared" si="163"/>
        <v/>
      </c>
      <c r="M3512" s="18" t="str">
        <f>IF(I3512&lt;&gt;"Sí","",IF(YEAR(F3512)&lt;&gt;2026,"",INDEX({"Enero","Febrero","Marzo","Abril","Mayo","Junio","Julio","Agosto","Septiembre","Octubre","Noviembre","Diciembre"},MONTH(F3512))))</f>
        <v/>
      </c>
      <c r="N3512" s="18" t="str">
        <f t="shared" si="164"/>
        <v/>
      </c>
    </row>
    <row r="3513" spans="11:14" ht="14.5" x14ac:dyDescent="0.25">
      <c r="K3513" s="21" t="str">
        <f t="shared" si="162"/>
        <v/>
      </c>
      <c r="L3513" s="19" t="str">
        <f t="shared" si="163"/>
        <v/>
      </c>
      <c r="M3513" s="18" t="str">
        <f>IF(I3513&lt;&gt;"Sí","",IF(YEAR(F3513)&lt;&gt;2026,"",INDEX({"Enero","Febrero","Marzo","Abril","Mayo","Junio","Julio","Agosto","Septiembre","Octubre","Noviembre","Diciembre"},MONTH(F3513))))</f>
        <v/>
      </c>
      <c r="N3513" s="18" t="str">
        <f t="shared" si="164"/>
        <v/>
      </c>
    </row>
    <row r="3514" spans="11:14" ht="14.5" x14ac:dyDescent="0.25">
      <c r="K3514" s="21" t="str">
        <f t="shared" si="162"/>
        <v/>
      </c>
      <c r="L3514" s="19" t="str">
        <f t="shared" si="163"/>
        <v/>
      </c>
      <c r="M3514" s="18" t="str">
        <f>IF(I3514&lt;&gt;"Sí","",IF(YEAR(F3514)&lt;&gt;2026,"",INDEX({"Enero","Febrero","Marzo","Abril","Mayo","Junio","Julio","Agosto","Septiembre","Octubre","Noviembre","Diciembre"},MONTH(F3514))))</f>
        <v/>
      </c>
      <c r="N3514" s="18" t="str">
        <f t="shared" si="164"/>
        <v/>
      </c>
    </row>
    <row r="3515" spans="11:14" ht="14.5" x14ac:dyDescent="0.25">
      <c r="K3515" s="21" t="str">
        <f t="shared" si="162"/>
        <v/>
      </c>
      <c r="L3515" s="19" t="str">
        <f t="shared" si="163"/>
        <v/>
      </c>
      <c r="M3515" s="18" t="str">
        <f>IF(I3515&lt;&gt;"Sí","",IF(YEAR(F3515)&lt;&gt;2026,"",INDEX({"Enero","Febrero","Marzo","Abril","Mayo","Junio","Julio","Agosto","Septiembre","Octubre","Noviembre","Diciembre"},MONTH(F3515))))</f>
        <v/>
      </c>
      <c r="N3515" s="18" t="str">
        <f t="shared" si="164"/>
        <v/>
      </c>
    </row>
    <row r="3516" spans="11:14" ht="14.5" x14ac:dyDescent="0.25">
      <c r="K3516" s="21" t="str">
        <f t="shared" si="162"/>
        <v/>
      </c>
      <c r="L3516" s="19" t="str">
        <f t="shared" si="163"/>
        <v/>
      </c>
      <c r="M3516" s="18" t="str">
        <f>IF(I3516&lt;&gt;"Sí","",IF(YEAR(F3516)&lt;&gt;2026,"",INDEX({"Enero","Febrero","Marzo","Abril","Mayo","Junio","Julio","Agosto","Septiembre","Octubre","Noviembre","Diciembre"},MONTH(F3516))))</f>
        <v/>
      </c>
      <c r="N3516" s="18" t="str">
        <f t="shared" si="164"/>
        <v/>
      </c>
    </row>
    <row r="3517" spans="11:14" ht="14.5" x14ac:dyDescent="0.25">
      <c r="K3517" s="21" t="str">
        <f t="shared" si="162"/>
        <v/>
      </c>
      <c r="L3517" s="19" t="str">
        <f t="shared" si="163"/>
        <v/>
      </c>
      <c r="M3517" s="18" t="str">
        <f>IF(I3517&lt;&gt;"Sí","",IF(YEAR(F3517)&lt;&gt;2026,"",INDEX({"Enero","Febrero","Marzo","Abril","Mayo","Junio","Julio","Agosto","Septiembre","Octubre","Noviembre","Diciembre"},MONTH(F3517))))</f>
        <v/>
      </c>
      <c r="N3517" s="18" t="str">
        <f t="shared" si="164"/>
        <v/>
      </c>
    </row>
    <row r="3518" spans="11:14" ht="14.5" x14ac:dyDescent="0.25">
      <c r="K3518" s="21" t="str">
        <f t="shared" si="162"/>
        <v/>
      </c>
      <c r="L3518" s="19" t="str">
        <f t="shared" si="163"/>
        <v/>
      </c>
      <c r="M3518" s="18" t="str">
        <f>IF(I3518&lt;&gt;"Sí","",IF(YEAR(F3518)&lt;&gt;2026,"",INDEX({"Enero","Febrero","Marzo","Abril","Mayo","Junio","Julio","Agosto","Septiembre","Octubre","Noviembre","Diciembre"},MONTH(F3518))))</f>
        <v/>
      </c>
      <c r="N3518" s="18" t="str">
        <f t="shared" si="164"/>
        <v/>
      </c>
    </row>
    <row r="3519" spans="11:14" ht="14.5" x14ac:dyDescent="0.25">
      <c r="K3519" s="21" t="str">
        <f t="shared" si="162"/>
        <v/>
      </c>
      <c r="L3519" s="19" t="str">
        <f t="shared" si="163"/>
        <v/>
      </c>
      <c r="M3519" s="18" t="str">
        <f>IF(I3519&lt;&gt;"Sí","",IF(YEAR(F3519)&lt;&gt;2026,"",INDEX({"Enero","Febrero","Marzo","Abril","Mayo","Junio","Julio","Agosto","Septiembre","Octubre","Noviembre","Diciembre"},MONTH(F3519))))</f>
        <v/>
      </c>
      <c r="N3519" s="18" t="str">
        <f t="shared" si="164"/>
        <v/>
      </c>
    </row>
    <row r="3520" spans="11:14" ht="14.5" x14ac:dyDescent="0.25">
      <c r="K3520" s="21" t="str">
        <f t="shared" si="162"/>
        <v/>
      </c>
      <c r="L3520" s="19" t="str">
        <f t="shared" si="163"/>
        <v/>
      </c>
      <c r="M3520" s="18" t="str">
        <f>IF(I3520&lt;&gt;"Sí","",IF(YEAR(F3520)&lt;&gt;2026,"",INDEX({"Enero","Febrero","Marzo","Abril","Mayo","Junio","Julio","Agosto","Septiembre","Octubre","Noviembre","Diciembre"},MONTH(F3520))))</f>
        <v/>
      </c>
      <c r="N3520" s="18" t="str">
        <f t="shared" si="164"/>
        <v/>
      </c>
    </row>
    <row r="3521" spans="11:14" ht="14.5" x14ac:dyDescent="0.25">
      <c r="K3521" s="21" t="str">
        <f t="shared" si="162"/>
        <v/>
      </c>
      <c r="L3521" s="19" t="str">
        <f t="shared" si="163"/>
        <v/>
      </c>
      <c r="M3521" s="18" t="str">
        <f>IF(I3521&lt;&gt;"Sí","",IF(YEAR(F3521)&lt;&gt;2026,"",INDEX({"Enero","Febrero","Marzo","Abril","Mayo","Junio","Julio","Agosto","Septiembre","Octubre","Noviembre","Diciembre"},MONTH(F3521))))</f>
        <v/>
      </c>
      <c r="N3521" s="18" t="str">
        <f t="shared" si="164"/>
        <v/>
      </c>
    </row>
    <row r="3522" spans="11:14" ht="14.5" x14ac:dyDescent="0.25">
      <c r="K3522" s="21" t="str">
        <f t="shared" si="162"/>
        <v/>
      </c>
      <c r="L3522" s="19" t="str">
        <f t="shared" si="163"/>
        <v/>
      </c>
      <c r="M3522" s="18" t="str">
        <f>IF(I3522&lt;&gt;"Sí","",IF(YEAR(F3522)&lt;&gt;2026,"",INDEX({"Enero","Febrero","Marzo","Abril","Mayo","Junio","Julio","Agosto","Septiembre","Octubre","Noviembre","Diciembre"},MONTH(F3522))))</f>
        <v/>
      </c>
      <c r="N3522" s="18" t="str">
        <f t="shared" si="164"/>
        <v/>
      </c>
    </row>
    <row r="3523" spans="11:14" ht="14.5" x14ac:dyDescent="0.25">
      <c r="K3523" s="21" t="str">
        <f t="shared" si="162"/>
        <v/>
      </c>
      <c r="L3523" s="19" t="str">
        <f t="shared" si="163"/>
        <v/>
      </c>
      <c r="M3523" s="18" t="str">
        <f>IF(I3523&lt;&gt;"Sí","",IF(YEAR(F3523)&lt;&gt;2026,"",INDEX({"Enero","Febrero","Marzo","Abril","Mayo","Junio","Julio","Agosto","Septiembre","Octubre","Noviembre","Diciembre"},MONTH(F3523))))</f>
        <v/>
      </c>
      <c r="N3523" s="18" t="str">
        <f t="shared" si="164"/>
        <v/>
      </c>
    </row>
    <row r="3524" spans="11:14" ht="14.5" x14ac:dyDescent="0.25">
      <c r="K3524" s="21" t="str">
        <f t="shared" si="162"/>
        <v/>
      </c>
      <c r="L3524" s="19" t="str">
        <f t="shared" si="163"/>
        <v/>
      </c>
      <c r="M3524" s="18" t="str">
        <f>IF(I3524&lt;&gt;"Sí","",IF(YEAR(F3524)&lt;&gt;2026,"",INDEX({"Enero","Febrero","Marzo","Abril","Mayo","Junio","Julio","Agosto","Septiembre","Octubre","Noviembre","Diciembre"},MONTH(F3524))))</f>
        <v/>
      </c>
      <c r="N3524" s="18" t="str">
        <f t="shared" si="164"/>
        <v/>
      </c>
    </row>
    <row r="3525" spans="11:14" ht="14.5" x14ac:dyDescent="0.25">
      <c r="K3525" s="21" t="str">
        <f t="shared" si="162"/>
        <v/>
      </c>
      <c r="L3525" s="19" t="str">
        <f t="shared" si="163"/>
        <v/>
      </c>
      <c r="M3525" s="18" t="str">
        <f>IF(I3525&lt;&gt;"Sí","",IF(YEAR(F3525)&lt;&gt;2026,"",INDEX({"Enero","Febrero","Marzo","Abril","Mayo","Junio","Julio","Agosto","Septiembre","Octubre","Noviembre","Diciembre"},MONTH(F3525))))</f>
        <v/>
      </c>
      <c r="N3525" s="18" t="str">
        <f t="shared" si="164"/>
        <v/>
      </c>
    </row>
    <row r="3526" spans="11:14" ht="14.5" x14ac:dyDescent="0.25">
      <c r="K3526" s="21" t="str">
        <f t="shared" si="162"/>
        <v/>
      </c>
      <c r="L3526" s="19" t="str">
        <f t="shared" si="163"/>
        <v/>
      </c>
      <c r="M3526" s="18" t="str">
        <f>IF(I3526&lt;&gt;"Sí","",IF(YEAR(F3526)&lt;&gt;2026,"",INDEX({"Enero","Febrero","Marzo","Abril","Mayo","Junio","Julio","Agosto","Septiembre","Octubre","Noviembre","Diciembre"},MONTH(F3526))))</f>
        <v/>
      </c>
      <c r="N3526" s="18" t="str">
        <f t="shared" si="164"/>
        <v/>
      </c>
    </row>
    <row r="3527" spans="11:14" ht="14.5" x14ac:dyDescent="0.25">
      <c r="K3527" s="21" t="str">
        <f t="shared" ref="K3527:K3590" si="165">IF(I3527="Sí",(G3527-F3527)*24,"")</f>
        <v/>
      </c>
      <c r="L3527" s="19" t="str">
        <f t="shared" ref="L3527:L3590" si="166">IF(I3527="Sí",COUNTIFS($F$7:$F$4000,"&lt;="&amp;F3527,$G$7:$G$4000,"&gt;"&amp;F3527,$I$7:$I$4000,"Sí"),"")</f>
        <v/>
      </c>
      <c r="M3527" s="18" t="str">
        <f>IF(I3527&lt;&gt;"Sí","",IF(YEAR(F3527)&lt;&gt;2026,"",INDEX({"Enero","Febrero","Marzo","Abril","Mayo","Junio","Julio","Agosto","Septiembre","Octubre","Noviembre","Diciembre"},MONTH(F3527))))</f>
        <v/>
      </c>
      <c r="N3527" s="18" t="str">
        <f t="shared" ref="N3527:N3590" si="167">IF(M3527="","",M3527&amp;"|"&amp;L3527)</f>
        <v/>
      </c>
    </row>
    <row r="3528" spans="11:14" ht="14.5" x14ac:dyDescent="0.25">
      <c r="K3528" s="21" t="str">
        <f t="shared" si="165"/>
        <v/>
      </c>
      <c r="L3528" s="19" t="str">
        <f t="shared" si="166"/>
        <v/>
      </c>
      <c r="M3528" s="18" t="str">
        <f>IF(I3528&lt;&gt;"Sí","",IF(YEAR(F3528)&lt;&gt;2026,"",INDEX({"Enero","Febrero","Marzo","Abril","Mayo","Junio","Julio","Agosto","Septiembre","Octubre","Noviembre","Diciembre"},MONTH(F3528))))</f>
        <v/>
      </c>
      <c r="N3528" s="18" t="str">
        <f t="shared" si="167"/>
        <v/>
      </c>
    </row>
    <row r="3529" spans="11:14" ht="14.5" x14ac:dyDescent="0.25">
      <c r="K3529" s="21" t="str">
        <f t="shared" si="165"/>
        <v/>
      </c>
      <c r="L3529" s="19" t="str">
        <f t="shared" si="166"/>
        <v/>
      </c>
      <c r="M3529" s="18" t="str">
        <f>IF(I3529&lt;&gt;"Sí","",IF(YEAR(F3529)&lt;&gt;2026,"",INDEX({"Enero","Febrero","Marzo","Abril","Mayo","Junio","Julio","Agosto","Septiembre","Octubre","Noviembre","Diciembre"},MONTH(F3529))))</f>
        <v/>
      </c>
      <c r="N3529" s="18" t="str">
        <f t="shared" si="167"/>
        <v/>
      </c>
    </row>
    <row r="3530" spans="11:14" ht="14.5" x14ac:dyDescent="0.25">
      <c r="K3530" s="21" t="str">
        <f t="shared" si="165"/>
        <v/>
      </c>
      <c r="L3530" s="19" t="str">
        <f t="shared" si="166"/>
        <v/>
      </c>
      <c r="M3530" s="18" t="str">
        <f>IF(I3530&lt;&gt;"Sí","",IF(YEAR(F3530)&lt;&gt;2026,"",INDEX({"Enero","Febrero","Marzo","Abril","Mayo","Junio","Julio","Agosto","Septiembre","Octubre","Noviembre","Diciembre"},MONTH(F3530))))</f>
        <v/>
      </c>
      <c r="N3530" s="18" t="str">
        <f t="shared" si="167"/>
        <v/>
      </c>
    </row>
    <row r="3531" spans="11:14" ht="14.5" x14ac:dyDescent="0.25">
      <c r="K3531" s="21" t="str">
        <f t="shared" si="165"/>
        <v/>
      </c>
      <c r="L3531" s="19" t="str">
        <f t="shared" si="166"/>
        <v/>
      </c>
      <c r="M3531" s="18" t="str">
        <f>IF(I3531&lt;&gt;"Sí","",IF(YEAR(F3531)&lt;&gt;2026,"",INDEX({"Enero","Febrero","Marzo","Abril","Mayo","Junio","Julio","Agosto","Septiembre","Octubre","Noviembre","Diciembre"},MONTH(F3531))))</f>
        <v/>
      </c>
      <c r="N3531" s="18" t="str">
        <f t="shared" si="167"/>
        <v/>
      </c>
    </row>
    <row r="3532" spans="11:14" ht="14.5" x14ac:dyDescent="0.25">
      <c r="K3532" s="21" t="str">
        <f t="shared" si="165"/>
        <v/>
      </c>
      <c r="L3532" s="19" t="str">
        <f t="shared" si="166"/>
        <v/>
      </c>
      <c r="M3532" s="18" t="str">
        <f>IF(I3532&lt;&gt;"Sí","",IF(YEAR(F3532)&lt;&gt;2026,"",INDEX({"Enero","Febrero","Marzo","Abril","Mayo","Junio","Julio","Agosto","Septiembre","Octubre","Noviembre","Diciembre"},MONTH(F3532))))</f>
        <v/>
      </c>
      <c r="N3532" s="18" t="str">
        <f t="shared" si="167"/>
        <v/>
      </c>
    </row>
    <row r="3533" spans="11:14" ht="14.5" x14ac:dyDescent="0.25">
      <c r="K3533" s="21" t="str">
        <f t="shared" si="165"/>
        <v/>
      </c>
      <c r="L3533" s="19" t="str">
        <f t="shared" si="166"/>
        <v/>
      </c>
      <c r="M3533" s="18" t="str">
        <f>IF(I3533&lt;&gt;"Sí","",IF(YEAR(F3533)&lt;&gt;2026,"",INDEX({"Enero","Febrero","Marzo","Abril","Mayo","Junio","Julio","Agosto","Septiembre","Octubre","Noviembre","Diciembre"},MONTH(F3533))))</f>
        <v/>
      </c>
      <c r="N3533" s="18" t="str">
        <f t="shared" si="167"/>
        <v/>
      </c>
    </row>
    <row r="3534" spans="11:14" ht="14.5" x14ac:dyDescent="0.25">
      <c r="K3534" s="21" t="str">
        <f t="shared" si="165"/>
        <v/>
      </c>
      <c r="L3534" s="19" t="str">
        <f t="shared" si="166"/>
        <v/>
      </c>
      <c r="M3534" s="18" t="str">
        <f>IF(I3534&lt;&gt;"Sí","",IF(YEAR(F3534)&lt;&gt;2026,"",INDEX({"Enero","Febrero","Marzo","Abril","Mayo","Junio","Julio","Agosto","Septiembre","Octubre","Noviembre","Diciembre"},MONTH(F3534))))</f>
        <v/>
      </c>
      <c r="N3534" s="18" t="str">
        <f t="shared" si="167"/>
        <v/>
      </c>
    </row>
    <row r="3535" spans="11:14" ht="14.5" x14ac:dyDescent="0.25">
      <c r="K3535" s="21" t="str">
        <f t="shared" si="165"/>
        <v/>
      </c>
      <c r="L3535" s="19" t="str">
        <f t="shared" si="166"/>
        <v/>
      </c>
      <c r="M3535" s="18" t="str">
        <f>IF(I3535&lt;&gt;"Sí","",IF(YEAR(F3535)&lt;&gt;2026,"",INDEX({"Enero","Febrero","Marzo","Abril","Mayo","Junio","Julio","Agosto","Septiembre","Octubre","Noviembre","Diciembre"},MONTH(F3535))))</f>
        <v/>
      </c>
      <c r="N3535" s="18" t="str">
        <f t="shared" si="167"/>
        <v/>
      </c>
    </row>
    <row r="3536" spans="11:14" ht="14.5" x14ac:dyDescent="0.25">
      <c r="K3536" s="21" t="str">
        <f t="shared" si="165"/>
        <v/>
      </c>
      <c r="L3536" s="19" t="str">
        <f t="shared" si="166"/>
        <v/>
      </c>
      <c r="M3536" s="18" t="str">
        <f>IF(I3536&lt;&gt;"Sí","",IF(YEAR(F3536)&lt;&gt;2026,"",INDEX({"Enero","Febrero","Marzo","Abril","Mayo","Junio","Julio","Agosto","Septiembre","Octubre","Noviembre","Diciembre"},MONTH(F3536))))</f>
        <v/>
      </c>
      <c r="N3536" s="18" t="str">
        <f t="shared" si="167"/>
        <v/>
      </c>
    </row>
    <row r="3537" spans="11:14" ht="14.5" x14ac:dyDescent="0.25">
      <c r="K3537" s="21" t="str">
        <f t="shared" si="165"/>
        <v/>
      </c>
      <c r="L3537" s="19" t="str">
        <f t="shared" si="166"/>
        <v/>
      </c>
      <c r="M3537" s="18" t="str">
        <f>IF(I3537&lt;&gt;"Sí","",IF(YEAR(F3537)&lt;&gt;2026,"",INDEX({"Enero","Febrero","Marzo","Abril","Mayo","Junio","Julio","Agosto","Septiembre","Octubre","Noviembre","Diciembre"},MONTH(F3537))))</f>
        <v/>
      </c>
      <c r="N3537" s="18" t="str">
        <f t="shared" si="167"/>
        <v/>
      </c>
    </row>
    <row r="3538" spans="11:14" ht="14.5" x14ac:dyDescent="0.25">
      <c r="K3538" s="21" t="str">
        <f t="shared" si="165"/>
        <v/>
      </c>
      <c r="L3538" s="19" t="str">
        <f t="shared" si="166"/>
        <v/>
      </c>
      <c r="M3538" s="18" t="str">
        <f>IF(I3538&lt;&gt;"Sí","",IF(YEAR(F3538)&lt;&gt;2026,"",INDEX({"Enero","Febrero","Marzo","Abril","Mayo","Junio","Julio","Agosto","Septiembre","Octubre","Noviembre","Diciembre"},MONTH(F3538))))</f>
        <v/>
      </c>
      <c r="N3538" s="18" t="str">
        <f t="shared" si="167"/>
        <v/>
      </c>
    </row>
    <row r="3539" spans="11:14" ht="14.5" x14ac:dyDescent="0.25">
      <c r="K3539" s="21" t="str">
        <f t="shared" si="165"/>
        <v/>
      </c>
      <c r="L3539" s="19" t="str">
        <f t="shared" si="166"/>
        <v/>
      </c>
      <c r="M3539" s="18" t="str">
        <f>IF(I3539&lt;&gt;"Sí","",IF(YEAR(F3539)&lt;&gt;2026,"",INDEX({"Enero","Febrero","Marzo","Abril","Mayo","Junio","Julio","Agosto","Septiembre","Octubre","Noviembre","Diciembre"},MONTH(F3539))))</f>
        <v/>
      </c>
      <c r="N3539" s="18" t="str">
        <f t="shared" si="167"/>
        <v/>
      </c>
    </row>
    <row r="3540" spans="11:14" ht="14.5" x14ac:dyDescent="0.25">
      <c r="K3540" s="21" t="str">
        <f t="shared" si="165"/>
        <v/>
      </c>
      <c r="L3540" s="19" t="str">
        <f t="shared" si="166"/>
        <v/>
      </c>
      <c r="M3540" s="18" t="str">
        <f>IF(I3540&lt;&gt;"Sí","",IF(YEAR(F3540)&lt;&gt;2026,"",INDEX({"Enero","Febrero","Marzo","Abril","Mayo","Junio","Julio","Agosto","Septiembre","Octubre","Noviembre","Diciembre"},MONTH(F3540))))</f>
        <v/>
      </c>
      <c r="N3540" s="18" t="str">
        <f t="shared" si="167"/>
        <v/>
      </c>
    </row>
    <row r="3541" spans="11:14" ht="14.5" x14ac:dyDescent="0.25">
      <c r="K3541" s="21" t="str">
        <f t="shared" si="165"/>
        <v/>
      </c>
      <c r="L3541" s="19" t="str">
        <f t="shared" si="166"/>
        <v/>
      </c>
      <c r="M3541" s="18" t="str">
        <f>IF(I3541&lt;&gt;"Sí","",IF(YEAR(F3541)&lt;&gt;2026,"",INDEX({"Enero","Febrero","Marzo","Abril","Mayo","Junio","Julio","Agosto","Septiembre","Octubre","Noviembre","Diciembre"},MONTH(F3541))))</f>
        <v/>
      </c>
      <c r="N3541" s="18" t="str">
        <f t="shared" si="167"/>
        <v/>
      </c>
    </row>
    <row r="3542" spans="11:14" ht="14.5" x14ac:dyDescent="0.25">
      <c r="K3542" s="21" t="str">
        <f t="shared" si="165"/>
        <v/>
      </c>
      <c r="L3542" s="19" t="str">
        <f t="shared" si="166"/>
        <v/>
      </c>
      <c r="M3542" s="18" t="str">
        <f>IF(I3542&lt;&gt;"Sí","",IF(YEAR(F3542)&lt;&gt;2026,"",INDEX({"Enero","Febrero","Marzo","Abril","Mayo","Junio","Julio","Agosto","Septiembre","Octubre","Noviembre","Diciembre"},MONTH(F3542))))</f>
        <v/>
      </c>
      <c r="N3542" s="18" t="str">
        <f t="shared" si="167"/>
        <v/>
      </c>
    </row>
    <row r="3543" spans="11:14" ht="14.5" x14ac:dyDescent="0.25">
      <c r="K3543" s="21" t="str">
        <f t="shared" si="165"/>
        <v/>
      </c>
      <c r="L3543" s="19" t="str">
        <f t="shared" si="166"/>
        <v/>
      </c>
      <c r="M3543" s="18" t="str">
        <f>IF(I3543&lt;&gt;"Sí","",IF(YEAR(F3543)&lt;&gt;2026,"",INDEX({"Enero","Febrero","Marzo","Abril","Mayo","Junio","Julio","Agosto","Septiembre","Octubre","Noviembre","Diciembre"},MONTH(F3543))))</f>
        <v/>
      </c>
      <c r="N3543" s="18" t="str">
        <f t="shared" si="167"/>
        <v/>
      </c>
    </row>
    <row r="3544" spans="11:14" ht="14.5" x14ac:dyDescent="0.25">
      <c r="K3544" s="21" t="str">
        <f t="shared" si="165"/>
        <v/>
      </c>
      <c r="L3544" s="19" t="str">
        <f t="shared" si="166"/>
        <v/>
      </c>
      <c r="M3544" s="18" t="str">
        <f>IF(I3544&lt;&gt;"Sí","",IF(YEAR(F3544)&lt;&gt;2026,"",INDEX({"Enero","Febrero","Marzo","Abril","Mayo","Junio","Julio","Agosto","Septiembre","Octubre","Noviembre","Diciembre"},MONTH(F3544))))</f>
        <v/>
      </c>
      <c r="N3544" s="18" t="str">
        <f t="shared" si="167"/>
        <v/>
      </c>
    </row>
    <row r="3545" spans="11:14" ht="14.5" x14ac:dyDescent="0.25">
      <c r="K3545" s="21" t="str">
        <f t="shared" si="165"/>
        <v/>
      </c>
      <c r="L3545" s="19" t="str">
        <f t="shared" si="166"/>
        <v/>
      </c>
      <c r="M3545" s="18" t="str">
        <f>IF(I3545&lt;&gt;"Sí","",IF(YEAR(F3545)&lt;&gt;2026,"",INDEX({"Enero","Febrero","Marzo","Abril","Mayo","Junio","Julio","Agosto","Septiembre","Octubre","Noviembre","Diciembre"},MONTH(F3545))))</f>
        <v/>
      </c>
      <c r="N3545" s="18" t="str">
        <f t="shared" si="167"/>
        <v/>
      </c>
    </row>
    <row r="3546" spans="11:14" ht="14.5" x14ac:dyDescent="0.25">
      <c r="K3546" s="21" t="str">
        <f t="shared" si="165"/>
        <v/>
      </c>
      <c r="L3546" s="19" t="str">
        <f t="shared" si="166"/>
        <v/>
      </c>
      <c r="M3546" s="18" t="str">
        <f>IF(I3546&lt;&gt;"Sí","",IF(YEAR(F3546)&lt;&gt;2026,"",INDEX({"Enero","Febrero","Marzo","Abril","Mayo","Junio","Julio","Agosto","Septiembre","Octubre","Noviembre","Diciembre"},MONTH(F3546))))</f>
        <v/>
      </c>
      <c r="N3546" s="18" t="str">
        <f t="shared" si="167"/>
        <v/>
      </c>
    </row>
    <row r="3547" spans="11:14" ht="14.5" x14ac:dyDescent="0.25">
      <c r="K3547" s="21" t="str">
        <f t="shared" si="165"/>
        <v/>
      </c>
      <c r="L3547" s="19" t="str">
        <f t="shared" si="166"/>
        <v/>
      </c>
      <c r="M3547" s="18" t="str">
        <f>IF(I3547&lt;&gt;"Sí","",IF(YEAR(F3547)&lt;&gt;2026,"",INDEX({"Enero","Febrero","Marzo","Abril","Mayo","Junio","Julio","Agosto","Septiembre","Octubre","Noviembre","Diciembre"},MONTH(F3547))))</f>
        <v/>
      </c>
      <c r="N3547" s="18" t="str">
        <f t="shared" si="167"/>
        <v/>
      </c>
    </row>
    <row r="3548" spans="11:14" ht="14.5" x14ac:dyDescent="0.25">
      <c r="K3548" s="21" t="str">
        <f t="shared" si="165"/>
        <v/>
      </c>
      <c r="L3548" s="19" t="str">
        <f t="shared" si="166"/>
        <v/>
      </c>
      <c r="M3548" s="18" t="str">
        <f>IF(I3548&lt;&gt;"Sí","",IF(YEAR(F3548)&lt;&gt;2026,"",INDEX({"Enero","Febrero","Marzo","Abril","Mayo","Junio","Julio","Agosto","Septiembre","Octubre","Noviembre","Diciembre"},MONTH(F3548))))</f>
        <v/>
      </c>
      <c r="N3548" s="18" t="str">
        <f t="shared" si="167"/>
        <v/>
      </c>
    </row>
    <row r="3549" spans="11:14" ht="14.5" x14ac:dyDescent="0.25">
      <c r="K3549" s="21" t="str">
        <f t="shared" si="165"/>
        <v/>
      </c>
      <c r="L3549" s="19" t="str">
        <f t="shared" si="166"/>
        <v/>
      </c>
      <c r="M3549" s="18" t="str">
        <f>IF(I3549&lt;&gt;"Sí","",IF(YEAR(F3549)&lt;&gt;2026,"",INDEX({"Enero","Febrero","Marzo","Abril","Mayo","Junio","Julio","Agosto","Septiembre","Octubre","Noviembre","Diciembre"},MONTH(F3549))))</f>
        <v/>
      </c>
      <c r="N3549" s="18" t="str">
        <f t="shared" si="167"/>
        <v/>
      </c>
    </row>
    <row r="3550" spans="11:14" ht="14.5" x14ac:dyDescent="0.25">
      <c r="K3550" s="21" t="str">
        <f t="shared" si="165"/>
        <v/>
      </c>
      <c r="L3550" s="19" t="str">
        <f t="shared" si="166"/>
        <v/>
      </c>
      <c r="M3550" s="18" t="str">
        <f>IF(I3550&lt;&gt;"Sí","",IF(YEAR(F3550)&lt;&gt;2026,"",INDEX({"Enero","Febrero","Marzo","Abril","Mayo","Junio","Julio","Agosto","Septiembre","Octubre","Noviembre","Diciembre"},MONTH(F3550))))</f>
        <v/>
      </c>
      <c r="N3550" s="18" t="str">
        <f t="shared" si="167"/>
        <v/>
      </c>
    </row>
    <row r="3551" spans="11:14" ht="14.5" x14ac:dyDescent="0.25">
      <c r="K3551" s="21" t="str">
        <f t="shared" si="165"/>
        <v/>
      </c>
      <c r="L3551" s="19" t="str">
        <f t="shared" si="166"/>
        <v/>
      </c>
      <c r="M3551" s="18" t="str">
        <f>IF(I3551&lt;&gt;"Sí","",IF(YEAR(F3551)&lt;&gt;2026,"",INDEX({"Enero","Febrero","Marzo","Abril","Mayo","Junio","Julio","Agosto","Septiembre","Octubre","Noviembre","Diciembre"},MONTH(F3551))))</f>
        <v/>
      </c>
      <c r="N3551" s="18" t="str">
        <f t="shared" si="167"/>
        <v/>
      </c>
    </row>
    <row r="3552" spans="11:14" ht="14.5" x14ac:dyDescent="0.25">
      <c r="K3552" s="21" t="str">
        <f t="shared" si="165"/>
        <v/>
      </c>
      <c r="L3552" s="19" t="str">
        <f t="shared" si="166"/>
        <v/>
      </c>
      <c r="M3552" s="18" t="str">
        <f>IF(I3552&lt;&gt;"Sí","",IF(YEAR(F3552)&lt;&gt;2026,"",INDEX({"Enero","Febrero","Marzo","Abril","Mayo","Junio","Julio","Agosto","Septiembre","Octubre","Noviembre","Diciembre"},MONTH(F3552))))</f>
        <v/>
      </c>
      <c r="N3552" s="18" t="str">
        <f t="shared" si="167"/>
        <v/>
      </c>
    </row>
    <row r="3553" spans="11:14" ht="14.5" x14ac:dyDescent="0.25">
      <c r="K3553" s="21" t="str">
        <f t="shared" si="165"/>
        <v/>
      </c>
      <c r="L3553" s="19" t="str">
        <f t="shared" si="166"/>
        <v/>
      </c>
      <c r="M3553" s="18" t="str">
        <f>IF(I3553&lt;&gt;"Sí","",IF(YEAR(F3553)&lt;&gt;2026,"",INDEX({"Enero","Febrero","Marzo","Abril","Mayo","Junio","Julio","Agosto","Septiembre","Octubre","Noviembre","Diciembre"},MONTH(F3553))))</f>
        <v/>
      </c>
      <c r="N3553" s="18" t="str">
        <f t="shared" si="167"/>
        <v/>
      </c>
    </row>
    <row r="3554" spans="11:14" ht="14.5" x14ac:dyDescent="0.25">
      <c r="K3554" s="21" t="str">
        <f t="shared" si="165"/>
        <v/>
      </c>
      <c r="L3554" s="19" t="str">
        <f t="shared" si="166"/>
        <v/>
      </c>
      <c r="M3554" s="18" t="str">
        <f>IF(I3554&lt;&gt;"Sí","",IF(YEAR(F3554)&lt;&gt;2026,"",INDEX({"Enero","Febrero","Marzo","Abril","Mayo","Junio","Julio","Agosto","Septiembre","Octubre","Noviembre","Diciembre"},MONTH(F3554))))</f>
        <v/>
      </c>
      <c r="N3554" s="18" t="str">
        <f t="shared" si="167"/>
        <v/>
      </c>
    </row>
    <row r="3555" spans="11:14" ht="14.5" x14ac:dyDescent="0.25">
      <c r="K3555" s="21" t="str">
        <f t="shared" si="165"/>
        <v/>
      </c>
      <c r="L3555" s="19" t="str">
        <f t="shared" si="166"/>
        <v/>
      </c>
      <c r="M3555" s="18" t="str">
        <f>IF(I3555&lt;&gt;"Sí","",IF(YEAR(F3555)&lt;&gt;2026,"",INDEX({"Enero","Febrero","Marzo","Abril","Mayo","Junio","Julio","Agosto","Septiembre","Octubre","Noviembre","Diciembre"},MONTH(F3555))))</f>
        <v/>
      </c>
      <c r="N3555" s="18" t="str">
        <f t="shared" si="167"/>
        <v/>
      </c>
    </row>
    <row r="3556" spans="11:14" ht="14.5" x14ac:dyDescent="0.25">
      <c r="K3556" s="21" t="str">
        <f t="shared" si="165"/>
        <v/>
      </c>
      <c r="L3556" s="19" t="str">
        <f t="shared" si="166"/>
        <v/>
      </c>
      <c r="M3556" s="18" t="str">
        <f>IF(I3556&lt;&gt;"Sí","",IF(YEAR(F3556)&lt;&gt;2026,"",INDEX({"Enero","Febrero","Marzo","Abril","Mayo","Junio","Julio","Agosto","Septiembre","Octubre","Noviembre","Diciembre"},MONTH(F3556))))</f>
        <v/>
      </c>
      <c r="N3556" s="18" t="str">
        <f t="shared" si="167"/>
        <v/>
      </c>
    </row>
    <row r="3557" spans="11:14" ht="14.5" x14ac:dyDescent="0.25">
      <c r="K3557" s="21" t="str">
        <f t="shared" si="165"/>
        <v/>
      </c>
      <c r="L3557" s="19" t="str">
        <f t="shared" si="166"/>
        <v/>
      </c>
      <c r="M3557" s="18" t="str">
        <f>IF(I3557&lt;&gt;"Sí","",IF(YEAR(F3557)&lt;&gt;2026,"",INDEX({"Enero","Febrero","Marzo","Abril","Mayo","Junio","Julio","Agosto","Septiembre","Octubre","Noviembre","Diciembre"},MONTH(F3557))))</f>
        <v/>
      </c>
      <c r="N3557" s="18" t="str">
        <f t="shared" si="167"/>
        <v/>
      </c>
    </row>
    <row r="3558" spans="11:14" ht="14.5" x14ac:dyDescent="0.25">
      <c r="K3558" s="21" t="str">
        <f t="shared" si="165"/>
        <v/>
      </c>
      <c r="L3558" s="19" t="str">
        <f t="shared" si="166"/>
        <v/>
      </c>
      <c r="M3558" s="18" t="str">
        <f>IF(I3558&lt;&gt;"Sí","",IF(YEAR(F3558)&lt;&gt;2026,"",INDEX({"Enero","Febrero","Marzo","Abril","Mayo","Junio","Julio","Agosto","Septiembre","Octubre","Noviembre","Diciembre"},MONTH(F3558))))</f>
        <v/>
      </c>
      <c r="N3558" s="18" t="str">
        <f t="shared" si="167"/>
        <v/>
      </c>
    </row>
    <row r="3559" spans="11:14" ht="14.5" x14ac:dyDescent="0.25">
      <c r="K3559" s="21" t="str">
        <f t="shared" si="165"/>
        <v/>
      </c>
      <c r="L3559" s="19" t="str">
        <f t="shared" si="166"/>
        <v/>
      </c>
      <c r="M3559" s="18" t="str">
        <f>IF(I3559&lt;&gt;"Sí","",IF(YEAR(F3559)&lt;&gt;2026,"",INDEX({"Enero","Febrero","Marzo","Abril","Mayo","Junio","Julio","Agosto","Septiembre","Octubre","Noviembre","Diciembre"},MONTH(F3559))))</f>
        <v/>
      </c>
      <c r="N3559" s="18" t="str">
        <f t="shared" si="167"/>
        <v/>
      </c>
    </row>
    <row r="3560" spans="11:14" ht="14.5" x14ac:dyDescent="0.25">
      <c r="K3560" s="21" t="str">
        <f t="shared" si="165"/>
        <v/>
      </c>
      <c r="L3560" s="19" t="str">
        <f t="shared" si="166"/>
        <v/>
      </c>
      <c r="M3560" s="18" t="str">
        <f>IF(I3560&lt;&gt;"Sí","",IF(YEAR(F3560)&lt;&gt;2026,"",INDEX({"Enero","Febrero","Marzo","Abril","Mayo","Junio","Julio","Agosto","Septiembre","Octubre","Noviembre","Diciembre"},MONTH(F3560))))</f>
        <v/>
      </c>
      <c r="N3560" s="18" t="str">
        <f t="shared" si="167"/>
        <v/>
      </c>
    </row>
    <row r="3561" spans="11:14" ht="14.5" x14ac:dyDescent="0.25">
      <c r="K3561" s="21" t="str">
        <f t="shared" si="165"/>
        <v/>
      </c>
      <c r="L3561" s="19" t="str">
        <f t="shared" si="166"/>
        <v/>
      </c>
      <c r="M3561" s="18" t="str">
        <f>IF(I3561&lt;&gt;"Sí","",IF(YEAR(F3561)&lt;&gt;2026,"",INDEX({"Enero","Febrero","Marzo","Abril","Mayo","Junio","Julio","Agosto","Septiembre","Octubre","Noviembre","Diciembre"},MONTH(F3561))))</f>
        <v/>
      </c>
      <c r="N3561" s="18" t="str">
        <f t="shared" si="167"/>
        <v/>
      </c>
    </row>
    <row r="3562" spans="11:14" ht="14.5" x14ac:dyDescent="0.25">
      <c r="K3562" s="21" t="str">
        <f t="shared" si="165"/>
        <v/>
      </c>
      <c r="L3562" s="19" t="str">
        <f t="shared" si="166"/>
        <v/>
      </c>
      <c r="M3562" s="18" t="str">
        <f>IF(I3562&lt;&gt;"Sí","",IF(YEAR(F3562)&lt;&gt;2026,"",INDEX({"Enero","Febrero","Marzo","Abril","Mayo","Junio","Julio","Agosto","Septiembre","Octubre","Noviembre","Diciembre"},MONTH(F3562))))</f>
        <v/>
      </c>
      <c r="N3562" s="18" t="str">
        <f t="shared" si="167"/>
        <v/>
      </c>
    </row>
    <row r="3563" spans="11:14" ht="14.5" x14ac:dyDescent="0.25">
      <c r="K3563" s="21" t="str">
        <f t="shared" si="165"/>
        <v/>
      </c>
      <c r="L3563" s="19" t="str">
        <f t="shared" si="166"/>
        <v/>
      </c>
      <c r="M3563" s="18" t="str">
        <f>IF(I3563&lt;&gt;"Sí","",IF(YEAR(F3563)&lt;&gt;2026,"",INDEX({"Enero","Febrero","Marzo","Abril","Mayo","Junio","Julio","Agosto","Septiembre","Octubre","Noviembre","Diciembre"},MONTH(F3563))))</f>
        <v/>
      </c>
      <c r="N3563" s="18" t="str">
        <f t="shared" si="167"/>
        <v/>
      </c>
    </row>
    <row r="3564" spans="11:14" ht="14.5" x14ac:dyDescent="0.25">
      <c r="K3564" s="21" t="str">
        <f t="shared" si="165"/>
        <v/>
      </c>
      <c r="L3564" s="19" t="str">
        <f t="shared" si="166"/>
        <v/>
      </c>
      <c r="M3564" s="18" t="str">
        <f>IF(I3564&lt;&gt;"Sí","",IF(YEAR(F3564)&lt;&gt;2026,"",INDEX({"Enero","Febrero","Marzo","Abril","Mayo","Junio","Julio","Agosto","Septiembre","Octubre","Noviembre","Diciembre"},MONTH(F3564))))</f>
        <v/>
      </c>
      <c r="N3564" s="18" t="str">
        <f t="shared" si="167"/>
        <v/>
      </c>
    </row>
    <row r="3565" spans="11:14" ht="14.5" x14ac:dyDescent="0.25">
      <c r="K3565" s="21" t="str">
        <f t="shared" si="165"/>
        <v/>
      </c>
      <c r="L3565" s="19" t="str">
        <f t="shared" si="166"/>
        <v/>
      </c>
      <c r="M3565" s="18" t="str">
        <f>IF(I3565&lt;&gt;"Sí","",IF(YEAR(F3565)&lt;&gt;2026,"",INDEX({"Enero","Febrero","Marzo","Abril","Mayo","Junio","Julio","Agosto","Septiembre","Octubre","Noviembre","Diciembre"},MONTH(F3565))))</f>
        <v/>
      </c>
      <c r="N3565" s="18" t="str">
        <f t="shared" si="167"/>
        <v/>
      </c>
    </row>
    <row r="3566" spans="11:14" ht="14.5" x14ac:dyDescent="0.25">
      <c r="K3566" s="21" t="str">
        <f t="shared" si="165"/>
        <v/>
      </c>
      <c r="L3566" s="19" t="str">
        <f t="shared" si="166"/>
        <v/>
      </c>
      <c r="M3566" s="18" t="str">
        <f>IF(I3566&lt;&gt;"Sí","",IF(YEAR(F3566)&lt;&gt;2026,"",INDEX({"Enero","Febrero","Marzo","Abril","Mayo","Junio","Julio","Agosto","Septiembre","Octubre","Noviembre","Diciembre"},MONTH(F3566))))</f>
        <v/>
      </c>
      <c r="N3566" s="18" t="str">
        <f t="shared" si="167"/>
        <v/>
      </c>
    </row>
    <row r="3567" spans="11:14" ht="14.5" x14ac:dyDescent="0.25">
      <c r="K3567" s="21" t="str">
        <f t="shared" si="165"/>
        <v/>
      </c>
      <c r="L3567" s="19" t="str">
        <f t="shared" si="166"/>
        <v/>
      </c>
      <c r="M3567" s="18" t="str">
        <f>IF(I3567&lt;&gt;"Sí","",IF(YEAR(F3567)&lt;&gt;2026,"",INDEX({"Enero","Febrero","Marzo","Abril","Mayo","Junio","Julio","Agosto","Septiembre","Octubre","Noviembre","Diciembre"},MONTH(F3567))))</f>
        <v/>
      </c>
      <c r="N3567" s="18" t="str">
        <f t="shared" si="167"/>
        <v/>
      </c>
    </row>
    <row r="3568" spans="11:14" ht="14.5" x14ac:dyDescent="0.25">
      <c r="K3568" s="21" t="str">
        <f t="shared" si="165"/>
        <v/>
      </c>
      <c r="L3568" s="19" t="str">
        <f t="shared" si="166"/>
        <v/>
      </c>
      <c r="M3568" s="18" t="str">
        <f>IF(I3568&lt;&gt;"Sí","",IF(YEAR(F3568)&lt;&gt;2026,"",INDEX({"Enero","Febrero","Marzo","Abril","Mayo","Junio","Julio","Agosto","Septiembre","Octubre","Noviembre","Diciembre"},MONTH(F3568))))</f>
        <v/>
      </c>
      <c r="N3568" s="18" t="str">
        <f t="shared" si="167"/>
        <v/>
      </c>
    </row>
    <row r="3569" spans="11:14" ht="14.5" x14ac:dyDescent="0.25">
      <c r="K3569" s="21" t="str">
        <f t="shared" si="165"/>
        <v/>
      </c>
      <c r="L3569" s="19" t="str">
        <f t="shared" si="166"/>
        <v/>
      </c>
      <c r="M3569" s="18" t="str">
        <f>IF(I3569&lt;&gt;"Sí","",IF(YEAR(F3569)&lt;&gt;2026,"",INDEX({"Enero","Febrero","Marzo","Abril","Mayo","Junio","Julio","Agosto","Septiembre","Octubre","Noviembre","Diciembre"},MONTH(F3569))))</f>
        <v/>
      </c>
      <c r="N3569" s="18" t="str">
        <f t="shared" si="167"/>
        <v/>
      </c>
    </row>
    <row r="3570" spans="11:14" ht="14.5" x14ac:dyDescent="0.25">
      <c r="K3570" s="21" t="str">
        <f t="shared" si="165"/>
        <v/>
      </c>
      <c r="L3570" s="19" t="str">
        <f t="shared" si="166"/>
        <v/>
      </c>
      <c r="M3570" s="18" t="str">
        <f>IF(I3570&lt;&gt;"Sí","",IF(YEAR(F3570)&lt;&gt;2026,"",INDEX({"Enero","Febrero","Marzo","Abril","Mayo","Junio","Julio","Agosto","Septiembre","Octubre","Noviembre","Diciembre"},MONTH(F3570))))</f>
        <v/>
      </c>
      <c r="N3570" s="18" t="str">
        <f t="shared" si="167"/>
        <v/>
      </c>
    </row>
    <row r="3571" spans="11:14" ht="14.5" x14ac:dyDescent="0.25">
      <c r="K3571" s="21" t="str">
        <f t="shared" si="165"/>
        <v/>
      </c>
      <c r="L3571" s="19" t="str">
        <f t="shared" si="166"/>
        <v/>
      </c>
      <c r="M3571" s="18" t="str">
        <f>IF(I3571&lt;&gt;"Sí","",IF(YEAR(F3571)&lt;&gt;2026,"",INDEX({"Enero","Febrero","Marzo","Abril","Mayo","Junio","Julio","Agosto","Septiembre","Octubre","Noviembre","Diciembre"},MONTH(F3571))))</f>
        <v/>
      </c>
      <c r="N3571" s="18" t="str">
        <f t="shared" si="167"/>
        <v/>
      </c>
    </row>
    <row r="3572" spans="11:14" ht="14.5" x14ac:dyDescent="0.25">
      <c r="K3572" s="21" t="str">
        <f t="shared" si="165"/>
        <v/>
      </c>
      <c r="L3572" s="19" t="str">
        <f t="shared" si="166"/>
        <v/>
      </c>
      <c r="M3572" s="18" t="str">
        <f>IF(I3572&lt;&gt;"Sí","",IF(YEAR(F3572)&lt;&gt;2026,"",INDEX({"Enero","Febrero","Marzo","Abril","Mayo","Junio","Julio","Agosto","Septiembre","Octubre","Noviembre","Diciembre"},MONTH(F3572))))</f>
        <v/>
      </c>
      <c r="N3572" s="18" t="str">
        <f t="shared" si="167"/>
        <v/>
      </c>
    </row>
    <row r="3573" spans="11:14" ht="14.5" x14ac:dyDescent="0.25">
      <c r="K3573" s="21" t="str">
        <f t="shared" si="165"/>
        <v/>
      </c>
      <c r="L3573" s="19" t="str">
        <f t="shared" si="166"/>
        <v/>
      </c>
      <c r="M3573" s="18" t="str">
        <f>IF(I3573&lt;&gt;"Sí","",IF(YEAR(F3573)&lt;&gt;2026,"",INDEX({"Enero","Febrero","Marzo","Abril","Mayo","Junio","Julio","Agosto","Septiembre","Octubre","Noviembre","Diciembre"},MONTH(F3573))))</f>
        <v/>
      </c>
      <c r="N3573" s="18" t="str">
        <f t="shared" si="167"/>
        <v/>
      </c>
    </row>
    <row r="3574" spans="11:14" ht="14.5" x14ac:dyDescent="0.25">
      <c r="K3574" s="21" t="str">
        <f t="shared" si="165"/>
        <v/>
      </c>
      <c r="L3574" s="19" t="str">
        <f t="shared" si="166"/>
        <v/>
      </c>
      <c r="M3574" s="18" t="str">
        <f>IF(I3574&lt;&gt;"Sí","",IF(YEAR(F3574)&lt;&gt;2026,"",INDEX({"Enero","Febrero","Marzo","Abril","Mayo","Junio","Julio","Agosto","Septiembre","Octubre","Noviembre","Diciembre"},MONTH(F3574))))</f>
        <v/>
      </c>
      <c r="N3574" s="18" t="str">
        <f t="shared" si="167"/>
        <v/>
      </c>
    </row>
    <row r="3575" spans="11:14" ht="14.5" x14ac:dyDescent="0.25">
      <c r="K3575" s="21" t="str">
        <f t="shared" si="165"/>
        <v/>
      </c>
      <c r="L3575" s="19" t="str">
        <f t="shared" si="166"/>
        <v/>
      </c>
      <c r="M3575" s="18" t="str">
        <f>IF(I3575&lt;&gt;"Sí","",IF(YEAR(F3575)&lt;&gt;2026,"",INDEX({"Enero","Febrero","Marzo","Abril","Mayo","Junio","Julio","Agosto","Septiembre","Octubre","Noviembre","Diciembre"},MONTH(F3575))))</f>
        <v/>
      </c>
      <c r="N3575" s="18" t="str">
        <f t="shared" si="167"/>
        <v/>
      </c>
    </row>
    <row r="3576" spans="11:14" ht="14.5" x14ac:dyDescent="0.25">
      <c r="K3576" s="21" t="str">
        <f t="shared" si="165"/>
        <v/>
      </c>
      <c r="L3576" s="19" t="str">
        <f t="shared" si="166"/>
        <v/>
      </c>
      <c r="M3576" s="18" t="str">
        <f>IF(I3576&lt;&gt;"Sí","",IF(YEAR(F3576)&lt;&gt;2026,"",INDEX({"Enero","Febrero","Marzo","Abril","Mayo","Junio","Julio","Agosto","Septiembre","Octubre","Noviembre","Diciembre"},MONTH(F3576))))</f>
        <v/>
      </c>
      <c r="N3576" s="18" t="str">
        <f t="shared" si="167"/>
        <v/>
      </c>
    </row>
    <row r="3577" spans="11:14" ht="14.5" x14ac:dyDescent="0.25">
      <c r="K3577" s="21" t="str">
        <f t="shared" si="165"/>
        <v/>
      </c>
      <c r="L3577" s="19" t="str">
        <f t="shared" si="166"/>
        <v/>
      </c>
      <c r="M3577" s="18" t="str">
        <f>IF(I3577&lt;&gt;"Sí","",IF(YEAR(F3577)&lt;&gt;2026,"",INDEX({"Enero","Febrero","Marzo","Abril","Mayo","Junio","Julio","Agosto","Septiembre","Octubre","Noviembre","Diciembre"},MONTH(F3577))))</f>
        <v/>
      </c>
      <c r="N3577" s="18" t="str">
        <f t="shared" si="167"/>
        <v/>
      </c>
    </row>
    <row r="3578" spans="11:14" ht="14.5" x14ac:dyDescent="0.25">
      <c r="K3578" s="21" t="str">
        <f t="shared" si="165"/>
        <v/>
      </c>
      <c r="L3578" s="19" t="str">
        <f t="shared" si="166"/>
        <v/>
      </c>
      <c r="M3578" s="18" t="str">
        <f>IF(I3578&lt;&gt;"Sí","",IF(YEAR(F3578)&lt;&gt;2026,"",INDEX({"Enero","Febrero","Marzo","Abril","Mayo","Junio","Julio","Agosto","Septiembre","Octubre","Noviembre","Diciembre"},MONTH(F3578))))</f>
        <v/>
      </c>
      <c r="N3578" s="18" t="str">
        <f t="shared" si="167"/>
        <v/>
      </c>
    </row>
    <row r="3579" spans="11:14" ht="14.5" x14ac:dyDescent="0.25">
      <c r="K3579" s="21" t="str">
        <f t="shared" si="165"/>
        <v/>
      </c>
      <c r="L3579" s="19" t="str">
        <f t="shared" si="166"/>
        <v/>
      </c>
      <c r="M3579" s="18" t="str">
        <f>IF(I3579&lt;&gt;"Sí","",IF(YEAR(F3579)&lt;&gt;2026,"",INDEX({"Enero","Febrero","Marzo","Abril","Mayo","Junio","Julio","Agosto","Septiembre","Octubre","Noviembre","Diciembre"},MONTH(F3579))))</f>
        <v/>
      </c>
      <c r="N3579" s="18" t="str">
        <f t="shared" si="167"/>
        <v/>
      </c>
    </row>
    <row r="3580" spans="11:14" ht="14.5" x14ac:dyDescent="0.25">
      <c r="K3580" s="21" t="str">
        <f t="shared" si="165"/>
        <v/>
      </c>
      <c r="L3580" s="19" t="str">
        <f t="shared" si="166"/>
        <v/>
      </c>
      <c r="M3580" s="18" t="str">
        <f>IF(I3580&lt;&gt;"Sí","",IF(YEAR(F3580)&lt;&gt;2026,"",INDEX({"Enero","Febrero","Marzo","Abril","Mayo","Junio","Julio","Agosto","Septiembre","Octubre","Noviembre","Diciembre"},MONTH(F3580))))</f>
        <v/>
      </c>
      <c r="N3580" s="18" t="str">
        <f t="shared" si="167"/>
        <v/>
      </c>
    </row>
    <row r="3581" spans="11:14" ht="14.5" x14ac:dyDescent="0.25">
      <c r="K3581" s="21" t="str">
        <f t="shared" si="165"/>
        <v/>
      </c>
      <c r="L3581" s="19" t="str">
        <f t="shared" si="166"/>
        <v/>
      </c>
      <c r="M3581" s="18" t="str">
        <f>IF(I3581&lt;&gt;"Sí","",IF(YEAR(F3581)&lt;&gt;2026,"",INDEX({"Enero","Febrero","Marzo","Abril","Mayo","Junio","Julio","Agosto","Septiembre","Octubre","Noviembre","Diciembre"},MONTH(F3581))))</f>
        <v/>
      </c>
      <c r="N3581" s="18" t="str">
        <f t="shared" si="167"/>
        <v/>
      </c>
    </row>
    <row r="3582" spans="11:14" ht="14.5" x14ac:dyDescent="0.25">
      <c r="K3582" s="21" t="str">
        <f t="shared" si="165"/>
        <v/>
      </c>
      <c r="L3582" s="19" t="str">
        <f t="shared" si="166"/>
        <v/>
      </c>
      <c r="M3582" s="18" t="str">
        <f>IF(I3582&lt;&gt;"Sí","",IF(YEAR(F3582)&lt;&gt;2026,"",INDEX({"Enero","Febrero","Marzo","Abril","Mayo","Junio","Julio","Agosto","Septiembre","Octubre","Noviembre","Diciembre"},MONTH(F3582))))</f>
        <v/>
      </c>
      <c r="N3582" s="18" t="str">
        <f t="shared" si="167"/>
        <v/>
      </c>
    </row>
    <row r="3583" spans="11:14" ht="14.5" x14ac:dyDescent="0.25">
      <c r="K3583" s="21" t="str">
        <f t="shared" si="165"/>
        <v/>
      </c>
      <c r="L3583" s="19" t="str">
        <f t="shared" si="166"/>
        <v/>
      </c>
      <c r="M3583" s="18" t="str">
        <f>IF(I3583&lt;&gt;"Sí","",IF(YEAR(F3583)&lt;&gt;2026,"",INDEX({"Enero","Febrero","Marzo","Abril","Mayo","Junio","Julio","Agosto","Septiembre","Octubre","Noviembre","Diciembre"},MONTH(F3583))))</f>
        <v/>
      </c>
      <c r="N3583" s="18" t="str">
        <f t="shared" si="167"/>
        <v/>
      </c>
    </row>
    <row r="3584" spans="11:14" ht="14.5" x14ac:dyDescent="0.25">
      <c r="K3584" s="21" t="str">
        <f t="shared" si="165"/>
        <v/>
      </c>
      <c r="L3584" s="19" t="str">
        <f t="shared" si="166"/>
        <v/>
      </c>
      <c r="M3584" s="18" t="str">
        <f>IF(I3584&lt;&gt;"Sí","",IF(YEAR(F3584)&lt;&gt;2026,"",INDEX({"Enero","Febrero","Marzo","Abril","Mayo","Junio","Julio","Agosto","Septiembre","Octubre","Noviembre","Diciembre"},MONTH(F3584))))</f>
        <v/>
      </c>
      <c r="N3584" s="18" t="str">
        <f t="shared" si="167"/>
        <v/>
      </c>
    </row>
    <row r="3585" spans="11:14" ht="14.5" x14ac:dyDescent="0.25">
      <c r="K3585" s="21" t="str">
        <f t="shared" si="165"/>
        <v/>
      </c>
      <c r="L3585" s="19" t="str">
        <f t="shared" si="166"/>
        <v/>
      </c>
      <c r="M3585" s="18" t="str">
        <f>IF(I3585&lt;&gt;"Sí","",IF(YEAR(F3585)&lt;&gt;2026,"",INDEX({"Enero","Febrero","Marzo","Abril","Mayo","Junio","Julio","Agosto","Septiembre","Octubre","Noviembre","Diciembre"},MONTH(F3585))))</f>
        <v/>
      </c>
      <c r="N3585" s="18" t="str">
        <f t="shared" si="167"/>
        <v/>
      </c>
    </row>
    <row r="3586" spans="11:14" ht="14.5" x14ac:dyDescent="0.25">
      <c r="K3586" s="21" t="str">
        <f t="shared" si="165"/>
        <v/>
      </c>
      <c r="L3586" s="19" t="str">
        <f t="shared" si="166"/>
        <v/>
      </c>
      <c r="M3586" s="18" t="str">
        <f>IF(I3586&lt;&gt;"Sí","",IF(YEAR(F3586)&lt;&gt;2026,"",INDEX({"Enero","Febrero","Marzo","Abril","Mayo","Junio","Julio","Agosto","Septiembre","Octubre","Noviembre","Diciembre"},MONTH(F3586))))</f>
        <v/>
      </c>
      <c r="N3586" s="18" t="str">
        <f t="shared" si="167"/>
        <v/>
      </c>
    </row>
    <row r="3587" spans="11:14" ht="14.5" x14ac:dyDescent="0.25">
      <c r="K3587" s="21" t="str">
        <f t="shared" si="165"/>
        <v/>
      </c>
      <c r="L3587" s="19" t="str">
        <f t="shared" si="166"/>
        <v/>
      </c>
      <c r="M3587" s="18" t="str">
        <f>IF(I3587&lt;&gt;"Sí","",IF(YEAR(F3587)&lt;&gt;2026,"",INDEX({"Enero","Febrero","Marzo","Abril","Mayo","Junio","Julio","Agosto","Septiembre","Octubre","Noviembre","Diciembre"},MONTH(F3587))))</f>
        <v/>
      </c>
      <c r="N3587" s="18" t="str">
        <f t="shared" si="167"/>
        <v/>
      </c>
    </row>
    <row r="3588" spans="11:14" ht="14.5" x14ac:dyDescent="0.25">
      <c r="K3588" s="21" t="str">
        <f t="shared" si="165"/>
        <v/>
      </c>
      <c r="L3588" s="19" t="str">
        <f t="shared" si="166"/>
        <v/>
      </c>
      <c r="M3588" s="18" t="str">
        <f>IF(I3588&lt;&gt;"Sí","",IF(YEAR(F3588)&lt;&gt;2026,"",INDEX({"Enero","Febrero","Marzo","Abril","Mayo","Junio","Julio","Agosto","Septiembre","Octubre","Noviembre","Diciembre"},MONTH(F3588))))</f>
        <v/>
      </c>
      <c r="N3588" s="18" t="str">
        <f t="shared" si="167"/>
        <v/>
      </c>
    </row>
    <row r="3589" spans="11:14" ht="14.5" x14ac:dyDescent="0.25">
      <c r="K3589" s="21" t="str">
        <f t="shared" si="165"/>
        <v/>
      </c>
      <c r="L3589" s="19" t="str">
        <f t="shared" si="166"/>
        <v/>
      </c>
      <c r="M3589" s="18" t="str">
        <f>IF(I3589&lt;&gt;"Sí","",IF(YEAR(F3589)&lt;&gt;2026,"",INDEX({"Enero","Febrero","Marzo","Abril","Mayo","Junio","Julio","Agosto","Septiembre","Octubre","Noviembre","Diciembre"},MONTH(F3589))))</f>
        <v/>
      </c>
      <c r="N3589" s="18" t="str">
        <f t="shared" si="167"/>
        <v/>
      </c>
    </row>
    <row r="3590" spans="11:14" ht="14.5" x14ac:dyDescent="0.25">
      <c r="K3590" s="21" t="str">
        <f t="shared" si="165"/>
        <v/>
      </c>
      <c r="L3590" s="19" t="str">
        <f t="shared" si="166"/>
        <v/>
      </c>
      <c r="M3590" s="18" t="str">
        <f>IF(I3590&lt;&gt;"Sí","",IF(YEAR(F3590)&lt;&gt;2026,"",INDEX({"Enero","Febrero","Marzo","Abril","Mayo","Junio","Julio","Agosto","Septiembre","Octubre","Noviembre","Diciembre"},MONTH(F3590))))</f>
        <v/>
      </c>
      <c r="N3590" s="18" t="str">
        <f t="shared" si="167"/>
        <v/>
      </c>
    </row>
    <row r="3591" spans="11:14" ht="14.5" x14ac:dyDescent="0.25">
      <c r="K3591" s="21" t="str">
        <f t="shared" ref="K3591:K3654" si="168">IF(I3591="Sí",(G3591-F3591)*24,"")</f>
        <v/>
      </c>
      <c r="L3591" s="19" t="str">
        <f t="shared" ref="L3591:L3654" si="169">IF(I3591="Sí",COUNTIFS($F$7:$F$4000,"&lt;="&amp;F3591,$G$7:$G$4000,"&gt;"&amp;F3591,$I$7:$I$4000,"Sí"),"")</f>
        <v/>
      </c>
      <c r="M3591" s="18" t="str">
        <f>IF(I3591&lt;&gt;"Sí","",IF(YEAR(F3591)&lt;&gt;2026,"",INDEX({"Enero","Febrero","Marzo","Abril","Mayo","Junio","Julio","Agosto","Septiembre","Octubre","Noviembre","Diciembre"},MONTH(F3591))))</f>
        <v/>
      </c>
      <c r="N3591" s="18" t="str">
        <f t="shared" ref="N3591:N3654" si="170">IF(M3591="","",M3591&amp;"|"&amp;L3591)</f>
        <v/>
      </c>
    </row>
    <row r="3592" spans="11:14" ht="14.5" x14ac:dyDescent="0.25">
      <c r="K3592" s="21" t="str">
        <f t="shared" si="168"/>
        <v/>
      </c>
      <c r="L3592" s="19" t="str">
        <f t="shared" si="169"/>
        <v/>
      </c>
      <c r="M3592" s="18" t="str">
        <f>IF(I3592&lt;&gt;"Sí","",IF(YEAR(F3592)&lt;&gt;2026,"",INDEX({"Enero","Febrero","Marzo","Abril","Mayo","Junio","Julio","Agosto","Septiembre","Octubre","Noviembre","Diciembre"},MONTH(F3592))))</f>
        <v/>
      </c>
      <c r="N3592" s="18" t="str">
        <f t="shared" si="170"/>
        <v/>
      </c>
    </row>
    <row r="3593" spans="11:14" ht="14.5" x14ac:dyDescent="0.25">
      <c r="K3593" s="21" t="str">
        <f t="shared" si="168"/>
        <v/>
      </c>
      <c r="L3593" s="19" t="str">
        <f t="shared" si="169"/>
        <v/>
      </c>
      <c r="M3593" s="18" t="str">
        <f>IF(I3593&lt;&gt;"Sí","",IF(YEAR(F3593)&lt;&gt;2026,"",INDEX({"Enero","Febrero","Marzo","Abril","Mayo","Junio","Julio","Agosto","Septiembre","Octubre","Noviembre","Diciembre"},MONTH(F3593))))</f>
        <v/>
      </c>
      <c r="N3593" s="18" t="str">
        <f t="shared" si="170"/>
        <v/>
      </c>
    </row>
    <row r="3594" spans="11:14" ht="14.5" x14ac:dyDescent="0.25">
      <c r="K3594" s="21" t="str">
        <f t="shared" si="168"/>
        <v/>
      </c>
      <c r="L3594" s="19" t="str">
        <f t="shared" si="169"/>
        <v/>
      </c>
      <c r="M3594" s="18" t="str">
        <f>IF(I3594&lt;&gt;"Sí","",IF(YEAR(F3594)&lt;&gt;2026,"",INDEX({"Enero","Febrero","Marzo","Abril","Mayo","Junio","Julio","Agosto","Septiembre","Octubre","Noviembre","Diciembre"},MONTH(F3594))))</f>
        <v/>
      </c>
      <c r="N3594" s="18" t="str">
        <f t="shared" si="170"/>
        <v/>
      </c>
    </row>
    <row r="3595" spans="11:14" ht="14.5" x14ac:dyDescent="0.25">
      <c r="K3595" s="21" t="str">
        <f t="shared" si="168"/>
        <v/>
      </c>
      <c r="L3595" s="19" t="str">
        <f t="shared" si="169"/>
        <v/>
      </c>
      <c r="M3595" s="18" t="str">
        <f>IF(I3595&lt;&gt;"Sí","",IF(YEAR(F3595)&lt;&gt;2026,"",INDEX({"Enero","Febrero","Marzo","Abril","Mayo","Junio","Julio","Agosto","Septiembre","Octubre","Noviembre","Diciembre"},MONTH(F3595))))</f>
        <v/>
      </c>
      <c r="N3595" s="18" t="str">
        <f t="shared" si="170"/>
        <v/>
      </c>
    </row>
    <row r="3596" spans="11:14" ht="14.5" x14ac:dyDescent="0.25">
      <c r="K3596" s="21" t="str">
        <f t="shared" si="168"/>
        <v/>
      </c>
      <c r="L3596" s="19" t="str">
        <f t="shared" si="169"/>
        <v/>
      </c>
      <c r="M3596" s="18" t="str">
        <f>IF(I3596&lt;&gt;"Sí","",IF(YEAR(F3596)&lt;&gt;2026,"",INDEX({"Enero","Febrero","Marzo","Abril","Mayo","Junio","Julio","Agosto","Septiembre","Octubre","Noviembre","Diciembre"},MONTH(F3596))))</f>
        <v/>
      </c>
      <c r="N3596" s="18" t="str">
        <f t="shared" si="170"/>
        <v/>
      </c>
    </row>
    <row r="3597" spans="11:14" ht="14.5" x14ac:dyDescent="0.25">
      <c r="K3597" s="21" t="str">
        <f t="shared" si="168"/>
        <v/>
      </c>
      <c r="L3597" s="19" t="str">
        <f t="shared" si="169"/>
        <v/>
      </c>
      <c r="M3597" s="18" t="str">
        <f>IF(I3597&lt;&gt;"Sí","",IF(YEAR(F3597)&lt;&gt;2026,"",INDEX({"Enero","Febrero","Marzo","Abril","Mayo","Junio","Julio","Agosto","Septiembre","Octubre","Noviembre","Diciembre"},MONTH(F3597))))</f>
        <v/>
      </c>
      <c r="N3597" s="18" t="str">
        <f t="shared" si="170"/>
        <v/>
      </c>
    </row>
    <row r="3598" spans="11:14" ht="14.5" x14ac:dyDescent="0.25">
      <c r="K3598" s="21" t="str">
        <f t="shared" si="168"/>
        <v/>
      </c>
      <c r="L3598" s="19" t="str">
        <f t="shared" si="169"/>
        <v/>
      </c>
      <c r="M3598" s="18" t="str">
        <f>IF(I3598&lt;&gt;"Sí","",IF(YEAR(F3598)&lt;&gt;2026,"",INDEX({"Enero","Febrero","Marzo","Abril","Mayo","Junio","Julio","Agosto","Septiembre","Octubre","Noviembre","Diciembre"},MONTH(F3598))))</f>
        <v/>
      </c>
      <c r="N3598" s="18" t="str">
        <f t="shared" si="170"/>
        <v/>
      </c>
    </row>
    <row r="3599" spans="11:14" ht="14.5" x14ac:dyDescent="0.25">
      <c r="K3599" s="21" t="str">
        <f t="shared" si="168"/>
        <v/>
      </c>
      <c r="L3599" s="19" t="str">
        <f t="shared" si="169"/>
        <v/>
      </c>
      <c r="M3599" s="18" t="str">
        <f>IF(I3599&lt;&gt;"Sí","",IF(YEAR(F3599)&lt;&gt;2026,"",INDEX({"Enero","Febrero","Marzo","Abril","Mayo","Junio","Julio","Agosto","Septiembre","Octubre","Noviembre","Diciembre"},MONTH(F3599))))</f>
        <v/>
      </c>
      <c r="N3599" s="18" t="str">
        <f t="shared" si="170"/>
        <v/>
      </c>
    </row>
    <row r="3600" spans="11:14" ht="14.5" x14ac:dyDescent="0.25">
      <c r="K3600" s="21" t="str">
        <f t="shared" si="168"/>
        <v/>
      </c>
      <c r="L3600" s="19" t="str">
        <f t="shared" si="169"/>
        <v/>
      </c>
      <c r="M3600" s="18" t="str">
        <f>IF(I3600&lt;&gt;"Sí","",IF(YEAR(F3600)&lt;&gt;2026,"",INDEX({"Enero","Febrero","Marzo","Abril","Mayo","Junio","Julio","Agosto","Septiembre","Octubre","Noviembre","Diciembre"},MONTH(F3600))))</f>
        <v/>
      </c>
      <c r="N3600" s="18" t="str">
        <f t="shared" si="170"/>
        <v/>
      </c>
    </row>
    <row r="3601" spans="11:14" ht="14.5" x14ac:dyDescent="0.25">
      <c r="K3601" s="21" t="str">
        <f t="shared" si="168"/>
        <v/>
      </c>
      <c r="L3601" s="19" t="str">
        <f t="shared" si="169"/>
        <v/>
      </c>
      <c r="M3601" s="18" t="str">
        <f>IF(I3601&lt;&gt;"Sí","",IF(YEAR(F3601)&lt;&gt;2026,"",INDEX({"Enero","Febrero","Marzo","Abril","Mayo","Junio","Julio","Agosto","Septiembre","Octubre","Noviembre","Diciembre"},MONTH(F3601))))</f>
        <v/>
      </c>
      <c r="N3601" s="18" t="str">
        <f t="shared" si="170"/>
        <v/>
      </c>
    </row>
    <row r="3602" spans="11:14" ht="14.5" x14ac:dyDescent="0.25">
      <c r="K3602" s="21" t="str">
        <f t="shared" si="168"/>
        <v/>
      </c>
      <c r="L3602" s="19" t="str">
        <f t="shared" si="169"/>
        <v/>
      </c>
      <c r="M3602" s="18" t="str">
        <f>IF(I3602&lt;&gt;"Sí","",IF(YEAR(F3602)&lt;&gt;2026,"",INDEX({"Enero","Febrero","Marzo","Abril","Mayo","Junio","Julio","Agosto","Septiembre","Octubre","Noviembre","Diciembre"},MONTH(F3602))))</f>
        <v/>
      </c>
      <c r="N3602" s="18" t="str">
        <f t="shared" si="170"/>
        <v/>
      </c>
    </row>
    <row r="3603" spans="11:14" ht="14.5" x14ac:dyDescent="0.25">
      <c r="K3603" s="21" t="str">
        <f t="shared" si="168"/>
        <v/>
      </c>
      <c r="L3603" s="19" t="str">
        <f t="shared" si="169"/>
        <v/>
      </c>
      <c r="M3603" s="18" t="str">
        <f>IF(I3603&lt;&gt;"Sí","",IF(YEAR(F3603)&lt;&gt;2026,"",INDEX({"Enero","Febrero","Marzo","Abril","Mayo","Junio","Julio","Agosto","Septiembre","Octubre","Noviembre","Diciembre"},MONTH(F3603))))</f>
        <v/>
      </c>
      <c r="N3603" s="18" t="str">
        <f t="shared" si="170"/>
        <v/>
      </c>
    </row>
    <row r="3604" spans="11:14" ht="14.5" x14ac:dyDescent="0.25">
      <c r="K3604" s="21" t="str">
        <f t="shared" si="168"/>
        <v/>
      </c>
      <c r="L3604" s="19" t="str">
        <f t="shared" si="169"/>
        <v/>
      </c>
      <c r="M3604" s="18" t="str">
        <f>IF(I3604&lt;&gt;"Sí","",IF(YEAR(F3604)&lt;&gt;2026,"",INDEX({"Enero","Febrero","Marzo","Abril","Mayo","Junio","Julio","Agosto","Septiembre","Octubre","Noviembre","Diciembre"},MONTH(F3604))))</f>
        <v/>
      </c>
      <c r="N3604" s="18" t="str">
        <f t="shared" si="170"/>
        <v/>
      </c>
    </row>
    <row r="3605" spans="11:14" ht="14.5" x14ac:dyDescent="0.25">
      <c r="K3605" s="21" t="str">
        <f t="shared" si="168"/>
        <v/>
      </c>
      <c r="L3605" s="19" t="str">
        <f t="shared" si="169"/>
        <v/>
      </c>
      <c r="M3605" s="18" t="str">
        <f>IF(I3605&lt;&gt;"Sí","",IF(YEAR(F3605)&lt;&gt;2026,"",INDEX({"Enero","Febrero","Marzo","Abril","Mayo","Junio","Julio","Agosto","Septiembre","Octubre","Noviembre","Diciembre"},MONTH(F3605))))</f>
        <v/>
      </c>
      <c r="N3605" s="18" t="str">
        <f t="shared" si="170"/>
        <v/>
      </c>
    </row>
    <row r="3606" spans="11:14" ht="14.5" x14ac:dyDescent="0.25">
      <c r="K3606" s="21" t="str">
        <f t="shared" si="168"/>
        <v/>
      </c>
      <c r="L3606" s="19" t="str">
        <f t="shared" si="169"/>
        <v/>
      </c>
      <c r="M3606" s="18" t="str">
        <f>IF(I3606&lt;&gt;"Sí","",IF(YEAR(F3606)&lt;&gt;2026,"",INDEX({"Enero","Febrero","Marzo","Abril","Mayo","Junio","Julio","Agosto","Septiembre","Octubre","Noviembre","Diciembre"},MONTH(F3606))))</f>
        <v/>
      </c>
      <c r="N3606" s="18" t="str">
        <f t="shared" si="170"/>
        <v/>
      </c>
    </row>
    <row r="3607" spans="11:14" ht="14.5" x14ac:dyDescent="0.25">
      <c r="K3607" s="21" t="str">
        <f t="shared" si="168"/>
        <v/>
      </c>
      <c r="L3607" s="19" t="str">
        <f t="shared" si="169"/>
        <v/>
      </c>
      <c r="M3607" s="18" t="str">
        <f>IF(I3607&lt;&gt;"Sí","",IF(YEAR(F3607)&lt;&gt;2026,"",INDEX({"Enero","Febrero","Marzo","Abril","Mayo","Junio","Julio","Agosto","Septiembre","Octubre","Noviembre","Diciembre"},MONTH(F3607))))</f>
        <v/>
      </c>
      <c r="N3607" s="18" t="str">
        <f t="shared" si="170"/>
        <v/>
      </c>
    </row>
    <row r="3608" spans="11:14" ht="14.5" x14ac:dyDescent="0.25">
      <c r="K3608" s="21" t="str">
        <f t="shared" si="168"/>
        <v/>
      </c>
      <c r="L3608" s="19" t="str">
        <f t="shared" si="169"/>
        <v/>
      </c>
      <c r="M3608" s="18" t="str">
        <f>IF(I3608&lt;&gt;"Sí","",IF(YEAR(F3608)&lt;&gt;2026,"",INDEX({"Enero","Febrero","Marzo","Abril","Mayo","Junio","Julio","Agosto","Septiembre","Octubre","Noviembre","Diciembre"},MONTH(F3608))))</f>
        <v/>
      </c>
      <c r="N3608" s="18" t="str">
        <f t="shared" si="170"/>
        <v/>
      </c>
    </row>
    <row r="3609" spans="11:14" ht="14.5" x14ac:dyDescent="0.25">
      <c r="K3609" s="21" t="str">
        <f t="shared" si="168"/>
        <v/>
      </c>
      <c r="L3609" s="19" t="str">
        <f t="shared" si="169"/>
        <v/>
      </c>
      <c r="M3609" s="18" t="str">
        <f>IF(I3609&lt;&gt;"Sí","",IF(YEAR(F3609)&lt;&gt;2026,"",INDEX({"Enero","Febrero","Marzo","Abril","Mayo","Junio","Julio","Agosto","Septiembre","Octubre","Noviembre","Diciembre"},MONTH(F3609))))</f>
        <v/>
      </c>
      <c r="N3609" s="18" t="str">
        <f t="shared" si="170"/>
        <v/>
      </c>
    </row>
    <row r="3610" spans="11:14" ht="14.5" x14ac:dyDescent="0.25">
      <c r="K3610" s="21" t="str">
        <f t="shared" si="168"/>
        <v/>
      </c>
      <c r="L3610" s="19" t="str">
        <f t="shared" si="169"/>
        <v/>
      </c>
      <c r="M3610" s="18" t="str">
        <f>IF(I3610&lt;&gt;"Sí","",IF(YEAR(F3610)&lt;&gt;2026,"",INDEX({"Enero","Febrero","Marzo","Abril","Mayo","Junio","Julio","Agosto","Septiembre","Octubre","Noviembre","Diciembre"},MONTH(F3610))))</f>
        <v/>
      </c>
      <c r="N3610" s="18" t="str">
        <f t="shared" si="170"/>
        <v/>
      </c>
    </row>
    <row r="3611" spans="11:14" ht="14.5" x14ac:dyDescent="0.25">
      <c r="K3611" s="21" t="str">
        <f t="shared" si="168"/>
        <v/>
      </c>
      <c r="L3611" s="19" t="str">
        <f t="shared" si="169"/>
        <v/>
      </c>
      <c r="M3611" s="18" t="str">
        <f>IF(I3611&lt;&gt;"Sí","",IF(YEAR(F3611)&lt;&gt;2026,"",INDEX({"Enero","Febrero","Marzo","Abril","Mayo","Junio","Julio","Agosto","Septiembre","Octubre","Noviembre","Diciembre"},MONTH(F3611))))</f>
        <v/>
      </c>
      <c r="N3611" s="18" t="str">
        <f t="shared" si="170"/>
        <v/>
      </c>
    </row>
    <row r="3612" spans="11:14" ht="14.5" x14ac:dyDescent="0.25">
      <c r="K3612" s="21" t="str">
        <f t="shared" si="168"/>
        <v/>
      </c>
      <c r="L3612" s="19" t="str">
        <f t="shared" si="169"/>
        <v/>
      </c>
      <c r="M3612" s="18" t="str">
        <f>IF(I3612&lt;&gt;"Sí","",IF(YEAR(F3612)&lt;&gt;2026,"",INDEX({"Enero","Febrero","Marzo","Abril","Mayo","Junio","Julio","Agosto","Septiembre","Octubre","Noviembre","Diciembre"},MONTH(F3612))))</f>
        <v/>
      </c>
      <c r="N3612" s="18" t="str">
        <f t="shared" si="170"/>
        <v/>
      </c>
    </row>
    <row r="3613" spans="11:14" ht="14.5" x14ac:dyDescent="0.25">
      <c r="K3613" s="21" t="str">
        <f t="shared" si="168"/>
        <v/>
      </c>
      <c r="L3613" s="19" t="str">
        <f t="shared" si="169"/>
        <v/>
      </c>
      <c r="M3613" s="18" t="str">
        <f>IF(I3613&lt;&gt;"Sí","",IF(YEAR(F3613)&lt;&gt;2026,"",INDEX({"Enero","Febrero","Marzo","Abril","Mayo","Junio","Julio","Agosto","Septiembre","Octubre","Noviembre","Diciembre"},MONTH(F3613))))</f>
        <v/>
      </c>
      <c r="N3613" s="18" t="str">
        <f t="shared" si="170"/>
        <v/>
      </c>
    </row>
    <row r="3614" spans="11:14" ht="14.5" x14ac:dyDescent="0.25">
      <c r="K3614" s="21" t="str">
        <f t="shared" si="168"/>
        <v/>
      </c>
      <c r="L3614" s="19" t="str">
        <f t="shared" si="169"/>
        <v/>
      </c>
      <c r="M3614" s="18" t="str">
        <f>IF(I3614&lt;&gt;"Sí","",IF(YEAR(F3614)&lt;&gt;2026,"",INDEX({"Enero","Febrero","Marzo","Abril","Mayo","Junio","Julio","Agosto","Septiembre","Octubre","Noviembre","Diciembre"},MONTH(F3614))))</f>
        <v/>
      </c>
      <c r="N3614" s="18" t="str">
        <f t="shared" si="170"/>
        <v/>
      </c>
    </row>
    <row r="3615" spans="11:14" ht="14.5" x14ac:dyDescent="0.25">
      <c r="K3615" s="21" t="str">
        <f t="shared" si="168"/>
        <v/>
      </c>
      <c r="L3615" s="19" t="str">
        <f t="shared" si="169"/>
        <v/>
      </c>
      <c r="M3615" s="18" t="str">
        <f>IF(I3615&lt;&gt;"Sí","",IF(YEAR(F3615)&lt;&gt;2026,"",INDEX({"Enero","Febrero","Marzo","Abril","Mayo","Junio","Julio","Agosto","Septiembre","Octubre","Noviembre","Diciembre"},MONTH(F3615))))</f>
        <v/>
      </c>
      <c r="N3615" s="18" t="str">
        <f t="shared" si="170"/>
        <v/>
      </c>
    </row>
    <row r="3616" spans="11:14" ht="14.5" x14ac:dyDescent="0.25">
      <c r="K3616" s="21" t="str">
        <f t="shared" si="168"/>
        <v/>
      </c>
      <c r="L3616" s="19" t="str">
        <f t="shared" si="169"/>
        <v/>
      </c>
      <c r="M3616" s="18" t="str">
        <f>IF(I3616&lt;&gt;"Sí","",IF(YEAR(F3616)&lt;&gt;2026,"",INDEX({"Enero","Febrero","Marzo","Abril","Mayo","Junio","Julio","Agosto","Septiembre","Octubre","Noviembre","Diciembre"},MONTH(F3616))))</f>
        <v/>
      </c>
      <c r="N3616" s="18" t="str">
        <f t="shared" si="170"/>
        <v/>
      </c>
    </row>
    <row r="3617" spans="11:14" ht="14.5" x14ac:dyDescent="0.25">
      <c r="K3617" s="21" t="str">
        <f t="shared" si="168"/>
        <v/>
      </c>
      <c r="L3617" s="19" t="str">
        <f t="shared" si="169"/>
        <v/>
      </c>
      <c r="M3617" s="18" t="str">
        <f>IF(I3617&lt;&gt;"Sí","",IF(YEAR(F3617)&lt;&gt;2026,"",INDEX({"Enero","Febrero","Marzo","Abril","Mayo","Junio","Julio","Agosto","Septiembre","Octubre","Noviembre","Diciembre"},MONTH(F3617))))</f>
        <v/>
      </c>
      <c r="N3617" s="18" t="str">
        <f t="shared" si="170"/>
        <v/>
      </c>
    </row>
    <row r="3618" spans="11:14" ht="14.5" x14ac:dyDescent="0.25">
      <c r="K3618" s="21" t="str">
        <f t="shared" si="168"/>
        <v/>
      </c>
      <c r="L3618" s="19" t="str">
        <f t="shared" si="169"/>
        <v/>
      </c>
      <c r="M3618" s="18" t="str">
        <f>IF(I3618&lt;&gt;"Sí","",IF(YEAR(F3618)&lt;&gt;2026,"",INDEX({"Enero","Febrero","Marzo","Abril","Mayo","Junio","Julio","Agosto","Septiembre","Octubre","Noviembre","Diciembre"},MONTH(F3618))))</f>
        <v/>
      </c>
      <c r="N3618" s="18" t="str">
        <f t="shared" si="170"/>
        <v/>
      </c>
    </row>
    <row r="3619" spans="11:14" ht="14.5" x14ac:dyDescent="0.25">
      <c r="K3619" s="21" t="str">
        <f t="shared" si="168"/>
        <v/>
      </c>
      <c r="L3619" s="19" t="str">
        <f t="shared" si="169"/>
        <v/>
      </c>
      <c r="M3619" s="18" t="str">
        <f>IF(I3619&lt;&gt;"Sí","",IF(YEAR(F3619)&lt;&gt;2026,"",INDEX({"Enero","Febrero","Marzo","Abril","Mayo","Junio","Julio","Agosto","Septiembre","Octubre","Noviembre","Diciembre"},MONTH(F3619))))</f>
        <v/>
      </c>
      <c r="N3619" s="18" t="str">
        <f t="shared" si="170"/>
        <v/>
      </c>
    </row>
    <row r="3620" spans="11:14" ht="14.5" x14ac:dyDescent="0.25">
      <c r="K3620" s="21" t="str">
        <f t="shared" si="168"/>
        <v/>
      </c>
      <c r="L3620" s="19" t="str">
        <f t="shared" si="169"/>
        <v/>
      </c>
      <c r="M3620" s="18" t="str">
        <f>IF(I3620&lt;&gt;"Sí","",IF(YEAR(F3620)&lt;&gt;2026,"",INDEX({"Enero","Febrero","Marzo","Abril","Mayo","Junio","Julio","Agosto","Septiembre","Octubre","Noviembre","Diciembre"},MONTH(F3620))))</f>
        <v/>
      </c>
      <c r="N3620" s="18" t="str">
        <f t="shared" si="170"/>
        <v/>
      </c>
    </row>
    <row r="3621" spans="11:14" ht="14.5" x14ac:dyDescent="0.25">
      <c r="K3621" s="21" t="str">
        <f t="shared" si="168"/>
        <v/>
      </c>
      <c r="L3621" s="19" t="str">
        <f t="shared" si="169"/>
        <v/>
      </c>
      <c r="M3621" s="18" t="str">
        <f>IF(I3621&lt;&gt;"Sí","",IF(YEAR(F3621)&lt;&gt;2026,"",INDEX({"Enero","Febrero","Marzo","Abril","Mayo","Junio","Julio","Agosto","Septiembre","Octubre","Noviembre","Diciembre"},MONTH(F3621))))</f>
        <v/>
      </c>
      <c r="N3621" s="18" t="str">
        <f t="shared" si="170"/>
        <v/>
      </c>
    </row>
    <row r="3622" spans="11:14" ht="14.5" x14ac:dyDescent="0.25">
      <c r="K3622" s="21" t="str">
        <f t="shared" si="168"/>
        <v/>
      </c>
      <c r="L3622" s="19" t="str">
        <f t="shared" si="169"/>
        <v/>
      </c>
      <c r="M3622" s="18" t="str">
        <f>IF(I3622&lt;&gt;"Sí","",IF(YEAR(F3622)&lt;&gt;2026,"",INDEX({"Enero","Febrero","Marzo","Abril","Mayo","Junio","Julio","Agosto","Septiembre","Octubre","Noviembre","Diciembre"},MONTH(F3622))))</f>
        <v/>
      </c>
      <c r="N3622" s="18" t="str">
        <f t="shared" si="170"/>
        <v/>
      </c>
    </row>
    <row r="3623" spans="11:14" ht="14.5" x14ac:dyDescent="0.25">
      <c r="K3623" s="21" t="str">
        <f t="shared" si="168"/>
        <v/>
      </c>
      <c r="L3623" s="19" t="str">
        <f t="shared" si="169"/>
        <v/>
      </c>
      <c r="M3623" s="18" t="str">
        <f>IF(I3623&lt;&gt;"Sí","",IF(YEAR(F3623)&lt;&gt;2026,"",INDEX({"Enero","Febrero","Marzo","Abril","Mayo","Junio","Julio","Agosto","Septiembre","Octubre","Noviembre","Diciembre"},MONTH(F3623))))</f>
        <v/>
      </c>
      <c r="N3623" s="18" t="str">
        <f t="shared" si="170"/>
        <v/>
      </c>
    </row>
    <row r="3624" spans="11:14" ht="14.5" x14ac:dyDescent="0.25">
      <c r="K3624" s="21" t="str">
        <f t="shared" si="168"/>
        <v/>
      </c>
      <c r="L3624" s="19" t="str">
        <f t="shared" si="169"/>
        <v/>
      </c>
      <c r="M3624" s="18" t="str">
        <f>IF(I3624&lt;&gt;"Sí","",IF(YEAR(F3624)&lt;&gt;2026,"",INDEX({"Enero","Febrero","Marzo","Abril","Mayo","Junio","Julio","Agosto","Septiembre","Octubre","Noviembre","Diciembre"},MONTH(F3624))))</f>
        <v/>
      </c>
      <c r="N3624" s="18" t="str">
        <f t="shared" si="170"/>
        <v/>
      </c>
    </row>
    <row r="3625" spans="11:14" ht="14.5" x14ac:dyDescent="0.25">
      <c r="K3625" s="21" t="str">
        <f t="shared" si="168"/>
        <v/>
      </c>
      <c r="L3625" s="19" t="str">
        <f t="shared" si="169"/>
        <v/>
      </c>
      <c r="M3625" s="18" t="str">
        <f>IF(I3625&lt;&gt;"Sí","",IF(YEAR(F3625)&lt;&gt;2026,"",INDEX({"Enero","Febrero","Marzo","Abril","Mayo","Junio","Julio","Agosto","Septiembre","Octubre","Noviembre","Diciembre"},MONTH(F3625))))</f>
        <v/>
      </c>
      <c r="N3625" s="18" t="str">
        <f t="shared" si="170"/>
        <v/>
      </c>
    </row>
    <row r="3626" spans="11:14" ht="14.5" x14ac:dyDescent="0.25">
      <c r="K3626" s="21" t="str">
        <f t="shared" si="168"/>
        <v/>
      </c>
      <c r="L3626" s="19" t="str">
        <f t="shared" si="169"/>
        <v/>
      </c>
      <c r="M3626" s="18" t="str">
        <f>IF(I3626&lt;&gt;"Sí","",IF(YEAR(F3626)&lt;&gt;2026,"",INDEX({"Enero","Febrero","Marzo","Abril","Mayo","Junio","Julio","Agosto","Septiembre","Octubre","Noviembre","Diciembre"},MONTH(F3626))))</f>
        <v/>
      </c>
      <c r="N3626" s="18" t="str">
        <f t="shared" si="170"/>
        <v/>
      </c>
    </row>
    <row r="3627" spans="11:14" ht="14.5" x14ac:dyDescent="0.25">
      <c r="K3627" s="21" t="str">
        <f t="shared" si="168"/>
        <v/>
      </c>
      <c r="L3627" s="19" t="str">
        <f t="shared" si="169"/>
        <v/>
      </c>
      <c r="M3627" s="18" t="str">
        <f>IF(I3627&lt;&gt;"Sí","",IF(YEAR(F3627)&lt;&gt;2026,"",INDEX({"Enero","Febrero","Marzo","Abril","Mayo","Junio","Julio","Agosto","Septiembre","Octubre","Noviembre","Diciembre"},MONTH(F3627))))</f>
        <v/>
      </c>
      <c r="N3627" s="18" t="str">
        <f t="shared" si="170"/>
        <v/>
      </c>
    </row>
    <row r="3628" spans="11:14" ht="14.5" x14ac:dyDescent="0.25">
      <c r="K3628" s="21" t="str">
        <f t="shared" si="168"/>
        <v/>
      </c>
      <c r="L3628" s="19" t="str">
        <f t="shared" si="169"/>
        <v/>
      </c>
      <c r="M3628" s="18" t="str">
        <f>IF(I3628&lt;&gt;"Sí","",IF(YEAR(F3628)&lt;&gt;2026,"",INDEX({"Enero","Febrero","Marzo","Abril","Mayo","Junio","Julio","Agosto","Septiembre","Octubre","Noviembre","Diciembre"},MONTH(F3628))))</f>
        <v/>
      </c>
      <c r="N3628" s="18" t="str">
        <f t="shared" si="170"/>
        <v/>
      </c>
    </row>
    <row r="3629" spans="11:14" ht="14.5" x14ac:dyDescent="0.25">
      <c r="K3629" s="21" t="str">
        <f t="shared" si="168"/>
        <v/>
      </c>
      <c r="L3629" s="19" t="str">
        <f t="shared" si="169"/>
        <v/>
      </c>
      <c r="M3629" s="18" t="str">
        <f>IF(I3629&lt;&gt;"Sí","",IF(YEAR(F3629)&lt;&gt;2026,"",INDEX({"Enero","Febrero","Marzo","Abril","Mayo","Junio","Julio","Agosto","Septiembre","Octubre","Noviembre","Diciembre"},MONTH(F3629))))</f>
        <v/>
      </c>
      <c r="N3629" s="18" t="str">
        <f t="shared" si="170"/>
        <v/>
      </c>
    </row>
    <row r="3630" spans="11:14" ht="14.5" x14ac:dyDescent="0.25">
      <c r="K3630" s="21" t="str">
        <f t="shared" si="168"/>
        <v/>
      </c>
      <c r="L3630" s="19" t="str">
        <f t="shared" si="169"/>
        <v/>
      </c>
      <c r="M3630" s="18" t="str">
        <f>IF(I3630&lt;&gt;"Sí","",IF(YEAR(F3630)&lt;&gt;2026,"",INDEX({"Enero","Febrero","Marzo","Abril","Mayo","Junio","Julio","Agosto","Septiembre","Octubre","Noviembre","Diciembre"},MONTH(F3630))))</f>
        <v/>
      </c>
      <c r="N3630" s="18" t="str">
        <f t="shared" si="170"/>
        <v/>
      </c>
    </row>
    <row r="3631" spans="11:14" ht="14.5" x14ac:dyDescent="0.25">
      <c r="K3631" s="21" t="str">
        <f t="shared" si="168"/>
        <v/>
      </c>
      <c r="L3631" s="19" t="str">
        <f t="shared" si="169"/>
        <v/>
      </c>
      <c r="M3631" s="18" t="str">
        <f>IF(I3631&lt;&gt;"Sí","",IF(YEAR(F3631)&lt;&gt;2026,"",INDEX({"Enero","Febrero","Marzo","Abril","Mayo","Junio","Julio","Agosto","Septiembre","Octubre","Noviembre","Diciembre"},MONTH(F3631))))</f>
        <v/>
      </c>
      <c r="N3631" s="18" t="str">
        <f t="shared" si="170"/>
        <v/>
      </c>
    </row>
    <row r="3632" spans="11:14" ht="14.5" x14ac:dyDescent="0.25">
      <c r="K3632" s="21" t="str">
        <f t="shared" si="168"/>
        <v/>
      </c>
      <c r="L3632" s="19" t="str">
        <f t="shared" si="169"/>
        <v/>
      </c>
      <c r="M3632" s="18" t="str">
        <f>IF(I3632&lt;&gt;"Sí","",IF(YEAR(F3632)&lt;&gt;2026,"",INDEX({"Enero","Febrero","Marzo","Abril","Mayo","Junio","Julio","Agosto","Septiembre","Octubre","Noviembre","Diciembre"},MONTH(F3632))))</f>
        <v/>
      </c>
      <c r="N3632" s="18" t="str">
        <f t="shared" si="170"/>
        <v/>
      </c>
    </row>
    <row r="3633" spans="11:14" ht="14.5" x14ac:dyDescent="0.25">
      <c r="K3633" s="21" t="str">
        <f t="shared" si="168"/>
        <v/>
      </c>
      <c r="L3633" s="19" t="str">
        <f t="shared" si="169"/>
        <v/>
      </c>
      <c r="M3633" s="18" t="str">
        <f>IF(I3633&lt;&gt;"Sí","",IF(YEAR(F3633)&lt;&gt;2026,"",INDEX({"Enero","Febrero","Marzo","Abril","Mayo","Junio","Julio","Agosto","Septiembre","Octubre","Noviembre","Diciembre"},MONTH(F3633))))</f>
        <v/>
      </c>
      <c r="N3633" s="18" t="str">
        <f t="shared" si="170"/>
        <v/>
      </c>
    </row>
    <row r="3634" spans="11:14" ht="14.5" x14ac:dyDescent="0.25">
      <c r="K3634" s="21" t="str">
        <f t="shared" si="168"/>
        <v/>
      </c>
      <c r="L3634" s="19" t="str">
        <f t="shared" si="169"/>
        <v/>
      </c>
      <c r="M3634" s="18" t="str">
        <f>IF(I3634&lt;&gt;"Sí","",IF(YEAR(F3634)&lt;&gt;2026,"",INDEX({"Enero","Febrero","Marzo","Abril","Mayo","Junio","Julio","Agosto","Septiembre","Octubre","Noviembre","Diciembre"},MONTH(F3634))))</f>
        <v/>
      </c>
      <c r="N3634" s="18" t="str">
        <f t="shared" si="170"/>
        <v/>
      </c>
    </row>
    <row r="3635" spans="11:14" ht="14.5" x14ac:dyDescent="0.25">
      <c r="K3635" s="21" t="str">
        <f t="shared" si="168"/>
        <v/>
      </c>
      <c r="L3635" s="19" t="str">
        <f t="shared" si="169"/>
        <v/>
      </c>
      <c r="M3635" s="18" t="str">
        <f>IF(I3635&lt;&gt;"Sí","",IF(YEAR(F3635)&lt;&gt;2026,"",INDEX({"Enero","Febrero","Marzo","Abril","Mayo","Junio","Julio","Agosto","Septiembre","Octubre","Noviembre","Diciembre"},MONTH(F3635))))</f>
        <v/>
      </c>
      <c r="N3635" s="18" t="str">
        <f t="shared" si="170"/>
        <v/>
      </c>
    </row>
    <row r="3636" spans="11:14" ht="14.5" x14ac:dyDescent="0.25">
      <c r="K3636" s="21" t="str">
        <f t="shared" si="168"/>
        <v/>
      </c>
      <c r="L3636" s="19" t="str">
        <f t="shared" si="169"/>
        <v/>
      </c>
      <c r="M3636" s="18" t="str">
        <f>IF(I3636&lt;&gt;"Sí","",IF(YEAR(F3636)&lt;&gt;2026,"",INDEX({"Enero","Febrero","Marzo","Abril","Mayo","Junio","Julio","Agosto","Septiembre","Octubre","Noviembre","Diciembre"},MONTH(F3636))))</f>
        <v/>
      </c>
      <c r="N3636" s="18" t="str">
        <f t="shared" si="170"/>
        <v/>
      </c>
    </row>
    <row r="3637" spans="11:14" ht="14.5" x14ac:dyDescent="0.25">
      <c r="K3637" s="21" t="str">
        <f t="shared" si="168"/>
        <v/>
      </c>
      <c r="L3637" s="19" t="str">
        <f t="shared" si="169"/>
        <v/>
      </c>
      <c r="M3637" s="18" t="str">
        <f>IF(I3637&lt;&gt;"Sí","",IF(YEAR(F3637)&lt;&gt;2026,"",INDEX({"Enero","Febrero","Marzo","Abril","Mayo","Junio","Julio","Agosto","Septiembre","Octubre","Noviembre","Diciembre"},MONTH(F3637))))</f>
        <v/>
      </c>
      <c r="N3637" s="18" t="str">
        <f t="shared" si="170"/>
        <v/>
      </c>
    </row>
    <row r="3638" spans="11:14" ht="14.5" x14ac:dyDescent="0.25">
      <c r="K3638" s="21" t="str">
        <f t="shared" si="168"/>
        <v/>
      </c>
      <c r="L3638" s="19" t="str">
        <f t="shared" si="169"/>
        <v/>
      </c>
      <c r="M3638" s="18" t="str">
        <f>IF(I3638&lt;&gt;"Sí","",IF(YEAR(F3638)&lt;&gt;2026,"",INDEX({"Enero","Febrero","Marzo","Abril","Mayo","Junio","Julio","Agosto","Septiembre","Octubre","Noviembre","Diciembre"},MONTH(F3638))))</f>
        <v/>
      </c>
      <c r="N3638" s="18" t="str">
        <f t="shared" si="170"/>
        <v/>
      </c>
    </row>
    <row r="3639" spans="11:14" ht="14.5" x14ac:dyDescent="0.25">
      <c r="K3639" s="21" t="str">
        <f t="shared" si="168"/>
        <v/>
      </c>
      <c r="L3639" s="19" t="str">
        <f t="shared" si="169"/>
        <v/>
      </c>
      <c r="M3639" s="18" t="str">
        <f>IF(I3639&lt;&gt;"Sí","",IF(YEAR(F3639)&lt;&gt;2026,"",INDEX({"Enero","Febrero","Marzo","Abril","Mayo","Junio","Julio","Agosto","Septiembre","Octubre","Noviembre","Diciembre"},MONTH(F3639))))</f>
        <v/>
      </c>
      <c r="N3639" s="18" t="str">
        <f t="shared" si="170"/>
        <v/>
      </c>
    </row>
    <row r="3640" spans="11:14" ht="14.5" x14ac:dyDescent="0.25">
      <c r="K3640" s="21" t="str">
        <f t="shared" si="168"/>
        <v/>
      </c>
      <c r="L3640" s="19" t="str">
        <f t="shared" si="169"/>
        <v/>
      </c>
      <c r="M3640" s="18" t="str">
        <f>IF(I3640&lt;&gt;"Sí","",IF(YEAR(F3640)&lt;&gt;2026,"",INDEX({"Enero","Febrero","Marzo","Abril","Mayo","Junio","Julio","Agosto","Septiembre","Octubre","Noviembre","Diciembre"},MONTH(F3640))))</f>
        <v/>
      </c>
      <c r="N3640" s="18" t="str">
        <f t="shared" si="170"/>
        <v/>
      </c>
    </row>
    <row r="3641" spans="11:14" ht="14.5" x14ac:dyDescent="0.25">
      <c r="K3641" s="21" t="str">
        <f t="shared" si="168"/>
        <v/>
      </c>
      <c r="L3641" s="19" t="str">
        <f t="shared" si="169"/>
        <v/>
      </c>
      <c r="M3641" s="18" t="str">
        <f>IF(I3641&lt;&gt;"Sí","",IF(YEAR(F3641)&lt;&gt;2026,"",INDEX({"Enero","Febrero","Marzo","Abril","Mayo","Junio","Julio","Agosto","Septiembre","Octubre","Noviembre","Diciembre"},MONTH(F3641))))</f>
        <v/>
      </c>
      <c r="N3641" s="18" t="str">
        <f t="shared" si="170"/>
        <v/>
      </c>
    </row>
    <row r="3642" spans="11:14" ht="14.5" x14ac:dyDescent="0.25">
      <c r="K3642" s="21" t="str">
        <f t="shared" si="168"/>
        <v/>
      </c>
      <c r="L3642" s="19" t="str">
        <f t="shared" si="169"/>
        <v/>
      </c>
      <c r="M3642" s="18" t="str">
        <f>IF(I3642&lt;&gt;"Sí","",IF(YEAR(F3642)&lt;&gt;2026,"",INDEX({"Enero","Febrero","Marzo","Abril","Mayo","Junio","Julio","Agosto","Septiembre","Octubre","Noviembre","Diciembre"},MONTH(F3642))))</f>
        <v/>
      </c>
      <c r="N3642" s="18" t="str">
        <f t="shared" si="170"/>
        <v/>
      </c>
    </row>
    <row r="3643" spans="11:14" ht="14.5" x14ac:dyDescent="0.25">
      <c r="K3643" s="21" t="str">
        <f t="shared" si="168"/>
        <v/>
      </c>
      <c r="L3643" s="19" t="str">
        <f t="shared" si="169"/>
        <v/>
      </c>
      <c r="M3643" s="18" t="str">
        <f>IF(I3643&lt;&gt;"Sí","",IF(YEAR(F3643)&lt;&gt;2026,"",INDEX({"Enero","Febrero","Marzo","Abril","Mayo","Junio","Julio","Agosto","Septiembre","Octubre","Noviembre","Diciembre"},MONTH(F3643))))</f>
        <v/>
      </c>
      <c r="N3643" s="18" t="str">
        <f t="shared" si="170"/>
        <v/>
      </c>
    </row>
    <row r="3644" spans="11:14" ht="14.5" x14ac:dyDescent="0.25">
      <c r="K3644" s="21" t="str">
        <f t="shared" si="168"/>
        <v/>
      </c>
      <c r="L3644" s="19" t="str">
        <f t="shared" si="169"/>
        <v/>
      </c>
      <c r="M3644" s="18" t="str">
        <f>IF(I3644&lt;&gt;"Sí","",IF(YEAR(F3644)&lt;&gt;2026,"",INDEX({"Enero","Febrero","Marzo","Abril","Mayo","Junio","Julio","Agosto","Septiembre","Octubre","Noviembre","Diciembre"},MONTH(F3644))))</f>
        <v/>
      </c>
      <c r="N3644" s="18" t="str">
        <f t="shared" si="170"/>
        <v/>
      </c>
    </row>
    <row r="3645" spans="11:14" ht="14.5" x14ac:dyDescent="0.25">
      <c r="K3645" s="21" t="str">
        <f t="shared" si="168"/>
        <v/>
      </c>
      <c r="L3645" s="19" t="str">
        <f t="shared" si="169"/>
        <v/>
      </c>
      <c r="M3645" s="18" t="str">
        <f>IF(I3645&lt;&gt;"Sí","",IF(YEAR(F3645)&lt;&gt;2026,"",INDEX({"Enero","Febrero","Marzo","Abril","Mayo","Junio","Julio","Agosto","Septiembre","Octubre","Noviembre","Diciembre"},MONTH(F3645))))</f>
        <v/>
      </c>
      <c r="N3645" s="18" t="str">
        <f t="shared" si="170"/>
        <v/>
      </c>
    </row>
    <row r="3646" spans="11:14" ht="14.5" x14ac:dyDescent="0.25">
      <c r="K3646" s="21" t="str">
        <f t="shared" si="168"/>
        <v/>
      </c>
      <c r="L3646" s="19" t="str">
        <f t="shared" si="169"/>
        <v/>
      </c>
      <c r="M3646" s="18" t="str">
        <f>IF(I3646&lt;&gt;"Sí","",IF(YEAR(F3646)&lt;&gt;2026,"",INDEX({"Enero","Febrero","Marzo","Abril","Mayo","Junio","Julio","Agosto","Septiembre","Octubre","Noviembre","Diciembre"},MONTH(F3646))))</f>
        <v/>
      </c>
      <c r="N3646" s="18" t="str">
        <f t="shared" si="170"/>
        <v/>
      </c>
    </row>
    <row r="3647" spans="11:14" ht="14.5" x14ac:dyDescent="0.25">
      <c r="K3647" s="21" t="str">
        <f t="shared" si="168"/>
        <v/>
      </c>
      <c r="L3647" s="19" t="str">
        <f t="shared" si="169"/>
        <v/>
      </c>
      <c r="M3647" s="18" t="str">
        <f>IF(I3647&lt;&gt;"Sí","",IF(YEAR(F3647)&lt;&gt;2026,"",INDEX({"Enero","Febrero","Marzo","Abril","Mayo","Junio","Julio","Agosto","Septiembre","Octubre","Noviembre","Diciembre"},MONTH(F3647))))</f>
        <v/>
      </c>
      <c r="N3647" s="18" t="str">
        <f t="shared" si="170"/>
        <v/>
      </c>
    </row>
    <row r="3648" spans="11:14" ht="14.5" x14ac:dyDescent="0.25">
      <c r="K3648" s="21" t="str">
        <f t="shared" si="168"/>
        <v/>
      </c>
      <c r="L3648" s="19" t="str">
        <f t="shared" si="169"/>
        <v/>
      </c>
      <c r="M3648" s="18" t="str">
        <f>IF(I3648&lt;&gt;"Sí","",IF(YEAR(F3648)&lt;&gt;2026,"",INDEX({"Enero","Febrero","Marzo","Abril","Mayo","Junio","Julio","Agosto","Septiembre","Octubre","Noviembre","Diciembre"},MONTH(F3648))))</f>
        <v/>
      </c>
      <c r="N3648" s="18" t="str">
        <f t="shared" si="170"/>
        <v/>
      </c>
    </row>
    <row r="3649" spans="11:14" ht="14.5" x14ac:dyDescent="0.25">
      <c r="K3649" s="21" t="str">
        <f t="shared" si="168"/>
        <v/>
      </c>
      <c r="L3649" s="19" t="str">
        <f t="shared" si="169"/>
        <v/>
      </c>
      <c r="M3649" s="18" t="str">
        <f>IF(I3649&lt;&gt;"Sí","",IF(YEAR(F3649)&lt;&gt;2026,"",INDEX({"Enero","Febrero","Marzo","Abril","Mayo","Junio","Julio","Agosto","Septiembre","Octubre","Noviembre","Diciembre"},MONTH(F3649))))</f>
        <v/>
      </c>
      <c r="N3649" s="18" t="str">
        <f t="shared" si="170"/>
        <v/>
      </c>
    </row>
    <row r="3650" spans="11:14" ht="14.5" x14ac:dyDescent="0.25">
      <c r="K3650" s="21" t="str">
        <f t="shared" si="168"/>
        <v/>
      </c>
      <c r="L3650" s="19" t="str">
        <f t="shared" si="169"/>
        <v/>
      </c>
      <c r="M3650" s="18" t="str">
        <f>IF(I3650&lt;&gt;"Sí","",IF(YEAR(F3650)&lt;&gt;2026,"",INDEX({"Enero","Febrero","Marzo","Abril","Mayo","Junio","Julio","Agosto","Septiembre","Octubre","Noviembre","Diciembre"},MONTH(F3650))))</f>
        <v/>
      </c>
      <c r="N3650" s="18" t="str">
        <f t="shared" si="170"/>
        <v/>
      </c>
    </row>
    <row r="3651" spans="11:14" ht="14.5" x14ac:dyDescent="0.25">
      <c r="K3651" s="21" t="str">
        <f t="shared" si="168"/>
        <v/>
      </c>
      <c r="L3651" s="19" t="str">
        <f t="shared" si="169"/>
        <v/>
      </c>
      <c r="M3651" s="18" t="str">
        <f>IF(I3651&lt;&gt;"Sí","",IF(YEAR(F3651)&lt;&gt;2026,"",INDEX({"Enero","Febrero","Marzo","Abril","Mayo","Junio","Julio","Agosto","Septiembre","Octubre","Noviembre","Diciembre"},MONTH(F3651))))</f>
        <v/>
      </c>
      <c r="N3651" s="18" t="str">
        <f t="shared" si="170"/>
        <v/>
      </c>
    </row>
    <row r="3652" spans="11:14" ht="14.5" x14ac:dyDescent="0.25">
      <c r="K3652" s="21" t="str">
        <f t="shared" si="168"/>
        <v/>
      </c>
      <c r="L3652" s="19" t="str">
        <f t="shared" si="169"/>
        <v/>
      </c>
      <c r="M3652" s="18" t="str">
        <f>IF(I3652&lt;&gt;"Sí","",IF(YEAR(F3652)&lt;&gt;2026,"",INDEX({"Enero","Febrero","Marzo","Abril","Mayo","Junio","Julio","Agosto","Septiembre","Octubre","Noviembre","Diciembre"},MONTH(F3652))))</f>
        <v/>
      </c>
      <c r="N3652" s="18" t="str">
        <f t="shared" si="170"/>
        <v/>
      </c>
    </row>
    <row r="3653" spans="11:14" ht="14.5" x14ac:dyDescent="0.25">
      <c r="K3653" s="21" t="str">
        <f t="shared" si="168"/>
        <v/>
      </c>
      <c r="L3653" s="19" t="str">
        <f t="shared" si="169"/>
        <v/>
      </c>
      <c r="M3653" s="18" t="str">
        <f>IF(I3653&lt;&gt;"Sí","",IF(YEAR(F3653)&lt;&gt;2026,"",INDEX({"Enero","Febrero","Marzo","Abril","Mayo","Junio","Julio","Agosto","Septiembre","Octubre","Noviembre","Diciembre"},MONTH(F3653))))</f>
        <v/>
      </c>
      <c r="N3653" s="18" t="str">
        <f t="shared" si="170"/>
        <v/>
      </c>
    </row>
    <row r="3654" spans="11:14" ht="14.5" x14ac:dyDescent="0.25">
      <c r="K3654" s="21" t="str">
        <f t="shared" si="168"/>
        <v/>
      </c>
      <c r="L3654" s="19" t="str">
        <f t="shared" si="169"/>
        <v/>
      </c>
      <c r="M3654" s="18" t="str">
        <f>IF(I3654&lt;&gt;"Sí","",IF(YEAR(F3654)&lt;&gt;2026,"",INDEX({"Enero","Febrero","Marzo","Abril","Mayo","Junio","Julio","Agosto","Septiembre","Octubre","Noviembre","Diciembre"},MONTH(F3654))))</f>
        <v/>
      </c>
      <c r="N3654" s="18" t="str">
        <f t="shared" si="170"/>
        <v/>
      </c>
    </row>
    <row r="3655" spans="11:14" ht="14.5" x14ac:dyDescent="0.25">
      <c r="K3655" s="21" t="str">
        <f t="shared" ref="K3655:K3718" si="171">IF(I3655="Sí",(G3655-F3655)*24,"")</f>
        <v/>
      </c>
      <c r="L3655" s="19" t="str">
        <f t="shared" ref="L3655:L3718" si="172">IF(I3655="Sí",COUNTIFS($F$7:$F$4000,"&lt;="&amp;F3655,$G$7:$G$4000,"&gt;"&amp;F3655,$I$7:$I$4000,"Sí"),"")</f>
        <v/>
      </c>
      <c r="M3655" s="18" t="str">
        <f>IF(I3655&lt;&gt;"Sí","",IF(YEAR(F3655)&lt;&gt;2026,"",INDEX({"Enero","Febrero","Marzo","Abril","Mayo","Junio","Julio","Agosto","Septiembre","Octubre","Noviembre","Diciembre"},MONTH(F3655))))</f>
        <v/>
      </c>
      <c r="N3655" s="18" t="str">
        <f t="shared" ref="N3655:N3718" si="173">IF(M3655="","",M3655&amp;"|"&amp;L3655)</f>
        <v/>
      </c>
    </row>
    <row r="3656" spans="11:14" ht="14.5" x14ac:dyDescent="0.25">
      <c r="K3656" s="21" t="str">
        <f t="shared" si="171"/>
        <v/>
      </c>
      <c r="L3656" s="19" t="str">
        <f t="shared" si="172"/>
        <v/>
      </c>
      <c r="M3656" s="18" t="str">
        <f>IF(I3656&lt;&gt;"Sí","",IF(YEAR(F3656)&lt;&gt;2026,"",INDEX({"Enero","Febrero","Marzo","Abril","Mayo","Junio","Julio","Agosto","Septiembre","Octubre","Noviembre","Diciembre"},MONTH(F3656))))</f>
        <v/>
      </c>
      <c r="N3656" s="18" t="str">
        <f t="shared" si="173"/>
        <v/>
      </c>
    </row>
    <row r="3657" spans="11:14" ht="14.5" x14ac:dyDescent="0.25">
      <c r="K3657" s="21" t="str">
        <f t="shared" si="171"/>
        <v/>
      </c>
      <c r="L3657" s="19" t="str">
        <f t="shared" si="172"/>
        <v/>
      </c>
      <c r="M3657" s="18" t="str">
        <f>IF(I3657&lt;&gt;"Sí","",IF(YEAR(F3657)&lt;&gt;2026,"",INDEX({"Enero","Febrero","Marzo","Abril","Mayo","Junio","Julio","Agosto","Septiembre","Octubre","Noviembre","Diciembre"},MONTH(F3657))))</f>
        <v/>
      </c>
      <c r="N3657" s="18" t="str">
        <f t="shared" si="173"/>
        <v/>
      </c>
    </row>
    <row r="3658" spans="11:14" ht="14.5" x14ac:dyDescent="0.25">
      <c r="K3658" s="21" t="str">
        <f t="shared" si="171"/>
        <v/>
      </c>
      <c r="L3658" s="19" t="str">
        <f t="shared" si="172"/>
        <v/>
      </c>
      <c r="M3658" s="18" t="str">
        <f>IF(I3658&lt;&gt;"Sí","",IF(YEAR(F3658)&lt;&gt;2026,"",INDEX({"Enero","Febrero","Marzo","Abril","Mayo","Junio","Julio","Agosto","Septiembre","Octubre","Noviembre","Diciembre"},MONTH(F3658))))</f>
        <v/>
      </c>
      <c r="N3658" s="18" t="str">
        <f t="shared" si="173"/>
        <v/>
      </c>
    </row>
    <row r="3659" spans="11:14" ht="14.5" x14ac:dyDescent="0.25">
      <c r="K3659" s="21" t="str">
        <f t="shared" si="171"/>
        <v/>
      </c>
      <c r="L3659" s="19" t="str">
        <f t="shared" si="172"/>
        <v/>
      </c>
      <c r="M3659" s="18" t="str">
        <f>IF(I3659&lt;&gt;"Sí","",IF(YEAR(F3659)&lt;&gt;2026,"",INDEX({"Enero","Febrero","Marzo","Abril","Mayo","Junio","Julio","Agosto","Septiembre","Octubre","Noviembre","Diciembre"},MONTH(F3659))))</f>
        <v/>
      </c>
      <c r="N3659" s="18" t="str">
        <f t="shared" si="173"/>
        <v/>
      </c>
    </row>
    <row r="3660" spans="11:14" ht="14.5" x14ac:dyDescent="0.25">
      <c r="K3660" s="21" t="str">
        <f t="shared" si="171"/>
        <v/>
      </c>
      <c r="L3660" s="19" t="str">
        <f t="shared" si="172"/>
        <v/>
      </c>
      <c r="M3660" s="18" t="str">
        <f>IF(I3660&lt;&gt;"Sí","",IF(YEAR(F3660)&lt;&gt;2026,"",INDEX({"Enero","Febrero","Marzo","Abril","Mayo","Junio","Julio","Agosto","Septiembre","Octubre","Noviembre","Diciembre"},MONTH(F3660))))</f>
        <v/>
      </c>
      <c r="N3660" s="18" t="str">
        <f t="shared" si="173"/>
        <v/>
      </c>
    </row>
    <row r="3661" spans="11:14" ht="14.5" x14ac:dyDescent="0.25">
      <c r="K3661" s="21" t="str">
        <f t="shared" si="171"/>
        <v/>
      </c>
      <c r="L3661" s="19" t="str">
        <f t="shared" si="172"/>
        <v/>
      </c>
      <c r="M3661" s="18" t="str">
        <f>IF(I3661&lt;&gt;"Sí","",IF(YEAR(F3661)&lt;&gt;2026,"",INDEX({"Enero","Febrero","Marzo","Abril","Mayo","Junio","Julio","Agosto","Septiembre","Octubre","Noviembre","Diciembre"},MONTH(F3661))))</f>
        <v/>
      </c>
      <c r="N3661" s="18" t="str">
        <f t="shared" si="173"/>
        <v/>
      </c>
    </row>
    <row r="3662" spans="11:14" ht="14.5" x14ac:dyDescent="0.25">
      <c r="K3662" s="21" t="str">
        <f t="shared" si="171"/>
        <v/>
      </c>
      <c r="L3662" s="19" t="str">
        <f t="shared" si="172"/>
        <v/>
      </c>
      <c r="M3662" s="18" t="str">
        <f>IF(I3662&lt;&gt;"Sí","",IF(YEAR(F3662)&lt;&gt;2026,"",INDEX({"Enero","Febrero","Marzo","Abril","Mayo","Junio","Julio","Agosto","Septiembre","Octubre","Noviembre","Diciembre"},MONTH(F3662))))</f>
        <v/>
      </c>
      <c r="N3662" s="18" t="str">
        <f t="shared" si="173"/>
        <v/>
      </c>
    </row>
    <row r="3663" spans="11:14" ht="14.5" x14ac:dyDescent="0.25">
      <c r="K3663" s="21" t="str">
        <f t="shared" si="171"/>
        <v/>
      </c>
      <c r="L3663" s="19" t="str">
        <f t="shared" si="172"/>
        <v/>
      </c>
      <c r="M3663" s="18" t="str">
        <f>IF(I3663&lt;&gt;"Sí","",IF(YEAR(F3663)&lt;&gt;2026,"",INDEX({"Enero","Febrero","Marzo","Abril","Mayo","Junio","Julio","Agosto","Septiembre","Octubre","Noviembre","Diciembre"},MONTH(F3663))))</f>
        <v/>
      </c>
      <c r="N3663" s="18" t="str">
        <f t="shared" si="173"/>
        <v/>
      </c>
    </row>
    <row r="3664" spans="11:14" ht="14.5" x14ac:dyDescent="0.25">
      <c r="K3664" s="21" t="str">
        <f t="shared" si="171"/>
        <v/>
      </c>
      <c r="L3664" s="19" t="str">
        <f t="shared" si="172"/>
        <v/>
      </c>
      <c r="M3664" s="18" t="str">
        <f>IF(I3664&lt;&gt;"Sí","",IF(YEAR(F3664)&lt;&gt;2026,"",INDEX({"Enero","Febrero","Marzo","Abril","Mayo","Junio","Julio","Agosto","Septiembre","Octubre","Noviembre","Diciembre"},MONTH(F3664))))</f>
        <v/>
      </c>
      <c r="N3664" s="18" t="str">
        <f t="shared" si="173"/>
        <v/>
      </c>
    </row>
    <row r="3665" spans="11:14" ht="14.5" x14ac:dyDescent="0.25">
      <c r="K3665" s="21" t="str">
        <f t="shared" si="171"/>
        <v/>
      </c>
      <c r="L3665" s="19" t="str">
        <f t="shared" si="172"/>
        <v/>
      </c>
      <c r="M3665" s="18" t="str">
        <f>IF(I3665&lt;&gt;"Sí","",IF(YEAR(F3665)&lt;&gt;2026,"",INDEX({"Enero","Febrero","Marzo","Abril","Mayo","Junio","Julio","Agosto","Septiembre","Octubre","Noviembre","Diciembre"},MONTH(F3665))))</f>
        <v/>
      </c>
      <c r="N3665" s="18" t="str">
        <f t="shared" si="173"/>
        <v/>
      </c>
    </row>
    <row r="3666" spans="11:14" ht="14.5" x14ac:dyDescent="0.25">
      <c r="K3666" s="21" t="str">
        <f t="shared" si="171"/>
        <v/>
      </c>
      <c r="L3666" s="19" t="str">
        <f t="shared" si="172"/>
        <v/>
      </c>
      <c r="M3666" s="18" t="str">
        <f>IF(I3666&lt;&gt;"Sí","",IF(YEAR(F3666)&lt;&gt;2026,"",INDEX({"Enero","Febrero","Marzo","Abril","Mayo","Junio","Julio","Agosto","Septiembre","Octubre","Noviembre","Diciembre"},MONTH(F3666))))</f>
        <v/>
      </c>
      <c r="N3666" s="18" t="str">
        <f t="shared" si="173"/>
        <v/>
      </c>
    </row>
    <row r="3667" spans="11:14" ht="14.5" x14ac:dyDescent="0.25">
      <c r="K3667" s="21" t="str">
        <f t="shared" si="171"/>
        <v/>
      </c>
      <c r="L3667" s="19" t="str">
        <f t="shared" si="172"/>
        <v/>
      </c>
      <c r="M3667" s="18" t="str">
        <f>IF(I3667&lt;&gt;"Sí","",IF(YEAR(F3667)&lt;&gt;2026,"",INDEX({"Enero","Febrero","Marzo","Abril","Mayo","Junio","Julio","Agosto","Septiembre","Octubre","Noviembre","Diciembre"},MONTH(F3667))))</f>
        <v/>
      </c>
      <c r="N3667" s="18" t="str">
        <f t="shared" si="173"/>
        <v/>
      </c>
    </row>
    <row r="3668" spans="11:14" ht="14.5" x14ac:dyDescent="0.25">
      <c r="K3668" s="21" t="str">
        <f t="shared" si="171"/>
        <v/>
      </c>
      <c r="L3668" s="19" t="str">
        <f t="shared" si="172"/>
        <v/>
      </c>
      <c r="M3668" s="18" t="str">
        <f>IF(I3668&lt;&gt;"Sí","",IF(YEAR(F3668)&lt;&gt;2026,"",INDEX({"Enero","Febrero","Marzo","Abril","Mayo","Junio","Julio","Agosto","Septiembre","Octubre","Noviembre","Diciembre"},MONTH(F3668))))</f>
        <v/>
      </c>
      <c r="N3668" s="18" t="str">
        <f t="shared" si="173"/>
        <v/>
      </c>
    </row>
    <row r="3669" spans="11:14" ht="14.5" x14ac:dyDescent="0.25">
      <c r="K3669" s="21" t="str">
        <f t="shared" si="171"/>
        <v/>
      </c>
      <c r="L3669" s="19" t="str">
        <f t="shared" si="172"/>
        <v/>
      </c>
      <c r="M3669" s="18" t="str">
        <f>IF(I3669&lt;&gt;"Sí","",IF(YEAR(F3669)&lt;&gt;2026,"",INDEX({"Enero","Febrero","Marzo","Abril","Mayo","Junio","Julio","Agosto","Septiembre","Octubre","Noviembre","Diciembre"},MONTH(F3669))))</f>
        <v/>
      </c>
      <c r="N3669" s="18" t="str">
        <f t="shared" si="173"/>
        <v/>
      </c>
    </row>
    <row r="3670" spans="11:14" ht="14.5" x14ac:dyDescent="0.25">
      <c r="K3670" s="21" t="str">
        <f t="shared" si="171"/>
        <v/>
      </c>
      <c r="L3670" s="19" t="str">
        <f t="shared" si="172"/>
        <v/>
      </c>
      <c r="M3670" s="18" t="str">
        <f>IF(I3670&lt;&gt;"Sí","",IF(YEAR(F3670)&lt;&gt;2026,"",INDEX({"Enero","Febrero","Marzo","Abril","Mayo","Junio","Julio","Agosto","Septiembre","Octubre","Noviembre","Diciembre"},MONTH(F3670))))</f>
        <v/>
      </c>
      <c r="N3670" s="18" t="str">
        <f t="shared" si="173"/>
        <v/>
      </c>
    </row>
    <row r="3671" spans="11:14" ht="14.5" x14ac:dyDescent="0.25">
      <c r="K3671" s="21" t="str">
        <f t="shared" si="171"/>
        <v/>
      </c>
      <c r="L3671" s="19" t="str">
        <f t="shared" si="172"/>
        <v/>
      </c>
      <c r="M3671" s="18" t="str">
        <f>IF(I3671&lt;&gt;"Sí","",IF(YEAR(F3671)&lt;&gt;2026,"",INDEX({"Enero","Febrero","Marzo","Abril","Mayo","Junio","Julio","Agosto","Septiembre","Octubre","Noviembre","Diciembre"},MONTH(F3671))))</f>
        <v/>
      </c>
      <c r="N3671" s="18" t="str">
        <f t="shared" si="173"/>
        <v/>
      </c>
    </row>
    <row r="3672" spans="11:14" ht="14.5" x14ac:dyDescent="0.25">
      <c r="K3672" s="21" t="str">
        <f t="shared" si="171"/>
        <v/>
      </c>
      <c r="L3672" s="19" t="str">
        <f t="shared" si="172"/>
        <v/>
      </c>
      <c r="M3672" s="18" t="str">
        <f>IF(I3672&lt;&gt;"Sí","",IF(YEAR(F3672)&lt;&gt;2026,"",INDEX({"Enero","Febrero","Marzo","Abril","Mayo","Junio","Julio","Agosto","Septiembre","Octubre","Noviembre","Diciembre"},MONTH(F3672))))</f>
        <v/>
      </c>
      <c r="N3672" s="18" t="str">
        <f t="shared" si="173"/>
        <v/>
      </c>
    </row>
    <row r="3673" spans="11:14" ht="14.5" x14ac:dyDescent="0.25">
      <c r="K3673" s="21" t="str">
        <f t="shared" si="171"/>
        <v/>
      </c>
      <c r="L3673" s="19" t="str">
        <f t="shared" si="172"/>
        <v/>
      </c>
      <c r="M3673" s="18" t="str">
        <f>IF(I3673&lt;&gt;"Sí","",IF(YEAR(F3673)&lt;&gt;2026,"",INDEX({"Enero","Febrero","Marzo","Abril","Mayo","Junio","Julio","Agosto","Septiembre","Octubre","Noviembre","Diciembre"},MONTH(F3673))))</f>
        <v/>
      </c>
      <c r="N3673" s="18" t="str">
        <f t="shared" si="173"/>
        <v/>
      </c>
    </row>
    <row r="3674" spans="11:14" ht="14.5" x14ac:dyDescent="0.25">
      <c r="K3674" s="21" t="str">
        <f t="shared" si="171"/>
        <v/>
      </c>
      <c r="L3674" s="19" t="str">
        <f t="shared" si="172"/>
        <v/>
      </c>
      <c r="M3674" s="18" t="str">
        <f>IF(I3674&lt;&gt;"Sí","",IF(YEAR(F3674)&lt;&gt;2026,"",INDEX({"Enero","Febrero","Marzo","Abril","Mayo","Junio","Julio","Agosto","Septiembre","Octubre","Noviembre","Diciembre"},MONTH(F3674))))</f>
        <v/>
      </c>
      <c r="N3674" s="18" t="str">
        <f t="shared" si="173"/>
        <v/>
      </c>
    </row>
    <row r="3675" spans="11:14" ht="14.5" x14ac:dyDescent="0.25">
      <c r="K3675" s="21" t="str">
        <f t="shared" si="171"/>
        <v/>
      </c>
      <c r="L3675" s="19" t="str">
        <f t="shared" si="172"/>
        <v/>
      </c>
      <c r="M3675" s="18" t="str">
        <f>IF(I3675&lt;&gt;"Sí","",IF(YEAR(F3675)&lt;&gt;2026,"",INDEX({"Enero","Febrero","Marzo","Abril","Mayo","Junio","Julio","Agosto","Septiembre","Octubre","Noviembre","Diciembre"},MONTH(F3675))))</f>
        <v/>
      </c>
      <c r="N3675" s="18" t="str">
        <f t="shared" si="173"/>
        <v/>
      </c>
    </row>
    <row r="3676" spans="11:14" ht="14.5" x14ac:dyDescent="0.25">
      <c r="K3676" s="21" t="str">
        <f t="shared" si="171"/>
        <v/>
      </c>
      <c r="L3676" s="19" t="str">
        <f t="shared" si="172"/>
        <v/>
      </c>
      <c r="M3676" s="18" t="str">
        <f>IF(I3676&lt;&gt;"Sí","",IF(YEAR(F3676)&lt;&gt;2026,"",INDEX({"Enero","Febrero","Marzo","Abril","Mayo","Junio","Julio","Agosto","Septiembre","Octubre","Noviembre","Diciembre"},MONTH(F3676))))</f>
        <v/>
      </c>
      <c r="N3676" s="18" t="str">
        <f t="shared" si="173"/>
        <v/>
      </c>
    </row>
    <row r="3677" spans="11:14" ht="14.5" x14ac:dyDescent="0.25">
      <c r="K3677" s="21" t="str">
        <f t="shared" si="171"/>
        <v/>
      </c>
      <c r="L3677" s="19" t="str">
        <f t="shared" si="172"/>
        <v/>
      </c>
      <c r="M3677" s="18" t="str">
        <f>IF(I3677&lt;&gt;"Sí","",IF(YEAR(F3677)&lt;&gt;2026,"",INDEX({"Enero","Febrero","Marzo","Abril","Mayo","Junio","Julio","Agosto","Septiembre","Octubre","Noviembre","Diciembre"},MONTH(F3677))))</f>
        <v/>
      </c>
      <c r="N3677" s="18" t="str">
        <f t="shared" si="173"/>
        <v/>
      </c>
    </row>
    <row r="3678" spans="11:14" ht="14.5" x14ac:dyDescent="0.25">
      <c r="K3678" s="21" t="str">
        <f t="shared" si="171"/>
        <v/>
      </c>
      <c r="L3678" s="19" t="str">
        <f t="shared" si="172"/>
        <v/>
      </c>
      <c r="M3678" s="18" t="str">
        <f>IF(I3678&lt;&gt;"Sí","",IF(YEAR(F3678)&lt;&gt;2026,"",INDEX({"Enero","Febrero","Marzo","Abril","Mayo","Junio","Julio","Agosto","Septiembre","Octubre","Noviembre","Diciembre"},MONTH(F3678))))</f>
        <v/>
      </c>
      <c r="N3678" s="18" t="str">
        <f t="shared" si="173"/>
        <v/>
      </c>
    </row>
    <row r="3679" spans="11:14" ht="14.5" x14ac:dyDescent="0.25">
      <c r="K3679" s="21" t="str">
        <f t="shared" si="171"/>
        <v/>
      </c>
      <c r="L3679" s="19" t="str">
        <f t="shared" si="172"/>
        <v/>
      </c>
      <c r="M3679" s="18" t="str">
        <f>IF(I3679&lt;&gt;"Sí","",IF(YEAR(F3679)&lt;&gt;2026,"",INDEX({"Enero","Febrero","Marzo","Abril","Mayo","Junio","Julio","Agosto","Septiembre","Octubre","Noviembre","Diciembre"},MONTH(F3679))))</f>
        <v/>
      </c>
      <c r="N3679" s="18" t="str">
        <f t="shared" si="173"/>
        <v/>
      </c>
    </row>
    <row r="3680" spans="11:14" ht="14.5" x14ac:dyDescent="0.25">
      <c r="K3680" s="21" t="str">
        <f t="shared" si="171"/>
        <v/>
      </c>
      <c r="L3680" s="19" t="str">
        <f t="shared" si="172"/>
        <v/>
      </c>
      <c r="M3680" s="18" t="str">
        <f>IF(I3680&lt;&gt;"Sí","",IF(YEAR(F3680)&lt;&gt;2026,"",INDEX({"Enero","Febrero","Marzo","Abril","Mayo","Junio","Julio","Agosto","Septiembre","Octubre","Noviembre","Diciembre"},MONTH(F3680))))</f>
        <v/>
      </c>
      <c r="N3680" s="18" t="str">
        <f t="shared" si="173"/>
        <v/>
      </c>
    </row>
    <row r="3681" spans="11:14" ht="14.5" x14ac:dyDescent="0.25">
      <c r="K3681" s="21" t="str">
        <f t="shared" si="171"/>
        <v/>
      </c>
      <c r="L3681" s="19" t="str">
        <f t="shared" si="172"/>
        <v/>
      </c>
      <c r="M3681" s="18" t="str">
        <f>IF(I3681&lt;&gt;"Sí","",IF(YEAR(F3681)&lt;&gt;2026,"",INDEX({"Enero","Febrero","Marzo","Abril","Mayo","Junio","Julio","Agosto","Septiembre","Octubre","Noviembre","Diciembre"},MONTH(F3681))))</f>
        <v/>
      </c>
      <c r="N3681" s="18" t="str">
        <f t="shared" si="173"/>
        <v/>
      </c>
    </row>
    <row r="3682" spans="11:14" ht="14.5" x14ac:dyDescent="0.25">
      <c r="K3682" s="21" t="str">
        <f t="shared" si="171"/>
        <v/>
      </c>
      <c r="L3682" s="19" t="str">
        <f t="shared" si="172"/>
        <v/>
      </c>
      <c r="M3682" s="18" t="str">
        <f>IF(I3682&lt;&gt;"Sí","",IF(YEAR(F3682)&lt;&gt;2026,"",INDEX({"Enero","Febrero","Marzo","Abril","Mayo","Junio","Julio","Agosto","Septiembre","Octubre","Noviembre","Diciembre"},MONTH(F3682))))</f>
        <v/>
      </c>
      <c r="N3682" s="18" t="str">
        <f t="shared" si="173"/>
        <v/>
      </c>
    </row>
    <row r="3683" spans="11:14" ht="14.5" x14ac:dyDescent="0.25">
      <c r="K3683" s="21" t="str">
        <f t="shared" si="171"/>
        <v/>
      </c>
      <c r="L3683" s="19" t="str">
        <f t="shared" si="172"/>
        <v/>
      </c>
      <c r="M3683" s="18" t="str">
        <f>IF(I3683&lt;&gt;"Sí","",IF(YEAR(F3683)&lt;&gt;2026,"",INDEX({"Enero","Febrero","Marzo","Abril","Mayo","Junio","Julio","Agosto","Septiembre","Octubre","Noviembre","Diciembre"},MONTH(F3683))))</f>
        <v/>
      </c>
      <c r="N3683" s="18" t="str">
        <f t="shared" si="173"/>
        <v/>
      </c>
    </row>
    <row r="3684" spans="11:14" ht="14.5" x14ac:dyDescent="0.25">
      <c r="K3684" s="21" t="str">
        <f t="shared" si="171"/>
        <v/>
      </c>
      <c r="L3684" s="19" t="str">
        <f t="shared" si="172"/>
        <v/>
      </c>
      <c r="M3684" s="18" t="str">
        <f>IF(I3684&lt;&gt;"Sí","",IF(YEAR(F3684)&lt;&gt;2026,"",INDEX({"Enero","Febrero","Marzo","Abril","Mayo","Junio","Julio","Agosto","Septiembre","Octubre","Noviembre","Diciembre"},MONTH(F3684))))</f>
        <v/>
      </c>
      <c r="N3684" s="18" t="str">
        <f t="shared" si="173"/>
        <v/>
      </c>
    </row>
    <row r="3685" spans="11:14" ht="14.5" x14ac:dyDescent="0.25">
      <c r="K3685" s="21" t="str">
        <f t="shared" si="171"/>
        <v/>
      </c>
      <c r="L3685" s="19" t="str">
        <f t="shared" si="172"/>
        <v/>
      </c>
      <c r="M3685" s="18" t="str">
        <f>IF(I3685&lt;&gt;"Sí","",IF(YEAR(F3685)&lt;&gt;2026,"",INDEX({"Enero","Febrero","Marzo","Abril","Mayo","Junio","Julio","Agosto","Septiembre","Octubre","Noviembre","Diciembre"},MONTH(F3685))))</f>
        <v/>
      </c>
      <c r="N3685" s="18" t="str">
        <f t="shared" si="173"/>
        <v/>
      </c>
    </row>
    <row r="3686" spans="11:14" ht="14.5" x14ac:dyDescent="0.25">
      <c r="K3686" s="21" t="str">
        <f t="shared" si="171"/>
        <v/>
      </c>
      <c r="L3686" s="19" t="str">
        <f t="shared" si="172"/>
        <v/>
      </c>
      <c r="M3686" s="18" t="str">
        <f>IF(I3686&lt;&gt;"Sí","",IF(YEAR(F3686)&lt;&gt;2026,"",INDEX({"Enero","Febrero","Marzo","Abril","Mayo","Junio","Julio","Agosto","Septiembre","Octubre","Noviembre","Diciembre"},MONTH(F3686))))</f>
        <v/>
      </c>
      <c r="N3686" s="18" t="str">
        <f t="shared" si="173"/>
        <v/>
      </c>
    </row>
    <row r="3687" spans="11:14" ht="14.5" x14ac:dyDescent="0.25">
      <c r="K3687" s="21" t="str">
        <f t="shared" si="171"/>
        <v/>
      </c>
      <c r="L3687" s="19" t="str">
        <f t="shared" si="172"/>
        <v/>
      </c>
      <c r="M3687" s="18" t="str">
        <f>IF(I3687&lt;&gt;"Sí","",IF(YEAR(F3687)&lt;&gt;2026,"",INDEX({"Enero","Febrero","Marzo","Abril","Mayo","Junio","Julio","Agosto","Septiembre","Octubre","Noviembre","Diciembre"},MONTH(F3687))))</f>
        <v/>
      </c>
      <c r="N3687" s="18" t="str">
        <f t="shared" si="173"/>
        <v/>
      </c>
    </row>
    <row r="3688" spans="11:14" ht="14.5" x14ac:dyDescent="0.25">
      <c r="K3688" s="21" t="str">
        <f t="shared" si="171"/>
        <v/>
      </c>
      <c r="L3688" s="19" t="str">
        <f t="shared" si="172"/>
        <v/>
      </c>
      <c r="M3688" s="18" t="str">
        <f>IF(I3688&lt;&gt;"Sí","",IF(YEAR(F3688)&lt;&gt;2026,"",INDEX({"Enero","Febrero","Marzo","Abril","Mayo","Junio","Julio","Agosto","Septiembre","Octubre","Noviembre","Diciembre"},MONTH(F3688))))</f>
        <v/>
      </c>
      <c r="N3688" s="18" t="str">
        <f t="shared" si="173"/>
        <v/>
      </c>
    </row>
    <row r="3689" spans="11:14" ht="14.5" x14ac:dyDescent="0.25">
      <c r="K3689" s="21" t="str">
        <f t="shared" si="171"/>
        <v/>
      </c>
      <c r="L3689" s="19" t="str">
        <f t="shared" si="172"/>
        <v/>
      </c>
      <c r="M3689" s="18" t="str">
        <f>IF(I3689&lt;&gt;"Sí","",IF(YEAR(F3689)&lt;&gt;2026,"",INDEX({"Enero","Febrero","Marzo","Abril","Mayo","Junio","Julio","Agosto","Septiembre","Octubre","Noviembre","Diciembre"},MONTH(F3689))))</f>
        <v/>
      </c>
      <c r="N3689" s="18" t="str">
        <f t="shared" si="173"/>
        <v/>
      </c>
    </row>
    <row r="3690" spans="11:14" ht="14.5" x14ac:dyDescent="0.25">
      <c r="K3690" s="21" t="str">
        <f t="shared" si="171"/>
        <v/>
      </c>
      <c r="L3690" s="19" t="str">
        <f t="shared" si="172"/>
        <v/>
      </c>
      <c r="M3690" s="18" t="str">
        <f>IF(I3690&lt;&gt;"Sí","",IF(YEAR(F3690)&lt;&gt;2026,"",INDEX({"Enero","Febrero","Marzo","Abril","Mayo","Junio","Julio","Agosto","Septiembre","Octubre","Noviembre","Diciembre"},MONTH(F3690))))</f>
        <v/>
      </c>
      <c r="N3690" s="18" t="str">
        <f t="shared" si="173"/>
        <v/>
      </c>
    </row>
    <row r="3691" spans="11:14" ht="14.5" x14ac:dyDescent="0.25">
      <c r="K3691" s="21" t="str">
        <f t="shared" si="171"/>
        <v/>
      </c>
      <c r="L3691" s="19" t="str">
        <f t="shared" si="172"/>
        <v/>
      </c>
      <c r="M3691" s="18" t="str">
        <f>IF(I3691&lt;&gt;"Sí","",IF(YEAR(F3691)&lt;&gt;2026,"",INDEX({"Enero","Febrero","Marzo","Abril","Mayo","Junio","Julio","Agosto","Septiembre","Octubre","Noviembre","Diciembre"},MONTH(F3691))))</f>
        <v/>
      </c>
      <c r="N3691" s="18" t="str">
        <f t="shared" si="173"/>
        <v/>
      </c>
    </row>
    <row r="3692" spans="11:14" ht="14.5" x14ac:dyDescent="0.25">
      <c r="K3692" s="21" t="str">
        <f t="shared" si="171"/>
        <v/>
      </c>
      <c r="L3692" s="19" t="str">
        <f t="shared" si="172"/>
        <v/>
      </c>
      <c r="M3692" s="18" t="str">
        <f>IF(I3692&lt;&gt;"Sí","",IF(YEAR(F3692)&lt;&gt;2026,"",INDEX({"Enero","Febrero","Marzo","Abril","Mayo","Junio","Julio","Agosto","Septiembre","Octubre","Noviembre","Diciembre"},MONTH(F3692))))</f>
        <v/>
      </c>
      <c r="N3692" s="18" t="str">
        <f t="shared" si="173"/>
        <v/>
      </c>
    </row>
    <row r="3693" spans="11:14" ht="14.5" x14ac:dyDescent="0.25">
      <c r="K3693" s="21" t="str">
        <f t="shared" si="171"/>
        <v/>
      </c>
      <c r="L3693" s="19" t="str">
        <f t="shared" si="172"/>
        <v/>
      </c>
      <c r="M3693" s="18" t="str">
        <f>IF(I3693&lt;&gt;"Sí","",IF(YEAR(F3693)&lt;&gt;2026,"",INDEX({"Enero","Febrero","Marzo","Abril","Mayo","Junio","Julio","Agosto","Septiembre","Octubre","Noviembre","Diciembre"},MONTH(F3693))))</f>
        <v/>
      </c>
      <c r="N3693" s="18" t="str">
        <f t="shared" si="173"/>
        <v/>
      </c>
    </row>
    <row r="3694" spans="11:14" ht="14.5" x14ac:dyDescent="0.25">
      <c r="K3694" s="21" t="str">
        <f t="shared" si="171"/>
        <v/>
      </c>
      <c r="L3694" s="19" t="str">
        <f t="shared" si="172"/>
        <v/>
      </c>
      <c r="M3694" s="18" t="str">
        <f>IF(I3694&lt;&gt;"Sí","",IF(YEAR(F3694)&lt;&gt;2026,"",INDEX({"Enero","Febrero","Marzo","Abril","Mayo","Junio","Julio","Agosto","Septiembre","Octubre","Noviembre","Diciembre"},MONTH(F3694))))</f>
        <v/>
      </c>
      <c r="N3694" s="18" t="str">
        <f t="shared" si="173"/>
        <v/>
      </c>
    </row>
    <row r="3695" spans="11:14" ht="14.5" x14ac:dyDescent="0.25">
      <c r="K3695" s="21" t="str">
        <f t="shared" si="171"/>
        <v/>
      </c>
      <c r="L3695" s="19" t="str">
        <f t="shared" si="172"/>
        <v/>
      </c>
      <c r="M3695" s="18" t="str">
        <f>IF(I3695&lt;&gt;"Sí","",IF(YEAR(F3695)&lt;&gt;2026,"",INDEX({"Enero","Febrero","Marzo","Abril","Mayo","Junio","Julio","Agosto","Septiembre","Octubre","Noviembre","Diciembre"},MONTH(F3695))))</f>
        <v/>
      </c>
      <c r="N3695" s="18" t="str">
        <f t="shared" si="173"/>
        <v/>
      </c>
    </row>
    <row r="3696" spans="11:14" ht="14.5" x14ac:dyDescent="0.25">
      <c r="K3696" s="21" t="str">
        <f t="shared" si="171"/>
        <v/>
      </c>
      <c r="L3696" s="19" t="str">
        <f t="shared" si="172"/>
        <v/>
      </c>
      <c r="M3696" s="18" t="str">
        <f>IF(I3696&lt;&gt;"Sí","",IF(YEAR(F3696)&lt;&gt;2026,"",INDEX({"Enero","Febrero","Marzo","Abril","Mayo","Junio","Julio","Agosto","Septiembre","Octubre","Noviembre","Diciembre"},MONTH(F3696))))</f>
        <v/>
      </c>
      <c r="N3696" s="18" t="str">
        <f t="shared" si="173"/>
        <v/>
      </c>
    </row>
    <row r="3697" spans="11:14" ht="14.5" x14ac:dyDescent="0.25">
      <c r="K3697" s="21" t="str">
        <f t="shared" si="171"/>
        <v/>
      </c>
      <c r="L3697" s="19" t="str">
        <f t="shared" si="172"/>
        <v/>
      </c>
      <c r="M3697" s="18" t="str">
        <f>IF(I3697&lt;&gt;"Sí","",IF(YEAR(F3697)&lt;&gt;2026,"",INDEX({"Enero","Febrero","Marzo","Abril","Mayo","Junio","Julio","Agosto","Septiembre","Octubre","Noviembre","Diciembre"},MONTH(F3697))))</f>
        <v/>
      </c>
      <c r="N3697" s="18" t="str">
        <f t="shared" si="173"/>
        <v/>
      </c>
    </row>
    <row r="3698" spans="11:14" ht="14.5" x14ac:dyDescent="0.25">
      <c r="K3698" s="21" t="str">
        <f t="shared" si="171"/>
        <v/>
      </c>
      <c r="L3698" s="19" t="str">
        <f t="shared" si="172"/>
        <v/>
      </c>
      <c r="M3698" s="18" t="str">
        <f>IF(I3698&lt;&gt;"Sí","",IF(YEAR(F3698)&lt;&gt;2026,"",INDEX({"Enero","Febrero","Marzo","Abril","Mayo","Junio","Julio","Agosto","Septiembre","Octubre","Noviembre","Diciembre"},MONTH(F3698))))</f>
        <v/>
      </c>
      <c r="N3698" s="18" t="str">
        <f t="shared" si="173"/>
        <v/>
      </c>
    </row>
    <row r="3699" spans="11:14" ht="14.5" x14ac:dyDescent="0.25">
      <c r="K3699" s="21" t="str">
        <f t="shared" si="171"/>
        <v/>
      </c>
      <c r="L3699" s="19" t="str">
        <f t="shared" si="172"/>
        <v/>
      </c>
      <c r="M3699" s="18" t="str">
        <f>IF(I3699&lt;&gt;"Sí","",IF(YEAR(F3699)&lt;&gt;2026,"",INDEX({"Enero","Febrero","Marzo","Abril","Mayo","Junio","Julio","Agosto","Septiembre","Octubre","Noviembre","Diciembre"},MONTH(F3699))))</f>
        <v/>
      </c>
      <c r="N3699" s="18" t="str">
        <f t="shared" si="173"/>
        <v/>
      </c>
    </row>
    <row r="3700" spans="11:14" ht="14.5" x14ac:dyDescent="0.25">
      <c r="K3700" s="21" t="str">
        <f t="shared" si="171"/>
        <v/>
      </c>
      <c r="L3700" s="19" t="str">
        <f t="shared" si="172"/>
        <v/>
      </c>
      <c r="M3700" s="18" t="str">
        <f>IF(I3700&lt;&gt;"Sí","",IF(YEAR(F3700)&lt;&gt;2026,"",INDEX({"Enero","Febrero","Marzo","Abril","Mayo","Junio","Julio","Agosto","Septiembre","Octubre","Noviembre","Diciembre"},MONTH(F3700))))</f>
        <v/>
      </c>
      <c r="N3700" s="18" t="str">
        <f t="shared" si="173"/>
        <v/>
      </c>
    </row>
    <row r="3701" spans="11:14" ht="14.5" x14ac:dyDescent="0.25">
      <c r="K3701" s="21" t="str">
        <f t="shared" si="171"/>
        <v/>
      </c>
      <c r="L3701" s="19" t="str">
        <f t="shared" si="172"/>
        <v/>
      </c>
      <c r="M3701" s="18" t="str">
        <f>IF(I3701&lt;&gt;"Sí","",IF(YEAR(F3701)&lt;&gt;2026,"",INDEX({"Enero","Febrero","Marzo","Abril","Mayo","Junio","Julio","Agosto","Septiembre","Octubre","Noviembre","Diciembre"},MONTH(F3701))))</f>
        <v/>
      </c>
      <c r="N3701" s="18" t="str">
        <f t="shared" si="173"/>
        <v/>
      </c>
    </row>
    <row r="3702" spans="11:14" ht="14.5" x14ac:dyDescent="0.25">
      <c r="K3702" s="21" t="str">
        <f t="shared" si="171"/>
        <v/>
      </c>
      <c r="L3702" s="19" t="str">
        <f t="shared" si="172"/>
        <v/>
      </c>
      <c r="M3702" s="18" t="str">
        <f>IF(I3702&lt;&gt;"Sí","",IF(YEAR(F3702)&lt;&gt;2026,"",INDEX({"Enero","Febrero","Marzo","Abril","Mayo","Junio","Julio","Agosto","Septiembre","Octubre","Noviembre","Diciembre"},MONTH(F3702))))</f>
        <v/>
      </c>
      <c r="N3702" s="18" t="str">
        <f t="shared" si="173"/>
        <v/>
      </c>
    </row>
    <row r="3703" spans="11:14" ht="14.5" x14ac:dyDescent="0.25">
      <c r="K3703" s="21" t="str">
        <f t="shared" si="171"/>
        <v/>
      </c>
      <c r="L3703" s="19" t="str">
        <f t="shared" si="172"/>
        <v/>
      </c>
      <c r="M3703" s="18" t="str">
        <f>IF(I3703&lt;&gt;"Sí","",IF(YEAR(F3703)&lt;&gt;2026,"",INDEX({"Enero","Febrero","Marzo","Abril","Mayo","Junio","Julio","Agosto","Septiembre","Octubre","Noviembre","Diciembre"},MONTH(F3703))))</f>
        <v/>
      </c>
      <c r="N3703" s="18" t="str">
        <f t="shared" si="173"/>
        <v/>
      </c>
    </row>
    <row r="3704" spans="11:14" ht="14.5" x14ac:dyDescent="0.25">
      <c r="K3704" s="21" t="str">
        <f t="shared" si="171"/>
        <v/>
      </c>
      <c r="L3704" s="19" t="str">
        <f t="shared" si="172"/>
        <v/>
      </c>
      <c r="M3704" s="18" t="str">
        <f>IF(I3704&lt;&gt;"Sí","",IF(YEAR(F3704)&lt;&gt;2026,"",INDEX({"Enero","Febrero","Marzo","Abril","Mayo","Junio","Julio","Agosto","Septiembre","Octubre","Noviembre","Diciembre"},MONTH(F3704))))</f>
        <v/>
      </c>
      <c r="N3704" s="18" t="str">
        <f t="shared" si="173"/>
        <v/>
      </c>
    </row>
    <row r="3705" spans="11:14" ht="14.5" x14ac:dyDescent="0.25">
      <c r="K3705" s="21" t="str">
        <f t="shared" si="171"/>
        <v/>
      </c>
      <c r="L3705" s="19" t="str">
        <f t="shared" si="172"/>
        <v/>
      </c>
      <c r="M3705" s="18" t="str">
        <f>IF(I3705&lt;&gt;"Sí","",IF(YEAR(F3705)&lt;&gt;2026,"",INDEX({"Enero","Febrero","Marzo","Abril","Mayo","Junio","Julio","Agosto","Septiembre","Octubre","Noviembre","Diciembre"},MONTH(F3705))))</f>
        <v/>
      </c>
      <c r="N3705" s="18" t="str">
        <f t="shared" si="173"/>
        <v/>
      </c>
    </row>
    <row r="3706" spans="11:14" ht="14.5" x14ac:dyDescent="0.25">
      <c r="K3706" s="21" t="str">
        <f t="shared" si="171"/>
        <v/>
      </c>
      <c r="L3706" s="19" t="str">
        <f t="shared" si="172"/>
        <v/>
      </c>
      <c r="M3706" s="18" t="str">
        <f>IF(I3706&lt;&gt;"Sí","",IF(YEAR(F3706)&lt;&gt;2026,"",INDEX({"Enero","Febrero","Marzo","Abril","Mayo","Junio","Julio","Agosto","Septiembre","Octubre","Noviembre","Diciembre"},MONTH(F3706))))</f>
        <v/>
      </c>
      <c r="N3706" s="18" t="str">
        <f t="shared" si="173"/>
        <v/>
      </c>
    </row>
    <row r="3707" spans="11:14" ht="14.5" x14ac:dyDescent="0.25">
      <c r="K3707" s="21" t="str">
        <f t="shared" si="171"/>
        <v/>
      </c>
      <c r="L3707" s="19" t="str">
        <f t="shared" si="172"/>
        <v/>
      </c>
      <c r="M3707" s="18" t="str">
        <f>IF(I3707&lt;&gt;"Sí","",IF(YEAR(F3707)&lt;&gt;2026,"",INDEX({"Enero","Febrero","Marzo","Abril","Mayo","Junio","Julio","Agosto","Septiembre","Octubre","Noviembre","Diciembre"},MONTH(F3707))))</f>
        <v/>
      </c>
      <c r="N3707" s="18" t="str">
        <f t="shared" si="173"/>
        <v/>
      </c>
    </row>
    <row r="3708" spans="11:14" ht="14.5" x14ac:dyDescent="0.25">
      <c r="K3708" s="21" t="str">
        <f t="shared" si="171"/>
        <v/>
      </c>
      <c r="L3708" s="19" t="str">
        <f t="shared" si="172"/>
        <v/>
      </c>
      <c r="M3708" s="18" t="str">
        <f>IF(I3708&lt;&gt;"Sí","",IF(YEAR(F3708)&lt;&gt;2026,"",INDEX({"Enero","Febrero","Marzo","Abril","Mayo","Junio","Julio","Agosto","Septiembre","Octubre","Noviembre","Diciembre"},MONTH(F3708))))</f>
        <v/>
      </c>
      <c r="N3708" s="18" t="str">
        <f t="shared" si="173"/>
        <v/>
      </c>
    </row>
    <row r="3709" spans="11:14" ht="14.5" x14ac:dyDescent="0.25">
      <c r="K3709" s="21" t="str">
        <f t="shared" si="171"/>
        <v/>
      </c>
      <c r="L3709" s="19" t="str">
        <f t="shared" si="172"/>
        <v/>
      </c>
      <c r="M3709" s="18" t="str">
        <f>IF(I3709&lt;&gt;"Sí","",IF(YEAR(F3709)&lt;&gt;2026,"",INDEX({"Enero","Febrero","Marzo","Abril","Mayo","Junio","Julio","Agosto","Septiembre","Octubre","Noviembre","Diciembre"},MONTH(F3709))))</f>
        <v/>
      </c>
      <c r="N3709" s="18" t="str">
        <f t="shared" si="173"/>
        <v/>
      </c>
    </row>
    <row r="3710" spans="11:14" ht="14.5" x14ac:dyDescent="0.25">
      <c r="K3710" s="21" t="str">
        <f t="shared" si="171"/>
        <v/>
      </c>
      <c r="L3710" s="19" t="str">
        <f t="shared" si="172"/>
        <v/>
      </c>
      <c r="M3710" s="18" t="str">
        <f>IF(I3710&lt;&gt;"Sí","",IF(YEAR(F3710)&lt;&gt;2026,"",INDEX({"Enero","Febrero","Marzo","Abril","Mayo","Junio","Julio","Agosto","Septiembre","Octubre","Noviembre","Diciembre"},MONTH(F3710))))</f>
        <v/>
      </c>
      <c r="N3710" s="18" t="str">
        <f t="shared" si="173"/>
        <v/>
      </c>
    </row>
    <row r="3711" spans="11:14" ht="14.5" x14ac:dyDescent="0.25">
      <c r="K3711" s="21" t="str">
        <f t="shared" si="171"/>
        <v/>
      </c>
      <c r="L3711" s="19" t="str">
        <f t="shared" si="172"/>
        <v/>
      </c>
      <c r="M3711" s="18" t="str">
        <f>IF(I3711&lt;&gt;"Sí","",IF(YEAR(F3711)&lt;&gt;2026,"",INDEX({"Enero","Febrero","Marzo","Abril","Mayo","Junio","Julio","Agosto","Septiembre","Octubre","Noviembre","Diciembre"},MONTH(F3711))))</f>
        <v/>
      </c>
      <c r="N3711" s="18" t="str">
        <f t="shared" si="173"/>
        <v/>
      </c>
    </row>
    <row r="3712" spans="11:14" ht="14.5" x14ac:dyDescent="0.25">
      <c r="K3712" s="21" t="str">
        <f t="shared" si="171"/>
        <v/>
      </c>
      <c r="L3712" s="19" t="str">
        <f t="shared" si="172"/>
        <v/>
      </c>
      <c r="M3712" s="18" t="str">
        <f>IF(I3712&lt;&gt;"Sí","",IF(YEAR(F3712)&lt;&gt;2026,"",INDEX({"Enero","Febrero","Marzo","Abril","Mayo","Junio","Julio","Agosto","Septiembre","Octubre","Noviembre","Diciembre"},MONTH(F3712))))</f>
        <v/>
      </c>
      <c r="N3712" s="18" t="str">
        <f t="shared" si="173"/>
        <v/>
      </c>
    </row>
    <row r="3713" spans="11:14" ht="14.5" x14ac:dyDescent="0.25">
      <c r="K3713" s="21" t="str">
        <f t="shared" si="171"/>
        <v/>
      </c>
      <c r="L3713" s="19" t="str">
        <f t="shared" si="172"/>
        <v/>
      </c>
      <c r="M3713" s="18" t="str">
        <f>IF(I3713&lt;&gt;"Sí","",IF(YEAR(F3713)&lt;&gt;2026,"",INDEX({"Enero","Febrero","Marzo","Abril","Mayo","Junio","Julio","Agosto","Septiembre","Octubre","Noviembre","Diciembre"},MONTH(F3713))))</f>
        <v/>
      </c>
      <c r="N3713" s="18" t="str">
        <f t="shared" si="173"/>
        <v/>
      </c>
    </row>
    <row r="3714" spans="11:14" ht="14.5" x14ac:dyDescent="0.25">
      <c r="K3714" s="21" t="str">
        <f t="shared" si="171"/>
        <v/>
      </c>
      <c r="L3714" s="19" t="str">
        <f t="shared" si="172"/>
        <v/>
      </c>
      <c r="M3714" s="18" t="str">
        <f>IF(I3714&lt;&gt;"Sí","",IF(YEAR(F3714)&lt;&gt;2026,"",INDEX({"Enero","Febrero","Marzo","Abril","Mayo","Junio","Julio","Agosto","Septiembre","Octubre","Noviembre","Diciembre"},MONTH(F3714))))</f>
        <v/>
      </c>
      <c r="N3714" s="18" t="str">
        <f t="shared" si="173"/>
        <v/>
      </c>
    </row>
    <row r="3715" spans="11:14" ht="14.5" x14ac:dyDescent="0.25">
      <c r="K3715" s="21" t="str">
        <f t="shared" si="171"/>
        <v/>
      </c>
      <c r="L3715" s="19" t="str">
        <f t="shared" si="172"/>
        <v/>
      </c>
      <c r="M3715" s="18" t="str">
        <f>IF(I3715&lt;&gt;"Sí","",IF(YEAR(F3715)&lt;&gt;2026,"",INDEX({"Enero","Febrero","Marzo","Abril","Mayo","Junio","Julio","Agosto","Septiembre","Octubre","Noviembre","Diciembre"},MONTH(F3715))))</f>
        <v/>
      </c>
      <c r="N3715" s="18" t="str">
        <f t="shared" si="173"/>
        <v/>
      </c>
    </row>
    <row r="3716" spans="11:14" ht="14.5" x14ac:dyDescent="0.25">
      <c r="K3716" s="21" t="str">
        <f t="shared" si="171"/>
        <v/>
      </c>
      <c r="L3716" s="19" t="str">
        <f t="shared" si="172"/>
        <v/>
      </c>
      <c r="M3716" s="18" t="str">
        <f>IF(I3716&lt;&gt;"Sí","",IF(YEAR(F3716)&lt;&gt;2026,"",INDEX({"Enero","Febrero","Marzo","Abril","Mayo","Junio","Julio","Agosto","Septiembre","Octubre","Noviembre","Diciembre"},MONTH(F3716))))</f>
        <v/>
      </c>
      <c r="N3716" s="18" t="str">
        <f t="shared" si="173"/>
        <v/>
      </c>
    </row>
    <row r="3717" spans="11:14" ht="14.5" x14ac:dyDescent="0.25">
      <c r="K3717" s="21" t="str">
        <f t="shared" si="171"/>
        <v/>
      </c>
      <c r="L3717" s="19" t="str">
        <f t="shared" si="172"/>
        <v/>
      </c>
      <c r="M3717" s="18" t="str">
        <f>IF(I3717&lt;&gt;"Sí","",IF(YEAR(F3717)&lt;&gt;2026,"",INDEX({"Enero","Febrero","Marzo","Abril","Mayo","Junio","Julio","Agosto","Septiembre","Octubre","Noviembre","Diciembre"},MONTH(F3717))))</f>
        <v/>
      </c>
      <c r="N3717" s="18" t="str">
        <f t="shared" si="173"/>
        <v/>
      </c>
    </row>
    <row r="3718" spans="11:14" ht="14.5" x14ac:dyDescent="0.25">
      <c r="K3718" s="21" t="str">
        <f t="shared" si="171"/>
        <v/>
      </c>
      <c r="L3718" s="19" t="str">
        <f t="shared" si="172"/>
        <v/>
      </c>
      <c r="M3718" s="18" t="str">
        <f>IF(I3718&lt;&gt;"Sí","",IF(YEAR(F3718)&lt;&gt;2026,"",INDEX({"Enero","Febrero","Marzo","Abril","Mayo","Junio","Julio","Agosto","Septiembre","Octubre","Noviembre","Diciembre"},MONTH(F3718))))</f>
        <v/>
      </c>
      <c r="N3718" s="18" t="str">
        <f t="shared" si="173"/>
        <v/>
      </c>
    </row>
    <row r="3719" spans="11:14" ht="14.5" x14ac:dyDescent="0.25">
      <c r="K3719" s="21" t="str">
        <f t="shared" ref="K3719:K3782" si="174">IF(I3719="Sí",(G3719-F3719)*24,"")</f>
        <v/>
      </c>
      <c r="L3719" s="19" t="str">
        <f t="shared" ref="L3719:L3782" si="175">IF(I3719="Sí",COUNTIFS($F$7:$F$4000,"&lt;="&amp;F3719,$G$7:$G$4000,"&gt;"&amp;F3719,$I$7:$I$4000,"Sí"),"")</f>
        <v/>
      </c>
      <c r="M3719" s="18" t="str">
        <f>IF(I3719&lt;&gt;"Sí","",IF(YEAR(F3719)&lt;&gt;2026,"",INDEX({"Enero","Febrero","Marzo","Abril","Mayo","Junio","Julio","Agosto","Septiembre","Octubre","Noviembre","Diciembre"},MONTH(F3719))))</f>
        <v/>
      </c>
      <c r="N3719" s="18" t="str">
        <f t="shared" ref="N3719:N3782" si="176">IF(M3719="","",M3719&amp;"|"&amp;L3719)</f>
        <v/>
      </c>
    </row>
    <row r="3720" spans="11:14" ht="14.5" x14ac:dyDescent="0.25">
      <c r="K3720" s="21" t="str">
        <f t="shared" si="174"/>
        <v/>
      </c>
      <c r="L3720" s="19" t="str">
        <f t="shared" si="175"/>
        <v/>
      </c>
      <c r="M3720" s="18" t="str">
        <f>IF(I3720&lt;&gt;"Sí","",IF(YEAR(F3720)&lt;&gt;2026,"",INDEX({"Enero","Febrero","Marzo","Abril","Mayo","Junio","Julio","Agosto","Septiembre","Octubre","Noviembre","Diciembre"},MONTH(F3720))))</f>
        <v/>
      </c>
      <c r="N3720" s="18" t="str">
        <f t="shared" si="176"/>
        <v/>
      </c>
    </row>
    <row r="3721" spans="11:14" ht="14.5" x14ac:dyDescent="0.25">
      <c r="K3721" s="21" t="str">
        <f t="shared" si="174"/>
        <v/>
      </c>
      <c r="L3721" s="19" t="str">
        <f t="shared" si="175"/>
        <v/>
      </c>
      <c r="M3721" s="18" t="str">
        <f>IF(I3721&lt;&gt;"Sí","",IF(YEAR(F3721)&lt;&gt;2026,"",INDEX({"Enero","Febrero","Marzo","Abril","Mayo","Junio","Julio","Agosto","Septiembre","Octubre","Noviembre","Diciembre"},MONTH(F3721))))</f>
        <v/>
      </c>
      <c r="N3721" s="18" t="str">
        <f t="shared" si="176"/>
        <v/>
      </c>
    </row>
    <row r="3722" spans="11:14" ht="14.5" x14ac:dyDescent="0.25">
      <c r="K3722" s="21" t="str">
        <f t="shared" si="174"/>
        <v/>
      </c>
      <c r="L3722" s="19" t="str">
        <f t="shared" si="175"/>
        <v/>
      </c>
      <c r="M3722" s="18" t="str">
        <f>IF(I3722&lt;&gt;"Sí","",IF(YEAR(F3722)&lt;&gt;2026,"",INDEX({"Enero","Febrero","Marzo","Abril","Mayo","Junio","Julio","Agosto","Septiembre","Octubre","Noviembre","Diciembre"},MONTH(F3722))))</f>
        <v/>
      </c>
      <c r="N3722" s="18" t="str">
        <f t="shared" si="176"/>
        <v/>
      </c>
    </row>
    <row r="3723" spans="11:14" ht="14.5" x14ac:dyDescent="0.25">
      <c r="K3723" s="21" t="str">
        <f t="shared" si="174"/>
        <v/>
      </c>
      <c r="L3723" s="19" t="str">
        <f t="shared" si="175"/>
        <v/>
      </c>
      <c r="M3723" s="18" t="str">
        <f>IF(I3723&lt;&gt;"Sí","",IF(YEAR(F3723)&lt;&gt;2026,"",INDEX({"Enero","Febrero","Marzo","Abril","Mayo","Junio","Julio","Agosto","Septiembre","Octubre","Noviembre","Diciembre"},MONTH(F3723))))</f>
        <v/>
      </c>
      <c r="N3723" s="18" t="str">
        <f t="shared" si="176"/>
        <v/>
      </c>
    </row>
    <row r="3724" spans="11:14" ht="14.5" x14ac:dyDescent="0.25">
      <c r="K3724" s="21" t="str">
        <f t="shared" si="174"/>
        <v/>
      </c>
      <c r="L3724" s="19" t="str">
        <f t="shared" si="175"/>
        <v/>
      </c>
      <c r="M3724" s="18" t="str">
        <f>IF(I3724&lt;&gt;"Sí","",IF(YEAR(F3724)&lt;&gt;2026,"",INDEX({"Enero","Febrero","Marzo","Abril","Mayo","Junio","Julio","Agosto","Septiembre","Octubre","Noviembre","Diciembre"},MONTH(F3724))))</f>
        <v/>
      </c>
      <c r="N3724" s="18" t="str">
        <f t="shared" si="176"/>
        <v/>
      </c>
    </row>
    <row r="3725" spans="11:14" ht="14.5" x14ac:dyDescent="0.25">
      <c r="K3725" s="21" t="str">
        <f t="shared" si="174"/>
        <v/>
      </c>
      <c r="L3725" s="19" t="str">
        <f t="shared" si="175"/>
        <v/>
      </c>
      <c r="M3725" s="18" t="str">
        <f>IF(I3725&lt;&gt;"Sí","",IF(YEAR(F3725)&lt;&gt;2026,"",INDEX({"Enero","Febrero","Marzo","Abril","Mayo","Junio","Julio","Agosto","Septiembre","Octubre","Noviembre","Diciembre"},MONTH(F3725))))</f>
        <v/>
      </c>
      <c r="N3725" s="18" t="str">
        <f t="shared" si="176"/>
        <v/>
      </c>
    </row>
    <row r="3726" spans="11:14" ht="14.5" x14ac:dyDescent="0.25">
      <c r="K3726" s="21" t="str">
        <f t="shared" si="174"/>
        <v/>
      </c>
      <c r="L3726" s="19" t="str">
        <f t="shared" si="175"/>
        <v/>
      </c>
      <c r="M3726" s="18" t="str">
        <f>IF(I3726&lt;&gt;"Sí","",IF(YEAR(F3726)&lt;&gt;2026,"",INDEX({"Enero","Febrero","Marzo","Abril","Mayo","Junio","Julio","Agosto","Septiembre","Octubre","Noviembre","Diciembre"},MONTH(F3726))))</f>
        <v/>
      </c>
      <c r="N3726" s="18" t="str">
        <f t="shared" si="176"/>
        <v/>
      </c>
    </row>
    <row r="3727" spans="11:14" ht="14.5" x14ac:dyDescent="0.25">
      <c r="K3727" s="21" t="str">
        <f t="shared" si="174"/>
        <v/>
      </c>
      <c r="L3727" s="19" t="str">
        <f t="shared" si="175"/>
        <v/>
      </c>
      <c r="M3727" s="18" t="str">
        <f>IF(I3727&lt;&gt;"Sí","",IF(YEAR(F3727)&lt;&gt;2026,"",INDEX({"Enero","Febrero","Marzo","Abril","Mayo","Junio","Julio","Agosto","Septiembre","Octubre","Noviembre","Diciembre"},MONTH(F3727))))</f>
        <v/>
      </c>
      <c r="N3727" s="18" t="str">
        <f t="shared" si="176"/>
        <v/>
      </c>
    </row>
    <row r="3728" spans="11:14" ht="14.5" x14ac:dyDescent="0.25">
      <c r="K3728" s="21" t="str">
        <f t="shared" si="174"/>
        <v/>
      </c>
      <c r="L3728" s="19" t="str">
        <f t="shared" si="175"/>
        <v/>
      </c>
      <c r="M3728" s="18" t="str">
        <f>IF(I3728&lt;&gt;"Sí","",IF(YEAR(F3728)&lt;&gt;2026,"",INDEX({"Enero","Febrero","Marzo","Abril","Mayo","Junio","Julio","Agosto","Septiembre","Octubre","Noviembre","Diciembre"},MONTH(F3728))))</f>
        <v/>
      </c>
      <c r="N3728" s="18" t="str">
        <f t="shared" si="176"/>
        <v/>
      </c>
    </row>
    <row r="3729" spans="11:14" ht="14.5" x14ac:dyDescent="0.25">
      <c r="K3729" s="21" t="str">
        <f t="shared" si="174"/>
        <v/>
      </c>
      <c r="L3729" s="19" t="str">
        <f t="shared" si="175"/>
        <v/>
      </c>
      <c r="M3729" s="18" t="str">
        <f>IF(I3729&lt;&gt;"Sí","",IF(YEAR(F3729)&lt;&gt;2026,"",INDEX({"Enero","Febrero","Marzo","Abril","Mayo","Junio","Julio","Agosto","Septiembre","Octubre","Noviembre","Diciembre"},MONTH(F3729))))</f>
        <v/>
      </c>
      <c r="N3729" s="18" t="str">
        <f t="shared" si="176"/>
        <v/>
      </c>
    </row>
    <row r="3730" spans="11:14" ht="14.5" x14ac:dyDescent="0.25">
      <c r="K3730" s="21" t="str">
        <f t="shared" si="174"/>
        <v/>
      </c>
      <c r="L3730" s="19" t="str">
        <f t="shared" si="175"/>
        <v/>
      </c>
      <c r="M3730" s="18" t="str">
        <f>IF(I3730&lt;&gt;"Sí","",IF(YEAR(F3730)&lt;&gt;2026,"",INDEX({"Enero","Febrero","Marzo","Abril","Mayo","Junio","Julio","Agosto","Septiembre","Octubre","Noviembre","Diciembre"},MONTH(F3730))))</f>
        <v/>
      </c>
      <c r="N3730" s="18" t="str">
        <f t="shared" si="176"/>
        <v/>
      </c>
    </row>
    <row r="3731" spans="11:14" ht="14.5" x14ac:dyDescent="0.25">
      <c r="K3731" s="21" t="str">
        <f t="shared" si="174"/>
        <v/>
      </c>
      <c r="L3731" s="19" t="str">
        <f t="shared" si="175"/>
        <v/>
      </c>
      <c r="M3731" s="18" t="str">
        <f>IF(I3731&lt;&gt;"Sí","",IF(YEAR(F3731)&lt;&gt;2026,"",INDEX({"Enero","Febrero","Marzo","Abril","Mayo","Junio","Julio","Agosto","Septiembre","Octubre","Noviembre","Diciembre"},MONTH(F3731))))</f>
        <v/>
      </c>
      <c r="N3731" s="18" t="str">
        <f t="shared" si="176"/>
        <v/>
      </c>
    </row>
    <row r="3732" spans="11:14" ht="14.5" x14ac:dyDescent="0.25">
      <c r="K3732" s="21" t="str">
        <f t="shared" si="174"/>
        <v/>
      </c>
      <c r="L3732" s="19" t="str">
        <f t="shared" si="175"/>
        <v/>
      </c>
      <c r="M3732" s="18" t="str">
        <f>IF(I3732&lt;&gt;"Sí","",IF(YEAR(F3732)&lt;&gt;2026,"",INDEX({"Enero","Febrero","Marzo","Abril","Mayo","Junio","Julio","Agosto","Septiembre","Octubre","Noviembre","Diciembre"},MONTH(F3732))))</f>
        <v/>
      </c>
      <c r="N3732" s="18" t="str">
        <f t="shared" si="176"/>
        <v/>
      </c>
    </row>
    <row r="3733" spans="11:14" ht="14.5" x14ac:dyDescent="0.25">
      <c r="K3733" s="21" t="str">
        <f t="shared" si="174"/>
        <v/>
      </c>
      <c r="L3733" s="19" t="str">
        <f t="shared" si="175"/>
        <v/>
      </c>
      <c r="M3733" s="18" t="str">
        <f>IF(I3733&lt;&gt;"Sí","",IF(YEAR(F3733)&lt;&gt;2026,"",INDEX({"Enero","Febrero","Marzo","Abril","Mayo","Junio","Julio","Agosto","Septiembre","Octubre","Noviembre","Diciembre"},MONTH(F3733))))</f>
        <v/>
      </c>
      <c r="N3733" s="18" t="str">
        <f t="shared" si="176"/>
        <v/>
      </c>
    </row>
    <row r="3734" spans="11:14" ht="14.5" x14ac:dyDescent="0.25">
      <c r="K3734" s="21" t="str">
        <f t="shared" si="174"/>
        <v/>
      </c>
      <c r="L3734" s="19" t="str">
        <f t="shared" si="175"/>
        <v/>
      </c>
      <c r="M3734" s="18" t="str">
        <f>IF(I3734&lt;&gt;"Sí","",IF(YEAR(F3734)&lt;&gt;2026,"",INDEX({"Enero","Febrero","Marzo","Abril","Mayo","Junio","Julio","Agosto","Septiembre","Octubre","Noviembre","Diciembre"},MONTH(F3734))))</f>
        <v/>
      </c>
      <c r="N3734" s="18" t="str">
        <f t="shared" si="176"/>
        <v/>
      </c>
    </row>
    <row r="3735" spans="11:14" ht="14.5" x14ac:dyDescent="0.25">
      <c r="K3735" s="21" t="str">
        <f t="shared" si="174"/>
        <v/>
      </c>
      <c r="L3735" s="19" t="str">
        <f t="shared" si="175"/>
        <v/>
      </c>
      <c r="M3735" s="18" t="str">
        <f>IF(I3735&lt;&gt;"Sí","",IF(YEAR(F3735)&lt;&gt;2026,"",INDEX({"Enero","Febrero","Marzo","Abril","Mayo","Junio","Julio","Agosto","Septiembre","Octubre","Noviembre","Diciembre"},MONTH(F3735))))</f>
        <v/>
      </c>
      <c r="N3735" s="18" t="str">
        <f t="shared" si="176"/>
        <v/>
      </c>
    </row>
    <row r="3736" spans="11:14" ht="14.5" x14ac:dyDescent="0.25">
      <c r="K3736" s="21" t="str">
        <f t="shared" si="174"/>
        <v/>
      </c>
      <c r="L3736" s="19" t="str">
        <f t="shared" si="175"/>
        <v/>
      </c>
      <c r="M3736" s="18" t="str">
        <f>IF(I3736&lt;&gt;"Sí","",IF(YEAR(F3736)&lt;&gt;2026,"",INDEX({"Enero","Febrero","Marzo","Abril","Mayo","Junio","Julio","Agosto","Septiembre","Octubre","Noviembre","Diciembre"},MONTH(F3736))))</f>
        <v/>
      </c>
      <c r="N3736" s="18" t="str">
        <f t="shared" si="176"/>
        <v/>
      </c>
    </row>
    <row r="3737" spans="11:14" ht="14.5" x14ac:dyDescent="0.25">
      <c r="K3737" s="21" t="str">
        <f t="shared" si="174"/>
        <v/>
      </c>
      <c r="L3737" s="19" t="str">
        <f t="shared" si="175"/>
        <v/>
      </c>
      <c r="M3737" s="18" t="str">
        <f>IF(I3737&lt;&gt;"Sí","",IF(YEAR(F3737)&lt;&gt;2026,"",INDEX({"Enero","Febrero","Marzo","Abril","Mayo","Junio","Julio","Agosto","Septiembre","Octubre","Noviembre","Diciembre"},MONTH(F3737))))</f>
        <v/>
      </c>
      <c r="N3737" s="18" t="str">
        <f t="shared" si="176"/>
        <v/>
      </c>
    </row>
    <row r="3738" spans="11:14" ht="14.5" x14ac:dyDescent="0.25">
      <c r="K3738" s="21" t="str">
        <f t="shared" si="174"/>
        <v/>
      </c>
      <c r="L3738" s="19" t="str">
        <f t="shared" si="175"/>
        <v/>
      </c>
      <c r="M3738" s="18" t="str">
        <f>IF(I3738&lt;&gt;"Sí","",IF(YEAR(F3738)&lt;&gt;2026,"",INDEX({"Enero","Febrero","Marzo","Abril","Mayo","Junio","Julio","Agosto","Septiembre","Octubre","Noviembre","Diciembre"},MONTH(F3738))))</f>
        <v/>
      </c>
      <c r="N3738" s="18" t="str">
        <f t="shared" si="176"/>
        <v/>
      </c>
    </row>
    <row r="3739" spans="11:14" ht="14.5" x14ac:dyDescent="0.25">
      <c r="K3739" s="21" t="str">
        <f t="shared" si="174"/>
        <v/>
      </c>
      <c r="L3739" s="19" t="str">
        <f t="shared" si="175"/>
        <v/>
      </c>
      <c r="M3739" s="18" t="str">
        <f>IF(I3739&lt;&gt;"Sí","",IF(YEAR(F3739)&lt;&gt;2026,"",INDEX({"Enero","Febrero","Marzo","Abril","Mayo","Junio","Julio","Agosto","Septiembre","Octubre","Noviembre","Diciembre"},MONTH(F3739))))</f>
        <v/>
      </c>
      <c r="N3739" s="18" t="str">
        <f t="shared" si="176"/>
        <v/>
      </c>
    </row>
    <row r="3740" spans="11:14" ht="14.5" x14ac:dyDescent="0.25">
      <c r="K3740" s="21" t="str">
        <f t="shared" si="174"/>
        <v/>
      </c>
      <c r="L3740" s="19" t="str">
        <f t="shared" si="175"/>
        <v/>
      </c>
      <c r="M3740" s="18" t="str">
        <f>IF(I3740&lt;&gt;"Sí","",IF(YEAR(F3740)&lt;&gt;2026,"",INDEX({"Enero","Febrero","Marzo","Abril","Mayo","Junio","Julio","Agosto","Septiembre","Octubre","Noviembre","Diciembre"},MONTH(F3740))))</f>
        <v/>
      </c>
      <c r="N3740" s="18" t="str">
        <f t="shared" si="176"/>
        <v/>
      </c>
    </row>
    <row r="3741" spans="11:14" ht="14.5" x14ac:dyDescent="0.25">
      <c r="K3741" s="21" t="str">
        <f t="shared" si="174"/>
        <v/>
      </c>
      <c r="L3741" s="19" t="str">
        <f t="shared" si="175"/>
        <v/>
      </c>
      <c r="M3741" s="18" t="str">
        <f>IF(I3741&lt;&gt;"Sí","",IF(YEAR(F3741)&lt;&gt;2026,"",INDEX({"Enero","Febrero","Marzo","Abril","Mayo","Junio","Julio","Agosto","Septiembre","Octubre","Noviembre","Diciembre"},MONTH(F3741))))</f>
        <v/>
      </c>
      <c r="N3741" s="18" t="str">
        <f t="shared" si="176"/>
        <v/>
      </c>
    </row>
    <row r="3742" spans="11:14" ht="14.5" x14ac:dyDescent="0.25">
      <c r="K3742" s="21" t="str">
        <f t="shared" si="174"/>
        <v/>
      </c>
      <c r="L3742" s="19" t="str">
        <f t="shared" si="175"/>
        <v/>
      </c>
      <c r="M3742" s="18" t="str">
        <f>IF(I3742&lt;&gt;"Sí","",IF(YEAR(F3742)&lt;&gt;2026,"",INDEX({"Enero","Febrero","Marzo","Abril","Mayo","Junio","Julio","Agosto","Septiembre","Octubre","Noviembre","Diciembre"},MONTH(F3742))))</f>
        <v/>
      </c>
      <c r="N3742" s="18" t="str">
        <f t="shared" si="176"/>
        <v/>
      </c>
    </row>
    <row r="3743" spans="11:14" ht="14.5" x14ac:dyDescent="0.25">
      <c r="K3743" s="21" t="str">
        <f t="shared" si="174"/>
        <v/>
      </c>
      <c r="L3743" s="19" t="str">
        <f t="shared" si="175"/>
        <v/>
      </c>
      <c r="M3743" s="18" t="str">
        <f>IF(I3743&lt;&gt;"Sí","",IF(YEAR(F3743)&lt;&gt;2026,"",INDEX({"Enero","Febrero","Marzo","Abril","Mayo","Junio","Julio","Agosto","Septiembre","Octubre","Noviembre","Diciembre"},MONTH(F3743))))</f>
        <v/>
      </c>
      <c r="N3743" s="18" t="str">
        <f t="shared" si="176"/>
        <v/>
      </c>
    </row>
    <row r="3744" spans="11:14" ht="14.5" x14ac:dyDescent="0.25">
      <c r="K3744" s="21" t="str">
        <f t="shared" si="174"/>
        <v/>
      </c>
      <c r="L3744" s="19" t="str">
        <f t="shared" si="175"/>
        <v/>
      </c>
      <c r="M3744" s="18" t="str">
        <f>IF(I3744&lt;&gt;"Sí","",IF(YEAR(F3744)&lt;&gt;2026,"",INDEX({"Enero","Febrero","Marzo","Abril","Mayo","Junio","Julio","Agosto","Septiembre","Octubre","Noviembre","Diciembre"},MONTH(F3744))))</f>
        <v/>
      </c>
      <c r="N3744" s="18" t="str">
        <f t="shared" si="176"/>
        <v/>
      </c>
    </row>
    <row r="3745" spans="11:14" ht="14.5" x14ac:dyDescent="0.25">
      <c r="K3745" s="21" t="str">
        <f t="shared" si="174"/>
        <v/>
      </c>
      <c r="L3745" s="19" t="str">
        <f t="shared" si="175"/>
        <v/>
      </c>
      <c r="M3745" s="18" t="str">
        <f>IF(I3745&lt;&gt;"Sí","",IF(YEAR(F3745)&lt;&gt;2026,"",INDEX({"Enero","Febrero","Marzo","Abril","Mayo","Junio","Julio","Agosto","Septiembre","Octubre","Noviembre","Diciembre"},MONTH(F3745))))</f>
        <v/>
      </c>
      <c r="N3745" s="18" t="str">
        <f t="shared" si="176"/>
        <v/>
      </c>
    </row>
    <row r="3746" spans="11:14" ht="14.5" x14ac:dyDescent="0.25">
      <c r="K3746" s="21" t="str">
        <f t="shared" si="174"/>
        <v/>
      </c>
      <c r="L3746" s="19" t="str">
        <f t="shared" si="175"/>
        <v/>
      </c>
      <c r="M3746" s="18" t="str">
        <f>IF(I3746&lt;&gt;"Sí","",IF(YEAR(F3746)&lt;&gt;2026,"",INDEX({"Enero","Febrero","Marzo","Abril","Mayo","Junio","Julio","Agosto","Septiembre","Octubre","Noviembre","Diciembre"},MONTH(F3746))))</f>
        <v/>
      </c>
      <c r="N3746" s="18" t="str">
        <f t="shared" si="176"/>
        <v/>
      </c>
    </row>
    <row r="3747" spans="11:14" ht="14.5" x14ac:dyDescent="0.25">
      <c r="K3747" s="21" t="str">
        <f t="shared" si="174"/>
        <v/>
      </c>
      <c r="L3747" s="19" t="str">
        <f t="shared" si="175"/>
        <v/>
      </c>
      <c r="M3747" s="18" t="str">
        <f>IF(I3747&lt;&gt;"Sí","",IF(YEAR(F3747)&lt;&gt;2026,"",INDEX({"Enero","Febrero","Marzo","Abril","Mayo","Junio","Julio","Agosto","Septiembre","Octubre","Noviembre","Diciembre"},MONTH(F3747))))</f>
        <v/>
      </c>
      <c r="N3747" s="18" t="str">
        <f t="shared" si="176"/>
        <v/>
      </c>
    </row>
    <row r="3748" spans="11:14" ht="14.5" x14ac:dyDescent="0.25">
      <c r="K3748" s="21" t="str">
        <f t="shared" si="174"/>
        <v/>
      </c>
      <c r="L3748" s="19" t="str">
        <f t="shared" si="175"/>
        <v/>
      </c>
      <c r="M3748" s="18" t="str">
        <f>IF(I3748&lt;&gt;"Sí","",IF(YEAR(F3748)&lt;&gt;2026,"",INDEX({"Enero","Febrero","Marzo","Abril","Mayo","Junio","Julio","Agosto","Septiembre","Octubre","Noviembre","Diciembre"},MONTH(F3748))))</f>
        <v/>
      </c>
      <c r="N3748" s="18" t="str">
        <f t="shared" si="176"/>
        <v/>
      </c>
    </row>
    <row r="3749" spans="11:14" ht="14.5" x14ac:dyDescent="0.25">
      <c r="K3749" s="21" t="str">
        <f t="shared" si="174"/>
        <v/>
      </c>
      <c r="L3749" s="19" t="str">
        <f t="shared" si="175"/>
        <v/>
      </c>
      <c r="M3749" s="18" t="str">
        <f>IF(I3749&lt;&gt;"Sí","",IF(YEAR(F3749)&lt;&gt;2026,"",INDEX({"Enero","Febrero","Marzo","Abril","Mayo","Junio","Julio","Agosto","Septiembre","Octubre","Noviembre","Diciembre"},MONTH(F3749))))</f>
        <v/>
      </c>
      <c r="N3749" s="18" t="str">
        <f t="shared" si="176"/>
        <v/>
      </c>
    </row>
    <row r="3750" spans="11:14" ht="14.5" x14ac:dyDescent="0.25">
      <c r="K3750" s="21" t="str">
        <f t="shared" si="174"/>
        <v/>
      </c>
      <c r="L3750" s="19" t="str">
        <f t="shared" si="175"/>
        <v/>
      </c>
      <c r="M3750" s="18" t="str">
        <f>IF(I3750&lt;&gt;"Sí","",IF(YEAR(F3750)&lt;&gt;2026,"",INDEX({"Enero","Febrero","Marzo","Abril","Mayo","Junio","Julio","Agosto","Septiembre","Octubre","Noviembre","Diciembre"},MONTH(F3750))))</f>
        <v/>
      </c>
      <c r="N3750" s="18" t="str">
        <f t="shared" si="176"/>
        <v/>
      </c>
    </row>
    <row r="3751" spans="11:14" ht="14.5" x14ac:dyDescent="0.25">
      <c r="K3751" s="21" t="str">
        <f t="shared" si="174"/>
        <v/>
      </c>
      <c r="L3751" s="19" t="str">
        <f t="shared" si="175"/>
        <v/>
      </c>
      <c r="M3751" s="18" t="str">
        <f>IF(I3751&lt;&gt;"Sí","",IF(YEAR(F3751)&lt;&gt;2026,"",INDEX({"Enero","Febrero","Marzo","Abril","Mayo","Junio","Julio","Agosto","Septiembre","Octubre","Noviembre","Diciembre"},MONTH(F3751))))</f>
        <v/>
      </c>
      <c r="N3751" s="18" t="str">
        <f t="shared" si="176"/>
        <v/>
      </c>
    </row>
    <row r="3752" spans="11:14" ht="14.5" x14ac:dyDescent="0.25">
      <c r="K3752" s="21" t="str">
        <f t="shared" si="174"/>
        <v/>
      </c>
      <c r="L3752" s="19" t="str">
        <f t="shared" si="175"/>
        <v/>
      </c>
      <c r="M3752" s="18" t="str">
        <f>IF(I3752&lt;&gt;"Sí","",IF(YEAR(F3752)&lt;&gt;2026,"",INDEX({"Enero","Febrero","Marzo","Abril","Mayo","Junio","Julio","Agosto","Septiembre","Octubre","Noviembre","Diciembre"},MONTH(F3752))))</f>
        <v/>
      </c>
      <c r="N3752" s="18" t="str">
        <f t="shared" si="176"/>
        <v/>
      </c>
    </row>
    <row r="3753" spans="11:14" ht="14.5" x14ac:dyDescent="0.25">
      <c r="K3753" s="21" t="str">
        <f t="shared" si="174"/>
        <v/>
      </c>
      <c r="L3753" s="19" t="str">
        <f t="shared" si="175"/>
        <v/>
      </c>
      <c r="M3753" s="18" t="str">
        <f>IF(I3753&lt;&gt;"Sí","",IF(YEAR(F3753)&lt;&gt;2026,"",INDEX({"Enero","Febrero","Marzo","Abril","Mayo","Junio","Julio","Agosto","Septiembre","Octubre","Noviembre","Diciembre"},MONTH(F3753))))</f>
        <v/>
      </c>
      <c r="N3753" s="18" t="str">
        <f t="shared" si="176"/>
        <v/>
      </c>
    </row>
    <row r="3754" spans="11:14" ht="14.5" x14ac:dyDescent="0.25">
      <c r="K3754" s="21" t="str">
        <f t="shared" si="174"/>
        <v/>
      </c>
      <c r="L3754" s="19" t="str">
        <f t="shared" si="175"/>
        <v/>
      </c>
      <c r="M3754" s="18" t="str">
        <f>IF(I3754&lt;&gt;"Sí","",IF(YEAR(F3754)&lt;&gt;2026,"",INDEX({"Enero","Febrero","Marzo","Abril","Mayo","Junio","Julio","Agosto","Septiembre","Octubre","Noviembre","Diciembre"},MONTH(F3754))))</f>
        <v/>
      </c>
      <c r="N3754" s="18" t="str">
        <f t="shared" si="176"/>
        <v/>
      </c>
    </row>
    <row r="3755" spans="11:14" ht="14.5" x14ac:dyDescent="0.25">
      <c r="K3755" s="21" t="str">
        <f t="shared" si="174"/>
        <v/>
      </c>
      <c r="L3755" s="19" t="str">
        <f t="shared" si="175"/>
        <v/>
      </c>
      <c r="M3755" s="18" t="str">
        <f>IF(I3755&lt;&gt;"Sí","",IF(YEAR(F3755)&lt;&gt;2026,"",INDEX({"Enero","Febrero","Marzo","Abril","Mayo","Junio","Julio","Agosto","Septiembre","Octubre","Noviembre","Diciembre"},MONTH(F3755))))</f>
        <v/>
      </c>
      <c r="N3755" s="18" t="str">
        <f t="shared" si="176"/>
        <v/>
      </c>
    </row>
    <row r="3756" spans="11:14" ht="14.5" x14ac:dyDescent="0.25">
      <c r="K3756" s="21" t="str">
        <f t="shared" si="174"/>
        <v/>
      </c>
      <c r="L3756" s="19" t="str">
        <f t="shared" si="175"/>
        <v/>
      </c>
      <c r="M3756" s="18" t="str">
        <f>IF(I3756&lt;&gt;"Sí","",IF(YEAR(F3756)&lt;&gt;2026,"",INDEX({"Enero","Febrero","Marzo","Abril","Mayo","Junio","Julio","Agosto","Septiembre","Octubre","Noviembre","Diciembre"},MONTH(F3756))))</f>
        <v/>
      </c>
      <c r="N3756" s="18" t="str">
        <f t="shared" si="176"/>
        <v/>
      </c>
    </row>
    <row r="3757" spans="11:14" ht="14.5" x14ac:dyDescent="0.25">
      <c r="K3757" s="21" t="str">
        <f t="shared" si="174"/>
        <v/>
      </c>
      <c r="L3757" s="19" t="str">
        <f t="shared" si="175"/>
        <v/>
      </c>
      <c r="M3757" s="18" t="str">
        <f>IF(I3757&lt;&gt;"Sí","",IF(YEAR(F3757)&lt;&gt;2026,"",INDEX({"Enero","Febrero","Marzo","Abril","Mayo","Junio","Julio","Agosto","Septiembre","Octubre","Noviembre","Diciembre"},MONTH(F3757))))</f>
        <v/>
      </c>
      <c r="N3757" s="18" t="str">
        <f t="shared" si="176"/>
        <v/>
      </c>
    </row>
    <row r="3758" spans="11:14" ht="14.5" x14ac:dyDescent="0.25">
      <c r="K3758" s="21" t="str">
        <f t="shared" si="174"/>
        <v/>
      </c>
      <c r="L3758" s="19" t="str">
        <f t="shared" si="175"/>
        <v/>
      </c>
      <c r="M3758" s="18" t="str">
        <f>IF(I3758&lt;&gt;"Sí","",IF(YEAR(F3758)&lt;&gt;2026,"",INDEX({"Enero","Febrero","Marzo","Abril","Mayo","Junio","Julio","Agosto","Septiembre","Octubre","Noviembre","Diciembre"},MONTH(F3758))))</f>
        <v/>
      </c>
      <c r="N3758" s="18" t="str">
        <f t="shared" si="176"/>
        <v/>
      </c>
    </row>
    <row r="3759" spans="11:14" ht="14.5" x14ac:dyDescent="0.25">
      <c r="K3759" s="21" t="str">
        <f t="shared" si="174"/>
        <v/>
      </c>
      <c r="L3759" s="19" t="str">
        <f t="shared" si="175"/>
        <v/>
      </c>
      <c r="M3759" s="18" t="str">
        <f>IF(I3759&lt;&gt;"Sí","",IF(YEAR(F3759)&lt;&gt;2026,"",INDEX({"Enero","Febrero","Marzo","Abril","Mayo","Junio","Julio","Agosto","Septiembre","Octubre","Noviembre","Diciembre"},MONTH(F3759))))</f>
        <v/>
      </c>
      <c r="N3759" s="18" t="str">
        <f t="shared" si="176"/>
        <v/>
      </c>
    </row>
    <row r="3760" spans="11:14" ht="14.5" x14ac:dyDescent="0.25">
      <c r="K3760" s="21" t="str">
        <f t="shared" si="174"/>
        <v/>
      </c>
      <c r="L3760" s="19" t="str">
        <f t="shared" si="175"/>
        <v/>
      </c>
      <c r="M3760" s="18" t="str">
        <f>IF(I3760&lt;&gt;"Sí","",IF(YEAR(F3760)&lt;&gt;2026,"",INDEX({"Enero","Febrero","Marzo","Abril","Mayo","Junio","Julio","Agosto","Septiembre","Octubre","Noviembre","Diciembre"},MONTH(F3760))))</f>
        <v/>
      </c>
      <c r="N3760" s="18" t="str">
        <f t="shared" si="176"/>
        <v/>
      </c>
    </row>
    <row r="3761" spans="11:14" ht="14.5" x14ac:dyDescent="0.25">
      <c r="K3761" s="21" t="str">
        <f t="shared" si="174"/>
        <v/>
      </c>
      <c r="L3761" s="19" t="str">
        <f t="shared" si="175"/>
        <v/>
      </c>
      <c r="M3761" s="18" t="str">
        <f>IF(I3761&lt;&gt;"Sí","",IF(YEAR(F3761)&lt;&gt;2026,"",INDEX({"Enero","Febrero","Marzo","Abril","Mayo","Junio","Julio","Agosto","Septiembre","Octubre","Noviembre","Diciembre"},MONTH(F3761))))</f>
        <v/>
      </c>
      <c r="N3761" s="18" t="str">
        <f t="shared" si="176"/>
        <v/>
      </c>
    </row>
    <row r="3762" spans="11:14" ht="14.5" x14ac:dyDescent="0.25">
      <c r="K3762" s="21" t="str">
        <f t="shared" si="174"/>
        <v/>
      </c>
      <c r="L3762" s="19" t="str">
        <f t="shared" si="175"/>
        <v/>
      </c>
      <c r="M3762" s="18" t="str">
        <f>IF(I3762&lt;&gt;"Sí","",IF(YEAR(F3762)&lt;&gt;2026,"",INDEX({"Enero","Febrero","Marzo","Abril","Mayo","Junio","Julio","Agosto","Septiembre","Octubre","Noviembre","Diciembre"},MONTH(F3762))))</f>
        <v/>
      </c>
      <c r="N3762" s="18" t="str">
        <f t="shared" si="176"/>
        <v/>
      </c>
    </row>
    <row r="3763" spans="11:14" ht="14.5" x14ac:dyDescent="0.25">
      <c r="K3763" s="21" t="str">
        <f t="shared" si="174"/>
        <v/>
      </c>
      <c r="L3763" s="19" t="str">
        <f t="shared" si="175"/>
        <v/>
      </c>
      <c r="M3763" s="18" t="str">
        <f>IF(I3763&lt;&gt;"Sí","",IF(YEAR(F3763)&lt;&gt;2026,"",INDEX({"Enero","Febrero","Marzo","Abril","Mayo","Junio","Julio","Agosto","Septiembre","Octubre","Noviembre","Diciembre"},MONTH(F3763))))</f>
        <v/>
      </c>
      <c r="N3763" s="18" t="str">
        <f t="shared" si="176"/>
        <v/>
      </c>
    </row>
    <row r="3764" spans="11:14" ht="14.5" x14ac:dyDescent="0.25">
      <c r="K3764" s="21" t="str">
        <f t="shared" si="174"/>
        <v/>
      </c>
      <c r="L3764" s="19" t="str">
        <f t="shared" si="175"/>
        <v/>
      </c>
      <c r="M3764" s="18" t="str">
        <f>IF(I3764&lt;&gt;"Sí","",IF(YEAR(F3764)&lt;&gt;2026,"",INDEX({"Enero","Febrero","Marzo","Abril","Mayo","Junio","Julio","Agosto","Septiembre","Octubre","Noviembre","Diciembre"},MONTH(F3764))))</f>
        <v/>
      </c>
      <c r="N3764" s="18" t="str">
        <f t="shared" si="176"/>
        <v/>
      </c>
    </row>
    <row r="3765" spans="11:14" ht="14.5" x14ac:dyDescent="0.25">
      <c r="K3765" s="21" t="str">
        <f t="shared" si="174"/>
        <v/>
      </c>
      <c r="L3765" s="19" t="str">
        <f t="shared" si="175"/>
        <v/>
      </c>
      <c r="M3765" s="18" t="str">
        <f>IF(I3765&lt;&gt;"Sí","",IF(YEAR(F3765)&lt;&gt;2026,"",INDEX({"Enero","Febrero","Marzo","Abril","Mayo","Junio","Julio","Agosto","Septiembre","Octubre","Noviembre","Diciembre"},MONTH(F3765))))</f>
        <v/>
      </c>
      <c r="N3765" s="18" t="str">
        <f t="shared" si="176"/>
        <v/>
      </c>
    </row>
    <row r="3766" spans="11:14" ht="14.5" x14ac:dyDescent="0.25">
      <c r="K3766" s="21" t="str">
        <f t="shared" si="174"/>
        <v/>
      </c>
      <c r="L3766" s="19" t="str">
        <f t="shared" si="175"/>
        <v/>
      </c>
      <c r="M3766" s="18" t="str">
        <f>IF(I3766&lt;&gt;"Sí","",IF(YEAR(F3766)&lt;&gt;2026,"",INDEX({"Enero","Febrero","Marzo","Abril","Mayo","Junio","Julio","Agosto","Septiembre","Octubre","Noviembre","Diciembre"},MONTH(F3766))))</f>
        <v/>
      </c>
      <c r="N3766" s="18" t="str">
        <f t="shared" si="176"/>
        <v/>
      </c>
    </row>
    <row r="3767" spans="11:14" ht="14.5" x14ac:dyDescent="0.25">
      <c r="K3767" s="21" t="str">
        <f t="shared" si="174"/>
        <v/>
      </c>
      <c r="L3767" s="19" t="str">
        <f t="shared" si="175"/>
        <v/>
      </c>
      <c r="M3767" s="18" t="str">
        <f>IF(I3767&lt;&gt;"Sí","",IF(YEAR(F3767)&lt;&gt;2026,"",INDEX({"Enero","Febrero","Marzo","Abril","Mayo","Junio","Julio","Agosto","Septiembre","Octubre","Noviembre","Diciembre"},MONTH(F3767))))</f>
        <v/>
      </c>
      <c r="N3767" s="18" t="str">
        <f t="shared" si="176"/>
        <v/>
      </c>
    </row>
    <row r="3768" spans="11:14" ht="14.5" x14ac:dyDescent="0.25">
      <c r="K3768" s="21" t="str">
        <f t="shared" si="174"/>
        <v/>
      </c>
      <c r="L3768" s="19" t="str">
        <f t="shared" si="175"/>
        <v/>
      </c>
      <c r="M3768" s="18" t="str">
        <f>IF(I3768&lt;&gt;"Sí","",IF(YEAR(F3768)&lt;&gt;2026,"",INDEX({"Enero","Febrero","Marzo","Abril","Mayo","Junio","Julio","Agosto","Septiembre","Octubre","Noviembre","Diciembre"},MONTH(F3768))))</f>
        <v/>
      </c>
      <c r="N3768" s="18" t="str">
        <f t="shared" si="176"/>
        <v/>
      </c>
    </row>
    <row r="3769" spans="11:14" ht="14.5" x14ac:dyDescent="0.25">
      <c r="K3769" s="21" t="str">
        <f t="shared" si="174"/>
        <v/>
      </c>
      <c r="L3769" s="19" t="str">
        <f t="shared" si="175"/>
        <v/>
      </c>
      <c r="M3769" s="18" t="str">
        <f>IF(I3769&lt;&gt;"Sí","",IF(YEAR(F3769)&lt;&gt;2026,"",INDEX({"Enero","Febrero","Marzo","Abril","Mayo","Junio","Julio","Agosto","Septiembre","Octubre","Noviembre","Diciembre"},MONTH(F3769))))</f>
        <v/>
      </c>
      <c r="N3769" s="18" t="str">
        <f t="shared" si="176"/>
        <v/>
      </c>
    </row>
    <row r="3770" spans="11:14" ht="14.5" x14ac:dyDescent="0.25">
      <c r="K3770" s="21" t="str">
        <f t="shared" si="174"/>
        <v/>
      </c>
      <c r="L3770" s="19" t="str">
        <f t="shared" si="175"/>
        <v/>
      </c>
      <c r="M3770" s="18" t="str">
        <f>IF(I3770&lt;&gt;"Sí","",IF(YEAR(F3770)&lt;&gt;2026,"",INDEX({"Enero","Febrero","Marzo","Abril","Mayo","Junio","Julio","Agosto","Septiembre","Octubre","Noviembre","Diciembre"},MONTH(F3770))))</f>
        <v/>
      </c>
      <c r="N3770" s="18" t="str">
        <f t="shared" si="176"/>
        <v/>
      </c>
    </row>
    <row r="3771" spans="11:14" ht="14.5" x14ac:dyDescent="0.25">
      <c r="K3771" s="21" t="str">
        <f t="shared" si="174"/>
        <v/>
      </c>
      <c r="L3771" s="19" t="str">
        <f t="shared" si="175"/>
        <v/>
      </c>
      <c r="M3771" s="18" t="str">
        <f>IF(I3771&lt;&gt;"Sí","",IF(YEAR(F3771)&lt;&gt;2026,"",INDEX({"Enero","Febrero","Marzo","Abril","Mayo","Junio","Julio","Agosto","Septiembre","Octubre","Noviembre","Diciembre"},MONTH(F3771))))</f>
        <v/>
      </c>
      <c r="N3771" s="18" t="str">
        <f t="shared" si="176"/>
        <v/>
      </c>
    </row>
    <row r="3772" spans="11:14" ht="14.5" x14ac:dyDescent="0.25">
      <c r="K3772" s="21" t="str">
        <f t="shared" si="174"/>
        <v/>
      </c>
      <c r="L3772" s="19" t="str">
        <f t="shared" si="175"/>
        <v/>
      </c>
      <c r="M3772" s="18" t="str">
        <f>IF(I3772&lt;&gt;"Sí","",IF(YEAR(F3772)&lt;&gt;2026,"",INDEX({"Enero","Febrero","Marzo","Abril","Mayo","Junio","Julio","Agosto","Septiembre","Octubre","Noviembre","Diciembre"},MONTH(F3772))))</f>
        <v/>
      </c>
      <c r="N3772" s="18" t="str">
        <f t="shared" si="176"/>
        <v/>
      </c>
    </row>
    <row r="3773" spans="11:14" ht="14.5" x14ac:dyDescent="0.25">
      <c r="K3773" s="21" t="str">
        <f t="shared" si="174"/>
        <v/>
      </c>
      <c r="L3773" s="19" t="str">
        <f t="shared" si="175"/>
        <v/>
      </c>
      <c r="M3773" s="18" t="str">
        <f>IF(I3773&lt;&gt;"Sí","",IF(YEAR(F3773)&lt;&gt;2026,"",INDEX({"Enero","Febrero","Marzo","Abril","Mayo","Junio","Julio","Agosto","Septiembre","Octubre","Noviembre","Diciembre"},MONTH(F3773))))</f>
        <v/>
      </c>
      <c r="N3773" s="18" t="str">
        <f t="shared" si="176"/>
        <v/>
      </c>
    </row>
    <row r="3774" spans="11:14" ht="14.5" x14ac:dyDescent="0.25">
      <c r="K3774" s="21" t="str">
        <f t="shared" si="174"/>
        <v/>
      </c>
      <c r="L3774" s="19" t="str">
        <f t="shared" si="175"/>
        <v/>
      </c>
      <c r="M3774" s="18" t="str">
        <f>IF(I3774&lt;&gt;"Sí","",IF(YEAR(F3774)&lt;&gt;2026,"",INDEX({"Enero","Febrero","Marzo","Abril","Mayo","Junio","Julio","Agosto","Septiembre","Octubre","Noviembre","Diciembre"},MONTH(F3774))))</f>
        <v/>
      </c>
      <c r="N3774" s="18" t="str">
        <f t="shared" si="176"/>
        <v/>
      </c>
    </row>
    <row r="3775" spans="11:14" ht="14.5" x14ac:dyDescent="0.25">
      <c r="K3775" s="21" t="str">
        <f t="shared" si="174"/>
        <v/>
      </c>
      <c r="L3775" s="19" t="str">
        <f t="shared" si="175"/>
        <v/>
      </c>
      <c r="M3775" s="18" t="str">
        <f>IF(I3775&lt;&gt;"Sí","",IF(YEAR(F3775)&lt;&gt;2026,"",INDEX({"Enero","Febrero","Marzo","Abril","Mayo","Junio","Julio","Agosto","Septiembre","Octubre","Noviembre","Diciembre"},MONTH(F3775))))</f>
        <v/>
      </c>
      <c r="N3775" s="18" t="str">
        <f t="shared" si="176"/>
        <v/>
      </c>
    </row>
    <row r="3776" spans="11:14" ht="14.5" x14ac:dyDescent="0.25">
      <c r="K3776" s="21" t="str">
        <f t="shared" si="174"/>
        <v/>
      </c>
      <c r="L3776" s="19" t="str">
        <f t="shared" si="175"/>
        <v/>
      </c>
      <c r="M3776" s="18" t="str">
        <f>IF(I3776&lt;&gt;"Sí","",IF(YEAR(F3776)&lt;&gt;2026,"",INDEX({"Enero","Febrero","Marzo","Abril","Mayo","Junio","Julio","Agosto","Septiembre","Octubre","Noviembre","Diciembre"},MONTH(F3776))))</f>
        <v/>
      </c>
      <c r="N3776" s="18" t="str">
        <f t="shared" si="176"/>
        <v/>
      </c>
    </row>
    <row r="3777" spans="11:14" ht="14.5" x14ac:dyDescent="0.25">
      <c r="K3777" s="21" t="str">
        <f t="shared" si="174"/>
        <v/>
      </c>
      <c r="L3777" s="19" t="str">
        <f t="shared" si="175"/>
        <v/>
      </c>
      <c r="M3777" s="18" t="str">
        <f>IF(I3777&lt;&gt;"Sí","",IF(YEAR(F3777)&lt;&gt;2026,"",INDEX({"Enero","Febrero","Marzo","Abril","Mayo","Junio","Julio","Agosto","Septiembre","Octubre","Noviembre","Diciembre"},MONTH(F3777))))</f>
        <v/>
      </c>
      <c r="N3777" s="18" t="str">
        <f t="shared" si="176"/>
        <v/>
      </c>
    </row>
    <row r="3778" spans="11:14" ht="14.5" x14ac:dyDescent="0.25">
      <c r="K3778" s="21" t="str">
        <f t="shared" si="174"/>
        <v/>
      </c>
      <c r="L3778" s="19" t="str">
        <f t="shared" si="175"/>
        <v/>
      </c>
      <c r="M3778" s="18" t="str">
        <f>IF(I3778&lt;&gt;"Sí","",IF(YEAR(F3778)&lt;&gt;2026,"",INDEX({"Enero","Febrero","Marzo","Abril","Mayo","Junio","Julio","Agosto","Septiembre","Octubre","Noviembre","Diciembre"},MONTH(F3778))))</f>
        <v/>
      </c>
      <c r="N3778" s="18" t="str">
        <f t="shared" si="176"/>
        <v/>
      </c>
    </row>
    <row r="3779" spans="11:14" ht="14.5" x14ac:dyDescent="0.25">
      <c r="K3779" s="21" t="str">
        <f t="shared" si="174"/>
        <v/>
      </c>
      <c r="L3779" s="19" t="str">
        <f t="shared" si="175"/>
        <v/>
      </c>
      <c r="M3779" s="18" t="str">
        <f>IF(I3779&lt;&gt;"Sí","",IF(YEAR(F3779)&lt;&gt;2026,"",INDEX({"Enero","Febrero","Marzo","Abril","Mayo","Junio","Julio","Agosto","Septiembre","Octubre","Noviembre","Diciembre"},MONTH(F3779))))</f>
        <v/>
      </c>
      <c r="N3779" s="18" t="str">
        <f t="shared" si="176"/>
        <v/>
      </c>
    </row>
    <row r="3780" spans="11:14" ht="14.5" x14ac:dyDescent="0.25">
      <c r="K3780" s="21" t="str">
        <f t="shared" si="174"/>
        <v/>
      </c>
      <c r="L3780" s="19" t="str">
        <f t="shared" si="175"/>
        <v/>
      </c>
      <c r="M3780" s="18" t="str">
        <f>IF(I3780&lt;&gt;"Sí","",IF(YEAR(F3780)&lt;&gt;2026,"",INDEX({"Enero","Febrero","Marzo","Abril","Mayo","Junio","Julio","Agosto","Septiembre","Octubre","Noviembre","Diciembre"},MONTH(F3780))))</f>
        <v/>
      </c>
      <c r="N3780" s="18" t="str">
        <f t="shared" si="176"/>
        <v/>
      </c>
    </row>
    <row r="3781" spans="11:14" ht="14.5" x14ac:dyDescent="0.25">
      <c r="K3781" s="21" t="str">
        <f t="shared" si="174"/>
        <v/>
      </c>
      <c r="L3781" s="19" t="str">
        <f t="shared" si="175"/>
        <v/>
      </c>
      <c r="M3781" s="18" t="str">
        <f>IF(I3781&lt;&gt;"Sí","",IF(YEAR(F3781)&lt;&gt;2026,"",INDEX({"Enero","Febrero","Marzo","Abril","Mayo","Junio","Julio","Agosto","Septiembre","Octubre","Noviembre","Diciembre"},MONTH(F3781))))</f>
        <v/>
      </c>
      <c r="N3781" s="18" t="str">
        <f t="shared" si="176"/>
        <v/>
      </c>
    </row>
    <row r="3782" spans="11:14" ht="14.5" x14ac:dyDescent="0.25">
      <c r="K3782" s="21" t="str">
        <f t="shared" si="174"/>
        <v/>
      </c>
      <c r="L3782" s="19" t="str">
        <f t="shared" si="175"/>
        <v/>
      </c>
      <c r="M3782" s="18" t="str">
        <f>IF(I3782&lt;&gt;"Sí","",IF(YEAR(F3782)&lt;&gt;2026,"",INDEX({"Enero","Febrero","Marzo","Abril","Mayo","Junio","Julio","Agosto","Septiembre","Octubre","Noviembre","Diciembre"},MONTH(F3782))))</f>
        <v/>
      </c>
      <c r="N3782" s="18" t="str">
        <f t="shared" si="176"/>
        <v/>
      </c>
    </row>
    <row r="3783" spans="11:14" ht="14.5" x14ac:dyDescent="0.25">
      <c r="K3783" s="21" t="str">
        <f t="shared" ref="K3783:K3846" si="177">IF(I3783="Sí",(G3783-F3783)*24,"")</f>
        <v/>
      </c>
      <c r="L3783" s="19" t="str">
        <f t="shared" ref="L3783:L3846" si="178">IF(I3783="Sí",COUNTIFS($F$7:$F$4000,"&lt;="&amp;F3783,$G$7:$G$4000,"&gt;"&amp;F3783,$I$7:$I$4000,"Sí"),"")</f>
        <v/>
      </c>
      <c r="M3783" s="18" t="str">
        <f>IF(I3783&lt;&gt;"Sí","",IF(YEAR(F3783)&lt;&gt;2026,"",INDEX({"Enero","Febrero","Marzo","Abril","Mayo","Junio","Julio","Agosto","Septiembre","Octubre","Noviembre","Diciembre"},MONTH(F3783))))</f>
        <v/>
      </c>
      <c r="N3783" s="18" t="str">
        <f t="shared" ref="N3783:N3846" si="179">IF(M3783="","",M3783&amp;"|"&amp;L3783)</f>
        <v/>
      </c>
    </row>
    <row r="3784" spans="11:14" ht="14.5" x14ac:dyDescent="0.25">
      <c r="K3784" s="21" t="str">
        <f t="shared" si="177"/>
        <v/>
      </c>
      <c r="L3784" s="19" t="str">
        <f t="shared" si="178"/>
        <v/>
      </c>
      <c r="M3784" s="18" t="str">
        <f>IF(I3784&lt;&gt;"Sí","",IF(YEAR(F3784)&lt;&gt;2026,"",INDEX({"Enero","Febrero","Marzo","Abril","Mayo","Junio","Julio","Agosto","Septiembre","Octubre","Noviembre","Diciembre"},MONTH(F3784))))</f>
        <v/>
      </c>
      <c r="N3784" s="18" t="str">
        <f t="shared" si="179"/>
        <v/>
      </c>
    </row>
    <row r="3785" spans="11:14" ht="14.5" x14ac:dyDescent="0.25">
      <c r="K3785" s="21" t="str">
        <f t="shared" si="177"/>
        <v/>
      </c>
      <c r="L3785" s="19" t="str">
        <f t="shared" si="178"/>
        <v/>
      </c>
      <c r="M3785" s="18" t="str">
        <f>IF(I3785&lt;&gt;"Sí","",IF(YEAR(F3785)&lt;&gt;2026,"",INDEX({"Enero","Febrero","Marzo","Abril","Mayo","Junio","Julio","Agosto","Septiembre","Octubre","Noviembre","Diciembre"},MONTH(F3785))))</f>
        <v/>
      </c>
      <c r="N3785" s="18" t="str">
        <f t="shared" si="179"/>
        <v/>
      </c>
    </row>
    <row r="3786" spans="11:14" ht="14.5" x14ac:dyDescent="0.25">
      <c r="K3786" s="21" t="str">
        <f t="shared" si="177"/>
        <v/>
      </c>
      <c r="L3786" s="19" t="str">
        <f t="shared" si="178"/>
        <v/>
      </c>
      <c r="M3786" s="18" t="str">
        <f>IF(I3786&lt;&gt;"Sí","",IF(YEAR(F3786)&lt;&gt;2026,"",INDEX({"Enero","Febrero","Marzo","Abril","Mayo","Junio","Julio","Agosto","Septiembre","Octubre","Noviembre","Diciembre"},MONTH(F3786))))</f>
        <v/>
      </c>
      <c r="N3786" s="18" t="str">
        <f t="shared" si="179"/>
        <v/>
      </c>
    </row>
    <row r="3787" spans="11:14" ht="14.5" x14ac:dyDescent="0.25">
      <c r="K3787" s="21" t="str">
        <f t="shared" si="177"/>
        <v/>
      </c>
      <c r="L3787" s="19" t="str">
        <f t="shared" si="178"/>
        <v/>
      </c>
      <c r="M3787" s="18" t="str">
        <f>IF(I3787&lt;&gt;"Sí","",IF(YEAR(F3787)&lt;&gt;2026,"",INDEX({"Enero","Febrero","Marzo","Abril","Mayo","Junio","Julio","Agosto","Septiembre","Octubre","Noviembre","Diciembre"},MONTH(F3787))))</f>
        <v/>
      </c>
      <c r="N3787" s="18" t="str">
        <f t="shared" si="179"/>
        <v/>
      </c>
    </row>
    <row r="3788" spans="11:14" ht="14.5" x14ac:dyDescent="0.25">
      <c r="K3788" s="21" t="str">
        <f t="shared" si="177"/>
        <v/>
      </c>
      <c r="L3788" s="19" t="str">
        <f t="shared" si="178"/>
        <v/>
      </c>
      <c r="M3788" s="18" t="str">
        <f>IF(I3788&lt;&gt;"Sí","",IF(YEAR(F3788)&lt;&gt;2026,"",INDEX({"Enero","Febrero","Marzo","Abril","Mayo","Junio","Julio","Agosto","Septiembre","Octubre","Noviembre","Diciembre"},MONTH(F3788))))</f>
        <v/>
      </c>
      <c r="N3788" s="18" t="str">
        <f t="shared" si="179"/>
        <v/>
      </c>
    </row>
    <row r="3789" spans="11:14" ht="14.5" x14ac:dyDescent="0.25">
      <c r="K3789" s="21" t="str">
        <f t="shared" si="177"/>
        <v/>
      </c>
      <c r="L3789" s="19" t="str">
        <f t="shared" si="178"/>
        <v/>
      </c>
      <c r="M3789" s="18" t="str">
        <f>IF(I3789&lt;&gt;"Sí","",IF(YEAR(F3789)&lt;&gt;2026,"",INDEX({"Enero","Febrero","Marzo","Abril","Mayo","Junio","Julio","Agosto","Septiembre","Octubre","Noviembre","Diciembre"},MONTH(F3789))))</f>
        <v/>
      </c>
      <c r="N3789" s="18" t="str">
        <f t="shared" si="179"/>
        <v/>
      </c>
    </row>
    <row r="3790" spans="11:14" ht="14.5" x14ac:dyDescent="0.25">
      <c r="K3790" s="21" t="str">
        <f t="shared" si="177"/>
        <v/>
      </c>
      <c r="L3790" s="19" t="str">
        <f t="shared" si="178"/>
        <v/>
      </c>
      <c r="M3790" s="18" t="str">
        <f>IF(I3790&lt;&gt;"Sí","",IF(YEAR(F3790)&lt;&gt;2026,"",INDEX({"Enero","Febrero","Marzo","Abril","Mayo","Junio","Julio","Agosto","Septiembre","Octubre","Noviembre","Diciembre"},MONTH(F3790))))</f>
        <v/>
      </c>
      <c r="N3790" s="18" t="str">
        <f t="shared" si="179"/>
        <v/>
      </c>
    </row>
    <row r="3791" spans="11:14" ht="14.5" x14ac:dyDescent="0.25">
      <c r="K3791" s="21" t="str">
        <f t="shared" si="177"/>
        <v/>
      </c>
      <c r="L3791" s="19" t="str">
        <f t="shared" si="178"/>
        <v/>
      </c>
      <c r="M3791" s="18" t="str">
        <f>IF(I3791&lt;&gt;"Sí","",IF(YEAR(F3791)&lt;&gt;2026,"",INDEX({"Enero","Febrero","Marzo","Abril","Mayo","Junio","Julio","Agosto","Septiembre","Octubre","Noviembre","Diciembre"},MONTH(F3791))))</f>
        <v/>
      </c>
      <c r="N3791" s="18" t="str">
        <f t="shared" si="179"/>
        <v/>
      </c>
    </row>
    <row r="3792" spans="11:14" ht="14.5" x14ac:dyDescent="0.25">
      <c r="K3792" s="21" t="str">
        <f t="shared" si="177"/>
        <v/>
      </c>
      <c r="L3792" s="19" t="str">
        <f t="shared" si="178"/>
        <v/>
      </c>
      <c r="M3792" s="18" t="str">
        <f>IF(I3792&lt;&gt;"Sí","",IF(YEAR(F3792)&lt;&gt;2026,"",INDEX({"Enero","Febrero","Marzo","Abril","Mayo","Junio","Julio","Agosto","Septiembre","Octubre","Noviembre","Diciembre"},MONTH(F3792))))</f>
        <v/>
      </c>
      <c r="N3792" s="18" t="str">
        <f t="shared" si="179"/>
        <v/>
      </c>
    </row>
    <row r="3793" spans="11:14" ht="14.5" x14ac:dyDescent="0.25">
      <c r="K3793" s="21" t="str">
        <f t="shared" si="177"/>
        <v/>
      </c>
      <c r="L3793" s="19" t="str">
        <f t="shared" si="178"/>
        <v/>
      </c>
      <c r="M3793" s="18" t="str">
        <f>IF(I3793&lt;&gt;"Sí","",IF(YEAR(F3793)&lt;&gt;2026,"",INDEX({"Enero","Febrero","Marzo","Abril","Mayo","Junio","Julio","Agosto","Septiembre","Octubre","Noviembre","Diciembre"},MONTH(F3793))))</f>
        <v/>
      </c>
      <c r="N3793" s="18" t="str">
        <f t="shared" si="179"/>
        <v/>
      </c>
    </row>
    <row r="3794" spans="11:14" ht="14.5" x14ac:dyDescent="0.25">
      <c r="K3794" s="21" t="str">
        <f t="shared" si="177"/>
        <v/>
      </c>
      <c r="L3794" s="19" t="str">
        <f t="shared" si="178"/>
        <v/>
      </c>
      <c r="M3794" s="18" t="str">
        <f>IF(I3794&lt;&gt;"Sí","",IF(YEAR(F3794)&lt;&gt;2026,"",INDEX({"Enero","Febrero","Marzo","Abril","Mayo","Junio","Julio","Agosto","Septiembre","Octubre","Noviembre","Diciembre"},MONTH(F3794))))</f>
        <v/>
      </c>
      <c r="N3794" s="18" t="str">
        <f t="shared" si="179"/>
        <v/>
      </c>
    </row>
    <row r="3795" spans="11:14" ht="14.5" x14ac:dyDescent="0.25">
      <c r="K3795" s="21" t="str">
        <f t="shared" si="177"/>
        <v/>
      </c>
      <c r="L3795" s="19" t="str">
        <f t="shared" si="178"/>
        <v/>
      </c>
      <c r="M3795" s="18" t="str">
        <f>IF(I3795&lt;&gt;"Sí","",IF(YEAR(F3795)&lt;&gt;2026,"",INDEX({"Enero","Febrero","Marzo","Abril","Mayo","Junio","Julio","Agosto","Septiembre","Octubre","Noviembre","Diciembre"},MONTH(F3795))))</f>
        <v/>
      </c>
      <c r="N3795" s="18" t="str">
        <f t="shared" si="179"/>
        <v/>
      </c>
    </row>
    <row r="3796" spans="11:14" ht="14.5" x14ac:dyDescent="0.25">
      <c r="K3796" s="21" t="str">
        <f t="shared" si="177"/>
        <v/>
      </c>
      <c r="L3796" s="19" t="str">
        <f t="shared" si="178"/>
        <v/>
      </c>
      <c r="M3796" s="18" t="str">
        <f>IF(I3796&lt;&gt;"Sí","",IF(YEAR(F3796)&lt;&gt;2026,"",INDEX({"Enero","Febrero","Marzo","Abril","Mayo","Junio","Julio","Agosto","Septiembre","Octubre","Noviembre","Diciembre"},MONTH(F3796))))</f>
        <v/>
      </c>
      <c r="N3796" s="18" t="str">
        <f t="shared" si="179"/>
        <v/>
      </c>
    </row>
    <row r="3797" spans="11:14" ht="14.5" x14ac:dyDescent="0.25">
      <c r="K3797" s="21" t="str">
        <f t="shared" si="177"/>
        <v/>
      </c>
      <c r="L3797" s="19" t="str">
        <f t="shared" si="178"/>
        <v/>
      </c>
      <c r="M3797" s="18" t="str">
        <f>IF(I3797&lt;&gt;"Sí","",IF(YEAR(F3797)&lt;&gt;2026,"",INDEX({"Enero","Febrero","Marzo","Abril","Mayo","Junio","Julio","Agosto","Septiembre","Octubre","Noviembre","Diciembre"},MONTH(F3797))))</f>
        <v/>
      </c>
      <c r="N3797" s="18" t="str">
        <f t="shared" si="179"/>
        <v/>
      </c>
    </row>
    <row r="3798" spans="11:14" ht="14.5" x14ac:dyDescent="0.25">
      <c r="K3798" s="21" t="str">
        <f t="shared" si="177"/>
        <v/>
      </c>
      <c r="L3798" s="19" t="str">
        <f t="shared" si="178"/>
        <v/>
      </c>
      <c r="M3798" s="18" t="str">
        <f>IF(I3798&lt;&gt;"Sí","",IF(YEAR(F3798)&lt;&gt;2026,"",INDEX({"Enero","Febrero","Marzo","Abril","Mayo","Junio","Julio","Agosto","Septiembre","Octubre","Noviembre","Diciembre"},MONTH(F3798))))</f>
        <v/>
      </c>
      <c r="N3798" s="18" t="str">
        <f t="shared" si="179"/>
        <v/>
      </c>
    </row>
    <row r="3799" spans="11:14" ht="14.5" x14ac:dyDescent="0.25">
      <c r="K3799" s="21" t="str">
        <f t="shared" si="177"/>
        <v/>
      </c>
      <c r="L3799" s="19" t="str">
        <f t="shared" si="178"/>
        <v/>
      </c>
      <c r="M3799" s="18" t="str">
        <f>IF(I3799&lt;&gt;"Sí","",IF(YEAR(F3799)&lt;&gt;2026,"",INDEX({"Enero","Febrero","Marzo","Abril","Mayo","Junio","Julio","Agosto","Septiembre","Octubre","Noviembre","Diciembre"},MONTH(F3799))))</f>
        <v/>
      </c>
      <c r="N3799" s="18" t="str">
        <f t="shared" si="179"/>
        <v/>
      </c>
    </row>
    <row r="3800" spans="11:14" ht="14.5" x14ac:dyDescent="0.25">
      <c r="K3800" s="21" t="str">
        <f t="shared" si="177"/>
        <v/>
      </c>
      <c r="L3800" s="19" t="str">
        <f t="shared" si="178"/>
        <v/>
      </c>
      <c r="M3800" s="18" t="str">
        <f>IF(I3800&lt;&gt;"Sí","",IF(YEAR(F3800)&lt;&gt;2026,"",INDEX({"Enero","Febrero","Marzo","Abril","Mayo","Junio","Julio","Agosto","Septiembre","Octubre","Noviembre","Diciembre"},MONTH(F3800))))</f>
        <v/>
      </c>
      <c r="N3800" s="18" t="str">
        <f t="shared" si="179"/>
        <v/>
      </c>
    </row>
    <row r="3801" spans="11:14" ht="14.5" x14ac:dyDescent="0.25">
      <c r="K3801" s="21" t="str">
        <f t="shared" si="177"/>
        <v/>
      </c>
      <c r="L3801" s="19" t="str">
        <f t="shared" si="178"/>
        <v/>
      </c>
      <c r="M3801" s="18" t="str">
        <f>IF(I3801&lt;&gt;"Sí","",IF(YEAR(F3801)&lt;&gt;2026,"",INDEX({"Enero","Febrero","Marzo","Abril","Mayo","Junio","Julio","Agosto","Septiembre","Octubre","Noviembre","Diciembre"},MONTH(F3801))))</f>
        <v/>
      </c>
      <c r="N3801" s="18" t="str">
        <f t="shared" si="179"/>
        <v/>
      </c>
    </row>
    <row r="3802" spans="11:14" ht="14.5" x14ac:dyDescent="0.25">
      <c r="K3802" s="21" t="str">
        <f t="shared" si="177"/>
        <v/>
      </c>
      <c r="L3802" s="19" t="str">
        <f t="shared" si="178"/>
        <v/>
      </c>
      <c r="M3802" s="18" t="str">
        <f>IF(I3802&lt;&gt;"Sí","",IF(YEAR(F3802)&lt;&gt;2026,"",INDEX({"Enero","Febrero","Marzo","Abril","Mayo","Junio","Julio","Agosto","Septiembre","Octubre","Noviembre","Diciembre"},MONTH(F3802))))</f>
        <v/>
      </c>
      <c r="N3802" s="18" t="str">
        <f t="shared" si="179"/>
        <v/>
      </c>
    </row>
    <row r="3803" spans="11:14" ht="14.5" x14ac:dyDescent="0.25">
      <c r="K3803" s="21" t="str">
        <f t="shared" si="177"/>
        <v/>
      </c>
      <c r="L3803" s="19" t="str">
        <f t="shared" si="178"/>
        <v/>
      </c>
      <c r="M3803" s="18" t="str">
        <f>IF(I3803&lt;&gt;"Sí","",IF(YEAR(F3803)&lt;&gt;2026,"",INDEX({"Enero","Febrero","Marzo","Abril","Mayo","Junio","Julio","Agosto","Septiembre","Octubre","Noviembre","Diciembre"},MONTH(F3803))))</f>
        <v/>
      </c>
      <c r="N3803" s="18" t="str">
        <f t="shared" si="179"/>
        <v/>
      </c>
    </row>
    <row r="3804" spans="11:14" ht="14.5" x14ac:dyDescent="0.25">
      <c r="K3804" s="21" t="str">
        <f t="shared" si="177"/>
        <v/>
      </c>
      <c r="L3804" s="19" t="str">
        <f t="shared" si="178"/>
        <v/>
      </c>
      <c r="M3804" s="18" t="str">
        <f>IF(I3804&lt;&gt;"Sí","",IF(YEAR(F3804)&lt;&gt;2026,"",INDEX({"Enero","Febrero","Marzo","Abril","Mayo","Junio","Julio","Agosto","Septiembre","Octubre","Noviembre","Diciembre"},MONTH(F3804))))</f>
        <v/>
      </c>
      <c r="N3804" s="18" t="str">
        <f t="shared" si="179"/>
        <v/>
      </c>
    </row>
    <row r="3805" spans="11:14" ht="14.5" x14ac:dyDescent="0.25">
      <c r="K3805" s="21" t="str">
        <f t="shared" si="177"/>
        <v/>
      </c>
      <c r="L3805" s="19" t="str">
        <f t="shared" si="178"/>
        <v/>
      </c>
      <c r="M3805" s="18" t="str">
        <f>IF(I3805&lt;&gt;"Sí","",IF(YEAR(F3805)&lt;&gt;2026,"",INDEX({"Enero","Febrero","Marzo","Abril","Mayo","Junio","Julio","Agosto","Septiembre","Octubre","Noviembre","Diciembre"},MONTH(F3805))))</f>
        <v/>
      </c>
      <c r="N3805" s="18" t="str">
        <f t="shared" si="179"/>
        <v/>
      </c>
    </row>
    <row r="3806" spans="11:14" ht="14.5" x14ac:dyDescent="0.25">
      <c r="K3806" s="21" t="str">
        <f t="shared" si="177"/>
        <v/>
      </c>
      <c r="L3806" s="19" t="str">
        <f t="shared" si="178"/>
        <v/>
      </c>
      <c r="M3806" s="18" t="str">
        <f>IF(I3806&lt;&gt;"Sí","",IF(YEAR(F3806)&lt;&gt;2026,"",INDEX({"Enero","Febrero","Marzo","Abril","Mayo","Junio","Julio","Agosto","Septiembre","Octubre","Noviembre","Diciembre"},MONTH(F3806))))</f>
        <v/>
      </c>
      <c r="N3806" s="18" t="str">
        <f t="shared" si="179"/>
        <v/>
      </c>
    </row>
    <row r="3807" spans="11:14" ht="14.5" x14ac:dyDescent="0.25">
      <c r="K3807" s="21" t="str">
        <f t="shared" si="177"/>
        <v/>
      </c>
      <c r="L3807" s="19" t="str">
        <f t="shared" si="178"/>
        <v/>
      </c>
      <c r="M3807" s="18" t="str">
        <f>IF(I3807&lt;&gt;"Sí","",IF(YEAR(F3807)&lt;&gt;2026,"",INDEX({"Enero","Febrero","Marzo","Abril","Mayo","Junio","Julio","Agosto","Septiembre","Octubre","Noviembre","Diciembre"},MONTH(F3807))))</f>
        <v/>
      </c>
      <c r="N3807" s="18" t="str">
        <f t="shared" si="179"/>
        <v/>
      </c>
    </row>
    <row r="3808" spans="11:14" ht="14.5" x14ac:dyDescent="0.25">
      <c r="K3808" s="21" t="str">
        <f t="shared" si="177"/>
        <v/>
      </c>
      <c r="L3808" s="19" t="str">
        <f t="shared" si="178"/>
        <v/>
      </c>
      <c r="M3808" s="18" t="str">
        <f>IF(I3808&lt;&gt;"Sí","",IF(YEAR(F3808)&lt;&gt;2026,"",INDEX({"Enero","Febrero","Marzo","Abril","Mayo","Junio","Julio","Agosto","Septiembre","Octubre","Noviembre","Diciembre"},MONTH(F3808))))</f>
        <v/>
      </c>
      <c r="N3808" s="18" t="str">
        <f t="shared" si="179"/>
        <v/>
      </c>
    </row>
    <row r="3809" spans="11:14" ht="14.5" x14ac:dyDescent="0.25">
      <c r="K3809" s="21" t="str">
        <f t="shared" si="177"/>
        <v/>
      </c>
      <c r="L3809" s="19" t="str">
        <f t="shared" si="178"/>
        <v/>
      </c>
      <c r="M3809" s="18" t="str">
        <f>IF(I3809&lt;&gt;"Sí","",IF(YEAR(F3809)&lt;&gt;2026,"",INDEX({"Enero","Febrero","Marzo","Abril","Mayo","Junio","Julio","Agosto","Septiembre","Octubre","Noviembre","Diciembre"},MONTH(F3809))))</f>
        <v/>
      </c>
      <c r="N3809" s="18" t="str">
        <f t="shared" si="179"/>
        <v/>
      </c>
    </row>
    <row r="3810" spans="11:14" ht="14.5" x14ac:dyDescent="0.25">
      <c r="K3810" s="21" t="str">
        <f t="shared" si="177"/>
        <v/>
      </c>
      <c r="L3810" s="19" t="str">
        <f t="shared" si="178"/>
        <v/>
      </c>
      <c r="M3810" s="18" t="str">
        <f>IF(I3810&lt;&gt;"Sí","",IF(YEAR(F3810)&lt;&gt;2026,"",INDEX({"Enero","Febrero","Marzo","Abril","Mayo","Junio","Julio","Agosto","Septiembre","Octubre","Noviembre","Diciembre"},MONTH(F3810))))</f>
        <v/>
      </c>
      <c r="N3810" s="18" t="str">
        <f t="shared" si="179"/>
        <v/>
      </c>
    </row>
    <row r="3811" spans="11:14" ht="14.5" x14ac:dyDescent="0.25">
      <c r="K3811" s="21" t="str">
        <f t="shared" si="177"/>
        <v/>
      </c>
      <c r="L3811" s="19" t="str">
        <f t="shared" si="178"/>
        <v/>
      </c>
      <c r="M3811" s="18" t="str">
        <f>IF(I3811&lt;&gt;"Sí","",IF(YEAR(F3811)&lt;&gt;2026,"",INDEX({"Enero","Febrero","Marzo","Abril","Mayo","Junio","Julio","Agosto","Septiembre","Octubre","Noviembre","Diciembre"},MONTH(F3811))))</f>
        <v/>
      </c>
      <c r="N3811" s="18" t="str">
        <f t="shared" si="179"/>
        <v/>
      </c>
    </row>
    <row r="3812" spans="11:14" ht="14.5" x14ac:dyDescent="0.25">
      <c r="K3812" s="21" t="str">
        <f t="shared" si="177"/>
        <v/>
      </c>
      <c r="L3812" s="19" t="str">
        <f t="shared" si="178"/>
        <v/>
      </c>
      <c r="M3812" s="18" t="str">
        <f>IF(I3812&lt;&gt;"Sí","",IF(YEAR(F3812)&lt;&gt;2026,"",INDEX({"Enero","Febrero","Marzo","Abril","Mayo","Junio","Julio","Agosto","Septiembre","Octubre","Noviembre","Diciembre"},MONTH(F3812))))</f>
        <v/>
      </c>
      <c r="N3812" s="18" t="str">
        <f t="shared" si="179"/>
        <v/>
      </c>
    </row>
    <row r="3813" spans="11:14" ht="14.5" x14ac:dyDescent="0.25">
      <c r="K3813" s="21" t="str">
        <f t="shared" si="177"/>
        <v/>
      </c>
      <c r="L3813" s="19" t="str">
        <f t="shared" si="178"/>
        <v/>
      </c>
      <c r="M3813" s="18" t="str">
        <f>IF(I3813&lt;&gt;"Sí","",IF(YEAR(F3813)&lt;&gt;2026,"",INDEX({"Enero","Febrero","Marzo","Abril","Mayo","Junio","Julio","Agosto","Septiembre","Octubre","Noviembre","Diciembre"},MONTH(F3813))))</f>
        <v/>
      </c>
      <c r="N3813" s="18" t="str">
        <f t="shared" si="179"/>
        <v/>
      </c>
    </row>
    <row r="3814" spans="11:14" ht="14.5" x14ac:dyDescent="0.25">
      <c r="K3814" s="21" t="str">
        <f t="shared" si="177"/>
        <v/>
      </c>
      <c r="L3814" s="19" t="str">
        <f t="shared" si="178"/>
        <v/>
      </c>
      <c r="M3814" s="18" t="str">
        <f>IF(I3814&lt;&gt;"Sí","",IF(YEAR(F3814)&lt;&gt;2026,"",INDEX({"Enero","Febrero","Marzo","Abril","Mayo","Junio","Julio","Agosto","Septiembre","Octubre","Noviembre","Diciembre"},MONTH(F3814))))</f>
        <v/>
      </c>
      <c r="N3814" s="18" t="str">
        <f t="shared" si="179"/>
        <v/>
      </c>
    </row>
    <row r="3815" spans="11:14" ht="14.5" x14ac:dyDescent="0.25">
      <c r="K3815" s="21" t="str">
        <f t="shared" si="177"/>
        <v/>
      </c>
      <c r="L3815" s="19" t="str">
        <f t="shared" si="178"/>
        <v/>
      </c>
      <c r="M3815" s="18" t="str">
        <f>IF(I3815&lt;&gt;"Sí","",IF(YEAR(F3815)&lt;&gt;2026,"",INDEX({"Enero","Febrero","Marzo","Abril","Mayo","Junio","Julio","Agosto","Septiembre","Octubre","Noviembre","Diciembre"},MONTH(F3815))))</f>
        <v/>
      </c>
      <c r="N3815" s="18" t="str">
        <f t="shared" si="179"/>
        <v/>
      </c>
    </row>
    <row r="3816" spans="11:14" ht="14.5" x14ac:dyDescent="0.25">
      <c r="K3816" s="21" t="str">
        <f t="shared" si="177"/>
        <v/>
      </c>
      <c r="L3816" s="19" t="str">
        <f t="shared" si="178"/>
        <v/>
      </c>
      <c r="M3816" s="18" t="str">
        <f>IF(I3816&lt;&gt;"Sí","",IF(YEAR(F3816)&lt;&gt;2026,"",INDEX({"Enero","Febrero","Marzo","Abril","Mayo","Junio","Julio","Agosto","Septiembre","Octubre","Noviembre","Diciembre"},MONTH(F3816))))</f>
        <v/>
      </c>
      <c r="N3816" s="18" t="str">
        <f t="shared" si="179"/>
        <v/>
      </c>
    </row>
    <row r="3817" spans="11:14" ht="14.5" x14ac:dyDescent="0.25">
      <c r="K3817" s="21" t="str">
        <f t="shared" si="177"/>
        <v/>
      </c>
      <c r="L3817" s="19" t="str">
        <f t="shared" si="178"/>
        <v/>
      </c>
      <c r="M3817" s="18" t="str">
        <f>IF(I3817&lt;&gt;"Sí","",IF(YEAR(F3817)&lt;&gt;2026,"",INDEX({"Enero","Febrero","Marzo","Abril","Mayo","Junio","Julio","Agosto","Septiembre","Octubre","Noviembre","Diciembre"},MONTH(F3817))))</f>
        <v/>
      </c>
      <c r="N3817" s="18" t="str">
        <f t="shared" si="179"/>
        <v/>
      </c>
    </row>
    <row r="3818" spans="11:14" ht="14.5" x14ac:dyDescent="0.25">
      <c r="K3818" s="21" t="str">
        <f t="shared" si="177"/>
        <v/>
      </c>
      <c r="L3818" s="19" t="str">
        <f t="shared" si="178"/>
        <v/>
      </c>
      <c r="M3818" s="18" t="str">
        <f>IF(I3818&lt;&gt;"Sí","",IF(YEAR(F3818)&lt;&gt;2026,"",INDEX({"Enero","Febrero","Marzo","Abril","Mayo","Junio","Julio","Agosto","Septiembre","Octubre","Noviembre","Diciembre"},MONTH(F3818))))</f>
        <v/>
      </c>
      <c r="N3818" s="18" t="str">
        <f t="shared" si="179"/>
        <v/>
      </c>
    </row>
    <row r="3819" spans="11:14" ht="14.5" x14ac:dyDescent="0.25">
      <c r="K3819" s="21" t="str">
        <f t="shared" si="177"/>
        <v/>
      </c>
      <c r="L3819" s="19" t="str">
        <f t="shared" si="178"/>
        <v/>
      </c>
      <c r="M3819" s="18" t="str">
        <f>IF(I3819&lt;&gt;"Sí","",IF(YEAR(F3819)&lt;&gt;2026,"",INDEX({"Enero","Febrero","Marzo","Abril","Mayo","Junio","Julio","Agosto","Septiembre","Octubre","Noviembre","Diciembre"},MONTH(F3819))))</f>
        <v/>
      </c>
      <c r="N3819" s="18" t="str">
        <f t="shared" si="179"/>
        <v/>
      </c>
    </row>
    <row r="3820" spans="11:14" ht="14.5" x14ac:dyDescent="0.25">
      <c r="K3820" s="21" t="str">
        <f t="shared" si="177"/>
        <v/>
      </c>
      <c r="L3820" s="19" t="str">
        <f t="shared" si="178"/>
        <v/>
      </c>
      <c r="M3820" s="18" t="str">
        <f>IF(I3820&lt;&gt;"Sí","",IF(YEAR(F3820)&lt;&gt;2026,"",INDEX({"Enero","Febrero","Marzo","Abril","Mayo","Junio","Julio","Agosto","Septiembre","Octubre","Noviembre","Diciembre"},MONTH(F3820))))</f>
        <v/>
      </c>
      <c r="N3820" s="18" t="str">
        <f t="shared" si="179"/>
        <v/>
      </c>
    </row>
    <row r="3821" spans="11:14" ht="14.5" x14ac:dyDescent="0.25">
      <c r="K3821" s="21" t="str">
        <f t="shared" si="177"/>
        <v/>
      </c>
      <c r="L3821" s="19" t="str">
        <f t="shared" si="178"/>
        <v/>
      </c>
      <c r="M3821" s="18" t="str">
        <f>IF(I3821&lt;&gt;"Sí","",IF(YEAR(F3821)&lt;&gt;2026,"",INDEX({"Enero","Febrero","Marzo","Abril","Mayo","Junio","Julio","Agosto","Septiembre","Octubre","Noviembre","Diciembre"},MONTH(F3821))))</f>
        <v/>
      </c>
      <c r="N3821" s="18" t="str">
        <f t="shared" si="179"/>
        <v/>
      </c>
    </row>
    <row r="3822" spans="11:14" ht="14.5" x14ac:dyDescent="0.25">
      <c r="K3822" s="21" t="str">
        <f t="shared" si="177"/>
        <v/>
      </c>
      <c r="L3822" s="19" t="str">
        <f t="shared" si="178"/>
        <v/>
      </c>
      <c r="M3822" s="18" t="str">
        <f>IF(I3822&lt;&gt;"Sí","",IF(YEAR(F3822)&lt;&gt;2026,"",INDEX({"Enero","Febrero","Marzo","Abril","Mayo","Junio","Julio","Agosto","Septiembre","Octubre","Noviembre","Diciembre"},MONTH(F3822))))</f>
        <v/>
      </c>
      <c r="N3822" s="18" t="str">
        <f t="shared" si="179"/>
        <v/>
      </c>
    </row>
    <row r="3823" spans="11:14" ht="14.5" x14ac:dyDescent="0.25">
      <c r="K3823" s="21" t="str">
        <f t="shared" si="177"/>
        <v/>
      </c>
      <c r="L3823" s="19" t="str">
        <f t="shared" si="178"/>
        <v/>
      </c>
      <c r="M3823" s="18" t="str">
        <f>IF(I3823&lt;&gt;"Sí","",IF(YEAR(F3823)&lt;&gt;2026,"",INDEX({"Enero","Febrero","Marzo","Abril","Mayo","Junio","Julio","Agosto","Septiembre","Octubre","Noviembre","Diciembre"},MONTH(F3823))))</f>
        <v/>
      </c>
      <c r="N3823" s="18" t="str">
        <f t="shared" si="179"/>
        <v/>
      </c>
    </row>
    <row r="3824" spans="11:14" ht="14.5" x14ac:dyDescent="0.25">
      <c r="K3824" s="21" t="str">
        <f t="shared" si="177"/>
        <v/>
      </c>
      <c r="L3824" s="19" t="str">
        <f t="shared" si="178"/>
        <v/>
      </c>
      <c r="M3824" s="18" t="str">
        <f>IF(I3824&lt;&gt;"Sí","",IF(YEAR(F3824)&lt;&gt;2026,"",INDEX({"Enero","Febrero","Marzo","Abril","Mayo","Junio","Julio","Agosto","Septiembre","Octubre","Noviembre","Diciembre"},MONTH(F3824))))</f>
        <v/>
      </c>
      <c r="N3824" s="18" t="str">
        <f t="shared" si="179"/>
        <v/>
      </c>
    </row>
    <row r="3825" spans="11:14" ht="14.5" x14ac:dyDescent="0.25">
      <c r="K3825" s="21" t="str">
        <f t="shared" si="177"/>
        <v/>
      </c>
      <c r="L3825" s="19" t="str">
        <f t="shared" si="178"/>
        <v/>
      </c>
      <c r="M3825" s="18" t="str">
        <f>IF(I3825&lt;&gt;"Sí","",IF(YEAR(F3825)&lt;&gt;2026,"",INDEX({"Enero","Febrero","Marzo","Abril","Mayo","Junio","Julio","Agosto","Septiembre","Octubre","Noviembre","Diciembre"},MONTH(F3825))))</f>
        <v/>
      </c>
      <c r="N3825" s="18" t="str">
        <f t="shared" si="179"/>
        <v/>
      </c>
    </row>
    <row r="3826" spans="11:14" ht="14.5" x14ac:dyDescent="0.25">
      <c r="K3826" s="21" t="str">
        <f t="shared" si="177"/>
        <v/>
      </c>
      <c r="L3826" s="19" t="str">
        <f t="shared" si="178"/>
        <v/>
      </c>
      <c r="M3826" s="18" t="str">
        <f>IF(I3826&lt;&gt;"Sí","",IF(YEAR(F3826)&lt;&gt;2026,"",INDEX({"Enero","Febrero","Marzo","Abril","Mayo","Junio","Julio","Agosto","Septiembre","Octubre","Noviembre","Diciembre"},MONTH(F3826))))</f>
        <v/>
      </c>
      <c r="N3826" s="18" t="str">
        <f t="shared" si="179"/>
        <v/>
      </c>
    </row>
    <row r="3827" spans="11:14" ht="14.5" x14ac:dyDescent="0.25">
      <c r="K3827" s="21" t="str">
        <f t="shared" si="177"/>
        <v/>
      </c>
      <c r="L3827" s="19" t="str">
        <f t="shared" si="178"/>
        <v/>
      </c>
      <c r="M3827" s="18" t="str">
        <f>IF(I3827&lt;&gt;"Sí","",IF(YEAR(F3827)&lt;&gt;2026,"",INDEX({"Enero","Febrero","Marzo","Abril","Mayo","Junio","Julio","Agosto","Septiembre","Octubre","Noviembre","Diciembre"},MONTH(F3827))))</f>
        <v/>
      </c>
      <c r="N3827" s="18" t="str">
        <f t="shared" si="179"/>
        <v/>
      </c>
    </row>
    <row r="3828" spans="11:14" ht="14.5" x14ac:dyDescent="0.25">
      <c r="K3828" s="21" t="str">
        <f t="shared" si="177"/>
        <v/>
      </c>
      <c r="L3828" s="19" t="str">
        <f t="shared" si="178"/>
        <v/>
      </c>
      <c r="M3828" s="18" t="str">
        <f>IF(I3828&lt;&gt;"Sí","",IF(YEAR(F3828)&lt;&gt;2026,"",INDEX({"Enero","Febrero","Marzo","Abril","Mayo","Junio","Julio","Agosto","Septiembre","Octubre","Noviembre","Diciembre"},MONTH(F3828))))</f>
        <v/>
      </c>
      <c r="N3828" s="18" t="str">
        <f t="shared" si="179"/>
        <v/>
      </c>
    </row>
    <row r="3829" spans="11:14" ht="14.5" x14ac:dyDescent="0.25">
      <c r="K3829" s="21" t="str">
        <f t="shared" si="177"/>
        <v/>
      </c>
      <c r="L3829" s="19" t="str">
        <f t="shared" si="178"/>
        <v/>
      </c>
      <c r="M3829" s="18" t="str">
        <f>IF(I3829&lt;&gt;"Sí","",IF(YEAR(F3829)&lt;&gt;2026,"",INDEX({"Enero","Febrero","Marzo","Abril","Mayo","Junio","Julio","Agosto","Septiembre","Octubre","Noviembre","Diciembre"},MONTH(F3829))))</f>
        <v/>
      </c>
      <c r="N3829" s="18" t="str">
        <f t="shared" si="179"/>
        <v/>
      </c>
    </row>
    <row r="3830" spans="11:14" ht="14.5" x14ac:dyDescent="0.25">
      <c r="K3830" s="21" t="str">
        <f t="shared" si="177"/>
        <v/>
      </c>
      <c r="L3830" s="19" t="str">
        <f t="shared" si="178"/>
        <v/>
      </c>
      <c r="M3830" s="18" t="str">
        <f>IF(I3830&lt;&gt;"Sí","",IF(YEAR(F3830)&lt;&gt;2026,"",INDEX({"Enero","Febrero","Marzo","Abril","Mayo","Junio","Julio","Agosto","Septiembre","Octubre","Noviembre","Diciembre"},MONTH(F3830))))</f>
        <v/>
      </c>
      <c r="N3830" s="18" t="str">
        <f t="shared" si="179"/>
        <v/>
      </c>
    </row>
    <row r="3831" spans="11:14" ht="14.5" x14ac:dyDescent="0.25">
      <c r="K3831" s="21" t="str">
        <f t="shared" si="177"/>
        <v/>
      </c>
      <c r="L3831" s="19" t="str">
        <f t="shared" si="178"/>
        <v/>
      </c>
      <c r="M3831" s="18" t="str">
        <f>IF(I3831&lt;&gt;"Sí","",IF(YEAR(F3831)&lt;&gt;2026,"",INDEX({"Enero","Febrero","Marzo","Abril","Mayo","Junio","Julio","Agosto","Septiembre","Octubre","Noviembre","Diciembre"},MONTH(F3831))))</f>
        <v/>
      </c>
      <c r="N3831" s="18" t="str">
        <f t="shared" si="179"/>
        <v/>
      </c>
    </row>
    <row r="3832" spans="11:14" ht="14.5" x14ac:dyDescent="0.25">
      <c r="K3832" s="21" t="str">
        <f t="shared" si="177"/>
        <v/>
      </c>
      <c r="L3832" s="19" t="str">
        <f t="shared" si="178"/>
        <v/>
      </c>
      <c r="M3832" s="18" t="str">
        <f>IF(I3832&lt;&gt;"Sí","",IF(YEAR(F3832)&lt;&gt;2026,"",INDEX({"Enero","Febrero","Marzo","Abril","Mayo","Junio","Julio","Agosto","Septiembre","Octubre","Noviembre","Diciembre"},MONTH(F3832))))</f>
        <v/>
      </c>
      <c r="N3832" s="18" t="str">
        <f t="shared" si="179"/>
        <v/>
      </c>
    </row>
    <row r="3833" spans="11:14" ht="14.5" x14ac:dyDescent="0.25">
      <c r="K3833" s="21" t="str">
        <f t="shared" si="177"/>
        <v/>
      </c>
      <c r="L3833" s="19" t="str">
        <f t="shared" si="178"/>
        <v/>
      </c>
      <c r="M3833" s="18" t="str">
        <f>IF(I3833&lt;&gt;"Sí","",IF(YEAR(F3833)&lt;&gt;2026,"",INDEX({"Enero","Febrero","Marzo","Abril","Mayo","Junio","Julio","Agosto","Septiembre","Octubre","Noviembre","Diciembre"},MONTH(F3833))))</f>
        <v/>
      </c>
      <c r="N3833" s="18" t="str">
        <f t="shared" si="179"/>
        <v/>
      </c>
    </row>
    <row r="3834" spans="11:14" ht="14.5" x14ac:dyDescent="0.25">
      <c r="K3834" s="21" t="str">
        <f t="shared" si="177"/>
        <v/>
      </c>
      <c r="L3834" s="19" t="str">
        <f t="shared" si="178"/>
        <v/>
      </c>
      <c r="M3834" s="18" t="str">
        <f>IF(I3834&lt;&gt;"Sí","",IF(YEAR(F3834)&lt;&gt;2026,"",INDEX({"Enero","Febrero","Marzo","Abril","Mayo","Junio","Julio","Agosto","Septiembre","Octubre","Noviembre","Diciembre"},MONTH(F3834))))</f>
        <v/>
      </c>
      <c r="N3834" s="18" t="str">
        <f t="shared" si="179"/>
        <v/>
      </c>
    </row>
    <row r="3835" spans="11:14" ht="14.5" x14ac:dyDescent="0.25">
      <c r="K3835" s="21" t="str">
        <f t="shared" si="177"/>
        <v/>
      </c>
      <c r="L3835" s="19" t="str">
        <f t="shared" si="178"/>
        <v/>
      </c>
      <c r="M3835" s="18" t="str">
        <f>IF(I3835&lt;&gt;"Sí","",IF(YEAR(F3835)&lt;&gt;2026,"",INDEX({"Enero","Febrero","Marzo","Abril","Mayo","Junio","Julio","Agosto","Septiembre","Octubre","Noviembre","Diciembre"},MONTH(F3835))))</f>
        <v/>
      </c>
      <c r="N3835" s="18" t="str">
        <f t="shared" si="179"/>
        <v/>
      </c>
    </row>
    <row r="3836" spans="11:14" ht="14.5" x14ac:dyDescent="0.25">
      <c r="K3836" s="21" t="str">
        <f t="shared" si="177"/>
        <v/>
      </c>
      <c r="L3836" s="19" t="str">
        <f t="shared" si="178"/>
        <v/>
      </c>
      <c r="M3836" s="18" t="str">
        <f>IF(I3836&lt;&gt;"Sí","",IF(YEAR(F3836)&lt;&gt;2026,"",INDEX({"Enero","Febrero","Marzo","Abril","Mayo","Junio","Julio","Agosto","Septiembre","Octubre","Noviembre","Diciembre"},MONTH(F3836))))</f>
        <v/>
      </c>
      <c r="N3836" s="18" t="str">
        <f t="shared" si="179"/>
        <v/>
      </c>
    </row>
    <row r="3837" spans="11:14" ht="14.5" x14ac:dyDescent="0.25">
      <c r="K3837" s="21" t="str">
        <f t="shared" si="177"/>
        <v/>
      </c>
      <c r="L3837" s="19" t="str">
        <f t="shared" si="178"/>
        <v/>
      </c>
      <c r="M3837" s="18" t="str">
        <f>IF(I3837&lt;&gt;"Sí","",IF(YEAR(F3837)&lt;&gt;2026,"",INDEX({"Enero","Febrero","Marzo","Abril","Mayo","Junio","Julio","Agosto","Septiembre","Octubre","Noviembre","Diciembre"},MONTH(F3837))))</f>
        <v/>
      </c>
      <c r="N3837" s="18" t="str">
        <f t="shared" si="179"/>
        <v/>
      </c>
    </row>
    <row r="3838" spans="11:14" ht="14.5" x14ac:dyDescent="0.25">
      <c r="K3838" s="21" t="str">
        <f t="shared" si="177"/>
        <v/>
      </c>
      <c r="L3838" s="19" t="str">
        <f t="shared" si="178"/>
        <v/>
      </c>
      <c r="M3838" s="18" t="str">
        <f>IF(I3838&lt;&gt;"Sí","",IF(YEAR(F3838)&lt;&gt;2026,"",INDEX({"Enero","Febrero","Marzo","Abril","Mayo","Junio","Julio","Agosto","Septiembre","Octubre","Noviembre","Diciembre"},MONTH(F3838))))</f>
        <v/>
      </c>
      <c r="N3838" s="18" t="str">
        <f t="shared" si="179"/>
        <v/>
      </c>
    </row>
    <row r="3839" spans="11:14" ht="14.5" x14ac:dyDescent="0.25">
      <c r="K3839" s="21" t="str">
        <f t="shared" si="177"/>
        <v/>
      </c>
      <c r="L3839" s="19" t="str">
        <f t="shared" si="178"/>
        <v/>
      </c>
      <c r="M3839" s="18" t="str">
        <f>IF(I3839&lt;&gt;"Sí","",IF(YEAR(F3839)&lt;&gt;2026,"",INDEX({"Enero","Febrero","Marzo","Abril","Mayo","Junio","Julio","Agosto","Septiembre","Octubre","Noviembre","Diciembre"},MONTH(F3839))))</f>
        <v/>
      </c>
      <c r="N3839" s="18" t="str">
        <f t="shared" si="179"/>
        <v/>
      </c>
    </row>
    <row r="3840" spans="11:14" ht="14.5" x14ac:dyDescent="0.25">
      <c r="K3840" s="21" t="str">
        <f t="shared" si="177"/>
        <v/>
      </c>
      <c r="L3840" s="19" t="str">
        <f t="shared" si="178"/>
        <v/>
      </c>
      <c r="M3840" s="18" t="str">
        <f>IF(I3840&lt;&gt;"Sí","",IF(YEAR(F3840)&lt;&gt;2026,"",INDEX({"Enero","Febrero","Marzo","Abril","Mayo","Junio","Julio","Agosto","Septiembre","Octubre","Noviembre","Diciembre"},MONTH(F3840))))</f>
        <v/>
      </c>
      <c r="N3840" s="18" t="str">
        <f t="shared" si="179"/>
        <v/>
      </c>
    </row>
    <row r="3841" spans="11:14" ht="14.5" x14ac:dyDescent="0.25">
      <c r="K3841" s="21" t="str">
        <f t="shared" si="177"/>
        <v/>
      </c>
      <c r="L3841" s="19" t="str">
        <f t="shared" si="178"/>
        <v/>
      </c>
      <c r="M3841" s="18" t="str">
        <f>IF(I3841&lt;&gt;"Sí","",IF(YEAR(F3841)&lt;&gt;2026,"",INDEX({"Enero","Febrero","Marzo","Abril","Mayo","Junio","Julio","Agosto","Septiembre","Octubre","Noviembre","Diciembre"},MONTH(F3841))))</f>
        <v/>
      </c>
      <c r="N3841" s="18" t="str">
        <f t="shared" si="179"/>
        <v/>
      </c>
    </row>
    <row r="3842" spans="11:14" ht="14.5" x14ac:dyDescent="0.25">
      <c r="K3842" s="21" t="str">
        <f t="shared" si="177"/>
        <v/>
      </c>
      <c r="L3842" s="19" t="str">
        <f t="shared" si="178"/>
        <v/>
      </c>
      <c r="M3842" s="18" t="str">
        <f>IF(I3842&lt;&gt;"Sí","",IF(YEAR(F3842)&lt;&gt;2026,"",INDEX({"Enero","Febrero","Marzo","Abril","Mayo","Junio","Julio","Agosto","Septiembre","Octubre","Noviembre","Diciembre"},MONTH(F3842))))</f>
        <v/>
      </c>
      <c r="N3842" s="18" t="str">
        <f t="shared" si="179"/>
        <v/>
      </c>
    </row>
    <row r="3843" spans="11:14" ht="14.5" x14ac:dyDescent="0.25">
      <c r="K3843" s="21" t="str">
        <f t="shared" si="177"/>
        <v/>
      </c>
      <c r="L3843" s="19" t="str">
        <f t="shared" si="178"/>
        <v/>
      </c>
      <c r="M3843" s="18" t="str">
        <f>IF(I3843&lt;&gt;"Sí","",IF(YEAR(F3843)&lt;&gt;2026,"",INDEX({"Enero","Febrero","Marzo","Abril","Mayo","Junio","Julio","Agosto","Septiembre","Octubre","Noviembre","Diciembre"},MONTH(F3843))))</f>
        <v/>
      </c>
      <c r="N3843" s="18" t="str">
        <f t="shared" si="179"/>
        <v/>
      </c>
    </row>
    <row r="3844" spans="11:14" ht="14.5" x14ac:dyDescent="0.25">
      <c r="K3844" s="21" t="str">
        <f t="shared" si="177"/>
        <v/>
      </c>
      <c r="L3844" s="19" t="str">
        <f t="shared" si="178"/>
        <v/>
      </c>
      <c r="M3844" s="18" t="str">
        <f>IF(I3844&lt;&gt;"Sí","",IF(YEAR(F3844)&lt;&gt;2026,"",INDEX({"Enero","Febrero","Marzo","Abril","Mayo","Junio","Julio","Agosto","Septiembre","Octubre","Noviembre","Diciembre"},MONTH(F3844))))</f>
        <v/>
      </c>
      <c r="N3844" s="18" t="str">
        <f t="shared" si="179"/>
        <v/>
      </c>
    </row>
    <row r="3845" spans="11:14" ht="14.5" x14ac:dyDescent="0.25">
      <c r="K3845" s="21" t="str">
        <f t="shared" si="177"/>
        <v/>
      </c>
      <c r="L3845" s="19" t="str">
        <f t="shared" si="178"/>
        <v/>
      </c>
      <c r="M3845" s="18" t="str">
        <f>IF(I3845&lt;&gt;"Sí","",IF(YEAR(F3845)&lt;&gt;2026,"",INDEX({"Enero","Febrero","Marzo","Abril","Mayo","Junio","Julio","Agosto","Septiembre","Octubre","Noviembre","Diciembre"},MONTH(F3845))))</f>
        <v/>
      </c>
      <c r="N3845" s="18" t="str">
        <f t="shared" si="179"/>
        <v/>
      </c>
    </row>
    <row r="3846" spans="11:14" ht="14.5" x14ac:dyDescent="0.25">
      <c r="K3846" s="21" t="str">
        <f t="shared" si="177"/>
        <v/>
      </c>
      <c r="L3846" s="19" t="str">
        <f t="shared" si="178"/>
        <v/>
      </c>
      <c r="M3846" s="18" t="str">
        <f>IF(I3846&lt;&gt;"Sí","",IF(YEAR(F3846)&lt;&gt;2026,"",INDEX({"Enero","Febrero","Marzo","Abril","Mayo","Junio","Julio","Agosto","Septiembre","Octubre","Noviembre","Diciembre"},MONTH(F3846))))</f>
        <v/>
      </c>
      <c r="N3846" s="18" t="str">
        <f t="shared" si="179"/>
        <v/>
      </c>
    </row>
    <row r="3847" spans="11:14" ht="14.5" x14ac:dyDescent="0.25">
      <c r="K3847" s="21" t="str">
        <f t="shared" ref="K3847:K3910" si="180">IF(I3847="Sí",(G3847-F3847)*24,"")</f>
        <v/>
      </c>
      <c r="L3847" s="19" t="str">
        <f t="shared" ref="L3847:L3910" si="181">IF(I3847="Sí",COUNTIFS($F$7:$F$4000,"&lt;="&amp;F3847,$G$7:$G$4000,"&gt;"&amp;F3847,$I$7:$I$4000,"Sí"),"")</f>
        <v/>
      </c>
      <c r="M3847" s="18" t="str">
        <f>IF(I3847&lt;&gt;"Sí","",IF(YEAR(F3847)&lt;&gt;2026,"",INDEX({"Enero","Febrero","Marzo","Abril","Mayo","Junio","Julio","Agosto","Septiembre","Octubre","Noviembre","Diciembre"},MONTH(F3847))))</f>
        <v/>
      </c>
      <c r="N3847" s="18" t="str">
        <f t="shared" ref="N3847:N3910" si="182">IF(M3847="","",M3847&amp;"|"&amp;L3847)</f>
        <v/>
      </c>
    </row>
    <row r="3848" spans="11:14" ht="14.5" x14ac:dyDescent="0.25">
      <c r="K3848" s="21" t="str">
        <f t="shared" si="180"/>
        <v/>
      </c>
      <c r="L3848" s="19" t="str">
        <f t="shared" si="181"/>
        <v/>
      </c>
      <c r="M3848" s="18" t="str">
        <f>IF(I3848&lt;&gt;"Sí","",IF(YEAR(F3848)&lt;&gt;2026,"",INDEX({"Enero","Febrero","Marzo","Abril","Mayo","Junio","Julio","Agosto","Septiembre","Octubre","Noviembre","Diciembre"},MONTH(F3848))))</f>
        <v/>
      </c>
      <c r="N3848" s="18" t="str">
        <f t="shared" si="182"/>
        <v/>
      </c>
    </row>
    <row r="3849" spans="11:14" ht="14.5" x14ac:dyDescent="0.25">
      <c r="K3849" s="21" t="str">
        <f t="shared" si="180"/>
        <v/>
      </c>
      <c r="L3849" s="19" t="str">
        <f t="shared" si="181"/>
        <v/>
      </c>
      <c r="M3849" s="18" t="str">
        <f>IF(I3849&lt;&gt;"Sí","",IF(YEAR(F3849)&lt;&gt;2026,"",INDEX({"Enero","Febrero","Marzo","Abril","Mayo","Junio","Julio","Agosto","Septiembre","Octubre","Noviembre","Diciembre"},MONTH(F3849))))</f>
        <v/>
      </c>
      <c r="N3849" s="18" t="str">
        <f t="shared" si="182"/>
        <v/>
      </c>
    </row>
    <row r="3850" spans="11:14" ht="14.5" x14ac:dyDescent="0.25">
      <c r="K3850" s="21" t="str">
        <f t="shared" si="180"/>
        <v/>
      </c>
      <c r="L3850" s="19" t="str">
        <f t="shared" si="181"/>
        <v/>
      </c>
      <c r="M3850" s="18" t="str">
        <f>IF(I3850&lt;&gt;"Sí","",IF(YEAR(F3850)&lt;&gt;2026,"",INDEX({"Enero","Febrero","Marzo","Abril","Mayo","Junio","Julio","Agosto","Septiembre","Octubre","Noviembre","Diciembre"},MONTH(F3850))))</f>
        <v/>
      </c>
      <c r="N3850" s="18" t="str">
        <f t="shared" si="182"/>
        <v/>
      </c>
    </row>
    <row r="3851" spans="11:14" ht="14.5" x14ac:dyDescent="0.25">
      <c r="K3851" s="21" t="str">
        <f t="shared" si="180"/>
        <v/>
      </c>
      <c r="L3851" s="19" t="str">
        <f t="shared" si="181"/>
        <v/>
      </c>
      <c r="M3851" s="18" t="str">
        <f>IF(I3851&lt;&gt;"Sí","",IF(YEAR(F3851)&lt;&gt;2026,"",INDEX({"Enero","Febrero","Marzo","Abril","Mayo","Junio","Julio","Agosto","Septiembre","Octubre","Noviembre","Diciembre"},MONTH(F3851))))</f>
        <v/>
      </c>
      <c r="N3851" s="18" t="str">
        <f t="shared" si="182"/>
        <v/>
      </c>
    </row>
    <row r="3852" spans="11:14" ht="14.5" x14ac:dyDescent="0.25">
      <c r="K3852" s="21" t="str">
        <f t="shared" si="180"/>
        <v/>
      </c>
      <c r="L3852" s="19" t="str">
        <f t="shared" si="181"/>
        <v/>
      </c>
      <c r="M3852" s="18" t="str">
        <f>IF(I3852&lt;&gt;"Sí","",IF(YEAR(F3852)&lt;&gt;2026,"",INDEX({"Enero","Febrero","Marzo","Abril","Mayo","Junio","Julio","Agosto","Septiembre","Octubre","Noviembre","Diciembre"},MONTH(F3852))))</f>
        <v/>
      </c>
      <c r="N3852" s="18" t="str">
        <f t="shared" si="182"/>
        <v/>
      </c>
    </row>
    <row r="3853" spans="11:14" ht="14.5" x14ac:dyDescent="0.25">
      <c r="K3853" s="21" t="str">
        <f t="shared" si="180"/>
        <v/>
      </c>
      <c r="L3853" s="19" t="str">
        <f t="shared" si="181"/>
        <v/>
      </c>
      <c r="M3853" s="18" t="str">
        <f>IF(I3853&lt;&gt;"Sí","",IF(YEAR(F3853)&lt;&gt;2026,"",INDEX({"Enero","Febrero","Marzo","Abril","Mayo","Junio","Julio","Agosto","Septiembre","Octubre","Noviembre","Diciembre"},MONTH(F3853))))</f>
        <v/>
      </c>
      <c r="N3853" s="18" t="str">
        <f t="shared" si="182"/>
        <v/>
      </c>
    </row>
    <row r="3854" spans="11:14" ht="14.5" x14ac:dyDescent="0.25">
      <c r="K3854" s="21" t="str">
        <f t="shared" si="180"/>
        <v/>
      </c>
      <c r="L3854" s="19" t="str">
        <f t="shared" si="181"/>
        <v/>
      </c>
      <c r="M3854" s="18" t="str">
        <f>IF(I3854&lt;&gt;"Sí","",IF(YEAR(F3854)&lt;&gt;2026,"",INDEX({"Enero","Febrero","Marzo","Abril","Mayo","Junio","Julio","Agosto","Septiembre","Octubre","Noviembre","Diciembre"},MONTH(F3854))))</f>
        <v/>
      </c>
      <c r="N3854" s="18" t="str">
        <f t="shared" si="182"/>
        <v/>
      </c>
    </row>
    <row r="3855" spans="11:14" ht="14.5" x14ac:dyDescent="0.25">
      <c r="K3855" s="21" t="str">
        <f t="shared" si="180"/>
        <v/>
      </c>
      <c r="L3855" s="19" t="str">
        <f t="shared" si="181"/>
        <v/>
      </c>
      <c r="M3855" s="18" t="str">
        <f>IF(I3855&lt;&gt;"Sí","",IF(YEAR(F3855)&lt;&gt;2026,"",INDEX({"Enero","Febrero","Marzo","Abril","Mayo","Junio","Julio","Agosto","Septiembre","Octubre","Noviembre","Diciembre"},MONTH(F3855))))</f>
        <v/>
      </c>
      <c r="N3855" s="18" t="str">
        <f t="shared" si="182"/>
        <v/>
      </c>
    </row>
    <row r="3856" spans="11:14" ht="14.5" x14ac:dyDescent="0.25">
      <c r="K3856" s="21" t="str">
        <f t="shared" si="180"/>
        <v/>
      </c>
      <c r="L3856" s="19" t="str">
        <f t="shared" si="181"/>
        <v/>
      </c>
      <c r="M3856" s="18" t="str">
        <f>IF(I3856&lt;&gt;"Sí","",IF(YEAR(F3856)&lt;&gt;2026,"",INDEX({"Enero","Febrero","Marzo","Abril","Mayo","Junio","Julio","Agosto","Septiembre","Octubre","Noviembre","Diciembre"},MONTH(F3856))))</f>
        <v/>
      </c>
      <c r="N3856" s="18" t="str">
        <f t="shared" si="182"/>
        <v/>
      </c>
    </row>
    <row r="3857" spans="11:14" ht="14.5" x14ac:dyDescent="0.25">
      <c r="K3857" s="21" t="str">
        <f t="shared" si="180"/>
        <v/>
      </c>
      <c r="L3857" s="19" t="str">
        <f t="shared" si="181"/>
        <v/>
      </c>
      <c r="M3857" s="18" t="str">
        <f>IF(I3857&lt;&gt;"Sí","",IF(YEAR(F3857)&lt;&gt;2026,"",INDEX({"Enero","Febrero","Marzo","Abril","Mayo","Junio","Julio","Agosto","Septiembre","Octubre","Noviembre","Diciembre"},MONTH(F3857))))</f>
        <v/>
      </c>
      <c r="N3857" s="18" t="str">
        <f t="shared" si="182"/>
        <v/>
      </c>
    </row>
    <row r="3858" spans="11:14" ht="14.5" x14ac:dyDescent="0.25">
      <c r="K3858" s="21" t="str">
        <f t="shared" si="180"/>
        <v/>
      </c>
      <c r="L3858" s="19" t="str">
        <f t="shared" si="181"/>
        <v/>
      </c>
      <c r="M3858" s="18" t="str">
        <f>IF(I3858&lt;&gt;"Sí","",IF(YEAR(F3858)&lt;&gt;2026,"",INDEX({"Enero","Febrero","Marzo","Abril","Mayo","Junio","Julio","Agosto","Septiembre","Octubre","Noviembre","Diciembre"},MONTH(F3858))))</f>
        <v/>
      </c>
      <c r="N3858" s="18" t="str">
        <f t="shared" si="182"/>
        <v/>
      </c>
    </row>
    <row r="3859" spans="11:14" ht="14.5" x14ac:dyDescent="0.25">
      <c r="K3859" s="21" t="str">
        <f t="shared" si="180"/>
        <v/>
      </c>
      <c r="L3859" s="19" t="str">
        <f t="shared" si="181"/>
        <v/>
      </c>
      <c r="M3859" s="18" t="str">
        <f>IF(I3859&lt;&gt;"Sí","",IF(YEAR(F3859)&lt;&gt;2026,"",INDEX({"Enero","Febrero","Marzo","Abril","Mayo","Junio","Julio","Agosto","Septiembre","Octubre","Noviembre","Diciembre"},MONTH(F3859))))</f>
        <v/>
      </c>
      <c r="N3859" s="18" t="str">
        <f t="shared" si="182"/>
        <v/>
      </c>
    </row>
    <row r="3860" spans="11:14" ht="14.5" x14ac:dyDescent="0.25">
      <c r="K3860" s="21" t="str">
        <f t="shared" si="180"/>
        <v/>
      </c>
      <c r="L3860" s="19" t="str">
        <f t="shared" si="181"/>
        <v/>
      </c>
      <c r="M3860" s="18" t="str">
        <f>IF(I3860&lt;&gt;"Sí","",IF(YEAR(F3860)&lt;&gt;2026,"",INDEX({"Enero","Febrero","Marzo","Abril","Mayo","Junio","Julio","Agosto","Septiembre","Octubre","Noviembre","Diciembre"},MONTH(F3860))))</f>
        <v/>
      </c>
      <c r="N3860" s="18" t="str">
        <f t="shared" si="182"/>
        <v/>
      </c>
    </row>
    <row r="3861" spans="11:14" ht="14.5" x14ac:dyDescent="0.25">
      <c r="K3861" s="21" t="str">
        <f t="shared" si="180"/>
        <v/>
      </c>
      <c r="L3861" s="19" t="str">
        <f t="shared" si="181"/>
        <v/>
      </c>
      <c r="M3861" s="18" t="str">
        <f>IF(I3861&lt;&gt;"Sí","",IF(YEAR(F3861)&lt;&gt;2026,"",INDEX({"Enero","Febrero","Marzo","Abril","Mayo","Junio","Julio","Agosto","Septiembre","Octubre","Noviembre","Diciembre"},MONTH(F3861))))</f>
        <v/>
      </c>
      <c r="N3861" s="18" t="str">
        <f t="shared" si="182"/>
        <v/>
      </c>
    </row>
    <row r="3862" spans="11:14" ht="14.5" x14ac:dyDescent="0.25">
      <c r="K3862" s="21" t="str">
        <f t="shared" si="180"/>
        <v/>
      </c>
      <c r="L3862" s="19" t="str">
        <f t="shared" si="181"/>
        <v/>
      </c>
      <c r="M3862" s="18" t="str">
        <f>IF(I3862&lt;&gt;"Sí","",IF(YEAR(F3862)&lt;&gt;2026,"",INDEX({"Enero","Febrero","Marzo","Abril","Mayo","Junio","Julio","Agosto","Septiembre","Octubre","Noviembre","Diciembre"},MONTH(F3862))))</f>
        <v/>
      </c>
      <c r="N3862" s="18" t="str">
        <f t="shared" si="182"/>
        <v/>
      </c>
    </row>
    <row r="3863" spans="11:14" ht="14.5" x14ac:dyDescent="0.25">
      <c r="K3863" s="21" t="str">
        <f t="shared" si="180"/>
        <v/>
      </c>
      <c r="L3863" s="19" t="str">
        <f t="shared" si="181"/>
        <v/>
      </c>
      <c r="M3863" s="18" t="str">
        <f>IF(I3863&lt;&gt;"Sí","",IF(YEAR(F3863)&lt;&gt;2026,"",INDEX({"Enero","Febrero","Marzo","Abril","Mayo","Junio","Julio","Agosto","Septiembre","Octubre","Noviembre","Diciembre"},MONTH(F3863))))</f>
        <v/>
      </c>
      <c r="N3863" s="18" t="str">
        <f t="shared" si="182"/>
        <v/>
      </c>
    </row>
    <row r="3864" spans="11:14" ht="14.5" x14ac:dyDescent="0.25">
      <c r="K3864" s="21" t="str">
        <f t="shared" si="180"/>
        <v/>
      </c>
      <c r="L3864" s="19" t="str">
        <f t="shared" si="181"/>
        <v/>
      </c>
      <c r="M3864" s="18" t="str">
        <f>IF(I3864&lt;&gt;"Sí","",IF(YEAR(F3864)&lt;&gt;2026,"",INDEX({"Enero","Febrero","Marzo","Abril","Mayo","Junio","Julio","Agosto","Septiembre","Octubre","Noviembre","Diciembre"},MONTH(F3864))))</f>
        <v/>
      </c>
      <c r="N3864" s="18" t="str">
        <f t="shared" si="182"/>
        <v/>
      </c>
    </row>
    <row r="3865" spans="11:14" ht="14.5" x14ac:dyDescent="0.25">
      <c r="K3865" s="21" t="str">
        <f t="shared" si="180"/>
        <v/>
      </c>
      <c r="L3865" s="19" t="str">
        <f t="shared" si="181"/>
        <v/>
      </c>
      <c r="M3865" s="18" t="str">
        <f>IF(I3865&lt;&gt;"Sí","",IF(YEAR(F3865)&lt;&gt;2026,"",INDEX({"Enero","Febrero","Marzo","Abril","Mayo","Junio","Julio","Agosto","Septiembre","Octubre","Noviembre","Diciembre"},MONTH(F3865))))</f>
        <v/>
      </c>
      <c r="N3865" s="18" t="str">
        <f t="shared" si="182"/>
        <v/>
      </c>
    </row>
    <row r="3866" spans="11:14" ht="14.5" x14ac:dyDescent="0.25">
      <c r="K3866" s="21" t="str">
        <f t="shared" si="180"/>
        <v/>
      </c>
      <c r="L3866" s="19" t="str">
        <f t="shared" si="181"/>
        <v/>
      </c>
      <c r="M3866" s="18" t="str">
        <f>IF(I3866&lt;&gt;"Sí","",IF(YEAR(F3866)&lt;&gt;2026,"",INDEX({"Enero","Febrero","Marzo","Abril","Mayo","Junio","Julio","Agosto","Septiembre","Octubre","Noviembre","Diciembre"},MONTH(F3866))))</f>
        <v/>
      </c>
      <c r="N3866" s="18" t="str">
        <f t="shared" si="182"/>
        <v/>
      </c>
    </row>
    <row r="3867" spans="11:14" ht="14.5" x14ac:dyDescent="0.25">
      <c r="K3867" s="21" t="str">
        <f t="shared" si="180"/>
        <v/>
      </c>
      <c r="L3867" s="19" t="str">
        <f t="shared" si="181"/>
        <v/>
      </c>
      <c r="M3867" s="18" t="str">
        <f>IF(I3867&lt;&gt;"Sí","",IF(YEAR(F3867)&lt;&gt;2026,"",INDEX({"Enero","Febrero","Marzo","Abril","Mayo","Junio","Julio","Agosto","Septiembre","Octubre","Noviembre","Diciembre"},MONTH(F3867))))</f>
        <v/>
      </c>
      <c r="N3867" s="18" t="str">
        <f t="shared" si="182"/>
        <v/>
      </c>
    </row>
    <row r="3868" spans="11:14" ht="14.5" x14ac:dyDescent="0.25">
      <c r="K3868" s="21" t="str">
        <f t="shared" si="180"/>
        <v/>
      </c>
      <c r="L3868" s="19" t="str">
        <f t="shared" si="181"/>
        <v/>
      </c>
      <c r="M3868" s="18" t="str">
        <f>IF(I3868&lt;&gt;"Sí","",IF(YEAR(F3868)&lt;&gt;2026,"",INDEX({"Enero","Febrero","Marzo","Abril","Mayo","Junio","Julio","Agosto","Septiembre","Octubre","Noviembre","Diciembre"},MONTH(F3868))))</f>
        <v/>
      </c>
      <c r="N3868" s="18" t="str">
        <f t="shared" si="182"/>
        <v/>
      </c>
    </row>
    <row r="3869" spans="11:14" ht="14.5" x14ac:dyDescent="0.25">
      <c r="K3869" s="21" t="str">
        <f t="shared" si="180"/>
        <v/>
      </c>
      <c r="L3869" s="19" t="str">
        <f t="shared" si="181"/>
        <v/>
      </c>
      <c r="M3869" s="18" t="str">
        <f>IF(I3869&lt;&gt;"Sí","",IF(YEAR(F3869)&lt;&gt;2026,"",INDEX({"Enero","Febrero","Marzo","Abril","Mayo","Junio","Julio","Agosto","Septiembre","Octubre","Noviembre","Diciembre"},MONTH(F3869))))</f>
        <v/>
      </c>
      <c r="N3869" s="18" t="str">
        <f t="shared" si="182"/>
        <v/>
      </c>
    </row>
    <row r="3870" spans="11:14" ht="14.5" x14ac:dyDescent="0.25">
      <c r="K3870" s="21" t="str">
        <f t="shared" si="180"/>
        <v/>
      </c>
      <c r="L3870" s="19" t="str">
        <f t="shared" si="181"/>
        <v/>
      </c>
      <c r="M3870" s="18" t="str">
        <f>IF(I3870&lt;&gt;"Sí","",IF(YEAR(F3870)&lt;&gt;2026,"",INDEX({"Enero","Febrero","Marzo","Abril","Mayo","Junio","Julio","Agosto","Septiembre","Octubre","Noviembre","Diciembre"},MONTH(F3870))))</f>
        <v/>
      </c>
      <c r="N3870" s="18" t="str">
        <f t="shared" si="182"/>
        <v/>
      </c>
    </row>
    <row r="3871" spans="11:14" ht="14.5" x14ac:dyDescent="0.25">
      <c r="K3871" s="21" t="str">
        <f t="shared" si="180"/>
        <v/>
      </c>
      <c r="L3871" s="19" t="str">
        <f t="shared" si="181"/>
        <v/>
      </c>
      <c r="M3871" s="18" t="str">
        <f>IF(I3871&lt;&gt;"Sí","",IF(YEAR(F3871)&lt;&gt;2026,"",INDEX({"Enero","Febrero","Marzo","Abril","Mayo","Junio","Julio","Agosto","Septiembre","Octubre","Noviembre","Diciembre"},MONTH(F3871))))</f>
        <v/>
      </c>
      <c r="N3871" s="18" t="str">
        <f t="shared" si="182"/>
        <v/>
      </c>
    </row>
    <row r="3872" spans="11:14" ht="14.5" x14ac:dyDescent="0.25">
      <c r="K3872" s="21" t="str">
        <f t="shared" si="180"/>
        <v/>
      </c>
      <c r="L3872" s="19" t="str">
        <f t="shared" si="181"/>
        <v/>
      </c>
      <c r="M3872" s="18" t="str">
        <f>IF(I3872&lt;&gt;"Sí","",IF(YEAR(F3872)&lt;&gt;2026,"",INDEX({"Enero","Febrero","Marzo","Abril","Mayo","Junio","Julio","Agosto","Septiembre","Octubre","Noviembre","Diciembre"},MONTH(F3872))))</f>
        <v/>
      </c>
      <c r="N3872" s="18" t="str">
        <f t="shared" si="182"/>
        <v/>
      </c>
    </row>
    <row r="3873" spans="11:14" ht="14.5" x14ac:dyDescent="0.25">
      <c r="K3873" s="21" t="str">
        <f t="shared" si="180"/>
        <v/>
      </c>
      <c r="L3873" s="19" t="str">
        <f t="shared" si="181"/>
        <v/>
      </c>
      <c r="M3873" s="18" t="str">
        <f>IF(I3873&lt;&gt;"Sí","",IF(YEAR(F3873)&lt;&gt;2026,"",INDEX({"Enero","Febrero","Marzo","Abril","Mayo","Junio","Julio","Agosto","Septiembre","Octubre","Noviembre","Diciembre"},MONTH(F3873))))</f>
        <v/>
      </c>
      <c r="N3873" s="18" t="str">
        <f t="shared" si="182"/>
        <v/>
      </c>
    </row>
    <row r="3874" spans="11:14" ht="14.5" x14ac:dyDescent="0.25">
      <c r="K3874" s="21" t="str">
        <f t="shared" si="180"/>
        <v/>
      </c>
      <c r="L3874" s="19" t="str">
        <f t="shared" si="181"/>
        <v/>
      </c>
      <c r="M3874" s="18" t="str">
        <f>IF(I3874&lt;&gt;"Sí","",IF(YEAR(F3874)&lt;&gt;2026,"",INDEX({"Enero","Febrero","Marzo","Abril","Mayo","Junio","Julio","Agosto","Septiembre","Octubre","Noviembre","Diciembre"},MONTH(F3874))))</f>
        <v/>
      </c>
      <c r="N3874" s="18" t="str">
        <f t="shared" si="182"/>
        <v/>
      </c>
    </row>
    <row r="3875" spans="11:14" ht="14.5" x14ac:dyDescent="0.25">
      <c r="K3875" s="21" t="str">
        <f t="shared" si="180"/>
        <v/>
      </c>
      <c r="L3875" s="19" t="str">
        <f t="shared" si="181"/>
        <v/>
      </c>
      <c r="M3875" s="18" t="str">
        <f>IF(I3875&lt;&gt;"Sí","",IF(YEAR(F3875)&lt;&gt;2026,"",INDEX({"Enero","Febrero","Marzo","Abril","Mayo","Junio","Julio","Agosto","Septiembre","Octubre","Noviembre","Diciembre"},MONTH(F3875))))</f>
        <v/>
      </c>
      <c r="N3875" s="18" t="str">
        <f t="shared" si="182"/>
        <v/>
      </c>
    </row>
    <row r="3876" spans="11:14" ht="14.5" x14ac:dyDescent="0.25">
      <c r="K3876" s="21" t="str">
        <f t="shared" si="180"/>
        <v/>
      </c>
      <c r="L3876" s="19" t="str">
        <f t="shared" si="181"/>
        <v/>
      </c>
      <c r="M3876" s="18" t="str">
        <f>IF(I3876&lt;&gt;"Sí","",IF(YEAR(F3876)&lt;&gt;2026,"",INDEX({"Enero","Febrero","Marzo","Abril","Mayo","Junio","Julio","Agosto","Septiembre","Octubre","Noviembre","Diciembre"},MONTH(F3876))))</f>
        <v/>
      </c>
      <c r="N3876" s="18" t="str">
        <f t="shared" si="182"/>
        <v/>
      </c>
    </row>
    <row r="3877" spans="11:14" ht="14.5" x14ac:dyDescent="0.25">
      <c r="K3877" s="21" t="str">
        <f t="shared" si="180"/>
        <v/>
      </c>
      <c r="L3877" s="19" t="str">
        <f t="shared" si="181"/>
        <v/>
      </c>
      <c r="M3877" s="18" t="str">
        <f>IF(I3877&lt;&gt;"Sí","",IF(YEAR(F3877)&lt;&gt;2026,"",INDEX({"Enero","Febrero","Marzo","Abril","Mayo","Junio","Julio","Agosto","Septiembre","Octubre","Noviembre","Diciembre"},MONTH(F3877))))</f>
        <v/>
      </c>
      <c r="N3877" s="18" t="str">
        <f t="shared" si="182"/>
        <v/>
      </c>
    </row>
    <row r="3878" spans="11:14" ht="14.5" x14ac:dyDescent="0.25">
      <c r="K3878" s="21" t="str">
        <f t="shared" si="180"/>
        <v/>
      </c>
      <c r="L3878" s="19" t="str">
        <f t="shared" si="181"/>
        <v/>
      </c>
      <c r="M3878" s="18" t="str">
        <f>IF(I3878&lt;&gt;"Sí","",IF(YEAR(F3878)&lt;&gt;2026,"",INDEX({"Enero","Febrero","Marzo","Abril","Mayo","Junio","Julio","Agosto","Septiembre","Octubre","Noviembre","Diciembre"},MONTH(F3878))))</f>
        <v/>
      </c>
      <c r="N3878" s="18" t="str">
        <f t="shared" si="182"/>
        <v/>
      </c>
    </row>
    <row r="3879" spans="11:14" ht="14.5" x14ac:dyDescent="0.25">
      <c r="K3879" s="21" t="str">
        <f t="shared" si="180"/>
        <v/>
      </c>
      <c r="L3879" s="19" t="str">
        <f t="shared" si="181"/>
        <v/>
      </c>
      <c r="M3879" s="18" t="str">
        <f>IF(I3879&lt;&gt;"Sí","",IF(YEAR(F3879)&lt;&gt;2026,"",INDEX({"Enero","Febrero","Marzo","Abril","Mayo","Junio","Julio","Agosto","Septiembre","Octubre","Noviembre","Diciembre"},MONTH(F3879))))</f>
        <v/>
      </c>
      <c r="N3879" s="18" t="str">
        <f t="shared" si="182"/>
        <v/>
      </c>
    </row>
    <row r="3880" spans="11:14" ht="14.5" x14ac:dyDescent="0.25">
      <c r="K3880" s="21" t="str">
        <f t="shared" si="180"/>
        <v/>
      </c>
      <c r="L3880" s="19" t="str">
        <f t="shared" si="181"/>
        <v/>
      </c>
      <c r="M3880" s="18" t="str">
        <f>IF(I3880&lt;&gt;"Sí","",IF(YEAR(F3880)&lt;&gt;2026,"",INDEX({"Enero","Febrero","Marzo","Abril","Mayo","Junio","Julio","Agosto","Septiembre","Octubre","Noviembre","Diciembre"},MONTH(F3880))))</f>
        <v/>
      </c>
      <c r="N3880" s="18" t="str">
        <f t="shared" si="182"/>
        <v/>
      </c>
    </row>
    <row r="3881" spans="11:14" ht="14.5" x14ac:dyDescent="0.25">
      <c r="K3881" s="21" t="str">
        <f t="shared" si="180"/>
        <v/>
      </c>
      <c r="L3881" s="19" t="str">
        <f t="shared" si="181"/>
        <v/>
      </c>
      <c r="M3881" s="18" t="str">
        <f>IF(I3881&lt;&gt;"Sí","",IF(YEAR(F3881)&lt;&gt;2026,"",INDEX({"Enero","Febrero","Marzo","Abril","Mayo","Junio","Julio","Agosto","Septiembre","Octubre","Noviembre","Diciembre"},MONTH(F3881))))</f>
        <v/>
      </c>
      <c r="N3881" s="18" t="str">
        <f t="shared" si="182"/>
        <v/>
      </c>
    </row>
    <row r="3882" spans="11:14" ht="14.5" x14ac:dyDescent="0.25">
      <c r="K3882" s="21" t="str">
        <f t="shared" si="180"/>
        <v/>
      </c>
      <c r="L3882" s="19" t="str">
        <f t="shared" si="181"/>
        <v/>
      </c>
      <c r="M3882" s="18" t="str">
        <f>IF(I3882&lt;&gt;"Sí","",IF(YEAR(F3882)&lt;&gt;2026,"",INDEX({"Enero","Febrero","Marzo","Abril","Mayo","Junio","Julio","Agosto","Septiembre","Octubre","Noviembre","Diciembre"},MONTH(F3882))))</f>
        <v/>
      </c>
      <c r="N3882" s="18" t="str">
        <f t="shared" si="182"/>
        <v/>
      </c>
    </row>
    <row r="3883" spans="11:14" ht="14.5" x14ac:dyDescent="0.25">
      <c r="K3883" s="21" t="str">
        <f t="shared" si="180"/>
        <v/>
      </c>
      <c r="L3883" s="19" t="str">
        <f t="shared" si="181"/>
        <v/>
      </c>
      <c r="M3883" s="18" t="str">
        <f>IF(I3883&lt;&gt;"Sí","",IF(YEAR(F3883)&lt;&gt;2026,"",INDEX({"Enero","Febrero","Marzo","Abril","Mayo","Junio","Julio","Agosto","Septiembre","Octubre","Noviembre","Diciembre"},MONTH(F3883))))</f>
        <v/>
      </c>
      <c r="N3883" s="18" t="str">
        <f t="shared" si="182"/>
        <v/>
      </c>
    </row>
    <row r="3884" spans="11:14" ht="14.5" x14ac:dyDescent="0.25">
      <c r="K3884" s="21" t="str">
        <f t="shared" si="180"/>
        <v/>
      </c>
      <c r="L3884" s="19" t="str">
        <f t="shared" si="181"/>
        <v/>
      </c>
      <c r="M3884" s="18" t="str">
        <f>IF(I3884&lt;&gt;"Sí","",IF(YEAR(F3884)&lt;&gt;2026,"",INDEX({"Enero","Febrero","Marzo","Abril","Mayo","Junio","Julio","Agosto","Septiembre","Octubre","Noviembre","Diciembre"},MONTH(F3884))))</f>
        <v/>
      </c>
      <c r="N3884" s="18" t="str">
        <f t="shared" si="182"/>
        <v/>
      </c>
    </row>
    <row r="3885" spans="11:14" ht="14.5" x14ac:dyDescent="0.25">
      <c r="K3885" s="21" t="str">
        <f t="shared" si="180"/>
        <v/>
      </c>
      <c r="L3885" s="19" t="str">
        <f t="shared" si="181"/>
        <v/>
      </c>
      <c r="M3885" s="18" t="str">
        <f>IF(I3885&lt;&gt;"Sí","",IF(YEAR(F3885)&lt;&gt;2026,"",INDEX({"Enero","Febrero","Marzo","Abril","Mayo","Junio","Julio","Agosto","Septiembre","Octubre","Noviembre","Diciembre"},MONTH(F3885))))</f>
        <v/>
      </c>
      <c r="N3885" s="18" t="str">
        <f t="shared" si="182"/>
        <v/>
      </c>
    </row>
    <row r="3886" spans="11:14" ht="14.5" x14ac:dyDescent="0.25">
      <c r="K3886" s="21" t="str">
        <f t="shared" si="180"/>
        <v/>
      </c>
      <c r="L3886" s="19" t="str">
        <f t="shared" si="181"/>
        <v/>
      </c>
      <c r="M3886" s="18" t="str">
        <f>IF(I3886&lt;&gt;"Sí","",IF(YEAR(F3886)&lt;&gt;2026,"",INDEX({"Enero","Febrero","Marzo","Abril","Mayo","Junio","Julio","Agosto","Septiembre","Octubre","Noviembre","Diciembre"},MONTH(F3886))))</f>
        <v/>
      </c>
      <c r="N3886" s="18" t="str">
        <f t="shared" si="182"/>
        <v/>
      </c>
    </row>
    <row r="3887" spans="11:14" ht="14.5" x14ac:dyDescent="0.25">
      <c r="K3887" s="21" t="str">
        <f t="shared" si="180"/>
        <v/>
      </c>
      <c r="L3887" s="19" t="str">
        <f t="shared" si="181"/>
        <v/>
      </c>
      <c r="M3887" s="18" t="str">
        <f>IF(I3887&lt;&gt;"Sí","",IF(YEAR(F3887)&lt;&gt;2026,"",INDEX({"Enero","Febrero","Marzo","Abril","Mayo","Junio","Julio","Agosto","Septiembre","Octubre","Noviembre","Diciembre"},MONTH(F3887))))</f>
        <v/>
      </c>
      <c r="N3887" s="18" t="str">
        <f t="shared" si="182"/>
        <v/>
      </c>
    </row>
    <row r="3888" spans="11:14" ht="14.5" x14ac:dyDescent="0.25">
      <c r="K3888" s="21" t="str">
        <f t="shared" si="180"/>
        <v/>
      </c>
      <c r="L3888" s="19" t="str">
        <f t="shared" si="181"/>
        <v/>
      </c>
      <c r="M3888" s="18" t="str">
        <f>IF(I3888&lt;&gt;"Sí","",IF(YEAR(F3888)&lt;&gt;2026,"",INDEX({"Enero","Febrero","Marzo","Abril","Mayo","Junio","Julio","Agosto","Septiembre","Octubre","Noviembre","Diciembre"},MONTH(F3888))))</f>
        <v/>
      </c>
      <c r="N3888" s="18" t="str">
        <f t="shared" si="182"/>
        <v/>
      </c>
    </row>
    <row r="3889" spans="11:14" ht="14.5" x14ac:dyDescent="0.25">
      <c r="K3889" s="21" t="str">
        <f t="shared" si="180"/>
        <v/>
      </c>
      <c r="L3889" s="19" t="str">
        <f t="shared" si="181"/>
        <v/>
      </c>
      <c r="M3889" s="18" t="str">
        <f>IF(I3889&lt;&gt;"Sí","",IF(YEAR(F3889)&lt;&gt;2026,"",INDEX({"Enero","Febrero","Marzo","Abril","Mayo","Junio","Julio","Agosto","Septiembre","Octubre","Noviembre","Diciembre"},MONTH(F3889))))</f>
        <v/>
      </c>
      <c r="N3889" s="18" t="str">
        <f t="shared" si="182"/>
        <v/>
      </c>
    </row>
    <row r="3890" spans="11:14" ht="14.5" x14ac:dyDescent="0.25">
      <c r="K3890" s="21" t="str">
        <f t="shared" si="180"/>
        <v/>
      </c>
      <c r="L3890" s="19" t="str">
        <f t="shared" si="181"/>
        <v/>
      </c>
      <c r="M3890" s="18" t="str">
        <f>IF(I3890&lt;&gt;"Sí","",IF(YEAR(F3890)&lt;&gt;2026,"",INDEX({"Enero","Febrero","Marzo","Abril","Mayo","Junio","Julio","Agosto","Septiembre","Octubre","Noviembre","Diciembre"},MONTH(F3890))))</f>
        <v/>
      </c>
      <c r="N3890" s="18" t="str">
        <f t="shared" si="182"/>
        <v/>
      </c>
    </row>
    <row r="3891" spans="11:14" ht="14.5" x14ac:dyDescent="0.25">
      <c r="K3891" s="21" t="str">
        <f t="shared" si="180"/>
        <v/>
      </c>
      <c r="L3891" s="19" t="str">
        <f t="shared" si="181"/>
        <v/>
      </c>
      <c r="M3891" s="18" t="str">
        <f>IF(I3891&lt;&gt;"Sí","",IF(YEAR(F3891)&lt;&gt;2026,"",INDEX({"Enero","Febrero","Marzo","Abril","Mayo","Junio","Julio","Agosto","Septiembre","Octubre","Noviembre","Diciembre"},MONTH(F3891))))</f>
        <v/>
      </c>
      <c r="N3891" s="18" t="str">
        <f t="shared" si="182"/>
        <v/>
      </c>
    </row>
    <row r="3892" spans="11:14" ht="14.5" x14ac:dyDescent="0.25">
      <c r="K3892" s="21" t="str">
        <f t="shared" si="180"/>
        <v/>
      </c>
      <c r="L3892" s="19" t="str">
        <f t="shared" si="181"/>
        <v/>
      </c>
      <c r="M3892" s="18" t="str">
        <f>IF(I3892&lt;&gt;"Sí","",IF(YEAR(F3892)&lt;&gt;2026,"",INDEX({"Enero","Febrero","Marzo","Abril","Mayo","Junio","Julio","Agosto","Septiembre","Octubre","Noviembre","Diciembre"},MONTH(F3892))))</f>
        <v/>
      </c>
      <c r="N3892" s="18" t="str">
        <f t="shared" si="182"/>
        <v/>
      </c>
    </row>
    <row r="3893" spans="11:14" ht="14.5" x14ac:dyDescent="0.25">
      <c r="K3893" s="21" t="str">
        <f t="shared" si="180"/>
        <v/>
      </c>
      <c r="L3893" s="19" t="str">
        <f t="shared" si="181"/>
        <v/>
      </c>
      <c r="M3893" s="18" t="str">
        <f>IF(I3893&lt;&gt;"Sí","",IF(YEAR(F3893)&lt;&gt;2026,"",INDEX({"Enero","Febrero","Marzo","Abril","Mayo","Junio","Julio","Agosto","Septiembre","Octubre","Noviembre","Diciembre"},MONTH(F3893))))</f>
        <v/>
      </c>
      <c r="N3893" s="18" t="str">
        <f t="shared" si="182"/>
        <v/>
      </c>
    </row>
    <row r="3894" spans="11:14" ht="14.5" x14ac:dyDescent="0.25">
      <c r="K3894" s="21" t="str">
        <f t="shared" si="180"/>
        <v/>
      </c>
      <c r="L3894" s="19" t="str">
        <f t="shared" si="181"/>
        <v/>
      </c>
      <c r="M3894" s="18" t="str">
        <f>IF(I3894&lt;&gt;"Sí","",IF(YEAR(F3894)&lt;&gt;2026,"",INDEX({"Enero","Febrero","Marzo","Abril","Mayo","Junio","Julio","Agosto","Septiembre","Octubre","Noviembre","Diciembre"},MONTH(F3894))))</f>
        <v/>
      </c>
      <c r="N3894" s="18" t="str">
        <f t="shared" si="182"/>
        <v/>
      </c>
    </row>
    <row r="3895" spans="11:14" ht="14.5" x14ac:dyDescent="0.25">
      <c r="K3895" s="21" t="str">
        <f t="shared" si="180"/>
        <v/>
      </c>
      <c r="L3895" s="19" t="str">
        <f t="shared" si="181"/>
        <v/>
      </c>
      <c r="M3895" s="18" t="str">
        <f>IF(I3895&lt;&gt;"Sí","",IF(YEAR(F3895)&lt;&gt;2026,"",INDEX({"Enero","Febrero","Marzo","Abril","Mayo","Junio","Julio","Agosto","Septiembre","Octubre","Noviembre","Diciembre"},MONTH(F3895))))</f>
        <v/>
      </c>
      <c r="N3895" s="18" t="str">
        <f t="shared" si="182"/>
        <v/>
      </c>
    </row>
    <row r="3896" spans="11:14" ht="14.5" x14ac:dyDescent="0.25">
      <c r="K3896" s="21" t="str">
        <f t="shared" si="180"/>
        <v/>
      </c>
      <c r="L3896" s="19" t="str">
        <f t="shared" si="181"/>
        <v/>
      </c>
      <c r="M3896" s="18" t="str">
        <f>IF(I3896&lt;&gt;"Sí","",IF(YEAR(F3896)&lt;&gt;2026,"",INDEX({"Enero","Febrero","Marzo","Abril","Mayo","Junio","Julio","Agosto","Septiembre","Octubre","Noviembre","Diciembre"},MONTH(F3896))))</f>
        <v/>
      </c>
      <c r="N3896" s="18" t="str">
        <f t="shared" si="182"/>
        <v/>
      </c>
    </row>
    <row r="3897" spans="11:14" ht="14.5" x14ac:dyDescent="0.25">
      <c r="K3897" s="21" t="str">
        <f t="shared" si="180"/>
        <v/>
      </c>
      <c r="L3897" s="19" t="str">
        <f t="shared" si="181"/>
        <v/>
      </c>
      <c r="M3897" s="18" t="str">
        <f>IF(I3897&lt;&gt;"Sí","",IF(YEAR(F3897)&lt;&gt;2026,"",INDEX({"Enero","Febrero","Marzo","Abril","Mayo","Junio","Julio","Agosto","Septiembre","Octubre","Noviembre","Diciembre"},MONTH(F3897))))</f>
        <v/>
      </c>
      <c r="N3897" s="18" t="str">
        <f t="shared" si="182"/>
        <v/>
      </c>
    </row>
    <row r="3898" spans="11:14" ht="14.5" x14ac:dyDescent="0.25">
      <c r="K3898" s="21" t="str">
        <f t="shared" si="180"/>
        <v/>
      </c>
      <c r="L3898" s="19" t="str">
        <f t="shared" si="181"/>
        <v/>
      </c>
      <c r="M3898" s="18" t="str">
        <f>IF(I3898&lt;&gt;"Sí","",IF(YEAR(F3898)&lt;&gt;2026,"",INDEX({"Enero","Febrero","Marzo","Abril","Mayo","Junio","Julio","Agosto","Septiembre","Octubre","Noviembre","Diciembre"},MONTH(F3898))))</f>
        <v/>
      </c>
      <c r="N3898" s="18" t="str">
        <f t="shared" si="182"/>
        <v/>
      </c>
    </row>
    <row r="3899" spans="11:14" ht="14.5" x14ac:dyDescent="0.25">
      <c r="K3899" s="21" t="str">
        <f t="shared" si="180"/>
        <v/>
      </c>
      <c r="L3899" s="19" t="str">
        <f t="shared" si="181"/>
        <v/>
      </c>
      <c r="M3899" s="18" t="str">
        <f>IF(I3899&lt;&gt;"Sí","",IF(YEAR(F3899)&lt;&gt;2026,"",INDEX({"Enero","Febrero","Marzo","Abril","Mayo","Junio","Julio","Agosto","Septiembre","Octubre","Noviembre","Diciembre"},MONTH(F3899))))</f>
        <v/>
      </c>
      <c r="N3899" s="18" t="str">
        <f t="shared" si="182"/>
        <v/>
      </c>
    </row>
    <row r="3900" spans="11:14" ht="14.5" x14ac:dyDescent="0.25">
      <c r="K3900" s="21" t="str">
        <f t="shared" si="180"/>
        <v/>
      </c>
      <c r="L3900" s="19" t="str">
        <f t="shared" si="181"/>
        <v/>
      </c>
      <c r="M3900" s="18" t="str">
        <f>IF(I3900&lt;&gt;"Sí","",IF(YEAR(F3900)&lt;&gt;2026,"",INDEX({"Enero","Febrero","Marzo","Abril","Mayo","Junio","Julio","Agosto","Septiembre","Octubre","Noviembre","Diciembre"},MONTH(F3900))))</f>
        <v/>
      </c>
      <c r="N3900" s="18" t="str">
        <f t="shared" si="182"/>
        <v/>
      </c>
    </row>
    <row r="3901" spans="11:14" ht="14.5" x14ac:dyDescent="0.25">
      <c r="K3901" s="21" t="str">
        <f t="shared" si="180"/>
        <v/>
      </c>
      <c r="L3901" s="19" t="str">
        <f t="shared" si="181"/>
        <v/>
      </c>
      <c r="M3901" s="18" t="str">
        <f>IF(I3901&lt;&gt;"Sí","",IF(YEAR(F3901)&lt;&gt;2026,"",INDEX({"Enero","Febrero","Marzo","Abril","Mayo","Junio","Julio","Agosto","Septiembre","Octubre","Noviembre","Diciembre"},MONTH(F3901))))</f>
        <v/>
      </c>
      <c r="N3901" s="18" t="str">
        <f t="shared" si="182"/>
        <v/>
      </c>
    </row>
    <row r="3902" spans="11:14" ht="14.5" x14ac:dyDescent="0.25">
      <c r="K3902" s="21" t="str">
        <f t="shared" si="180"/>
        <v/>
      </c>
      <c r="L3902" s="19" t="str">
        <f t="shared" si="181"/>
        <v/>
      </c>
      <c r="M3902" s="18" t="str">
        <f>IF(I3902&lt;&gt;"Sí","",IF(YEAR(F3902)&lt;&gt;2026,"",INDEX({"Enero","Febrero","Marzo","Abril","Mayo","Junio","Julio","Agosto","Septiembre","Octubre","Noviembre","Diciembre"},MONTH(F3902))))</f>
        <v/>
      </c>
      <c r="N3902" s="18" t="str">
        <f t="shared" si="182"/>
        <v/>
      </c>
    </row>
    <row r="3903" spans="11:14" ht="14.5" x14ac:dyDescent="0.25">
      <c r="K3903" s="21" t="str">
        <f t="shared" si="180"/>
        <v/>
      </c>
      <c r="L3903" s="19" t="str">
        <f t="shared" si="181"/>
        <v/>
      </c>
      <c r="M3903" s="18" t="str">
        <f>IF(I3903&lt;&gt;"Sí","",IF(YEAR(F3903)&lt;&gt;2026,"",INDEX({"Enero","Febrero","Marzo","Abril","Mayo","Junio","Julio","Agosto","Septiembre","Octubre","Noviembre","Diciembre"},MONTH(F3903))))</f>
        <v/>
      </c>
      <c r="N3903" s="18" t="str">
        <f t="shared" si="182"/>
        <v/>
      </c>
    </row>
    <row r="3904" spans="11:14" ht="14.5" x14ac:dyDescent="0.25">
      <c r="K3904" s="21" t="str">
        <f t="shared" si="180"/>
        <v/>
      </c>
      <c r="L3904" s="19" t="str">
        <f t="shared" si="181"/>
        <v/>
      </c>
      <c r="M3904" s="18" t="str">
        <f>IF(I3904&lt;&gt;"Sí","",IF(YEAR(F3904)&lt;&gt;2026,"",INDEX({"Enero","Febrero","Marzo","Abril","Mayo","Junio","Julio","Agosto","Septiembre","Octubre","Noviembre","Diciembre"},MONTH(F3904))))</f>
        <v/>
      </c>
      <c r="N3904" s="18" t="str">
        <f t="shared" si="182"/>
        <v/>
      </c>
    </row>
    <row r="3905" spans="11:14" ht="14.5" x14ac:dyDescent="0.25">
      <c r="K3905" s="21" t="str">
        <f t="shared" si="180"/>
        <v/>
      </c>
      <c r="L3905" s="19" t="str">
        <f t="shared" si="181"/>
        <v/>
      </c>
      <c r="M3905" s="18" t="str">
        <f>IF(I3905&lt;&gt;"Sí","",IF(YEAR(F3905)&lt;&gt;2026,"",INDEX({"Enero","Febrero","Marzo","Abril","Mayo","Junio","Julio","Agosto","Septiembre","Octubre","Noviembre","Diciembre"},MONTH(F3905))))</f>
        <v/>
      </c>
      <c r="N3905" s="18" t="str">
        <f t="shared" si="182"/>
        <v/>
      </c>
    </row>
    <row r="3906" spans="11:14" ht="14.5" x14ac:dyDescent="0.25">
      <c r="K3906" s="21" t="str">
        <f t="shared" si="180"/>
        <v/>
      </c>
      <c r="L3906" s="19" t="str">
        <f t="shared" si="181"/>
        <v/>
      </c>
      <c r="M3906" s="18" t="str">
        <f>IF(I3906&lt;&gt;"Sí","",IF(YEAR(F3906)&lt;&gt;2026,"",INDEX({"Enero","Febrero","Marzo","Abril","Mayo","Junio","Julio","Agosto","Septiembre","Octubre","Noviembre","Diciembre"},MONTH(F3906))))</f>
        <v/>
      </c>
      <c r="N3906" s="18" t="str">
        <f t="shared" si="182"/>
        <v/>
      </c>
    </row>
    <row r="3907" spans="11:14" ht="14.5" x14ac:dyDescent="0.25">
      <c r="K3907" s="21" t="str">
        <f t="shared" si="180"/>
        <v/>
      </c>
      <c r="L3907" s="19" t="str">
        <f t="shared" si="181"/>
        <v/>
      </c>
      <c r="M3907" s="18" t="str">
        <f>IF(I3907&lt;&gt;"Sí","",IF(YEAR(F3907)&lt;&gt;2026,"",INDEX({"Enero","Febrero","Marzo","Abril","Mayo","Junio","Julio","Agosto","Septiembre","Octubre","Noviembre","Diciembre"},MONTH(F3907))))</f>
        <v/>
      </c>
      <c r="N3907" s="18" t="str">
        <f t="shared" si="182"/>
        <v/>
      </c>
    </row>
    <row r="3908" spans="11:14" ht="14.5" x14ac:dyDescent="0.25">
      <c r="K3908" s="21" t="str">
        <f t="shared" si="180"/>
        <v/>
      </c>
      <c r="L3908" s="19" t="str">
        <f t="shared" si="181"/>
        <v/>
      </c>
      <c r="M3908" s="18" t="str">
        <f>IF(I3908&lt;&gt;"Sí","",IF(YEAR(F3908)&lt;&gt;2026,"",INDEX({"Enero","Febrero","Marzo","Abril","Mayo","Junio","Julio","Agosto","Septiembre","Octubre","Noviembre","Diciembre"},MONTH(F3908))))</f>
        <v/>
      </c>
      <c r="N3908" s="18" t="str">
        <f t="shared" si="182"/>
        <v/>
      </c>
    </row>
    <row r="3909" spans="11:14" ht="14.5" x14ac:dyDescent="0.25">
      <c r="K3909" s="21" t="str">
        <f t="shared" si="180"/>
        <v/>
      </c>
      <c r="L3909" s="19" t="str">
        <f t="shared" si="181"/>
        <v/>
      </c>
      <c r="M3909" s="18" t="str">
        <f>IF(I3909&lt;&gt;"Sí","",IF(YEAR(F3909)&lt;&gt;2026,"",INDEX({"Enero","Febrero","Marzo","Abril","Mayo","Junio","Julio","Agosto","Septiembre","Octubre","Noviembre","Diciembre"},MONTH(F3909))))</f>
        <v/>
      </c>
      <c r="N3909" s="18" t="str">
        <f t="shared" si="182"/>
        <v/>
      </c>
    </row>
    <row r="3910" spans="11:14" ht="14.5" x14ac:dyDescent="0.25">
      <c r="K3910" s="21" t="str">
        <f t="shared" si="180"/>
        <v/>
      </c>
      <c r="L3910" s="19" t="str">
        <f t="shared" si="181"/>
        <v/>
      </c>
      <c r="M3910" s="18" t="str">
        <f>IF(I3910&lt;&gt;"Sí","",IF(YEAR(F3910)&lt;&gt;2026,"",INDEX({"Enero","Febrero","Marzo","Abril","Mayo","Junio","Julio","Agosto","Septiembre","Octubre","Noviembre","Diciembre"},MONTH(F3910))))</f>
        <v/>
      </c>
      <c r="N3910" s="18" t="str">
        <f t="shared" si="182"/>
        <v/>
      </c>
    </row>
    <row r="3911" spans="11:14" ht="14.5" x14ac:dyDescent="0.25">
      <c r="K3911" s="21" t="str">
        <f t="shared" ref="K3911:K3974" si="183">IF(I3911="Sí",(G3911-F3911)*24,"")</f>
        <v/>
      </c>
      <c r="L3911" s="19" t="str">
        <f t="shared" ref="L3911:L3974" si="184">IF(I3911="Sí",COUNTIFS($F$7:$F$4000,"&lt;="&amp;F3911,$G$7:$G$4000,"&gt;"&amp;F3911,$I$7:$I$4000,"Sí"),"")</f>
        <v/>
      </c>
      <c r="M3911" s="18" t="str">
        <f>IF(I3911&lt;&gt;"Sí","",IF(YEAR(F3911)&lt;&gt;2026,"",INDEX({"Enero","Febrero","Marzo","Abril","Mayo","Junio","Julio","Agosto","Septiembre","Octubre","Noviembre","Diciembre"},MONTH(F3911))))</f>
        <v/>
      </c>
      <c r="N3911" s="18" t="str">
        <f t="shared" ref="N3911:N3974" si="185">IF(M3911="","",M3911&amp;"|"&amp;L3911)</f>
        <v/>
      </c>
    </row>
    <row r="3912" spans="11:14" ht="14.5" x14ac:dyDescent="0.25">
      <c r="K3912" s="21" t="str">
        <f t="shared" si="183"/>
        <v/>
      </c>
      <c r="L3912" s="19" t="str">
        <f t="shared" si="184"/>
        <v/>
      </c>
      <c r="M3912" s="18" t="str">
        <f>IF(I3912&lt;&gt;"Sí","",IF(YEAR(F3912)&lt;&gt;2026,"",INDEX({"Enero","Febrero","Marzo","Abril","Mayo","Junio","Julio","Agosto","Septiembre","Octubre","Noviembre","Diciembre"},MONTH(F3912))))</f>
        <v/>
      </c>
      <c r="N3912" s="18" t="str">
        <f t="shared" si="185"/>
        <v/>
      </c>
    </row>
    <row r="3913" spans="11:14" ht="14.5" x14ac:dyDescent="0.25">
      <c r="K3913" s="21" t="str">
        <f t="shared" si="183"/>
        <v/>
      </c>
      <c r="L3913" s="19" t="str">
        <f t="shared" si="184"/>
        <v/>
      </c>
      <c r="M3913" s="18" t="str">
        <f>IF(I3913&lt;&gt;"Sí","",IF(YEAR(F3913)&lt;&gt;2026,"",INDEX({"Enero","Febrero","Marzo","Abril","Mayo","Junio","Julio","Agosto","Septiembre","Octubre","Noviembre","Diciembre"},MONTH(F3913))))</f>
        <v/>
      </c>
      <c r="N3913" s="18" t="str">
        <f t="shared" si="185"/>
        <v/>
      </c>
    </row>
    <row r="3914" spans="11:14" ht="14.5" x14ac:dyDescent="0.25">
      <c r="K3914" s="21" t="str">
        <f t="shared" si="183"/>
        <v/>
      </c>
      <c r="L3914" s="19" t="str">
        <f t="shared" si="184"/>
        <v/>
      </c>
      <c r="M3914" s="18" t="str">
        <f>IF(I3914&lt;&gt;"Sí","",IF(YEAR(F3914)&lt;&gt;2026,"",INDEX({"Enero","Febrero","Marzo","Abril","Mayo","Junio","Julio","Agosto","Septiembre","Octubre","Noviembre","Diciembre"},MONTH(F3914))))</f>
        <v/>
      </c>
      <c r="N3914" s="18" t="str">
        <f t="shared" si="185"/>
        <v/>
      </c>
    </row>
    <row r="3915" spans="11:14" ht="14.5" x14ac:dyDescent="0.25">
      <c r="K3915" s="21" t="str">
        <f t="shared" si="183"/>
        <v/>
      </c>
      <c r="L3915" s="19" t="str">
        <f t="shared" si="184"/>
        <v/>
      </c>
      <c r="M3915" s="18" t="str">
        <f>IF(I3915&lt;&gt;"Sí","",IF(YEAR(F3915)&lt;&gt;2026,"",INDEX({"Enero","Febrero","Marzo","Abril","Mayo","Junio","Julio","Agosto","Septiembre","Octubre","Noviembre","Diciembre"},MONTH(F3915))))</f>
        <v/>
      </c>
      <c r="N3915" s="18" t="str">
        <f t="shared" si="185"/>
        <v/>
      </c>
    </row>
    <row r="3916" spans="11:14" ht="14.5" x14ac:dyDescent="0.25">
      <c r="K3916" s="21" t="str">
        <f t="shared" si="183"/>
        <v/>
      </c>
      <c r="L3916" s="19" t="str">
        <f t="shared" si="184"/>
        <v/>
      </c>
      <c r="M3916" s="18" t="str">
        <f>IF(I3916&lt;&gt;"Sí","",IF(YEAR(F3916)&lt;&gt;2026,"",INDEX({"Enero","Febrero","Marzo","Abril","Mayo","Junio","Julio","Agosto","Septiembre","Octubre","Noviembre","Diciembre"},MONTH(F3916))))</f>
        <v/>
      </c>
      <c r="N3916" s="18" t="str">
        <f t="shared" si="185"/>
        <v/>
      </c>
    </row>
    <row r="3917" spans="11:14" ht="14.5" x14ac:dyDescent="0.25">
      <c r="K3917" s="21" t="str">
        <f t="shared" si="183"/>
        <v/>
      </c>
      <c r="L3917" s="19" t="str">
        <f t="shared" si="184"/>
        <v/>
      </c>
      <c r="M3917" s="18" t="str">
        <f>IF(I3917&lt;&gt;"Sí","",IF(YEAR(F3917)&lt;&gt;2026,"",INDEX({"Enero","Febrero","Marzo","Abril","Mayo","Junio","Julio","Agosto","Septiembre","Octubre","Noviembre","Diciembre"},MONTH(F3917))))</f>
        <v/>
      </c>
      <c r="N3917" s="18" t="str">
        <f t="shared" si="185"/>
        <v/>
      </c>
    </row>
    <row r="3918" spans="11:14" ht="14.5" x14ac:dyDescent="0.25">
      <c r="K3918" s="21" t="str">
        <f t="shared" si="183"/>
        <v/>
      </c>
      <c r="L3918" s="19" t="str">
        <f t="shared" si="184"/>
        <v/>
      </c>
      <c r="M3918" s="18" t="str">
        <f>IF(I3918&lt;&gt;"Sí","",IF(YEAR(F3918)&lt;&gt;2026,"",INDEX({"Enero","Febrero","Marzo","Abril","Mayo","Junio","Julio","Agosto","Septiembre","Octubre","Noviembre","Diciembre"},MONTH(F3918))))</f>
        <v/>
      </c>
      <c r="N3918" s="18" t="str">
        <f t="shared" si="185"/>
        <v/>
      </c>
    </row>
    <row r="3919" spans="11:14" ht="14.5" x14ac:dyDescent="0.25">
      <c r="K3919" s="21" t="str">
        <f t="shared" si="183"/>
        <v/>
      </c>
      <c r="L3919" s="19" t="str">
        <f t="shared" si="184"/>
        <v/>
      </c>
      <c r="M3919" s="18" t="str">
        <f>IF(I3919&lt;&gt;"Sí","",IF(YEAR(F3919)&lt;&gt;2026,"",INDEX({"Enero","Febrero","Marzo","Abril","Mayo","Junio","Julio","Agosto","Septiembre","Octubre","Noviembre","Diciembre"},MONTH(F3919))))</f>
        <v/>
      </c>
      <c r="N3919" s="18" t="str">
        <f t="shared" si="185"/>
        <v/>
      </c>
    </row>
    <row r="3920" spans="11:14" ht="14.5" x14ac:dyDescent="0.25">
      <c r="K3920" s="21" t="str">
        <f t="shared" si="183"/>
        <v/>
      </c>
      <c r="L3920" s="19" t="str">
        <f t="shared" si="184"/>
        <v/>
      </c>
      <c r="M3920" s="18" t="str">
        <f>IF(I3920&lt;&gt;"Sí","",IF(YEAR(F3920)&lt;&gt;2026,"",INDEX({"Enero","Febrero","Marzo","Abril","Mayo","Junio","Julio","Agosto","Septiembre","Octubre","Noviembre","Diciembre"},MONTH(F3920))))</f>
        <v/>
      </c>
      <c r="N3920" s="18" t="str">
        <f t="shared" si="185"/>
        <v/>
      </c>
    </row>
    <row r="3921" spans="11:14" ht="14.5" x14ac:dyDescent="0.25">
      <c r="K3921" s="21" t="str">
        <f t="shared" si="183"/>
        <v/>
      </c>
      <c r="L3921" s="19" t="str">
        <f t="shared" si="184"/>
        <v/>
      </c>
      <c r="M3921" s="18" t="str">
        <f>IF(I3921&lt;&gt;"Sí","",IF(YEAR(F3921)&lt;&gt;2026,"",INDEX({"Enero","Febrero","Marzo","Abril","Mayo","Junio","Julio","Agosto","Septiembre","Octubre","Noviembre","Diciembre"},MONTH(F3921))))</f>
        <v/>
      </c>
      <c r="N3921" s="18" t="str">
        <f t="shared" si="185"/>
        <v/>
      </c>
    </row>
    <row r="3922" spans="11:14" ht="14.5" x14ac:dyDescent="0.25">
      <c r="K3922" s="21" t="str">
        <f t="shared" si="183"/>
        <v/>
      </c>
      <c r="L3922" s="19" t="str">
        <f t="shared" si="184"/>
        <v/>
      </c>
      <c r="M3922" s="18" t="str">
        <f>IF(I3922&lt;&gt;"Sí","",IF(YEAR(F3922)&lt;&gt;2026,"",INDEX({"Enero","Febrero","Marzo","Abril","Mayo","Junio","Julio","Agosto","Septiembre","Octubre","Noviembre","Diciembre"},MONTH(F3922))))</f>
        <v/>
      </c>
      <c r="N3922" s="18" t="str">
        <f t="shared" si="185"/>
        <v/>
      </c>
    </row>
    <row r="3923" spans="11:14" ht="14.5" x14ac:dyDescent="0.25">
      <c r="K3923" s="21" t="str">
        <f t="shared" si="183"/>
        <v/>
      </c>
      <c r="L3923" s="19" t="str">
        <f t="shared" si="184"/>
        <v/>
      </c>
      <c r="M3923" s="18" t="str">
        <f>IF(I3923&lt;&gt;"Sí","",IF(YEAR(F3923)&lt;&gt;2026,"",INDEX({"Enero","Febrero","Marzo","Abril","Mayo","Junio","Julio","Agosto","Septiembre","Octubre","Noviembre","Diciembre"},MONTH(F3923))))</f>
        <v/>
      </c>
      <c r="N3923" s="18" t="str">
        <f t="shared" si="185"/>
        <v/>
      </c>
    </row>
    <row r="3924" spans="11:14" ht="14.5" x14ac:dyDescent="0.25">
      <c r="K3924" s="21" t="str">
        <f t="shared" si="183"/>
        <v/>
      </c>
      <c r="L3924" s="19" t="str">
        <f t="shared" si="184"/>
        <v/>
      </c>
      <c r="M3924" s="18" t="str">
        <f>IF(I3924&lt;&gt;"Sí","",IF(YEAR(F3924)&lt;&gt;2026,"",INDEX({"Enero","Febrero","Marzo","Abril","Mayo","Junio","Julio","Agosto","Septiembre","Octubre","Noviembre","Diciembre"},MONTH(F3924))))</f>
        <v/>
      </c>
      <c r="N3924" s="18" t="str">
        <f t="shared" si="185"/>
        <v/>
      </c>
    </row>
    <row r="3925" spans="11:14" ht="14.5" x14ac:dyDescent="0.25">
      <c r="K3925" s="21" t="str">
        <f t="shared" si="183"/>
        <v/>
      </c>
      <c r="L3925" s="19" t="str">
        <f t="shared" si="184"/>
        <v/>
      </c>
      <c r="M3925" s="18" t="str">
        <f>IF(I3925&lt;&gt;"Sí","",IF(YEAR(F3925)&lt;&gt;2026,"",INDEX({"Enero","Febrero","Marzo","Abril","Mayo","Junio","Julio","Agosto","Septiembre","Octubre","Noviembre","Diciembre"},MONTH(F3925))))</f>
        <v/>
      </c>
      <c r="N3925" s="18" t="str">
        <f t="shared" si="185"/>
        <v/>
      </c>
    </row>
    <row r="3926" spans="11:14" ht="14.5" x14ac:dyDescent="0.25">
      <c r="K3926" s="21" t="str">
        <f t="shared" si="183"/>
        <v/>
      </c>
      <c r="L3926" s="19" t="str">
        <f t="shared" si="184"/>
        <v/>
      </c>
      <c r="M3926" s="18" t="str">
        <f>IF(I3926&lt;&gt;"Sí","",IF(YEAR(F3926)&lt;&gt;2026,"",INDEX({"Enero","Febrero","Marzo","Abril","Mayo","Junio","Julio","Agosto","Septiembre","Octubre","Noviembre","Diciembre"},MONTH(F3926))))</f>
        <v/>
      </c>
      <c r="N3926" s="18" t="str">
        <f t="shared" si="185"/>
        <v/>
      </c>
    </row>
    <row r="3927" spans="11:14" ht="14.5" x14ac:dyDescent="0.25">
      <c r="K3927" s="21" t="str">
        <f t="shared" si="183"/>
        <v/>
      </c>
      <c r="L3927" s="19" t="str">
        <f t="shared" si="184"/>
        <v/>
      </c>
      <c r="M3927" s="18" t="str">
        <f>IF(I3927&lt;&gt;"Sí","",IF(YEAR(F3927)&lt;&gt;2026,"",INDEX({"Enero","Febrero","Marzo","Abril","Mayo","Junio","Julio","Agosto","Septiembre","Octubre","Noviembre","Diciembre"},MONTH(F3927))))</f>
        <v/>
      </c>
      <c r="N3927" s="18" t="str">
        <f t="shared" si="185"/>
        <v/>
      </c>
    </row>
    <row r="3928" spans="11:14" ht="14.5" x14ac:dyDescent="0.25">
      <c r="K3928" s="21" t="str">
        <f t="shared" si="183"/>
        <v/>
      </c>
      <c r="L3928" s="19" t="str">
        <f t="shared" si="184"/>
        <v/>
      </c>
      <c r="M3928" s="18" t="str">
        <f>IF(I3928&lt;&gt;"Sí","",IF(YEAR(F3928)&lt;&gt;2026,"",INDEX({"Enero","Febrero","Marzo","Abril","Mayo","Junio","Julio","Agosto","Septiembre","Octubre","Noviembre","Diciembre"},MONTH(F3928))))</f>
        <v/>
      </c>
      <c r="N3928" s="18" t="str">
        <f t="shared" si="185"/>
        <v/>
      </c>
    </row>
    <row r="3929" spans="11:14" ht="14.5" x14ac:dyDescent="0.25">
      <c r="K3929" s="21" t="str">
        <f t="shared" si="183"/>
        <v/>
      </c>
      <c r="L3929" s="19" t="str">
        <f t="shared" si="184"/>
        <v/>
      </c>
      <c r="M3929" s="18" t="str">
        <f>IF(I3929&lt;&gt;"Sí","",IF(YEAR(F3929)&lt;&gt;2026,"",INDEX({"Enero","Febrero","Marzo","Abril","Mayo","Junio","Julio","Agosto","Septiembre","Octubre","Noviembre","Diciembre"},MONTH(F3929))))</f>
        <v/>
      </c>
      <c r="N3929" s="18" t="str">
        <f t="shared" si="185"/>
        <v/>
      </c>
    </row>
    <row r="3930" spans="11:14" ht="14.5" x14ac:dyDescent="0.25">
      <c r="K3930" s="21" t="str">
        <f t="shared" si="183"/>
        <v/>
      </c>
      <c r="L3930" s="19" t="str">
        <f t="shared" si="184"/>
        <v/>
      </c>
      <c r="M3930" s="18" t="str">
        <f>IF(I3930&lt;&gt;"Sí","",IF(YEAR(F3930)&lt;&gt;2026,"",INDEX({"Enero","Febrero","Marzo","Abril","Mayo","Junio","Julio","Agosto","Septiembre","Octubre","Noviembre","Diciembre"},MONTH(F3930))))</f>
        <v/>
      </c>
      <c r="N3930" s="18" t="str">
        <f t="shared" si="185"/>
        <v/>
      </c>
    </row>
    <row r="3931" spans="11:14" ht="14.5" x14ac:dyDescent="0.25">
      <c r="K3931" s="21" t="str">
        <f t="shared" si="183"/>
        <v/>
      </c>
      <c r="L3931" s="19" t="str">
        <f t="shared" si="184"/>
        <v/>
      </c>
      <c r="M3931" s="18" t="str">
        <f>IF(I3931&lt;&gt;"Sí","",IF(YEAR(F3931)&lt;&gt;2026,"",INDEX({"Enero","Febrero","Marzo","Abril","Mayo","Junio","Julio","Agosto","Septiembre","Octubre","Noviembre","Diciembre"},MONTH(F3931))))</f>
        <v/>
      </c>
      <c r="N3931" s="18" t="str">
        <f t="shared" si="185"/>
        <v/>
      </c>
    </row>
    <row r="3932" spans="11:14" ht="14.5" x14ac:dyDescent="0.25">
      <c r="K3932" s="21" t="str">
        <f t="shared" si="183"/>
        <v/>
      </c>
      <c r="L3932" s="19" t="str">
        <f t="shared" si="184"/>
        <v/>
      </c>
      <c r="M3932" s="18" t="str">
        <f>IF(I3932&lt;&gt;"Sí","",IF(YEAR(F3932)&lt;&gt;2026,"",INDEX({"Enero","Febrero","Marzo","Abril","Mayo","Junio","Julio","Agosto","Septiembre","Octubre","Noviembre","Diciembre"},MONTH(F3932))))</f>
        <v/>
      </c>
      <c r="N3932" s="18" t="str">
        <f t="shared" si="185"/>
        <v/>
      </c>
    </row>
    <row r="3933" spans="11:14" ht="14.5" x14ac:dyDescent="0.25">
      <c r="K3933" s="21" t="str">
        <f t="shared" si="183"/>
        <v/>
      </c>
      <c r="L3933" s="19" t="str">
        <f t="shared" si="184"/>
        <v/>
      </c>
      <c r="M3933" s="18" t="str">
        <f>IF(I3933&lt;&gt;"Sí","",IF(YEAR(F3933)&lt;&gt;2026,"",INDEX({"Enero","Febrero","Marzo","Abril","Mayo","Junio","Julio","Agosto","Septiembre","Octubre","Noviembre","Diciembre"},MONTH(F3933))))</f>
        <v/>
      </c>
      <c r="N3933" s="18" t="str">
        <f t="shared" si="185"/>
        <v/>
      </c>
    </row>
    <row r="3934" spans="11:14" ht="14.5" x14ac:dyDescent="0.25">
      <c r="K3934" s="21" t="str">
        <f t="shared" si="183"/>
        <v/>
      </c>
      <c r="L3934" s="19" t="str">
        <f t="shared" si="184"/>
        <v/>
      </c>
      <c r="M3934" s="18" t="str">
        <f>IF(I3934&lt;&gt;"Sí","",IF(YEAR(F3934)&lt;&gt;2026,"",INDEX({"Enero","Febrero","Marzo","Abril","Mayo","Junio","Julio","Agosto","Septiembre","Octubre","Noviembre","Diciembre"},MONTH(F3934))))</f>
        <v/>
      </c>
      <c r="N3934" s="18" t="str">
        <f t="shared" si="185"/>
        <v/>
      </c>
    </row>
    <row r="3935" spans="11:14" ht="14.5" x14ac:dyDescent="0.25">
      <c r="K3935" s="21" t="str">
        <f t="shared" si="183"/>
        <v/>
      </c>
      <c r="L3935" s="19" t="str">
        <f t="shared" si="184"/>
        <v/>
      </c>
      <c r="M3935" s="18" t="str">
        <f>IF(I3935&lt;&gt;"Sí","",IF(YEAR(F3935)&lt;&gt;2026,"",INDEX({"Enero","Febrero","Marzo","Abril","Mayo","Junio","Julio","Agosto","Septiembre","Octubre","Noviembre","Diciembre"},MONTH(F3935))))</f>
        <v/>
      </c>
      <c r="N3935" s="18" t="str">
        <f t="shared" si="185"/>
        <v/>
      </c>
    </row>
    <row r="3936" spans="11:14" ht="14.5" x14ac:dyDescent="0.25">
      <c r="K3936" s="21" t="str">
        <f t="shared" si="183"/>
        <v/>
      </c>
      <c r="L3936" s="19" t="str">
        <f t="shared" si="184"/>
        <v/>
      </c>
      <c r="M3936" s="18" t="str">
        <f>IF(I3936&lt;&gt;"Sí","",IF(YEAR(F3936)&lt;&gt;2026,"",INDEX({"Enero","Febrero","Marzo","Abril","Mayo","Junio","Julio","Agosto","Septiembre","Octubre","Noviembre","Diciembre"},MONTH(F3936))))</f>
        <v/>
      </c>
      <c r="N3936" s="18" t="str">
        <f t="shared" si="185"/>
        <v/>
      </c>
    </row>
    <row r="3937" spans="11:14" ht="14.5" x14ac:dyDescent="0.25">
      <c r="K3937" s="21" t="str">
        <f t="shared" si="183"/>
        <v/>
      </c>
      <c r="L3937" s="19" t="str">
        <f t="shared" si="184"/>
        <v/>
      </c>
      <c r="M3937" s="18" t="str">
        <f>IF(I3937&lt;&gt;"Sí","",IF(YEAR(F3937)&lt;&gt;2026,"",INDEX({"Enero","Febrero","Marzo","Abril","Mayo","Junio","Julio","Agosto","Septiembre","Octubre","Noviembre","Diciembre"},MONTH(F3937))))</f>
        <v/>
      </c>
      <c r="N3937" s="18" t="str">
        <f t="shared" si="185"/>
        <v/>
      </c>
    </row>
    <row r="3938" spans="11:14" ht="14.5" x14ac:dyDescent="0.25">
      <c r="K3938" s="21" t="str">
        <f t="shared" si="183"/>
        <v/>
      </c>
      <c r="L3938" s="19" t="str">
        <f t="shared" si="184"/>
        <v/>
      </c>
      <c r="M3938" s="18" t="str">
        <f>IF(I3938&lt;&gt;"Sí","",IF(YEAR(F3938)&lt;&gt;2026,"",INDEX({"Enero","Febrero","Marzo","Abril","Mayo","Junio","Julio","Agosto","Septiembre","Octubre","Noviembre","Diciembre"},MONTH(F3938))))</f>
        <v/>
      </c>
      <c r="N3938" s="18" t="str">
        <f t="shared" si="185"/>
        <v/>
      </c>
    </row>
    <row r="3939" spans="11:14" ht="14.5" x14ac:dyDescent="0.25">
      <c r="K3939" s="21" t="str">
        <f t="shared" si="183"/>
        <v/>
      </c>
      <c r="L3939" s="19" t="str">
        <f t="shared" si="184"/>
        <v/>
      </c>
      <c r="M3939" s="18" t="str">
        <f>IF(I3939&lt;&gt;"Sí","",IF(YEAR(F3939)&lt;&gt;2026,"",INDEX({"Enero","Febrero","Marzo","Abril","Mayo","Junio","Julio","Agosto","Septiembre","Octubre","Noviembre","Diciembre"},MONTH(F3939))))</f>
        <v/>
      </c>
      <c r="N3939" s="18" t="str">
        <f t="shared" si="185"/>
        <v/>
      </c>
    </row>
    <row r="3940" spans="11:14" ht="14.5" x14ac:dyDescent="0.25">
      <c r="K3940" s="21" t="str">
        <f t="shared" si="183"/>
        <v/>
      </c>
      <c r="L3940" s="19" t="str">
        <f t="shared" si="184"/>
        <v/>
      </c>
      <c r="M3940" s="18" t="str">
        <f>IF(I3940&lt;&gt;"Sí","",IF(YEAR(F3940)&lt;&gt;2026,"",INDEX({"Enero","Febrero","Marzo","Abril","Mayo","Junio","Julio","Agosto","Septiembre","Octubre","Noviembre","Diciembre"},MONTH(F3940))))</f>
        <v/>
      </c>
      <c r="N3940" s="18" t="str">
        <f t="shared" si="185"/>
        <v/>
      </c>
    </row>
    <row r="3941" spans="11:14" ht="14.5" x14ac:dyDescent="0.25">
      <c r="K3941" s="21" t="str">
        <f t="shared" si="183"/>
        <v/>
      </c>
      <c r="L3941" s="19" t="str">
        <f t="shared" si="184"/>
        <v/>
      </c>
      <c r="M3941" s="18" t="str">
        <f>IF(I3941&lt;&gt;"Sí","",IF(YEAR(F3941)&lt;&gt;2026,"",INDEX({"Enero","Febrero","Marzo","Abril","Mayo","Junio","Julio","Agosto","Septiembre","Octubre","Noviembre","Diciembre"},MONTH(F3941))))</f>
        <v/>
      </c>
      <c r="N3941" s="18" t="str">
        <f t="shared" si="185"/>
        <v/>
      </c>
    </row>
    <row r="3942" spans="11:14" ht="14.5" x14ac:dyDescent="0.25">
      <c r="K3942" s="21" t="str">
        <f t="shared" si="183"/>
        <v/>
      </c>
      <c r="L3942" s="19" t="str">
        <f t="shared" si="184"/>
        <v/>
      </c>
      <c r="M3942" s="18" t="str">
        <f>IF(I3942&lt;&gt;"Sí","",IF(YEAR(F3942)&lt;&gt;2026,"",INDEX({"Enero","Febrero","Marzo","Abril","Mayo","Junio","Julio","Agosto","Septiembre","Octubre","Noviembre","Diciembre"},MONTH(F3942))))</f>
        <v/>
      </c>
      <c r="N3942" s="18" t="str">
        <f t="shared" si="185"/>
        <v/>
      </c>
    </row>
    <row r="3943" spans="11:14" ht="14.5" x14ac:dyDescent="0.25">
      <c r="K3943" s="21" t="str">
        <f t="shared" si="183"/>
        <v/>
      </c>
      <c r="L3943" s="19" t="str">
        <f t="shared" si="184"/>
        <v/>
      </c>
      <c r="M3943" s="18" t="str">
        <f>IF(I3943&lt;&gt;"Sí","",IF(YEAR(F3943)&lt;&gt;2026,"",INDEX({"Enero","Febrero","Marzo","Abril","Mayo","Junio","Julio","Agosto","Septiembre","Octubre","Noviembre","Diciembre"},MONTH(F3943))))</f>
        <v/>
      </c>
      <c r="N3943" s="18" t="str">
        <f t="shared" si="185"/>
        <v/>
      </c>
    </row>
    <row r="3944" spans="11:14" ht="14.5" x14ac:dyDescent="0.25">
      <c r="K3944" s="21" t="str">
        <f t="shared" si="183"/>
        <v/>
      </c>
      <c r="L3944" s="19" t="str">
        <f t="shared" si="184"/>
        <v/>
      </c>
      <c r="M3944" s="18" t="str">
        <f>IF(I3944&lt;&gt;"Sí","",IF(YEAR(F3944)&lt;&gt;2026,"",INDEX({"Enero","Febrero","Marzo","Abril","Mayo","Junio","Julio","Agosto","Septiembre","Octubre","Noviembre","Diciembre"},MONTH(F3944))))</f>
        <v/>
      </c>
      <c r="N3944" s="18" t="str">
        <f t="shared" si="185"/>
        <v/>
      </c>
    </row>
    <row r="3945" spans="11:14" ht="14.5" x14ac:dyDescent="0.25">
      <c r="K3945" s="21" t="str">
        <f t="shared" si="183"/>
        <v/>
      </c>
      <c r="L3945" s="19" t="str">
        <f t="shared" si="184"/>
        <v/>
      </c>
      <c r="M3945" s="18" t="str">
        <f>IF(I3945&lt;&gt;"Sí","",IF(YEAR(F3945)&lt;&gt;2026,"",INDEX({"Enero","Febrero","Marzo","Abril","Mayo","Junio","Julio","Agosto","Septiembre","Octubre","Noviembre","Diciembre"},MONTH(F3945))))</f>
        <v/>
      </c>
      <c r="N3945" s="18" t="str">
        <f t="shared" si="185"/>
        <v/>
      </c>
    </row>
    <row r="3946" spans="11:14" ht="14.5" x14ac:dyDescent="0.25">
      <c r="K3946" s="21" t="str">
        <f t="shared" si="183"/>
        <v/>
      </c>
      <c r="L3946" s="19" t="str">
        <f t="shared" si="184"/>
        <v/>
      </c>
      <c r="M3946" s="18" t="str">
        <f>IF(I3946&lt;&gt;"Sí","",IF(YEAR(F3946)&lt;&gt;2026,"",INDEX({"Enero","Febrero","Marzo","Abril","Mayo","Junio","Julio","Agosto","Septiembre","Octubre","Noviembre","Diciembre"},MONTH(F3946))))</f>
        <v/>
      </c>
      <c r="N3946" s="18" t="str">
        <f t="shared" si="185"/>
        <v/>
      </c>
    </row>
    <row r="3947" spans="11:14" ht="14.5" x14ac:dyDescent="0.25">
      <c r="K3947" s="21" t="str">
        <f t="shared" si="183"/>
        <v/>
      </c>
      <c r="L3947" s="19" t="str">
        <f t="shared" si="184"/>
        <v/>
      </c>
      <c r="M3947" s="18" t="str">
        <f>IF(I3947&lt;&gt;"Sí","",IF(YEAR(F3947)&lt;&gt;2026,"",INDEX({"Enero","Febrero","Marzo","Abril","Mayo","Junio","Julio","Agosto","Septiembre","Octubre","Noviembre","Diciembre"},MONTH(F3947))))</f>
        <v/>
      </c>
      <c r="N3947" s="18" t="str">
        <f t="shared" si="185"/>
        <v/>
      </c>
    </row>
    <row r="3948" spans="11:14" ht="14.5" x14ac:dyDescent="0.25">
      <c r="K3948" s="21" t="str">
        <f t="shared" si="183"/>
        <v/>
      </c>
      <c r="L3948" s="19" t="str">
        <f t="shared" si="184"/>
        <v/>
      </c>
      <c r="M3948" s="18" t="str">
        <f>IF(I3948&lt;&gt;"Sí","",IF(YEAR(F3948)&lt;&gt;2026,"",INDEX({"Enero","Febrero","Marzo","Abril","Mayo","Junio","Julio","Agosto","Septiembre","Octubre","Noviembre","Diciembre"},MONTH(F3948))))</f>
        <v/>
      </c>
      <c r="N3948" s="18" t="str">
        <f t="shared" si="185"/>
        <v/>
      </c>
    </row>
    <row r="3949" spans="11:14" ht="14.5" x14ac:dyDescent="0.25">
      <c r="K3949" s="21" t="str">
        <f t="shared" si="183"/>
        <v/>
      </c>
      <c r="L3949" s="19" t="str">
        <f t="shared" si="184"/>
        <v/>
      </c>
      <c r="M3949" s="18" t="str">
        <f>IF(I3949&lt;&gt;"Sí","",IF(YEAR(F3949)&lt;&gt;2026,"",INDEX({"Enero","Febrero","Marzo","Abril","Mayo","Junio","Julio","Agosto","Septiembre","Octubre","Noviembre","Diciembre"},MONTH(F3949))))</f>
        <v/>
      </c>
      <c r="N3949" s="18" t="str">
        <f t="shared" si="185"/>
        <v/>
      </c>
    </row>
    <row r="3950" spans="11:14" ht="14.5" x14ac:dyDescent="0.25">
      <c r="K3950" s="21" t="str">
        <f t="shared" si="183"/>
        <v/>
      </c>
      <c r="L3950" s="19" t="str">
        <f t="shared" si="184"/>
        <v/>
      </c>
      <c r="M3950" s="18" t="str">
        <f>IF(I3950&lt;&gt;"Sí","",IF(YEAR(F3950)&lt;&gt;2026,"",INDEX({"Enero","Febrero","Marzo","Abril","Mayo","Junio","Julio","Agosto","Septiembre","Octubre","Noviembre","Diciembre"},MONTH(F3950))))</f>
        <v/>
      </c>
      <c r="N3950" s="18" t="str">
        <f t="shared" si="185"/>
        <v/>
      </c>
    </row>
    <row r="3951" spans="11:14" ht="14.5" x14ac:dyDescent="0.25">
      <c r="K3951" s="21" t="str">
        <f t="shared" si="183"/>
        <v/>
      </c>
      <c r="L3951" s="19" t="str">
        <f t="shared" si="184"/>
        <v/>
      </c>
      <c r="M3951" s="18" t="str">
        <f>IF(I3951&lt;&gt;"Sí","",IF(YEAR(F3951)&lt;&gt;2026,"",INDEX({"Enero","Febrero","Marzo","Abril","Mayo","Junio","Julio","Agosto","Septiembre","Octubre","Noviembre","Diciembre"},MONTH(F3951))))</f>
        <v/>
      </c>
      <c r="N3951" s="18" t="str">
        <f t="shared" si="185"/>
        <v/>
      </c>
    </row>
    <row r="3952" spans="11:14" ht="14.5" x14ac:dyDescent="0.25">
      <c r="K3952" s="21" t="str">
        <f t="shared" si="183"/>
        <v/>
      </c>
      <c r="L3952" s="19" t="str">
        <f t="shared" si="184"/>
        <v/>
      </c>
      <c r="M3952" s="18" t="str">
        <f>IF(I3952&lt;&gt;"Sí","",IF(YEAR(F3952)&lt;&gt;2026,"",INDEX({"Enero","Febrero","Marzo","Abril","Mayo","Junio","Julio","Agosto","Septiembre","Octubre","Noviembre","Diciembre"},MONTH(F3952))))</f>
        <v/>
      </c>
      <c r="N3952" s="18" t="str">
        <f t="shared" si="185"/>
        <v/>
      </c>
    </row>
    <row r="3953" spans="11:14" ht="14.5" x14ac:dyDescent="0.25">
      <c r="K3953" s="21" t="str">
        <f t="shared" si="183"/>
        <v/>
      </c>
      <c r="L3953" s="19" t="str">
        <f t="shared" si="184"/>
        <v/>
      </c>
      <c r="M3953" s="18" t="str">
        <f>IF(I3953&lt;&gt;"Sí","",IF(YEAR(F3953)&lt;&gt;2026,"",INDEX({"Enero","Febrero","Marzo","Abril","Mayo","Junio","Julio","Agosto","Septiembre","Octubre","Noviembre","Diciembre"},MONTH(F3953))))</f>
        <v/>
      </c>
      <c r="N3953" s="18" t="str">
        <f t="shared" si="185"/>
        <v/>
      </c>
    </row>
    <row r="3954" spans="11:14" ht="14.5" x14ac:dyDescent="0.25">
      <c r="K3954" s="21" t="str">
        <f t="shared" si="183"/>
        <v/>
      </c>
      <c r="L3954" s="19" t="str">
        <f t="shared" si="184"/>
        <v/>
      </c>
      <c r="M3954" s="18" t="str">
        <f>IF(I3954&lt;&gt;"Sí","",IF(YEAR(F3954)&lt;&gt;2026,"",INDEX({"Enero","Febrero","Marzo","Abril","Mayo","Junio","Julio","Agosto","Septiembre","Octubre","Noviembre","Diciembre"},MONTH(F3954))))</f>
        <v/>
      </c>
      <c r="N3954" s="18" t="str">
        <f t="shared" si="185"/>
        <v/>
      </c>
    </row>
    <row r="3955" spans="11:14" ht="14.5" x14ac:dyDescent="0.25">
      <c r="K3955" s="21" t="str">
        <f t="shared" si="183"/>
        <v/>
      </c>
      <c r="L3955" s="19" t="str">
        <f t="shared" si="184"/>
        <v/>
      </c>
      <c r="M3955" s="18" t="str">
        <f>IF(I3955&lt;&gt;"Sí","",IF(YEAR(F3955)&lt;&gt;2026,"",INDEX({"Enero","Febrero","Marzo","Abril","Mayo","Junio","Julio","Agosto","Septiembre","Octubre","Noviembre","Diciembre"},MONTH(F3955))))</f>
        <v/>
      </c>
      <c r="N3955" s="18" t="str">
        <f t="shared" si="185"/>
        <v/>
      </c>
    </row>
    <row r="3956" spans="11:14" ht="14.5" x14ac:dyDescent="0.25">
      <c r="K3956" s="21" t="str">
        <f t="shared" si="183"/>
        <v/>
      </c>
      <c r="L3956" s="19" t="str">
        <f t="shared" si="184"/>
        <v/>
      </c>
      <c r="M3956" s="18" t="str">
        <f>IF(I3956&lt;&gt;"Sí","",IF(YEAR(F3956)&lt;&gt;2026,"",INDEX({"Enero","Febrero","Marzo","Abril","Mayo","Junio","Julio","Agosto","Septiembre","Octubre","Noviembre","Diciembre"},MONTH(F3956))))</f>
        <v/>
      </c>
      <c r="N3956" s="18" t="str">
        <f t="shared" si="185"/>
        <v/>
      </c>
    </row>
    <row r="3957" spans="11:14" ht="14.5" x14ac:dyDescent="0.25">
      <c r="K3957" s="21" t="str">
        <f t="shared" si="183"/>
        <v/>
      </c>
      <c r="L3957" s="19" t="str">
        <f t="shared" si="184"/>
        <v/>
      </c>
      <c r="M3957" s="18" t="str">
        <f>IF(I3957&lt;&gt;"Sí","",IF(YEAR(F3957)&lt;&gt;2026,"",INDEX({"Enero","Febrero","Marzo","Abril","Mayo","Junio","Julio","Agosto","Septiembre","Octubre","Noviembre","Diciembre"},MONTH(F3957))))</f>
        <v/>
      </c>
      <c r="N3957" s="18" t="str">
        <f t="shared" si="185"/>
        <v/>
      </c>
    </row>
    <row r="3958" spans="11:14" ht="14.5" x14ac:dyDescent="0.25">
      <c r="K3958" s="21" t="str">
        <f t="shared" si="183"/>
        <v/>
      </c>
      <c r="L3958" s="19" t="str">
        <f t="shared" si="184"/>
        <v/>
      </c>
      <c r="M3958" s="18" t="str">
        <f>IF(I3958&lt;&gt;"Sí","",IF(YEAR(F3958)&lt;&gt;2026,"",INDEX({"Enero","Febrero","Marzo","Abril","Mayo","Junio","Julio","Agosto","Septiembre","Octubre","Noviembre","Diciembre"},MONTH(F3958))))</f>
        <v/>
      </c>
      <c r="N3958" s="18" t="str">
        <f t="shared" si="185"/>
        <v/>
      </c>
    </row>
    <row r="3959" spans="11:14" ht="14.5" x14ac:dyDescent="0.25">
      <c r="K3959" s="21" t="str">
        <f t="shared" si="183"/>
        <v/>
      </c>
      <c r="L3959" s="19" t="str">
        <f t="shared" si="184"/>
        <v/>
      </c>
      <c r="M3959" s="18" t="str">
        <f>IF(I3959&lt;&gt;"Sí","",IF(YEAR(F3959)&lt;&gt;2026,"",INDEX({"Enero","Febrero","Marzo","Abril","Mayo","Junio","Julio","Agosto","Septiembre","Octubre","Noviembre","Diciembre"},MONTH(F3959))))</f>
        <v/>
      </c>
      <c r="N3959" s="18" t="str">
        <f t="shared" si="185"/>
        <v/>
      </c>
    </row>
    <row r="3960" spans="11:14" ht="14.5" x14ac:dyDescent="0.25">
      <c r="K3960" s="21" t="str">
        <f t="shared" si="183"/>
        <v/>
      </c>
      <c r="L3960" s="19" t="str">
        <f t="shared" si="184"/>
        <v/>
      </c>
      <c r="M3960" s="18" t="str">
        <f>IF(I3960&lt;&gt;"Sí","",IF(YEAR(F3960)&lt;&gt;2026,"",INDEX({"Enero","Febrero","Marzo","Abril","Mayo","Junio","Julio","Agosto","Septiembre","Octubre","Noviembre","Diciembre"},MONTH(F3960))))</f>
        <v/>
      </c>
      <c r="N3960" s="18" t="str">
        <f t="shared" si="185"/>
        <v/>
      </c>
    </row>
    <row r="3961" spans="11:14" ht="14.5" x14ac:dyDescent="0.25">
      <c r="K3961" s="21" t="str">
        <f t="shared" si="183"/>
        <v/>
      </c>
      <c r="L3961" s="19" t="str">
        <f t="shared" si="184"/>
        <v/>
      </c>
      <c r="M3961" s="18" t="str">
        <f>IF(I3961&lt;&gt;"Sí","",IF(YEAR(F3961)&lt;&gt;2026,"",INDEX({"Enero","Febrero","Marzo","Abril","Mayo","Junio","Julio","Agosto","Septiembre","Octubre","Noviembre","Diciembre"},MONTH(F3961))))</f>
        <v/>
      </c>
      <c r="N3961" s="18" t="str">
        <f t="shared" si="185"/>
        <v/>
      </c>
    </row>
    <row r="3962" spans="11:14" ht="14.5" x14ac:dyDescent="0.25">
      <c r="K3962" s="21" t="str">
        <f t="shared" si="183"/>
        <v/>
      </c>
      <c r="L3962" s="19" t="str">
        <f t="shared" si="184"/>
        <v/>
      </c>
      <c r="M3962" s="18" t="str">
        <f>IF(I3962&lt;&gt;"Sí","",IF(YEAR(F3962)&lt;&gt;2026,"",INDEX({"Enero","Febrero","Marzo","Abril","Mayo","Junio","Julio","Agosto","Septiembre","Octubre","Noviembre","Diciembre"},MONTH(F3962))))</f>
        <v/>
      </c>
      <c r="N3962" s="18" t="str">
        <f t="shared" si="185"/>
        <v/>
      </c>
    </row>
    <row r="3963" spans="11:14" ht="14.5" x14ac:dyDescent="0.25">
      <c r="K3963" s="21" t="str">
        <f t="shared" si="183"/>
        <v/>
      </c>
      <c r="L3963" s="19" t="str">
        <f t="shared" si="184"/>
        <v/>
      </c>
      <c r="M3963" s="18" t="str">
        <f>IF(I3963&lt;&gt;"Sí","",IF(YEAR(F3963)&lt;&gt;2026,"",INDEX({"Enero","Febrero","Marzo","Abril","Mayo","Junio","Julio","Agosto","Septiembre","Octubre","Noviembre","Diciembre"},MONTH(F3963))))</f>
        <v/>
      </c>
      <c r="N3963" s="18" t="str">
        <f t="shared" si="185"/>
        <v/>
      </c>
    </row>
    <row r="3964" spans="11:14" ht="14.5" x14ac:dyDescent="0.25">
      <c r="K3964" s="21" t="str">
        <f t="shared" si="183"/>
        <v/>
      </c>
      <c r="L3964" s="19" t="str">
        <f t="shared" si="184"/>
        <v/>
      </c>
      <c r="M3964" s="18" t="str">
        <f>IF(I3964&lt;&gt;"Sí","",IF(YEAR(F3964)&lt;&gt;2026,"",INDEX({"Enero","Febrero","Marzo","Abril","Mayo","Junio","Julio","Agosto","Septiembre","Octubre","Noviembre","Diciembre"},MONTH(F3964))))</f>
        <v/>
      </c>
      <c r="N3964" s="18" t="str">
        <f t="shared" si="185"/>
        <v/>
      </c>
    </row>
    <row r="3965" spans="11:14" ht="14.5" x14ac:dyDescent="0.25">
      <c r="K3965" s="21" t="str">
        <f t="shared" si="183"/>
        <v/>
      </c>
      <c r="L3965" s="19" t="str">
        <f t="shared" si="184"/>
        <v/>
      </c>
      <c r="M3965" s="18" t="str">
        <f>IF(I3965&lt;&gt;"Sí","",IF(YEAR(F3965)&lt;&gt;2026,"",INDEX({"Enero","Febrero","Marzo","Abril","Mayo","Junio","Julio","Agosto","Septiembre","Octubre","Noviembre","Diciembre"},MONTH(F3965))))</f>
        <v/>
      </c>
      <c r="N3965" s="18" t="str">
        <f t="shared" si="185"/>
        <v/>
      </c>
    </row>
    <row r="3966" spans="11:14" ht="14.5" x14ac:dyDescent="0.25">
      <c r="K3966" s="21" t="str">
        <f t="shared" si="183"/>
        <v/>
      </c>
      <c r="L3966" s="19" t="str">
        <f t="shared" si="184"/>
        <v/>
      </c>
      <c r="M3966" s="18" t="str">
        <f>IF(I3966&lt;&gt;"Sí","",IF(YEAR(F3966)&lt;&gt;2026,"",INDEX({"Enero","Febrero","Marzo","Abril","Mayo","Junio","Julio","Agosto","Septiembre","Octubre","Noviembre","Diciembre"},MONTH(F3966))))</f>
        <v/>
      </c>
      <c r="N3966" s="18" t="str">
        <f t="shared" si="185"/>
        <v/>
      </c>
    </row>
    <row r="3967" spans="11:14" ht="14.5" x14ac:dyDescent="0.25">
      <c r="K3967" s="21" t="str">
        <f t="shared" si="183"/>
        <v/>
      </c>
      <c r="L3967" s="19" t="str">
        <f t="shared" si="184"/>
        <v/>
      </c>
      <c r="M3967" s="18" t="str">
        <f>IF(I3967&lt;&gt;"Sí","",IF(YEAR(F3967)&lt;&gt;2026,"",INDEX({"Enero","Febrero","Marzo","Abril","Mayo","Junio","Julio","Agosto","Septiembre","Octubre","Noviembre","Diciembre"},MONTH(F3967))))</f>
        <v/>
      </c>
      <c r="N3967" s="18" t="str">
        <f t="shared" si="185"/>
        <v/>
      </c>
    </row>
    <row r="3968" spans="11:14" ht="14.5" x14ac:dyDescent="0.25">
      <c r="K3968" s="21" t="str">
        <f t="shared" si="183"/>
        <v/>
      </c>
      <c r="L3968" s="19" t="str">
        <f t="shared" si="184"/>
        <v/>
      </c>
      <c r="M3968" s="18" t="str">
        <f>IF(I3968&lt;&gt;"Sí","",IF(YEAR(F3968)&lt;&gt;2026,"",INDEX({"Enero","Febrero","Marzo","Abril","Mayo","Junio","Julio","Agosto","Septiembre","Octubre","Noviembre","Diciembre"},MONTH(F3968))))</f>
        <v/>
      </c>
      <c r="N3968" s="18" t="str">
        <f t="shared" si="185"/>
        <v/>
      </c>
    </row>
    <row r="3969" spans="11:14" ht="14.5" x14ac:dyDescent="0.25">
      <c r="K3969" s="21" t="str">
        <f t="shared" si="183"/>
        <v/>
      </c>
      <c r="L3969" s="19" t="str">
        <f t="shared" si="184"/>
        <v/>
      </c>
      <c r="M3969" s="18" t="str">
        <f>IF(I3969&lt;&gt;"Sí","",IF(YEAR(F3969)&lt;&gt;2026,"",INDEX({"Enero","Febrero","Marzo","Abril","Mayo","Junio","Julio","Agosto","Septiembre","Octubre","Noviembre","Diciembre"},MONTH(F3969))))</f>
        <v/>
      </c>
      <c r="N3969" s="18" t="str">
        <f t="shared" si="185"/>
        <v/>
      </c>
    </row>
    <row r="3970" spans="11:14" ht="14.5" x14ac:dyDescent="0.25">
      <c r="K3970" s="21" t="str">
        <f t="shared" si="183"/>
        <v/>
      </c>
      <c r="L3970" s="19" t="str">
        <f t="shared" si="184"/>
        <v/>
      </c>
      <c r="M3970" s="18" t="str">
        <f>IF(I3970&lt;&gt;"Sí","",IF(YEAR(F3970)&lt;&gt;2026,"",INDEX({"Enero","Febrero","Marzo","Abril","Mayo","Junio","Julio","Agosto","Septiembre","Octubre","Noviembre","Diciembre"},MONTH(F3970))))</f>
        <v/>
      </c>
      <c r="N3970" s="18" t="str">
        <f t="shared" si="185"/>
        <v/>
      </c>
    </row>
    <row r="3971" spans="11:14" ht="14.5" x14ac:dyDescent="0.25">
      <c r="K3971" s="21" t="str">
        <f t="shared" si="183"/>
        <v/>
      </c>
      <c r="L3971" s="19" t="str">
        <f t="shared" si="184"/>
        <v/>
      </c>
      <c r="M3971" s="18" t="str">
        <f>IF(I3971&lt;&gt;"Sí","",IF(YEAR(F3971)&lt;&gt;2026,"",INDEX({"Enero","Febrero","Marzo","Abril","Mayo","Junio","Julio","Agosto","Septiembre","Octubre","Noviembre","Diciembre"},MONTH(F3971))))</f>
        <v/>
      </c>
      <c r="N3971" s="18" t="str">
        <f t="shared" si="185"/>
        <v/>
      </c>
    </row>
    <row r="3972" spans="11:14" ht="14.5" x14ac:dyDescent="0.25">
      <c r="K3972" s="21" t="str">
        <f t="shared" si="183"/>
        <v/>
      </c>
      <c r="L3972" s="19" t="str">
        <f t="shared" si="184"/>
        <v/>
      </c>
      <c r="M3972" s="18" t="str">
        <f>IF(I3972&lt;&gt;"Sí","",IF(YEAR(F3972)&lt;&gt;2026,"",INDEX({"Enero","Febrero","Marzo","Abril","Mayo","Junio","Julio","Agosto","Septiembre","Octubre","Noviembre","Diciembre"},MONTH(F3972))))</f>
        <v/>
      </c>
      <c r="N3972" s="18" t="str">
        <f t="shared" si="185"/>
        <v/>
      </c>
    </row>
    <row r="3973" spans="11:14" ht="14.5" x14ac:dyDescent="0.25">
      <c r="K3973" s="21" t="str">
        <f t="shared" si="183"/>
        <v/>
      </c>
      <c r="L3973" s="19" t="str">
        <f t="shared" si="184"/>
        <v/>
      </c>
      <c r="M3973" s="18" t="str">
        <f>IF(I3973&lt;&gt;"Sí","",IF(YEAR(F3973)&lt;&gt;2026,"",INDEX({"Enero","Febrero","Marzo","Abril","Mayo","Junio","Julio","Agosto","Septiembre","Octubre","Noviembre","Diciembre"},MONTH(F3973))))</f>
        <v/>
      </c>
      <c r="N3973" s="18" t="str">
        <f t="shared" si="185"/>
        <v/>
      </c>
    </row>
    <row r="3974" spans="11:14" ht="14.5" x14ac:dyDescent="0.25">
      <c r="K3974" s="21" t="str">
        <f t="shared" si="183"/>
        <v/>
      </c>
      <c r="L3974" s="19" t="str">
        <f t="shared" si="184"/>
        <v/>
      </c>
      <c r="M3974" s="18" t="str">
        <f>IF(I3974&lt;&gt;"Sí","",IF(YEAR(F3974)&lt;&gt;2026,"",INDEX({"Enero","Febrero","Marzo","Abril","Mayo","Junio","Julio","Agosto","Septiembre","Octubre","Noviembre","Diciembre"},MONTH(F3974))))</f>
        <v/>
      </c>
      <c r="N3974" s="18" t="str">
        <f t="shared" si="185"/>
        <v/>
      </c>
    </row>
    <row r="3975" spans="11:14" ht="14.5" x14ac:dyDescent="0.25">
      <c r="K3975" s="21" t="str">
        <f t="shared" ref="K3975:K4000" si="186">IF(I3975="Sí",(G3975-F3975)*24,"")</f>
        <v/>
      </c>
      <c r="L3975" s="19" t="str">
        <f t="shared" ref="L3975:L4000" si="187">IF(I3975="Sí",COUNTIFS($F$7:$F$4000,"&lt;="&amp;F3975,$G$7:$G$4000,"&gt;"&amp;F3975,$I$7:$I$4000,"Sí"),"")</f>
        <v/>
      </c>
      <c r="M3975" s="18" t="str">
        <f>IF(I3975&lt;&gt;"Sí","",IF(YEAR(F3975)&lt;&gt;2026,"",INDEX({"Enero","Febrero","Marzo","Abril","Mayo","Junio","Julio","Agosto","Septiembre","Octubre","Noviembre","Diciembre"},MONTH(F3975))))</f>
        <v/>
      </c>
      <c r="N3975" s="18" t="str">
        <f t="shared" ref="N3975:N4000" si="188">IF(M3975="","",M3975&amp;"|"&amp;L3975)</f>
        <v/>
      </c>
    </row>
    <row r="3976" spans="11:14" ht="14.5" x14ac:dyDescent="0.25">
      <c r="K3976" s="21" t="str">
        <f t="shared" si="186"/>
        <v/>
      </c>
      <c r="L3976" s="19" t="str">
        <f t="shared" si="187"/>
        <v/>
      </c>
      <c r="M3976" s="18" t="str">
        <f>IF(I3976&lt;&gt;"Sí","",IF(YEAR(F3976)&lt;&gt;2026,"",INDEX({"Enero","Febrero","Marzo","Abril","Mayo","Junio","Julio","Agosto","Septiembre","Octubre","Noviembre","Diciembre"},MONTH(F3976))))</f>
        <v/>
      </c>
      <c r="N3976" s="18" t="str">
        <f t="shared" si="188"/>
        <v/>
      </c>
    </row>
    <row r="3977" spans="11:14" ht="14.5" x14ac:dyDescent="0.25">
      <c r="K3977" s="21" t="str">
        <f t="shared" si="186"/>
        <v/>
      </c>
      <c r="L3977" s="19" t="str">
        <f t="shared" si="187"/>
        <v/>
      </c>
      <c r="M3977" s="18" t="str">
        <f>IF(I3977&lt;&gt;"Sí","",IF(YEAR(F3977)&lt;&gt;2026,"",INDEX({"Enero","Febrero","Marzo","Abril","Mayo","Junio","Julio","Agosto","Septiembre","Octubre","Noviembre","Diciembre"},MONTH(F3977))))</f>
        <v/>
      </c>
      <c r="N3977" s="18" t="str">
        <f t="shared" si="188"/>
        <v/>
      </c>
    </row>
    <row r="3978" spans="11:14" ht="14.5" x14ac:dyDescent="0.25">
      <c r="K3978" s="21" t="str">
        <f t="shared" si="186"/>
        <v/>
      </c>
      <c r="L3978" s="19" t="str">
        <f t="shared" si="187"/>
        <v/>
      </c>
      <c r="M3978" s="18" t="str">
        <f>IF(I3978&lt;&gt;"Sí","",IF(YEAR(F3978)&lt;&gt;2026,"",INDEX({"Enero","Febrero","Marzo","Abril","Mayo","Junio","Julio","Agosto","Septiembre","Octubre","Noviembre","Diciembre"},MONTH(F3978))))</f>
        <v/>
      </c>
      <c r="N3978" s="18" t="str">
        <f t="shared" si="188"/>
        <v/>
      </c>
    </row>
    <row r="3979" spans="11:14" ht="14.5" x14ac:dyDescent="0.25">
      <c r="K3979" s="21" t="str">
        <f t="shared" si="186"/>
        <v/>
      </c>
      <c r="L3979" s="19" t="str">
        <f t="shared" si="187"/>
        <v/>
      </c>
      <c r="M3979" s="18" t="str">
        <f>IF(I3979&lt;&gt;"Sí","",IF(YEAR(F3979)&lt;&gt;2026,"",INDEX({"Enero","Febrero","Marzo","Abril","Mayo","Junio","Julio","Agosto","Septiembre","Octubre","Noviembre","Diciembre"},MONTH(F3979))))</f>
        <v/>
      </c>
      <c r="N3979" s="18" t="str">
        <f t="shared" si="188"/>
        <v/>
      </c>
    </row>
    <row r="3980" spans="11:14" ht="14.5" x14ac:dyDescent="0.25">
      <c r="K3980" s="21" t="str">
        <f t="shared" si="186"/>
        <v/>
      </c>
      <c r="L3980" s="19" t="str">
        <f t="shared" si="187"/>
        <v/>
      </c>
      <c r="M3980" s="18" t="str">
        <f>IF(I3980&lt;&gt;"Sí","",IF(YEAR(F3980)&lt;&gt;2026,"",INDEX({"Enero","Febrero","Marzo","Abril","Mayo","Junio","Julio","Agosto","Septiembre","Octubre","Noviembre","Diciembre"},MONTH(F3980))))</f>
        <v/>
      </c>
      <c r="N3980" s="18" t="str">
        <f t="shared" si="188"/>
        <v/>
      </c>
    </row>
    <row r="3981" spans="11:14" ht="14.5" x14ac:dyDescent="0.25">
      <c r="K3981" s="21" t="str">
        <f t="shared" si="186"/>
        <v/>
      </c>
      <c r="L3981" s="19" t="str">
        <f t="shared" si="187"/>
        <v/>
      </c>
      <c r="M3981" s="18" t="str">
        <f>IF(I3981&lt;&gt;"Sí","",IF(YEAR(F3981)&lt;&gt;2026,"",INDEX({"Enero","Febrero","Marzo","Abril","Mayo","Junio","Julio","Agosto","Septiembre","Octubre","Noviembre","Diciembre"},MONTH(F3981))))</f>
        <v/>
      </c>
      <c r="N3981" s="18" t="str">
        <f t="shared" si="188"/>
        <v/>
      </c>
    </row>
    <row r="3982" spans="11:14" ht="14.5" x14ac:dyDescent="0.25">
      <c r="K3982" s="21" t="str">
        <f t="shared" si="186"/>
        <v/>
      </c>
      <c r="L3982" s="19" t="str">
        <f t="shared" si="187"/>
        <v/>
      </c>
      <c r="M3982" s="18" t="str">
        <f>IF(I3982&lt;&gt;"Sí","",IF(YEAR(F3982)&lt;&gt;2026,"",INDEX({"Enero","Febrero","Marzo","Abril","Mayo","Junio","Julio","Agosto","Septiembre","Octubre","Noviembre","Diciembre"},MONTH(F3982))))</f>
        <v/>
      </c>
      <c r="N3982" s="18" t="str">
        <f t="shared" si="188"/>
        <v/>
      </c>
    </row>
    <row r="3983" spans="11:14" ht="14.5" x14ac:dyDescent="0.25">
      <c r="K3983" s="21" t="str">
        <f t="shared" si="186"/>
        <v/>
      </c>
      <c r="L3983" s="19" t="str">
        <f t="shared" si="187"/>
        <v/>
      </c>
      <c r="M3983" s="18" t="str">
        <f>IF(I3983&lt;&gt;"Sí","",IF(YEAR(F3983)&lt;&gt;2026,"",INDEX({"Enero","Febrero","Marzo","Abril","Mayo","Junio","Julio","Agosto","Septiembre","Octubre","Noviembre","Diciembre"},MONTH(F3983))))</f>
        <v/>
      </c>
      <c r="N3983" s="18" t="str">
        <f t="shared" si="188"/>
        <v/>
      </c>
    </row>
    <row r="3984" spans="11:14" ht="14.5" x14ac:dyDescent="0.25">
      <c r="K3984" s="21" t="str">
        <f t="shared" si="186"/>
        <v/>
      </c>
      <c r="L3984" s="19" t="str">
        <f t="shared" si="187"/>
        <v/>
      </c>
      <c r="M3984" s="18" t="str">
        <f>IF(I3984&lt;&gt;"Sí","",IF(YEAR(F3984)&lt;&gt;2026,"",INDEX({"Enero","Febrero","Marzo","Abril","Mayo","Junio","Julio","Agosto","Septiembre","Octubre","Noviembre","Diciembre"},MONTH(F3984))))</f>
        <v/>
      </c>
      <c r="N3984" s="18" t="str">
        <f t="shared" si="188"/>
        <v/>
      </c>
    </row>
    <row r="3985" spans="11:14" ht="14.5" x14ac:dyDescent="0.25">
      <c r="K3985" s="21" t="str">
        <f t="shared" si="186"/>
        <v/>
      </c>
      <c r="L3985" s="19" t="str">
        <f t="shared" si="187"/>
        <v/>
      </c>
      <c r="M3985" s="18" t="str">
        <f>IF(I3985&lt;&gt;"Sí","",IF(YEAR(F3985)&lt;&gt;2026,"",INDEX({"Enero","Febrero","Marzo","Abril","Mayo","Junio","Julio","Agosto","Septiembre","Octubre","Noviembre","Diciembre"},MONTH(F3985))))</f>
        <v/>
      </c>
      <c r="N3985" s="18" t="str">
        <f t="shared" si="188"/>
        <v/>
      </c>
    </row>
    <row r="3986" spans="11:14" ht="14.5" x14ac:dyDescent="0.25">
      <c r="K3986" s="21" t="str">
        <f t="shared" si="186"/>
        <v/>
      </c>
      <c r="L3986" s="19" t="str">
        <f t="shared" si="187"/>
        <v/>
      </c>
      <c r="M3986" s="18" t="str">
        <f>IF(I3986&lt;&gt;"Sí","",IF(YEAR(F3986)&lt;&gt;2026,"",INDEX({"Enero","Febrero","Marzo","Abril","Mayo","Junio","Julio","Agosto","Septiembre","Octubre","Noviembre","Diciembre"},MONTH(F3986))))</f>
        <v/>
      </c>
      <c r="N3986" s="18" t="str">
        <f t="shared" si="188"/>
        <v/>
      </c>
    </row>
    <row r="3987" spans="11:14" ht="14.5" x14ac:dyDescent="0.25">
      <c r="K3987" s="21" t="str">
        <f t="shared" si="186"/>
        <v/>
      </c>
      <c r="L3987" s="19" t="str">
        <f t="shared" si="187"/>
        <v/>
      </c>
      <c r="M3987" s="18" t="str">
        <f>IF(I3987&lt;&gt;"Sí","",IF(YEAR(F3987)&lt;&gt;2026,"",INDEX({"Enero","Febrero","Marzo","Abril","Mayo","Junio","Julio","Agosto","Septiembre","Octubre","Noviembre","Diciembre"},MONTH(F3987))))</f>
        <v/>
      </c>
      <c r="N3987" s="18" t="str">
        <f t="shared" si="188"/>
        <v/>
      </c>
    </row>
    <row r="3988" spans="11:14" ht="14.5" x14ac:dyDescent="0.25">
      <c r="K3988" s="21" t="str">
        <f t="shared" si="186"/>
        <v/>
      </c>
      <c r="L3988" s="19" t="str">
        <f t="shared" si="187"/>
        <v/>
      </c>
      <c r="M3988" s="18" t="str">
        <f>IF(I3988&lt;&gt;"Sí","",IF(YEAR(F3988)&lt;&gt;2026,"",INDEX({"Enero","Febrero","Marzo","Abril","Mayo","Junio","Julio","Agosto","Septiembre","Octubre","Noviembre","Diciembre"},MONTH(F3988))))</f>
        <v/>
      </c>
      <c r="N3988" s="18" t="str">
        <f t="shared" si="188"/>
        <v/>
      </c>
    </row>
    <row r="3989" spans="11:14" ht="14.5" x14ac:dyDescent="0.25">
      <c r="K3989" s="21" t="str">
        <f t="shared" si="186"/>
        <v/>
      </c>
      <c r="L3989" s="19" t="str">
        <f t="shared" si="187"/>
        <v/>
      </c>
      <c r="M3989" s="18" t="str">
        <f>IF(I3989&lt;&gt;"Sí","",IF(YEAR(F3989)&lt;&gt;2026,"",INDEX({"Enero","Febrero","Marzo","Abril","Mayo","Junio","Julio","Agosto","Septiembre","Octubre","Noviembre","Diciembre"},MONTH(F3989))))</f>
        <v/>
      </c>
      <c r="N3989" s="18" t="str">
        <f t="shared" si="188"/>
        <v/>
      </c>
    </row>
    <row r="3990" spans="11:14" ht="14.5" x14ac:dyDescent="0.25">
      <c r="K3990" s="21" t="str">
        <f t="shared" si="186"/>
        <v/>
      </c>
      <c r="L3990" s="19" t="str">
        <f t="shared" si="187"/>
        <v/>
      </c>
      <c r="M3990" s="18" t="str">
        <f>IF(I3990&lt;&gt;"Sí","",IF(YEAR(F3990)&lt;&gt;2026,"",INDEX({"Enero","Febrero","Marzo","Abril","Mayo","Junio","Julio","Agosto","Septiembre","Octubre","Noviembre","Diciembre"},MONTH(F3990))))</f>
        <v/>
      </c>
      <c r="N3990" s="18" t="str">
        <f t="shared" si="188"/>
        <v/>
      </c>
    </row>
    <row r="3991" spans="11:14" ht="14.5" x14ac:dyDescent="0.25">
      <c r="K3991" s="21" t="str">
        <f t="shared" si="186"/>
        <v/>
      </c>
      <c r="L3991" s="19" t="str">
        <f t="shared" si="187"/>
        <v/>
      </c>
      <c r="M3991" s="18" t="str">
        <f>IF(I3991&lt;&gt;"Sí","",IF(YEAR(F3991)&lt;&gt;2026,"",INDEX({"Enero","Febrero","Marzo","Abril","Mayo","Junio","Julio","Agosto","Septiembre","Octubre","Noviembre","Diciembre"},MONTH(F3991))))</f>
        <v/>
      </c>
      <c r="N3991" s="18" t="str">
        <f t="shared" si="188"/>
        <v/>
      </c>
    </row>
    <row r="3992" spans="11:14" ht="14.5" x14ac:dyDescent="0.25">
      <c r="K3992" s="21" t="str">
        <f t="shared" si="186"/>
        <v/>
      </c>
      <c r="L3992" s="19" t="str">
        <f t="shared" si="187"/>
        <v/>
      </c>
      <c r="M3992" s="18" t="str">
        <f>IF(I3992&lt;&gt;"Sí","",IF(YEAR(F3992)&lt;&gt;2026,"",INDEX({"Enero","Febrero","Marzo","Abril","Mayo","Junio","Julio","Agosto","Septiembre","Octubre","Noviembre","Diciembre"},MONTH(F3992))))</f>
        <v/>
      </c>
      <c r="N3992" s="18" t="str">
        <f t="shared" si="188"/>
        <v/>
      </c>
    </row>
    <row r="3993" spans="11:14" ht="14.5" x14ac:dyDescent="0.25">
      <c r="K3993" s="21" t="str">
        <f t="shared" si="186"/>
        <v/>
      </c>
      <c r="L3993" s="19" t="str">
        <f t="shared" si="187"/>
        <v/>
      </c>
      <c r="M3993" s="18" t="str">
        <f>IF(I3993&lt;&gt;"Sí","",IF(YEAR(F3993)&lt;&gt;2026,"",INDEX({"Enero","Febrero","Marzo","Abril","Mayo","Junio","Julio","Agosto","Septiembre","Octubre","Noviembre","Diciembre"},MONTH(F3993))))</f>
        <v/>
      </c>
      <c r="N3993" s="18" t="str">
        <f t="shared" si="188"/>
        <v/>
      </c>
    </row>
    <row r="3994" spans="11:14" ht="14.5" x14ac:dyDescent="0.25">
      <c r="K3994" s="21" t="str">
        <f t="shared" si="186"/>
        <v/>
      </c>
      <c r="L3994" s="19" t="str">
        <f t="shared" si="187"/>
        <v/>
      </c>
      <c r="M3994" s="18" t="str">
        <f>IF(I3994&lt;&gt;"Sí","",IF(YEAR(F3994)&lt;&gt;2026,"",INDEX({"Enero","Febrero","Marzo","Abril","Mayo","Junio","Julio","Agosto","Septiembre","Octubre","Noviembre","Diciembre"},MONTH(F3994))))</f>
        <v/>
      </c>
      <c r="N3994" s="18" t="str">
        <f t="shared" si="188"/>
        <v/>
      </c>
    </row>
    <row r="3995" spans="11:14" ht="14.5" x14ac:dyDescent="0.25">
      <c r="K3995" s="21" t="str">
        <f t="shared" si="186"/>
        <v/>
      </c>
      <c r="L3995" s="19" t="str">
        <f t="shared" si="187"/>
        <v/>
      </c>
      <c r="M3995" s="18" t="str">
        <f>IF(I3995&lt;&gt;"Sí","",IF(YEAR(F3995)&lt;&gt;2026,"",INDEX({"Enero","Febrero","Marzo","Abril","Mayo","Junio","Julio","Agosto","Septiembre","Octubre","Noviembre","Diciembre"},MONTH(F3995))))</f>
        <v/>
      </c>
      <c r="N3995" s="18" t="str">
        <f t="shared" si="188"/>
        <v/>
      </c>
    </row>
    <row r="3996" spans="11:14" ht="14.5" x14ac:dyDescent="0.25">
      <c r="K3996" s="21" t="str">
        <f t="shared" si="186"/>
        <v/>
      </c>
      <c r="L3996" s="19" t="str">
        <f t="shared" si="187"/>
        <v/>
      </c>
      <c r="M3996" s="18" t="str">
        <f>IF(I3996&lt;&gt;"Sí","",IF(YEAR(F3996)&lt;&gt;2026,"",INDEX({"Enero","Febrero","Marzo","Abril","Mayo","Junio","Julio","Agosto","Septiembre","Octubre","Noviembre","Diciembre"},MONTH(F3996))))</f>
        <v/>
      </c>
      <c r="N3996" s="18" t="str">
        <f t="shared" si="188"/>
        <v/>
      </c>
    </row>
    <row r="3997" spans="11:14" ht="14.5" x14ac:dyDescent="0.25">
      <c r="K3997" s="21" t="str">
        <f t="shared" si="186"/>
        <v/>
      </c>
      <c r="L3997" s="19" t="str">
        <f t="shared" si="187"/>
        <v/>
      </c>
      <c r="M3997" s="18" t="str">
        <f>IF(I3997&lt;&gt;"Sí","",IF(YEAR(F3997)&lt;&gt;2026,"",INDEX({"Enero","Febrero","Marzo","Abril","Mayo","Junio","Julio","Agosto","Septiembre","Octubre","Noviembre","Diciembre"},MONTH(F3997))))</f>
        <v/>
      </c>
      <c r="N3997" s="18" t="str">
        <f t="shared" si="188"/>
        <v/>
      </c>
    </row>
    <row r="3998" spans="11:14" ht="14.5" x14ac:dyDescent="0.25">
      <c r="K3998" s="21" t="str">
        <f t="shared" si="186"/>
        <v/>
      </c>
      <c r="L3998" s="19" t="str">
        <f t="shared" si="187"/>
        <v/>
      </c>
      <c r="M3998" s="18" t="str">
        <f>IF(I3998&lt;&gt;"Sí","",IF(YEAR(F3998)&lt;&gt;2026,"",INDEX({"Enero","Febrero","Marzo","Abril","Mayo","Junio","Julio","Agosto","Septiembre","Octubre","Noviembre","Diciembre"},MONTH(F3998))))</f>
        <v/>
      </c>
      <c r="N3998" s="18" t="str">
        <f t="shared" si="188"/>
        <v/>
      </c>
    </row>
    <row r="3999" spans="11:14" ht="14.5" x14ac:dyDescent="0.25">
      <c r="K3999" s="21" t="str">
        <f t="shared" si="186"/>
        <v/>
      </c>
      <c r="L3999" s="19" t="str">
        <f t="shared" si="187"/>
        <v/>
      </c>
      <c r="M3999" s="18" t="str">
        <f>IF(I3999&lt;&gt;"Sí","",IF(YEAR(F3999)&lt;&gt;2026,"",INDEX({"Enero","Febrero","Marzo","Abril","Mayo","Junio","Julio","Agosto","Septiembre","Octubre","Noviembre","Diciembre"},MONTH(F3999))))</f>
        <v/>
      </c>
      <c r="N3999" s="18" t="str">
        <f t="shared" si="188"/>
        <v/>
      </c>
    </row>
    <row r="4000" spans="11:14" ht="14.5" x14ac:dyDescent="0.25">
      <c r="K4000" s="21" t="str">
        <f t="shared" si="186"/>
        <v/>
      </c>
      <c r="L4000" s="19" t="str">
        <f t="shared" si="187"/>
        <v/>
      </c>
      <c r="M4000" s="18" t="str">
        <f>IF(I4000&lt;&gt;"Sí","",IF(YEAR(F4000)&lt;&gt;2026,"",INDEX({"Enero","Febrero","Marzo","Abril","Mayo","Junio","Julio","Agosto","Septiembre","Octubre","Noviembre","Diciembre"},MONTH(F4000))))</f>
        <v/>
      </c>
      <c r="N4000" s="18" t="str">
        <f t="shared" si="188"/>
        <v/>
      </c>
    </row>
  </sheetData>
  <autoFilter ref="A6:N3252" xr:uid="{00000000-0009-0000-0000-000009000000}"/>
  <mergeCells count="2">
    <mergeCell ref="A1:O1"/>
    <mergeCell ref="A2:O2"/>
  </mergeCells>
  <pageMargins left="0.5" right="0.5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</vt:lpstr>
      <vt:lpstr>VISTA MES</vt:lpstr>
      <vt:lpstr>CONEXIONES</vt:lpstr>
      <vt:lpstr>FLUJO DIARIO</vt:lpstr>
      <vt:lpstr>BUDGET vs FCST</vt:lpstr>
      <vt:lpstr>NAVES</vt:lpstr>
      <vt:lpstr>PPK</vt:lpstr>
      <vt:lpstr>ACTUALIZAR</vt:lpstr>
      <vt:lpstr>COMBUSTIBLE</vt:lpstr>
      <vt:lpstr>DATOS_CONEX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Vera Aravena</cp:lastModifiedBy>
  <cp:revision>7</cp:revision>
  <dcterms:created xsi:type="dcterms:W3CDTF">2026-09-08T03:44:55Z</dcterms:created>
  <dcterms:modified xsi:type="dcterms:W3CDTF">2026-10-14T17:38:01Z</dcterms:modified>
  <dc:language>en-US</dc:language>
</cp:coreProperties>
</file>